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bestimmen'!$C$126:$H$126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D407" i="43" s="1"/>
  <c r="E403" i="43"/>
  <c r="E405" i="43" s="1"/>
  <c r="F403" i="43"/>
  <c r="F415" i="43" s="1"/>
  <c r="G403" i="43"/>
  <c r="G410" i="43" s="1"/>
  <c r="H403" i="43"/>
  <c r="H434" i="43" s="1"/>
  <c r="B403" i="43"/>
  <c r="B405" i="43" s="1"/>
  <c r="B65" i="43"/>
  <c r="A65" i="43"/>
  <c r="G434" i="43" l="1"/>
  <c r="G416" i="43"/>
  <c r="G431" i="43"/>
  <c r="G413" i="43"/>
  <c r="F431" i="43"/>
  <c r="C420" i="43"/>
  <c r="C431" i="43"/>
  <c r="F423" i="43"/>
  <c r="D420" i="43"/>
  <c r="D406" i="43"/>
  <c r="F404" i="43"/>
  <c r="E404" i="43"/>
  <c r="D405" i="43"/>
  <c r="E425" i="43"/>
  <c r="D428" i="43"/>
  <c r="E433" i="43"/>
  <c r="D433" i="43"/>
  <c r="E410" i="43"/>
  <c r="E420" i="43"/>
  <c r="D410" i="43"/>
  <c r="D425" i="43"/>
  <c r="D404" i="43"/>
  <c r="C404" i="43"/>
  <c r="D431" i="43"/>
  <c r="D423" i="43"/>
  <c r="C423" i="43"/>
  <c r="C428" i="43"/>
  <c r="C422" i="43"/>
  <c r="E416" i="43"/>
  <c r="D432" i="43"/>
  <c r="E430" i="43"/>
  <c r="E427" i="43"/>
  <c r="E424" i="43"/>
  <c r="E422" i="43"/>
  <c r="D416" i="43"/>
  <c r="D413" i="43"/>
  <c r="D409" i="43"/>
  <c r="D430" i="43"/>
  <c r="D422" i="43"/>
  <c r="E408" i="43"/>
  <c r="D408" i="43"/>
  <c r="E413" i="43"/>
  <c r="D427" i="43"/>
  <c r="D424" i="43"/>
  <c r="D419" i="43"/>
  <c r="E415" i="43"/>
  <c r="D412" i="43"/>
  <c r="E434" i="43"/>
  <c r="E429" i="43"/>
  <c r="E426" i="43"/>
  <c r="D418" i="43"/>
  <c r="D415" i="43"/>
  <c r="E411" i="43"/>
  <c r="D434" i="43"/>
  <c r="E431" i="43"/>
  <c r="D429" i="43"/>
  <c r="D426" i="43"/>
  <c r="E423" i="43"/>
  <c r="D421" i="43"/>
  <c r="D417" i="43"/>
  <c r="D414" i="43"/>
  <c r="D411" i="43"/>
  <c r="C417" i="43"/>
  <c r="F420" i="43"/>
  <c r="F410" i="43"/>
  <c r="C430" i="43"/>
  <c r="F427" i="43"/>
  <c r="C426" i="43"/>
  <c r="C419" i="43"/>
  <c r="F434" i="43"/>
  <c r="C433" i="43"/>
  <c r="C424" i="43"/>
  <c r="E418" i="43"/>
  <c r="C415" i="43"/>
  <c r="C408" i="43"/>
  <c r="C405" i="43"/>
  <c r="C412" i="43"/>
  <c r="C410" i="43"/>
  <c r="C432" i="43"/>
  <c r="C429" i="43"/>
  <c r="C425" i="43"/>
  <c r="F419" i="43"/>
  <c r="C414" i="43"/>
  <c r="F416" i="43"/>
  <c r="F430" i="43"/>
  <c r="C427" i="43"/>
  <c r="C418" i="43"/>
  <c r="C407" i="43"/>
  <c r="C434" i="43"/>
  <c r="F424" i="43"/>
  <c r="C421" i="43"/>
  <c r="E419" i="43"/>
  <c r="E417" i="43"/>
  <c r="C409" i="43"/>
  <c r="E406" i="43"/>
  <c r="G428" i="43"/>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<sst xmlns="http://schemas.openxmlformats.org/spreadsheetml/2006/main" count="311" uniqueCount="164">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</sst>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65888312"/>
        <c:axId val="6658832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58883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3216"/>
        <c:crossesAt val="-8.0000000000000019E-3"/>
        <c:crossBetween val="midCat"/>
      </c:valAx>
      <c:valAx>
        <c:axId val="665883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83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65888704"/>
        <c:axId val="6658843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658887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4392"/>
        <c:crosses val="autoZero"/>
        <c:crossBetween val="midCat"/>
      </c:valAx>
      <c:valAx>
        <c:axId val="66588439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870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65889096"/>
        <c:axId val="5475986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658890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598640"/>
        <c:crosses val="autoZero"/>
        <c:crossBetween val="midCat"/>
        <c:majorUnit val="10000"/>
      </c:valAx>
      <c:valAx>
        <c:axId val="54759864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6588909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7599816"/>
        <c:axId val="5476006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5998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7600600"/>
        <c:crosses val="autoZero"/>
        <c:crossBetween val="midCat"/>
        <c:majorUnit val="10000"/>
      </c:valAx>
      <c:valAx>
        <c:axId val="54760060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759981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7604520"/>
        <c:axId val="4537672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6045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7224"/>
        <c:crosses val="autoZero"/>
        <c:crossBetween val="midCat"/>
        <c:majorUnit val="10000"/>
      </c:valAx>
      <c:valAx>
        <c:axId val="45376722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6045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2.3432172581766721E-4</c:v>
                </c:pt>
                <c:pt idx="1">
                  <c:v>1.4799540445481287E-4</c:v>
                </c:pt>
                <c:pt idx="2">
                  <c:v>4.9324719108829139E-4</c:v>
                </c:pt>
                <c:pt idx="3">
                  <c:v>1.2807892922490807E-4</c:v>
                </c:pt>
                <c:pt idx="4">
                  <c:v>1.8978255159519239E-5</c:v>
                </c:pt>
                <c:pt idx="5">
                  <c:v>2.6266237124694053E-6</c:v>
                </c:pt>
                <c:pt idx="6">
                  <c:v>8.3776997356586901E-7</c:v>
                </c:pt>
                <c:pt idx="7">
                  <c:v>1.0729079506176545E-6</c:v>
                </c:pt>
                <c:pt idx="8">
                  <c:v>2.2183699238696463E-6</c:v>
                </c:pt>
                <c:pt idx="9">
                  <c:v>5.450735680233527E-6</c:v>
                </c:pt>
                <c:pt idx="10">
                  <c:v>1.1983260508870042E-5</c:v>
                </c:pt>
                <c:pt idx="11">
                  <c:v>2.0452163393765193E-5</c:v>
                </c:pt>
                <c:pt idx="12">
                  <c:v>2.713811809605444E-5</c:v>
                </c:pt>
                <c:pt idx="13">
                  <c:v>2.944947103645783E-5</c:v>
                </c:pt>
                <c:pt idx="14">
                  <c:v>2.7770833536114236E-5</c:v>
                </c:pt>
                <c:pt idx="15">
                  <c:v>2.3955614861921401E-5</c:v>
                </c:pt>
                <c:pt idx="16">
                  <c:v>1.9078739393224333E-5</c:v>
                </c:pt>
                <c:pt idx="17">
                  <c:v>1.4031808797161694E-5</c:v>
                </c:pt>
                <c:pt idx="18">
                  <c:v>8.6602363256710246E-6</c:v>
                </c:pt>
                <c:pt idx="19">
                  <c:v>3.7829728049510974E-6</c:v>
                </c:pt>
                <c:pt idx="20">
                  <c:v>6.6534167708711027E-8</c:v>
                </c:pt>
                <c:pt idx="21">
                  <c:v>2.0033041872491035E-6</c:v>
                </c:pt>
                <c:pt idx="22">
                  <c:v>4.1317698159665902E-6</c:v>
                </c:pt>
                <c:pt idx="23">
                  <c:v>5.4833493249606009E-6</c:v>
                </c:pt>
                <c:pt idx="24">
                  <c:v>3.3977329859371456E-6</c:v>
                </c:pt>
                <c:pt idx="25">
                  <c:v>1.921335978798791E-6</c:v>
                </c:pt>
                <c:pt idx="26">
                  <c:v>5.3601489297460138E-6</c:v>
                </c:pt>
                <c:pt idx="27">
                  <c:v>6.8060755534822731E-6</c:v>
                </c:pt>
                <c:pt idx="28">
                  <c:v>8.0815407165820941E-6</c:v>
                </c:pt>
                <c:pt idx="29">
                  <c:v>8.7667508557943414E-6</c:v>
                </c:pt>
                <c:pt idx="30">
                  <c:v>4.2426964461010274E-6</c:v>
                </c:pt>
              </c:numCache>
            </c:numRef>
          </c:yVal>
          <c:smooth val="1"/>
        </c:ser>
        <c:dLbls>
          <c:showLegendKey val="0"/>
          <c:showVal val="0"/>
          <c:showCatName val="0"/>
          <c:showSerName val="0"/>
          <c:showPercent val="0"/>
          <c:showBubbleSize val="0"/>
        </c:dLbls>
        <c:axId val="550963592"/>
        <c:axId val="548350120"/>
      </c:scatterChart>
      <c:valAx>
        <c:axId val="550963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120"/>
        <c:crossesAt val="-1.5000000000000005E-3"/>
        <c:crossBetween val="midCat"/>
      </c:valAx>
      <c:valAx>
        <c:axId val="54835012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96359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6173.9046135816479</c:v>
                </c:pt>
                <c:pt idx="1">
                  <c:v>6172.3312882105174</c:v>
                </c:pt>
                <c:pt idx="2">
                  <c:v>6157.8641096309348</c:v>
                </c:pt>
                <c:pt idx="3">
                  <c:v>6080.9281792358552</c:v>
                </c:pt>
                <c:pt idx="4">
                  <c:v>5909.3606415546228</c:v>
                </c:pt>
                <c:pt idx="5">
                  <c:v>5793.8667366856271</c:v>
                </c:pt>
                <c:pt idx="6">
                  <c:v>5680.2273289336881</c:v>
                </c:pt>
                <c:pt idx="7">
                  <c:v>5553.2931810006148</c:v>
                </c:pt>
                <c:pt idx="8">
                  <c:v>5418.3888613252939</c:v>
                </c:pt>
                <c:pt idx="9">
                  <c:v>5266.5297759211244</c:v>
                </c:pt>
                <c:pt idx="10">
                  <c:v>5102.5689570135119</c:v>
                </c:pt>
                <c:pt idx="11">
                  <c:v>4935.2712683659574</c:v>
                </c:pt>
                <c:pt idx="12">
                  <c:v>4773.784556129599</c:v>
                </c:pt>
                <c:pt idx="13">
                  <c:v>4598.2788297202487</c:v>
                </c:pt>
                <c:pt idx="14">
                  <c:v>4383.8268796256434</c:v>
                </c:pt>
                <c:pt idx="15">
                  <c:v>4153.0122982841449</c:v>
                </c:pt>
                <c:pt idx="16">
                  <c:v>3937.3036380413641</c:v>
                </c:pt>
                <c:pt idx="17">
                  <c:v>3687.8107504146938</c:v>
                </c:pt>
                <c:pt idx="18">
                  <c:v>3362.1117437417547</c:v>
                </c:pt>
                <c:pt idx="19">
                  <c:v>3051.8377446941754</c:v>
                </c:pt>
                <c:pt idx="20">
                  <c:v>2781.8340810801142</c:v>
                </c:pt>
                <c:pt idx="21">
                  <c:v>2547.995143449898</c:v>
                </c:pt>
                <c:pt idx="22">
                  <c:v>2324.7063490857859</c:v>
                </c:pt>
                <c:pt idx="23">
                  <c:v>2110.8895492200577</c:v>
                </c:pt>
                <c:pt idx="24">
                  <c:v>1889.1090964058376</c:v>
                </c:pt>
                <c:pt idx="25">
                  <c:v>1651.1223504671821</c:v>
                </c:pt>
                <c:pt idx="26">
                  <c:v>1380.4340860089612</c:v>
                </c:pt>
                <c:pt idx="27">
                  <c:v>1081.4996193099159</c:v>
                </c:pt>
                <c:pt idx="28">
                  <c:v>789.74890475439133</c:v>
                </c:pt>
                <c:pt idx="29">
                  <c:v>556.62618133496085</c:v>
                </c:pt>
                <c:pt idx="30">
                  <c:v>403.21346720289654</c:v>
                </c:pt>
              </c:numCache>
            </c:numRef>
          </c:yVal>
          <c:smooth val="1"/>
        </c:ser>
        <c:dLbls>
          <c:showLegendKey val="0"/>
          <c:showVal val="0"/>
          <c:showCatName val="0"/>
          <c:showSerName val="0"/>
          <c:showPercent val="0"/>
          <c:showBubbleSize val="0"/>
        </c:dLbls>
        <c:axId val="548352080"/>
        <c:axId val="548351688"/>
      </c:scatterChart>
      <c:valAx>
        <c:axId val="5483520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1688"/>
        <c:crosses val="autoZero"/>
        <c:crossBetween val="midCat"/>
      </c:valAx>
      <c:valAx>
        <c:axId val="5483516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208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1.033252798158096E-2</c:v>
                </c:pt>
                <c:pt idx="11">
                  <c:v>1.2725667872420004E-2</c:v>
                </c:pt>
                <c:pt idx="12">
                  <c:v>2.5105546107081076E-2</c:v>
                </c:pt>
                <c:pt idx="13">
                  <c:v>5.0749800302183755E-2</c:v>
                </c:pt>
                <c:pt idx="14">
                  <c:v>5.4500302702491822E-2</c:v>
                </c:pt>
                <c:pt idx="15">
                  <c:v>4.7023424596359484E-2</c:v>
                </c:pt>
                <c:pt idx="16">
                  <c:v>4.9889783718704409E-2</c:v>
                </c:pt>
                <c:pt idx="17">
                  <c:v>5.4063903864748492E-2</c:v>
                </c:pt>
                <c:pt idx="18">
                  <c:v>5.9333551548814221E-2</c:v>
                </c:pt>
                <c:pt idx="19">
                  <c:v>6.4266354500972706E-2</c:v>
                </c:pt>
                <c:pt idx="20">
                  <c:v>5.8652822505112667E-2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2.3432349778008678E-4</c:v>
                </c:pt>
                <c:pt idx="1">
                  <c:v>1.4801285130383934E-4</c:v>
                </c:pt>
                <c:pt idx="2">
                  <c:v>4.930971887184808E-4</c:v>
                </c:pt>
                <c:pt idx="3">
                  <c:v>1.2860419101199636E-4</c:v>
                </c:pt>
                <c:pt idx="4">
                  <c:v>1.8198365733772681E-5</c:v>
                </c:pt>
                <c:pt idx="5">
                  <c:v>3.1520793474141242E-6</c:v>
                </c:pt>
                <c:pt idx="6">
                  <c:v>2.1483955884805581E-7</c:v>
                </c:pt>
                <c:pt idx="7">
                  <c:v>1.7874065390507338E-6</c:v>
                </c:pt>
                <c:pt idx="8">
                  <c:v>1.4315256449915169E-6</c:v>
                </c:pt>
                <c:pt idx="9">
                  <c:v>6.3798317006612393E-6</c:v>
                </c:pt>
                <c:pt idx="10">
                  <c:v>1.0987133333140086E-5</c:v>
                </c:pt>
                <c:pt idx="11">
                  <c:v>2.146614314230729E-5</c:v>
                </c:pt>
                <c:pt idx="12">
                  <c:v>2.6162755749124653E-5</c:v>
                </c:pt>
                <c:pt idx="13">
                  <c:v>3.0662902066026611E-5</c:v>
                </c:pt>
                <c:pt idx="14">
                  <c:v>2.6278438801474043E-5</c:v>
                </c:pt>
                <c:pt idx="15">
                  <c:v>2.5370104398608207E-5</c:v>
                </c:pt>
                <c:pt idx="16">
                  <c:v>1.7708398116837816E-5</c:v>
                </c:pt>
                <c:pt idx="17">
                  <c:v>1.618835688872614E-5</c:v>
                </c:pt>
                <c:pt idx="18">
                  <c:v>6.3597171643819257E-6</c:v>
                </c:pt>
                <c:pt idx="19">
                  <c:v>5.9434271818701577E-6</c:v>
                </c:pt>
                <c:pt idx="20">
                  <c:v>2.033797323590864E-6</c:v>
                </c:pt>
                <c:pt idx="21">
                  <c:v>1.9029882501339077E-7</c:v>
                </c:pt>
                <c:pt idx="22">
                  <c:v>7.0061780772647723E-6</c:v>
                </c:pt>
                <c:pt idx="23">
                  <c:v>2.4609997570061169E-6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2.6731130043641731E-2</c:v>
                </c:pt>
                <c:pt idx="11">
                  <c:v>3.2715842935879563E-2</c:v>
                </c:pt>
                <c:pt idx="12">
                  <c:v>3.3424577869053153E-2</c:v>
                </c:pt>
                <c:pt idx="13">
                  <c:v>2.8824467890232752E-2</c:v>
                </c:pt>
                <c:pt idx="14">
                  <c:v>1.9618145944450445E-2</c:v>
                </c:pt>
                <c:pt idx="15">
                  <c:v>1.1768495598687341E-2</c:v>
                </c:pt>
                <c:pt idx="16">
                  <c:v>4.314068875684083E-2</c:v>
                </c:pt>
                <c:pt idx="17">
                  <c:v>4.6039393228138492E-2</c:v>
                </c:pt>
                <c:pt idx="18">
                  <c:v>3.1545040681490499E-2</c:v>
                </c:pt>
                <c:pt idx="19">
                  <c:v>1.3601310417721431E-3</c:v>
                </c:pt>
                <c:pt idx="20">
                  <c:v>1.1558897439696679E-2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4.6397756004812267E-2</c:v>
                </c:pt>
                <c:pt idx="11">
                  <c:v>1.6499375303552732E-2</c:v>
                </c:pt>
                <c:pt idx="12">
                  <c:v>6.6758445319099941E-2</c:v>
                </c:pt>
                <c:pt idx="13">
                  <c:v>7.2671599720001867E-2</c:v>
                </c:pt>
                <c:pt idx="14">
                  <c:v>1.8779046507890116E-2</c:v>
                </c:pt>
                <c:pt idx="15">
                  <c:v>0.15991301249370868</c:v>
                </c:pt>
                <c:pt idx="16">
                  <c:v>0.3917151525188094</c:v>
                </c:pt>
                <c:pt idx="17">
                  <c:v>0.34168995059888763</c:v>
                </c:pt>
                <c:pt idx="18">
                  <c:v>0.29833698339485637</c:v>
                </c:pt>
                <c:pt idx="19">
                  <c:v>0.26556564637524782</c:v>
                </c:pt>
                <c:pt idx="20">
                  <c:v>0.20717328928283443</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548349728"/>
        <c:axId val="548350512"/>
      </c:scatterChart>
      <c:valAx>
        <c:axId val="548349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512"/>
        <c:crossesAt val="1.0000000000000005E-9"/>
        <c:crossBetween val="midCat"/>
      </c:valAx>
      <c:valAx>
        <c:axId val="548350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972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-20.678712849703782</c:v>
                </c:pt>
                <c:pt idx="1">
                  <c:v>-11.038584339708127</c:v>
                </c:pt>
                <c:pt idx="2">
                  <c:v>-4.4849291424001567</c:v>
                </c:pt>
                <c:pt idx="3">
                  <c:v>0</c:v>
                </c:pt>
                <c:pt idx="4">
                  <c:v>5.6520748950937074</c:v>
                </c:pt>
                <c:pt idx="5">
                  <c:v>20.951502600291697</c:v>
                </c:pt>
                <c:pt idx="6">
                  <c:v>36.342635511339353</c:v>
                </c:pt>
              </c:numCache>
            </c:numRef>
          </c:yVal>
          <c:smooth val="0"/>
        </c:ser>
        <c:dLbls>
          <c:showLegendKey val="0"/>
          <c:showVal val="0"/>
          <c:showCatName val="0"/>
          <c:showSerName val="0"/>
          <c:showPercent val="0"/>
          <c:showBubbleSize val="0"/>
        </c:dLbls>
        <c:axId val="548349336"/>
        <c:axId val="548350904"/>
      </c:scatterChart>
      <c:valAx>
        <c:axId val="548349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50904"/>
        <c:crossesAt val="-100"/>
        <c:crossBetween val="midCat"/>
      </c:valAx>
      <c:valAx>
        <c:axId val="548350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34933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451078768"/>
        <c:axId val="451079944"/>
      </c:scatterChart>
      <c:valAx>
        <c:axId val="45107876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944"/>
        <c:crosses val="autoZero"/>
        <c:crossBetween val="midCat"/>
      </c:valAx>
      <c:valAx>
        <c:axId val="45107994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876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1.0455603766040573E-24</c:v>
                </c:pt>
                <c:pt idx="1">
                  <c:v>1.0455603766040574E-23</c:v>
                </c:pt>
                <c:pt idx="2">
                  <c:v>1.0455603766040573E-22</c:v>
                </c:pt>
                <c:pt idx="3">
                  <c:v>1.0455603766040574E-21</c:v>
                </c:pt>
                <c:pt idx="4">
                  <c:v>1.0455603766040572E-20</c:v>
                </c:pt>
                <c:pt idx="5">
                  <c:v>1.0455603766040573E-19</c:v>
                </c:pt>
                <c:pt idx="6">
                  <c:v>1.0455603766040573E-18</c:v>
                </c:pt>
                <c:pt idx="7">
                  <c:v>1.0455603766040574E-17</c:v>
                </c:pt>
                <c:pt idx="8">
                  <c:v>1.0455603766040572E-16</c:v>
                </c:pt>
                <c:pt idx="9">
                  <c:v>1.0455603766040572E-15</c:v>
                </c:pt>
                <c:pt idx="10">
                  <c:v>1.0455603766040574E-14</c:v>
                </c:pt>
                <c:pt idx="11">
                  <c:v>1.0455603766040573E-13</c:v>
                </c:pt>
                <c:pt idx="12">
                  <c:v>1.0455603766040573E-12</c:v>
                </c:pt>
                <c:pt idx="13">
                  <c:v>1.0455603766040574E-11</c:v>
                </c:pt>
                <c:pt idx="14">
                  <c:v>1.0455603766040574E-10</c:v>
                </c:pt>
                <c:pt idx="15">
                  <c:v>1.0455603766040572E-9</c:v>
                </c:pt>
                <c:pt idx="16">
                  <c:v>1.0455603766040574E-8</c:v>
                </c:pt>
                <c:pt idx="17">
                  <c:v>1.0455603766040573E-7</c:v>
                </c:pt>
                <c:pt idx="18">
                  <c:v>1.0455603766040574E-6</c:v>
                </c:pt>
                <c:pt idx="19">
                  <c:v>1.0455603766040574E-5</c:v>
                </c:pt>
                <c:pt idx="20">
                  <c:v>1.0455603766040573E-4</c:v>
                </c:pt>
                <c:pt idx="21">
                  <c:v>1.0455603766040573E-3</c:v>
                </c:pt>
                <c:pt idx="22">
                  <c:v>1.0455603766040574E-2</c:v>
                </c:pt>
                <c:pt idx="23">
                  <c:v>0.10455603766040573</c:v>
                </c:pt>
                <c:pt idx="24">
                  <c:v>1.0455603766040573</c:v>
                </c:pt>
                <c:pt idx="25">
                  <c:v>10.455603766040573</c:v>
                </c:pt>
                <c:pt idx="26">
                  <c:v>104.55603766040574</c:v>
                </c:pt>
                <c:pt idx="27">
                  <c:v>1045.5603766040574</c:v>
                </c:pt>
                <c:pt idx="28">
                  <c:v>10455.603766040573</c:v>
                </c:pt>
                <c:pt idx="29">
                  <c:v>104556.03766040572</c:v>
                </c:pt>
                <c:pt idx="30">
                  <c:v>1045560.3766040573</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1.6069550665085156E-20</c:v>
                </c:pt>
                <c:pt idx="1">
                  <c:v>1.6069550665085157E-19</c:v>
                </c:pt>
                <c:pt idx="2">
                  <c:v>1.6069550665085157E-18</c:v>
                </c:pt>
                <c:pt idx="3">
                  <c:v>1.6069550665085156E-17</c:v>
                </c:pt>
                <c:pt idx="4">
                  <c:v>1.6069550665085156E-16</c:v>
                </c:pt>
                <c:pt idx="5">
                  <c:v>1.6069550665085157E-15</c:v>
                </c:pt>
                <c:pt idx="6">
                  <c:v>1.6069550665085158E-14</c:v>
                </c:pt>
                <c:pt idx="7">
                  <c:v>1.6069550665085157E-13</c:v>
                </c:pt>
                <c:pt idx="8">
                  <c:v>1.6069550665085155E-12</c:v>
                </c:pt>
                <c:pt idx="9">
                  <c:v>1.6069550665085157E-11</c:v>
                </c:pt>
                <c:pt idx="10">
                  <c:v>1.6069550665085158E-10</c:v>
                </c:pt>
                <c:pt idx="11">
                  <c:v>1.6069550665085157E-9</c:v>
                </c:pt>
                <c:pt idx="12">
                  <c:v>1.6069550665085158E-8</c:v>
                </c:pt>
                <c:pt idx="13">
                  <c:v>1.6069550665085157E-7</c:v>
                </c:pt>
                <c:pt idx="14">
                  <c:v>1.6069550665085157E-6</c:v>
                </c:pt>
                <c:pt idx="15">
                  <c:v>1.6069550665085157E-5</c:v>
                </c:pt>
                <c:pt idx="16">
                  <c:v>1.6069550665085157E-4</c:v>
                </c:pt>
                <c:pt idx="17">
                  <c:v>1.6069550665085157E-3</c:v>
                </c:pt>
                <c:pt idx="18">
                  <c:v>1.6069550665085156E-2</c:v>
                </c:pt>
                <c:pt idx="19">
                  <c:v>0.16069550665085156</c:v>
                </c:pt>
                <c:pt idx="20">
                  <c:v>1.6069550665085157</c:v>
                </c:pt>
                <c:pt idx="21">
                  <c:v>16.069550665085156</c:v>
                </c:pt>
                <c:pt idx="22">
                  <c:v>160.69550665085157</c:v>
                </c:pt>
                <c:pt idx="23">
                  <c:v>1606.9550665085155</c:v>
                </c:pt>
                <c:pt idx="24">
                  <c:v>16069.550665085157</c:v>
                </c:pt>
                <c:pt idx="25">
                  <c:v>160695.50665085157</c:v>
                </c:pt>
                <c:pt idx="26">
                  <c:v>1606955.0665085155</c:v>
                </c:pt>
                <c:pt idx="27">
                  <c:v>16069550.665085156</c:v>
                </c:pt>
                <c:pt idx="28">
                  <c:v>160695506.65085155</c:v>
                </c:pt>
                <c:pt idx="29">
                  <c:v>1606955066.5085156</c:v>
                </c:pt>
                <c:pt idx="30">
                  <c:v>16069550665.085155</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1.1277686602234148E-17</c:v>
                </c:pt>
                <c:pt idx="1">
                  <c:v>1.1277686602234148E-16</c:v>
                </c:pt>
                <c:pt idx="2">
                  <c:v>1.1277686602234147E-15</c:v>
                </c:pt>
                <c:pt idx="3">
                  <c:v>1.1277686602234146E-14</c:v>
                </c:pt>
                <c:pt idx="4">
                  <c:v>1.1277686602234146E-13</c:v>
                </c:pt>
                <c:pt idx="5">
                  <c:v>1.1277686602234148E-12</c:v>
                </c:pt>
                <c:pt idx="6">
                  <c:v>1.1277686602234148E-11</c:v>
                </c:pt>
                <c:pt idx="7">
                  <c:v>1.1277686602234147E-10</c:v>
                </c:pt>
                <c:pt idx="8">
                  <c:v>1.1277686602234146E-9</c:v>
                </c:pt>
                <c:pt idx="9">
                  <c:v>1.1277686602234147E-8</c:v>
                </c:pt>
                <c:pt idx="10">
                  <c:v>1.1277686602234148E-7</c:v>
                </c:pt>
                <c:pt idx="11">
                  <c:v>1.1277686602234147E-6</c:v>
                </c:pt>
                <c:pt idx="12">
                  <c:v>1.1277686602234146E-5</c:v>
                </c:pt>
                <c:pt idx="13">
                  <c:v>1.1277686602234146E-4</c:v>
                </c:pt>
                <c:pt idx="14">
                  <c:v>1.1277686602234147E-3</c:v>
                </c:pt>
                <c:pt idx="15">
                  <c:v>1.1277686602234147E-2</c:v>
                </c:pt>
                <c:pt idx="16">
                  <c:v>0.11277686602234147</c:v>
                </c:pt>
                <c:pt idx="17">
                  <c:v>1.1277686602234147</c:v>
                </c:pt>
                <c:pt idx="18">
                  <c:v>11.277686602234146</c:v>
                </c:pt>
                <c:pt idx="19">
                  <c:v>112.77686602234147</c:v>
                </c:pt>
                <c:pt idx="20">
                  <c:v>1127.7686602234146</c:v>
                </c:pt>
                <c:pt idx="21">
                  <c:v>11277.686602234147</c:v>
                </c:pt>
                <c:pt idx="22">
                  <c:v>112776.86602234146</c:v>
                </c:pt>
                <c:pt idx="23">
                  <c:v>1127768.6602234147</c:v>
                </c:pt>
                <c:pt idx="24">
                  <c:v>11277686.602234147</c:v>
                </c:pt>
                <c:pt idx="25">
                  <c:v>112776866.02234146</c:v>
                </c:pt>
                <c:pt idx="26">
                  <c:v>1127768660.2234147</c:v>
                </c:pt>
                <c:pt idx="27">
                  <c:v>11277686602.234146</c:v>
                </c:pt>
                <c:pt idx="28">
                  <c:v>112776866022.34146</c:v>
                </c:pt>
                <c:pt idx="29">
                  <c:v>1127768660223.4146</c:v>
                </c:pt>
                <c:pt idx="30">
                  <c:v>11277686602234.146</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2.8488195317935346E-13</c:v>
                </c:pt>
                <c:pt idx="1">
                  <c:v>2.8488195317935347E-12</c:v>
                </c:pt>
                <c:pt idx="2">
                  <c:v>2.8488195317935345E-11</c:v>
                </c:pt>
                <c:pt idx="3">
                  <c:v>2.8488195317935347E-10</c:v>
                </c:pt>
                <c:pt idx="4">
                  <c:v>2.8488195317935346E-9</c:v>
                </c:pt>
                <c:pt idx="5">
                  <c:v>2.8488195317935348E-8</c:v>
                </c:pt>
                <c:pt idx="6">
                  <c:v>2.8488195317935349E-7</c:v>
                </c:pt>
                <c:pt idx="7">
                  <c:v>2.8488195317935347E-6</c:v>
                </c:pt>
                <c:pt idx="8">
                  <c:v>2.8488195317935344E-5</c:v>
                </c:pt>
                <c:pt idx="9">
                  <c:v>2.8488195317935344E-4</c:v>
                </c:pt>
                <c:pt idx="10">
                  <c:v>2.8488195317935348E-3</c:v>
                </c:pt>
                <c:pt idx="11">
                  <c:v>2.8488195317935349E-2</c:v>
                </c:pt>
                <c:pt idx="12">
                  <c:v>0.28488195317935344</c:v>
                </c:pt>
                <c:pt idx="13">
                  <c:v>2.8488195317935348</c:v>
                </c:pt>
                <c:pt idx="14">
                  <c:v>28.488195317935347</c:v>
                </c:pt>
                <c:pt idx="15">
                  <c:v>284.88195317935345</c:v>
                </c:pt>
                <c:pt idx="16">
                  <c:v>2848.8195317935347</c:v>
                </c:pt>
                <c:pt idx="17">
                  <c:v>28488.195317935348</c:v>
                </c:pt>
                <c:pt idx="18">
                  <c:v>284881.95317935344</c:v>
                </c:pt>
                <c:pt idx="19">
                  <c:v>2848819.5317935348</c:v>
                </c:pt>
                <c:pt idx="20">
                  <c:v>28488195.317935348</c:v>
                </c:pt>
                <c:pt idx="21">
                  <c:v>284881953.17935348</c:v>
                </c:pt>
                <c:pt idx="22">
                  <c:v>2848819531.7935348</c:v>
                </c:pt>
                <c:pt idx="23">
                  <c:v>28488195317.935345</c:v>
                </c:pt>
                <c:pt idx="24">
                  <c:v>284881953179.35345</c:v>
                </c:pt>
                <c:pt idx="25">
                  <c:v>2848819531793.5347</c:v>
                </c:pt>
                <c:pt idx="26">
                  <c:v>28488195317935.348</c:v>
                </c:pt>
                <c:pt idx="27">
                  <c:v>284881953179353.44</c:v>
                </c:pt>
                <c:pt idx="28">
                  <c:v>2848819531793534.5</c:v>
                </c:pt>
                <c:pt idx="29">
                  <c:v>2.8488195317935348E+16</c:v>
                </c:pt>
                <c:pt idx="30">
                  <c:v>2.8488195317935347E+17</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1.2563827556048497E-6</c:v>
                </c:pt>
                <c:pt idx="1">
                  <c:v>1.2563827556048495E-5</c:v>
                </c:pt>
                <c:pt idx="2">
                  <c:v>1.2563827556048496E-4</c:v>
                </c:pt>
                <c:pt idx="3">
                  <c:v>1.2563827556048496E-3</c:v>
                </c:pt>
                <c:pt idx="4">
                  <c:v>1.2563827556048495E-2</c:v>
                </c:pt>
                <c:pt idx="5">
                  <c:v>0.12563827556048496</c:v>
                </c:pt>
                <c:pt idx="6">
                  <c:v>1.2563827556048497</c:v>
                </c:pt>
                <c:pt idx="7">
                  <c:v>12.563827556048496</c:v>
                </c:pt>
                <c:pt idx="8">
                  <c:v>125.63827556048496</c:v>
                </c:pt>
                <c:pt idx="9">
                  <c:v>1256.3827556048495</c:v>
                </c:pt>
                <c:pt idx="10">
                  <c:v>12563.827556048498</c:v>
                </c:pt>
                <c:pt idx="11">
                  <c:v>125638.27556048497</c:v>
                </c:pt>
                <c:pt idx="12">
                  <c:v>1256382.7556048497</c:v>
                </c:pt>
                <c:pt idx="13">
                  <c:v>12563827.556048496</c:v>
                </c:pt>
                <c:pt idx="14">
                  <c:v>125638275.56048498</c:v>
                </c:pt>
                <c:pt idx="15">
                  <c:v>1256382755.6048496</c:v>
                </c:pt>
                <c:pt idx="16">
                  <c:v>12563827556.048496</c:v>
                </c:pt>
                <c:pt idx="17">
                  <c:v>125638275560.48495</c:v>
                </c:pt>
                <c:pt idx="18">
                  <c:v>1256382755604.8496</c:v>
                </c:pt>
                <c:pt idx="19">
                  <c:v>12563827556048.496</c:v>
                </c:pt>
                <c:pt idx="20">
                  <c:v>125638275560484.97</c:v>
                </c:pt>
                <c:pt idx="21">
                  <c:v>1256382755604849.5</c:v>
                </c:pt>
                <c:pt idx="22">
                  <c:v>1.2563827556048496E+16</c:v>
                </c:pt>
                <c:pt idx="23">
                  <c:v>1.2563827556048496E+17</c:v>
                </c:pt>
                <c:pt idx="24">
                  <c:v>1.2563827556048497E+18</c:v>
                </c:pt>
                <c:pt idx="25">
                  <c:v>1.2563827556048497E+19</c:v>
                </c:pt>
                <c:pt idx="26">
                  <c:v>1.2563827556048496E+20</c:v>
                </c:pt>
                <c:pt idx="27">
                  <c:v>1.2563827556048495E+21</c:v>
                </c:pt>
                <c:pt idx="28">
                  <c:v>1.2563827556048496E+22</c:v>
                </c:pt>
                <c:pt idx="29">
                  <c:v>1.2563827556048497E+23</c:v>
                </c:pt>
                <c:pt idx="30">
                  <c:v>1.2563827556048495E+24</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6.0730388643681978</c:v>
                </c:pt>
                <c:pt idx="1">
                  <c:v>60.73038864368197</c:v>
                </c:pt>
                <c:pt idx="2">
                  <c:v>607.30388643681977</c:v>
                </c:pt>
                <c:pt idx="3">
                  <c:v>6073.0388643681972</c:v>
                </c:pt>
                <c:pt idx="4">
                  <c:v>60730.388643681967</c:v>
                </c:pt>
                <c:pt idx="5">
                  <c:v>607303.88643681968</c:v>
                </c:pt>
                <c:pt idx="6">
                  <c:v>6073038.8643681975</c:v>
                </c:pt>
                <c:pt idx="7">
                  <c:v>60730388.643681973</c:v>
                </c:pt>
                <c:pt idx="8">
                  <c:v>607303886.43681967</c:v>
                </c:pt>
                <c:pt idx="9">
                  <c:v>6073038864.3681965</c:v>
                </c:pt>
                <c:pt idx="10">
                  <c:v>60730388643.681976</c:v>
                </c:pt>
                <c:pt idx="11">
                  <c:v>607303886436.8197</c:v>
                </c:pt>
                <c:pt idx="12">
                  <c:v>6073038864368.1973</c:v>
                </c:pt>
                <c:pt idx="13">
                  <c:v>60730388643681.969</c:v>
                </c:pt>
                <c:pt idx="14">
                  <c:v>607303886436819.75</c:v>
                </c:pt>
                <c:pt idx="15">
                  <c:v>6073038864368197</c:v>
                </c:pt>
                <c:pt idx="16">
                  <c:v>6.0730388643681968E+16</c:v>
                </c:pt>
                <c:pt idx="17">
                  <c:v>6.0730388643681971E+17</c:v>
                </c:pt>
                <c:pt idx="18">
                  <c:v>6.0730388643681966E+18</c:v>
                </c:pt>
                <c:pt idx="19">
                  <c:v>6.0730388643681968E+19</c:v>
                </c:pt>
                <c:pt idx="20">
                  <c:v>6.0730388643681966E+20</c:v>
                </c:pt>
                <c:pt idx="21">
                  <c:v>6.0730388643681969E+21</c:v>
                </c:pt>
                <c:pt idx="22">
                  <c:v>6.0730388643681967E+22</c:v>
                </c:pt>
                <c:pt idx="23">
                  <c:v>6.0730388643681972E+23</c:v>
                </c:pt>
                <c:pt idx="24">
                  <c:v>6.0730388643681969E+24</c:v>
                </c:pt>
                <c:pt idx="25">
                  <c:v>6.0730388643681972E+25</c:v>
                </c:pt>
                <c:pt idx="26">
                  <c:v>6.0730388643681972E+26</c:v>
                </c:pt>
                <c:pt idx="27">
                  <c:v>6.0730388643681969E+27</c:v>
                </c:pt>
                <c:pt idx="28">
                  <c:v>6.0730388643681969E+28</c:v>
                </c:pt>
                <c:pt idx="29">
                  <c:v>6.0730388643681967E+29</c:v>
                </c:pt>
                <c:pt idx="30">
                  <c:v>6.0730388643681966E+30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51079552"/>
        <c:axId val="451077984"/>
      </c:scatterChart>
      <c:valAx>
        <c:axId val="45107955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7984"/>
        <c:crosses val="autoZero"/>
        <c:crossBetween val="midCat"/>
      </c:valAx>
      <c:valAx>
        <c:axId val="4510779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55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1.0455603766040573E-24</c:v>
                </c:pt>
                <c:pt idx="1">
                  <c:v>1.0455603766040574E-23</c:v>
                </c:pt>
                <c:pt idx="2">
                  <c:v>1.0455603766040573E-22</c:v>
                </c:pt>
                <c:pt idx="3">
                  <c:v>1.0455603766040574E-21</c:v>
                </c:pt>
                <c:pt idx="4">
                  <c:v>1.0455603766040572E-20</c:v>
                </c:pt>
                <c:pt idx="5">
                  <c:v>1.0455603766040573E-19</c:v>
                </c:pt>
                <c:pt idx="6">
                  <c:v>1.0455603766040573E-18</c:v>
                </c:pt>
                <c:pt idx="7">
                  <c:v>1.0455603766040574E-17</c:v>
                </c:pt>
                <c:pt idx="8">
                  <c:v>1.0455603766040572E-16</c:v>
                </c:pt>
                <c:pt idx="9">
                  <c:v>1.0455603766040572E-15</c:v>
                </c:pt>
                <c:pt idx="10">
                  <c:v>1.0455603766040574E-14</c:v>
                </c:pt>
                <c:pt idx="11">
                  <c:v>1.0455603766040573E-13</c:v>
                </c:pt>
                <c:pt idx="12">
                  <c:v>1.0455603766040573E-12</c:v>
                </c:pt>
                <c:pt idx="13">
                  <c:v>1.0455603766040574E-11</c:v>
                </c:pt>
                <c:pt idx="14">
                  <c:v>1.0455603766040574E-10</c:v>
                </c:pt>
                <c:pt idx="15">
                  <c:v>1.0455603766040572E-9</c:v>
                </c:pt>
                <c:pt idx="16">
                  <c:v>1.0455603766040574E-8</c:v>
                </c:pt>
                <c:pt idx="17">
                  <c:v>1.0455603766040573E-7</c:v>
                </c:pt>
                <c:pt idx="18">
                  <c:v>1.0455603766040574E-6</c:v>
                </c:pt>
                <c:pt idx="19">
                  <c:v>1.0455603766040574E-5</c:v>
                </c:pt>
                <c:pt idx="20">
                  <c:v>1.0455603766040573E-4</c:v>
                </c:pt>
                <c:pt idx="21">
                  <c:v>1.0455603766040573E-3</c:v>
                </c:pt>
                <c:pt idx="22">
                  <c:v>1.0455603766040574E-2</c:v>
                </c:pt>
                <c:pt idx="23">
                  <c:v>0.10455603766040573</c:v>
                </c:pt>
                <c:pt idx="24">
                  <c:v>1.0455603766040573</c:v>
                </c:pt>
                <c:pt idx="25">
                  <c:v>10.455603766040573</c:v>
                </c:pt>
                <c:pt idx="26">
                  <c:v>104.55603766040574</c:v>
                </c:pt>
                <c:pt idx="27">
                  <c:v>1045.5603766040574</c:v>
                </c:pt>
                <c:pt idx="28">
                  <c:v>10455.603766040573</c:v>
                </c:pt>
                <c:pt idx="29">
                  <c:v>104556.03766040572</c:v>
                </c:pt>
                <c:pt idx="30">
                  <c:v>1045560.3766040573</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1.6069550665085156E-20</c:v>
                </c:pt>
                <c:pt idx="1">
                  <c:v>1.6069550665085157E-19</c:v>
                </c:pt>
                <c:pt idx="2">
                  <c:v>1.6069550665085157E-18</c:v>
                </c:pt>
                <c:pt idx="3">
                  <c:v>1.6069550665085156E-17</c:v>
                </c:pt>
                <c:pt idx="4">
                  <c:v>1.6069550665085156E-16</c:v>
                </c:pt>
                <c:pt idx="5">
                  <c:v>1.6069550665085157E-15</c:v>
                </c:pt>
                <c:pt idx="6">
                  <c:v>1.6069550665085158E-14</c:v>
                </c:pt>
                <c:pt idx="7">
                  <c:v>1.6069550665085157E-13</c:v>
                </c:pt>
                <c:pt idx="8">
                  <c:v>1.6069550665085155E-12</c:v>
                </c:pt>
                <c:pt idx="9">
                  <c:v>1.6069550665085157E-11</c:v>
                </c:pt>
                <c:pt idx="10">
                  <c:v>1.6069550665085158E-10</c:v>
                </c:pt>
                <c:pt idx="11">
                  <c:v>1.6069550665085157E-9</c:v>
                </c:pt>
                <c:pt idx="12">
                  <c:v>1.6069550665085158E-8</c:v>
                </c:pt>
                <c:pt idx="13">
                  <c:v>1.6069550665085157E-7</c:v>
                </c:pt>
                <c:pt idx="14">
                  <c:v>1.6069550665085157E-6</c:v>
                </c:pt>
                <c:pt idx="15">
                  <c:v>1.6069550665085157E-5</c:v>
                </c:pt>
                <c:pt idx="16">
                  <c:v>1.6069550665085157E-4</c:v>
                </c:pt>
                <c:pt idx="17">
                  <c:v>1.6069550665085157E-3</c:v>
                </c:pt>
                <c:pt idx="18">
                  <c:v>1.6069550665085156E-2</c:v>
                </c:pt>
                <c:pt idx="19">
                  <c:v>0.16069550665085156</c:v>
                </c:pt>
                <c:pt idx="20">
                  <c:v>1.6069550665085157</c:v>
                </c:pt>
                <c:pt idx="21">
                  <c:v>16.069550665085156</c:v>
                </c:pt>
                <c:pt idx="22">
                  <c:v>160.69550665085157</c:v>
                </c:pt>
                <c:pt idx="23">
                  <c:v>1606.9550665085155</c:v>
                </c:pt>
                <c:pt idx="24">
                  <c:v>16069.550665085157</c:v>
                </c:pt>
                <c:pt idx="25">
                  <c:v>160695.50665085157</c:v>
                </c:pt>
                <c:pt idx="26">
                  <c:v>1606955.0665085155</c:v>
                </c:pt>
                <c:pt idx="27">
                  <c:v>16069550.665085156</c:v>
                </c:pt>
                <c:pt idx="28">
                  <c:v>160695506.65085155</c:v>
                </c:pt>
                <c:pt idx="29">
                  <c:v>1606955066.5085156</c:v>
                </c:pt>
                <c:pt idx="30">
                  <c:v>16069550665.085155</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1.1277686602234148E-17</c:v>
                </c:pt>
                <c:pt idx="1">
                  <c:v>1.1277686602234148E-16</c:v>
                </c:pt>
                <c:pt idx="2">
                  <c:v>1.1277686602234147E-15</c:v>
                </c:pt>
                <c:pt idx="3">
                  <c:v>1.1277686602234146E-14</c:v>
                </c:pt>
                <c:pt idx="4">
                  <c:v>1.1277686602234146E-13</c:v>
                </c:pt>
                <c:pt idx="5">
                  <c:v>1.1277686602234148E-12</c:v>
                </c:pt>
                <c:pt idx="6">
                  <c:v>1.1277686602234148E-11</c:v>
                </c:pt>
                <c:pt idx="7">
                  <c:v>1.1277686602234147E-10</c:v>
                </c:pt>
                <c:pt idx="8">
                  <c:v>1.1277686602234146E-9</c:v>
                </c:pt>
                <c:pt idx="9">
                  <c:v>1.1277686602234147E-8</c:v>
                </c:pt>
                <c:pt idx="10">
                  <c:v>1.1277686602234148E-7</c:v>
                </c:pt>
                <c:pt idx="11">
                  <c:v>1.1277686602234147E-6</c:v>
                </c:pt>
                <c:pt idx="12">
                  <c:v>1.1277686602234146E-5</c:v>
                </c:pt>
                <c:pt idx="13">
                  <c:v>1.1277686602234146E-4</c:v>
                </c:pt>
                <c:pt idx="14">
                  <c:v>1.1277686602234147E-3</c:v>
                </c:pt>
                <c:pt idx="15">
                  <c:v>1.1277686602234147E-2</c:v>
                </c:pt>
                <c:pt idx="16">
                  <c:v>0.11277686602234147</c:v>
                </c:pt>
                <c:pt idx="17">
                  <c:v>1.1277686602234147</c:v>
                </c:pt>
                <c:pt idx="18">
                  <c:v>11.277686602234146</c:v>
                </c:pt>
                <c:pt idx="19">
                  <c:v>112.77686602234147</c:v>
                </c:pt>
                <c:pt idx="20">
                  <c:v>1127.7686602234146</c:v>
                </c:pt>
                <c:pt idx="21">
                  <c:v>11277.686602234147</c:v>
                </c:pt>
                <c:pt idx="22">
                  <c:v>112776.86602234146</c:v>
                </c:pt>
                <c:pt idx="23">
                  <c:v>1127768.6602234147</c:v>
                </c:pt>
                <c:pt idx="24">
                  <c:v>11277686.602234147</c:v>
                </c:pt>
                <c:pt idx="25">
                  <c:v>112776866.02234146</c:v>
                </c:pt>
                <c:pt idx="26">
                  <c:v>1127768660.2234147</c:v>
                </c:pt>
                <c:pt idx="27">
                  <c:v>11277686602.234146</c:v>
                </c:pt>
                <c:pt idx="28">
                  <c:v>112776866022.34146</c:v>
                </c:pt>
                <c:pt idx="29">
                  <c:v>1127768660223.4146</c:v>
                </c:pt>
                <c:pt idx="30">
                  <c:v>11277686602234.146</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2.8488195317935346E-13</c:v>
                </c:pt>
                <c:pt idx="1">
                  <c:v>2.8488195317935347E-12</c:v>
                </c:pt>
                <c:pt idx="2">
                  <c:v>2.8488195317935345E-11</c:v>
                </c:pt>
                <c:pt idx="3">
                  <c:v>2.8488195317935347E-10</c:v>
                </c:pt>
                <c:pt idx="4">
                  <c:v>2.8488195317935346E-9</c:v>
                </c:pt>
                <c:pt idx="5">
                  <c:v>2.8488195317935348E-8</c:v>
                </c:pt>
                <c:pt idx="6">
                  <c:v>2.8488195317935349E-7</c:v>
                </c:pt>
                <c:pt idx="7">
                  <c:v>2.8488195317935347E-6</c:v>
                </c:pt>
                <c:pt idx="8">
                  <c:v>2.8488195317935344E-5</c:v>
                </c:pt>
                <c:pt idx="9">
                  <c:v>2.8488195317935344E-4</c:v>
                </c:pt>
                <c:pt idx="10">
                  <c:v>2.8488195317935348E-3</c:v>
                </c:pt>
                <c:pt idx="11">
                  <c:v>2.8488195317935349E-2</c:v>
                </c:pt>
                <c:pt idx="12">
                  <c:v>0.28488195317935344</c:v>
                </c:pt>
                <c:pt idx="13">
                  <c:v>2.8488195317935348</c:v>
                </c:pt>
                <c:pt idx="14">
                  <c:v>28.488195317935347</c:v>
                </c:pt>
                <c:pt idx="15">
                  <c:v>284.88195317935345</c:v>
                </c:pt>
                <c:pt idx="16">
                  <c:v>2848.8195317935347</c:v>
                </c:pt>
                <c:pt idx="17">
                  <c:v>28488.195317935348</c:v>
                </c:pt>
                <c:pt idx="18">
                  <c:v>284881.95317935344</c:v>
                </c:pt>
                <c:pt idx="19">
                  <c:v>2848819.5317935348</c:v>
                </c:pt>
                <c:pt idx="20">
                  <c:v>28488195.317935348</c:v>
                </c:pt>
                <c:pt idx="21">
                  <c:v>284881953.17935348</c:v>
                </c:pt>
                <c:pt idx="22">
                  <c:v>2848819531.7935348</c:v>
                </c:pt>
                <c:pt idx="23">
                  <c:v>28488195317.935345</c:v>
                </c:pt>
                <c:pt idx="24">
                  <c:v>284881953179.35345</c:v>
                </c:pt>
                <c:pt idx="25">
                  <c:v>2848819531793.5347</c:v>
                </c:pt>
                <c:pt idx="26">
                  <c:v>28488195317935.348</c:v>
                </c:pt>
                <c:pt idx="27">
                  <c:v>284881953179353.44</c:v>
                </c:pt>
                <c:pt idx="28">
                  <c:v>2848819531793534.5</c:v>
                </c:pt>
                <c:pt idx="29">
                  <c:v>2.8488195317935348E+16</c:v>
                </c:pt>
                <c:pt idx="30">
                  <c:v>2.8488195317935347E+17</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1.2563827556048497E-6</c:v>
                </c:pt>
                <c:pt idx="1">
                  <c:v>1.2563827556048495E-5</c:v>
                </c:pt>
                <c:pt idx="2">
                  <c:v>1.2563827556048496E-4</c:v>
                </c:pt>
                <c:pt idx="3">
                  <c:v>1.2563827556048496E-3</c:v>
                </c:pt>
                <c:pt idx="4">
                  <c:v>1.2563827556048495E-2</c:v>
                </c:pt>
                <c:pt idx="5">
                  <c:v>0.12563827556048496</c:v>
                </c:pt>
                <c:pt idx="6">
                  <c:v>1.2563827556048497</c:v>
                </c:pt>
                <c:pt idx="7">
                  <c:v>12.563827556048496</c:v>
                </c:pt>
                <c:pt idx="8">
                  <c:v>125.63827556048496</c:v>
                </c:pt>
                <c:pt idx="9">
                  <c:v>1256.3827556048495</c:v>
                </c:pt>
                <c:pt idx="10">
                  <c:v>12563.827556048498</c:v>
                </c:pt>
                <c:pt idx="11">
                  <c:v>125638.27556048497</c:v>
                </c:pt>
                <c:pt idx="12">
                  <c:v>1256382.7556048497</c:v>
                </c:pt>
                <c:pt idx="13">
                  <c:v>12563827.556048496</c:v>
                </c:pt>
                <c:pt idx="14">
                  <c:v>125638275.56048498</c:v>
                </c:pt>
                <c:pt idx="15">
                  <c:v>1256382755.6048496</c:v>
                </c:pt>
                <c:pt idx="16">
                  <c:v>12563827556.048496</c:v>
                </c:pt>
                <c:pt idx="17">
                  <c:v>125638275560.48495</c:v>
                </c:pt>
                <c:pt idx="18">
                  <c:v>1256382755604.8496</c:v>
                </c:pt>
                <c:pt idx="19">
                  <c:v>12563827556048.496</c:v>
                </c:pt>
                <c:pt idx="20">
                  <c:v>125638275560484.97</c:v>
                </c:pt>
                <c:pt idx="21">
                  <c:v>1256382755604849.5</c:v>
                </c:pt>
                <c:pt idx="22">
                  <c:v>1.2563827556048496E+16</c:v>
                </c:pt>
                <c:pt idx="23">
                  <c:v>1.2563827556048496E+17</c:v>
                </c:pt>
                <c:pt idx="24">
                  <c:v>1.2563827556048497E+18</c:v>
                </c:pt>
                <c:pt idx="25">
                  <c:v>1.2563827556048497E+19</c:v>
                </c:pt>
                <c:pt idx="26">
                  <c:v>1.2563827556048496E+20</c:v>
                </c:pt>
                <c:pt idx="27">
                  <c:v>1.2563827556048495E+21</c:v>
                </c:pt>
                <c:pt idx="28">
                  <c:v>1.2563827556048496E+22</c:v>
                </c:pt>
                <c:pt idx="29">
                  <c:v>1.2563827556048497E+23</c:v>
                </c:pt>
                <c:pt idx="30">
                  <c:v>1.2563827556048495E+24</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6.0730388643681978</c:v>
                </c:pt>
                <c:pt idx="1">
                  <c:v>60.73038864368197</c:v>
                </c:pt>
                <c:pt idx="2">
                  <c:v>607.30388643681977</c:v>
                </c:pt>
                <c:pt idx="3">
                  <c:v>6073.0388643681972</c:v>
                </c:pt>
                <c:pt idx="4">
                  <c:v>60730.388643681967</c:v>
                </c:pt>
                <c:pt idx="5">
                  <c:v>607303.88643681968</c:v>
                </c:pt>
                <c:pt idx="6">
                  <c:v>6073038.8643681975</c:v>
                </c:pt>
                <c:pt idx="7">
                  <c:v>60730388.643681973</c:v>
                </c:pt>
                <c:pt idx="8">
                  <c:v>607303886.43681967</c:v>
                </c:pt>
                <c:pt idx="9">
                  <c:v>6073038864.3681965</c:v>
                </c:pt>
                <c:pt idx="10">
                  <c:v>60730388643.681976</c:v>
                </c:pt>
                <c:pt idx="11">
                  <c:v>607303886436.8197</c:v>
                </c:pt>
                <c:pt idx="12">
                  <c:v>6073038864368.1973</c:v>
                </c:pt>
                <c:pt idx="13">
                  <c:v>60730388643681.969</c:v>
                </c:pt>
                <c:pt idx="14">
                  <c:v>607303886436819.75</c:v>
                </c:pt>
                <c:pt idx="15">
                  <c:v>6073038864368197</c:v>
                </c:pt>
                <c:pt idx="16">
                  <c:v>6.0730388643681968E+16</c:v>
                </c:pt>
                <c:pt idx="17">
                  <c:v>6.0730388643681971E+17</c:v>
                </c:pt>
                <c:pt idx="18">
                  <c:v>6.0730388643681966E+18</c:v>
                </c:pt>
                <c:pt idx="19">
                  <c:v>6.0730388643681968E+19</c:v>
                </c:pt>
                <c:pt idx="20">
                  <c:v>6.0730388643681966E+20</c:v>
                </c:pt>
                <c:pt idx="21">
                  <c:v>6.0730388643681969E+21</c:v>
                </c:pt>
                <c:pt idx="22">
                  <c:v>6.0730388643681967E+22</c:v>
                </c:pt>
                <c:pt idx="23">
                  <c:v>6.0730388643681972E+23</c:v>
                </c:pt>
                <c:pt idx="24">
                  <c:v>6.0730388643681969E+24</c:v>
                </c:pt>
                <c:pt idx="25">
                  <c:v>6.0730388643681972E+25</c:v>
                </c:pt>
                <c:pt idx="26">
                  <c:v>6.0730388643681972E+26</c:v>
                </c:pt>
                <c:pt idx="27">
                  <c:v>6.0730388643681969E+27</c:v>
                </c:pt>
                <c:pt idx="28">
                  <c:v>6.0730388643681969E+28</c:v>
                </c:pt>
                <c:pt idx="29">
                  <c:v>6.0730388643681967E+29</c:v>
                </c:pt>
                <c:pt idx="30">
                  <c:v>6.0730388643681966E+30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51077592"/>
        <c:axId val="451079160"/>
      </c:scatterChart>
      <c:valAx>
        <c:axId val="4510775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9160"/>
        <c:crosses val="autoZero"/>
        <c:crossBetween val="midCat"/>
      </c:valAx>
      <c:valAx>
        <c:axId val="451079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07759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-20.678712849703782</c:v>
                </c:pt>
                <c:pt idx="1">
                  <c:v>-20.515060222307646</c:v>
                </c:pt>
                <c:pt idx="2">
                  <c:v>-20.351117348812615</c:v>
                </c:pt>
                <c:pt idx="3">
                  <c:v>-20.186593983119813</c:v>
                </c:pt>
                <c:pt idx="4">
                  <c:v>-20.021199879130343</c:v>
                </c:pt>
                <c:pt idx="5">
                  <c:v>-19.854644790745322</c:v>
                </c:pt>
                <c:pt idx="6">
                  <c:v>-19.686638471865855</c:v>
                </c:pt>
                <c:pt idx="7">
                  <c:v>-19.516890676393064</c:v>
                </c:pt>
                <c:pt idx="8">
                  <c:v>-19.34511115822805</c:v>
                </c:pt>
                <c:pt idx="9">
                  <c:v>-19.171009671271928</c:v>
                </c:pt>
                <c:pt idx="10">
                  <c:v>-18.994295969425814</c:v>
                </c:pt>
                <c:pt idx="11">
                  <c:v>-18.814679806590814</c:v>
                </c:pt>
                <c:pt idx="12">
                  <c:v>-18.631870936668044</c:v>
                </c:pt>
                <c:pt idx="13">
                  <c:v>-18.445579113558608</c:v>
                </c:pt>
                <c:pt idx="14">
                  <c:v>-18.255514091163629</c:v>
                </c:pt>
                <c:pt idx="15">
                  <c:v>-18.061385623384211</c:v>
                </c:pt>
                <c:pt idx="16">
                  <c:v>-17.862903464121466</c:v>
                </c:pt>
                <c:pt idx="17">
                  <c:v>-17.659777367276508</c:v>
                </c:pt>
                <c:pt idx="18">
                  <c:v>-17.451717086750449</c:v>
                </c:pt>
                <c:pt idx="19">
                  <c:v>-17.238432376444397</c:v>
                </c:pt>
                <c:pt idx="20">
                  <c:v>-17.019632990259467</c:v>
                </c:pt>
                <c:pt idx="21">
                  <c:v>-16.795028682096767</c:v>
                </c:pt>
                <c:pt idx="22">
                  <c:v>-16.564329205857415</c:v>
                </c:pt>
                <c:pt idx="23">
                  <c:v>-16.327244315442517</c:v>
                </c:pt>
                <c:pt idx="24">
                  <c:v>-16.083483764753186</c:v>
                </c:pt>
                <c:pt idx="25">
                  <c:v>-15.832757307690532</c:v>
                </c:pt>
                <c:pt idx="26">
                  <c:v>-15.574774698155672</c:v>
                </c:pt>
                <c:pt idx="27">
                  <c:v>-15.309245690049712</c:v>
                </c:pt>
                <c:pt idx="28">
                  <c:v>-15.035880037273765</c:v>
                </c:pt>
                <c:pt idx="29">
                  <c:v>-14.754387493728947</c:v>
                </c:pt>
                <c:pt idx="30">
                  <c:v>-14.464477813316364</c:v>
                </c:pt>
                <c:pt idx="31">
                  <c:v>-14.16586074993713</c:v>
                </c:pt>
                <c:pt idx="32">
                  <c:v>-13.858246057492355</c:v>
                </c:pt>
                <c:pt idx="33">
                  <c:v>-13.541343489883152</c:v>
                </c:pt>
                <c:pt idx="34">
                  <c:v>-13.214862801010632</c:v>
                </c:pt>
                <c:pt idx="35">
                  <c:v>-12.878513744775908</c:v>
                </c:pt>
                <c:pt idx="36">
                  <c:v>-12.532006075080094</c:v>
                </c:pt>
                <c:pt idx="37">
                  <c:v>-12.175049545824294</c:v>
                </c:pt>
                <c:pt idx="38">
                  <c:v>-11.807353910909626</c:v>
                </c:pt>
                <c:pt idx="39">
                  <c:v>-11.428628924237199</c:v>
                </c:pt>
                <c:pt idx="40">
                  <c:v>-11.038584339708125</c:v>
                </c:pt>
                <c:pt idx="41">
                  <c:v>-10.833780496611308</c:v>
                </c:pt>
                <c:pt idx="42">
                  <c:v>-10.618155038046172</c:v>
                </c:pt>
                <c:pt idx="43">
                  <c:v>-10.392496192499944</c:v>
                </c:pt>
                <c:pt idx="44">
                  <c:v>-10.157592188459843</c:v>
                </c:pt>
                <c:pt idx="45">
                  <c:v>-9.9142312544130888</c:v>
                </c:pt>
                <c:pt idx="46">
                  <c:v>-9.6632016188468999</c:v>
                </c:pt>
                <c:pt idx="47">
                  <c:v>-9.4052915102484977</c:v>
                </c:pt>
                <c:pt idx="48">
                  <c:v>-9.1412891571051045</c:v>
                </c:pt>
                <c:pt idx="49">
                  <c:v>-8.8719827879039386</c:v>
                </c:pt>
                <c:pt idx="50">
                  <c:v>-8.5981606311322203</c:v>
                </c:pt>
                <c:pt idx="51">
                  <c:v>-8.3206109152771717</c:v>
                </c:pt>
                <c:pt idx="52">
                  <c:v>-8.0401218688260148</c:v>
                </c:pt>
                <c:pt idx="53">
                  <c:v>-7.7574817202659645</c:v>
                </c:pt>
                <c:pt idx="54">
                  <c:v>-7.4734786980842456</c:v>
                </c:pt>
                <c:pt idx="55">
                  <c:v>-7.1889010307680774</c:v>
                </c:pt>
                <c:pt idx="56">
                  <c:v>-6.9045369468046793</c:v>
                </c:pt>
                <c:pt idx="57">
                  <c:v>-6.6211746746812734</c:v>
                </c:pt>
                <c:pt idx="58">
                  <c:v>-6.3396024428850772</c:v>
                </c:pt>
                <c:pt idx="59">
                  <c:v>-6.0606084799033155</c:v>
                </c:pt>
                <c:pt idx="60">
                  <c:v>-5.7849810142232059</c:v>
                </c:pt>
                <c:pt idx="61">
                  <c:v>-5.5135082743319686</c:v>
                </c:pt>
                <c:pt idx="62">
                  <c:v>-5.2469784887168247</c:v>
                </c:pt>
                <c:pt idx="63">
                  <c:v>-4.9861798858649946</c:v>
                </c:pt>
                <c:pt idx="64">
                  <c:v>-4.7319006942636985</c:v>
                </c:pt>
                <c:pt idx="65">
                  <c:v>-4.4849291424001567</c:v>
                </c:pt>
                <c:pt idx="66">
                  <c:v>-4.2458620225001065</c:v>
                </c:pt>
                <c:pt idx="67">
                  <c:v>-4.0145303817433398</c:v>
                </c:pt>
                <c:pt idx="68">
                  <c:v>-3.7905738310481718</c:v>
                </c:pt>
                <c:pt idx="69">
                  <c:v>-3.5736319813329112</c:v>
                </c:pt>
                <c:pt idx="70">
                  <c:v>-3.3633444435158699</c:v>
                </c:pt>
                <c:pt idx="71">
                  <c:v>-3.1593508285153584</c:v>
                </c:pt>
                <c:pt idx="72">
                  <c:v>-2.9612907472496879</c:v>
                </c:pt>
                <c:pt idx="73">
                  <c:v>-2.7688038106371695</c:v>
                </c:pt>
                <c:pt idx="74">
                  <c:v>-2.5815296295961145</c:v>
                </c:pt>
                <c:pt idx="75">
                  <c:v>-2.3991078150448328</c:v>
                </c:pt>
                <c:pt idx="76">
                  <c:v>-2.221177977901637</c:v>
                </c:pt>
                <c:pt idx="77">
                  <c:v>-2.0473797290848372</c:v>
                </c:pt>
                <c:pt idx="78">
                  <c:v>-1.8773526795127444</c:v>
                </c:pt>
                <c:pt idx="79">
                  <c:v>-1.7107364401036695</c:v>
                </c:pt>
                <c:pt idx="80">
                  <c:v>-1.5471706217759242</c:v>
                </c:pt>
                <c:pt idx="81">
                  <c:v>-1.3862948354478191</c:v>
                </c:pt>
                <c:pt idx="82">
                  <c:v>-1.227748692037665</c:v>
                </c:pt>
                <c:pt idx="83">
                  <c:v>-1.0711718024637735</c:v>
                </c:pt>
                <c:pt idx="84">
                  <c:v>-0.91620377764445504</c:v>
                </c:pt>
                <c:pt idx="85">
                  <c:v>-0.76248422849802078</c:v>
                </c:pt>
                <c:pt idx="86">
                  <c:v>-0.60965276594278195</c:v>
                </c:pt>
                <c:pt idx="87">
                  <c:v>-0.4573490008970495</c:v>
                </c:pt>
                <c:pt idx="88">
                  <c:v>-0.30521254427913425</c:v>
                </c:pt>
                <c:pt idx="89">
                  <c:v>-0.15288300700734747</c:v>
                </c:pt>
                <c:pt idx="90">
                  <c:v>-1.3877787807814457E-17</c:v>
                </c:pt>
                <c:pt idx="91">
                  <c:v>0.15376059513617704</c:v>
                </c:pt>
                <c:pt idx="92">
                  <c:v>0.30857781404077272</c:v>
                </c:pt>
                <c:pt idx="93">
                  <c:v>0.46459442166495613</c:v>
                </c:pt>
                <c:pt idx="94">
                  <c:v>0.62195318295989621</c:v>
                </c:pt>
                <c:pt idx="95">
                  <c:v>0.78079686287676209</c:v>
                </c:pt>
                <c:pt idx="96">
                  <c:v>0.94126822636672258</c:v>
                </c:pt>
                <c:pt idx="97">
                  <c:v>1.1035100383809469</c:v>
                </c:pt>
                <c:pt idx="98">
                  <c:v>1.2676650638706044</c:v>
                </c:pt>
                <c:pt idx="99">
                  <c:v>1.4338760677868636</c:v>
                </c:pt>
                <c:pt idx="100">
                  <c:v>1.6022858150808936</c:v>
                </c:pt>
                <c:pt idx="101">
                  <c:v>1.7730370707038636</c:v>
                </c:pt>
                <c:pt idx="102">
                  <c:v>1.9462725996069428</c:v>
                </c:pt>
                <c:pt idx="103">
                  <c:v>2.1221351667412995</c:v>
                </c:pt>
                <c:pt idx="104">
                  <c:v>2.3007675370581038</c:v>
                </c:pt>
                <c:pt idx="105">
                  <c:v>2.4823124755085244</c:v>
                </c:pt>
                <c:pt idx="106">
                  <c:v>2.6669127470437299</c:v>
                </c:pt>
                <c:pt idx="107">
                  <c:v>2.8547111166148893</c:v>
                </c:pt>
                <c:pt idx="108">
                  <c:v>3.0458503491731723</c:v>
                </c:pt>
                <c:pt idx="109">
                  <c:v>3.2404732096697475</c:v>
                </c:pt>
                <c:pt idx="110">
                  <c:v>3.4387224630557842</c:v>
                </c:pt>
                <c:pt idx="111">
                  <c:v>3.6407408742824505</c:v>
                </c:pt>
                <c:pt idx="112">
                  <c:v>3.8466712083009167</c:v>
                </c:pt>
                <c:pt idx="113">
                  <c:v>4.0566562300623517</c:v>
                </c:pt>
                <c:pt idx="114">
                  <c:v>4.2708387045179235</c:v>
                </c:pt>
                <c:pt idx="115">
                  <c:v>4.4893613966188015</c:v>
                </c:pt>
                <c:pt idx="116">
                  <c:v>4.7123670713161552</c:v>
                </c:pt>
                <c:pt idx="117">
                  <c:v>4.9399984935611538</c:v>
                </c:pt>
                <c:pt idx="118">
                  <c:v>5.172398428304966</c:v>
                </c:pt>
                <c:pt idx="119">
                  <c:v>5.409709640498761</c:v>
                </c:pt>
                <c:pt idx="120">
                  <c:v>5.6520748950937074</c:v>
                </c:pt>
                <c:pt idx="121">
                  <c:v>5.899602357575187</c:v>
                </c:pt>
                <c:pt idx="122">
                  <c:v>6.1522617955654244</c:v>
                </c:pt>
                <c:pt idx="123">
                  <c:v>6.4099883772208592</c:v>
                </c:pt>
                <c:pt idx="124">
                  <c:v>6.6727172706979303</c:v>
                </c:pt>
                <c:pt idx="125">
                  <c:v>6.9403836441530746</c:v>
                </c:pt>
                <c:pt idx="126">
                  <c:v>7.2129226657427319</c:v>
                </c:pt>
                <c:pt idx="127">
                  <c:v>7.49026950362334</c:v>
                </c:pt>
                <c:pt idx="128">
                  <c:v>7.7723593259513368</c:v>
                </c:pt>
                <c:pt idx="129">
                  <c:v>8.0591273008831621</c:v>
                </c:pt>
                <c:pt idx="130">
                  <c:v>8.350508596575251</c:v>
                </c:pt>
                <c:pt idx="131">
                  <c:v>8.646438381184046</c:v>
                </c:pt>
                <c:pt idx="132">
                  <c:v>8.9468518228659821</c:v>
                </c:pt>
                <c:pt idx="133">
                  <c:v>9.2516840897775001</c:v>
                </c:pt>
                <c:pt idx="134">
                  <c:v>9.5608703500750352</c:v>
                </c:pt>
                <c:pt idx="135">
                  <c:v>9.8743457719150314</c:v>
                </c:pt>
                <c:pt idx="136">
                  <c:v>10.19204552345392</c:v>
                </c:pt>
                <c:pt idx="137">
                  <c:v>10.513904772848143</c:v>
                </c:pt>
                <c:pt idx="138">
                  <c:v>10.839858688254139</c:v>
                </c:pt>
                <c:pt idx="139">
                  <c:v>11.169842437828347</c:v>
                </c:pt>
                <c:pt idx="140">
                  <c:v>11.503791189727202</c:v>
                </c:pt>
                <c:pt idx="141">
                  <c:v>11.841640112107147</c:v>
                </c:pt>
                <c:pt idx="142">
                  <c:v>12.183324373124615</c:v>
                </c:pt>
                <c:pt idx="143">
                  <c:v>12.528779140936049</c:v>
                </c:pt>
                <c:pt idx="144">
                  <c:v>12.877939583697882</c:v>
                </c:pt>
                <c:pt idx="145">
                  <c:v>13.23074086956656</c:v>
                </c:pt>
                <c:pt idx="146">
                  <c:v>13.587118166698517</c:v>
                </c:pt>
                <c:pt idx="147">
                  <c:v>13.947006643250189</c:v>
                </c:pt>
                <c:pt idx="148">
                  <c:v>14.310341467378018</c:v>
                </c:pt>
                <c:pt idx="149">
                  <c:v>14.677057807238441</c:v>
                </c:pt>
                <c:pt idx="150">
                  <c:v>15.047090830987898</c:v>
                </c:pt>
                <c:pt idx="151">
                  <c:v>15.420375706782824</c:v>
                </c:pt>
                <c:pt idx="152">
                  <c:v>15.796847602779659</c:v>
                </c:pt>
                <c:pt idx="153">
                  <c:v>16.17644168713484</c:v>
                </c:pt>
                <c:pt idx="154">
                  <c:v>16.559093128004811</c:v>
                </c:pt>
                <c:pt idx="155">
                  <c:v>16.944737093546003</c:v>
                </c:pt>
                <c:pt idx="156">
                  <c:v>17.333308751914856</c:v>
                </c:pt>
                <c:pt idx="157">
                  <c:v>17.724743271267815</c:v>
                </c:pt>
                <c:pt idx="158">
                  <c:v>18.118975819761314</c:v>
                </c:pt>
                <c:pt idx="159">
                  <c:v>18.515941565551785</c:v>
                </c:pt>
                <c:pt idx="160">
                  <c:v>18.915575676795676</c:v>
                </c:pt>
                <c:pt idx="161">
                  <c:v>19.317813321649414</c:v>
                </c:pt>
                <c:pt idx="162">
                  <c:v>19.722589668269453</c:v>
                </c:pt>
                <c:pt idx="163">
                  <c:v>20.12983988481222</c:v>
                </c:pt>
                <c:pt idx="164">
                  <c:v>20.539499139434152</c:v>
                </c:pt>
                <c:pt idx="165">
                  <c:v>20.951502600291697</c:v>
                </c:pt>
                <c:pt idx="166">
                  <c:v>21.365785386684774</c:v>
                </c:pt>
                <c:pt idx="167">
                  <c:v>21.78228242248727</c:v>
                </c:pt>
                <c:pt idx="168">
                  <c:v>22.20092858271655</c:v>
                </c:pt>
                <c:pt idx="169">
                  <c:v>22.621658742389986</c:v>
                </c:pt>
                <c:pt idx="170">
                  <c:v>23.044407776524949</c:v>
                </c:pt>
                <c:pt idx="171">
                  <c:v>23.469110560138809</c:v>
                </c:pt>
                <c:pt idx="172">
                  <c:v>23.895701968248936</c:v>
                </c:pt>
                <c:pt idx="173">
                  <c:v>24.324116875872694</c:v>
                </c:pt>
                <c:pt idx="174">
                  <c:v>24.754290158027462</c:v>
                </c:pt>
                <c:pt idx="175">
                  <c:v>25.186156689730609</c:v>
                </c:pt>
                <c:pt idx="176">
                  <c:v>25.6196513459995</c:v>
                </c:pt>
                <c:pt idx="177">
                  <c:v>26.054709001851514</c:v>
                </c:pt>
                <c:pt idx="178">
                  <c:v>26.491264532304008</c:v>
                </c:pt>
                <c:pt idx="179">
                  <c:v>26.929252812374365</c:v>
                </c:pt>
                <c:pt idx="180">
                  <c:v>27.368608717079947</c:v>
                </c:pt>
                <c:pt idx="181">
                  <c:v>27.809267121438126</c:v>
                </c:pt>
                <c:pt idx="182">
                  <c:v>28.251162900466269</c:v>
                </c:pt>
                <c:pt idx="183">
                  <c:v>28.694230929181757</c:v>
                </c:pt>
                <c:pt idx="184">
                  <c:v>29.138406082601954</c:v>
                </c:pt>
                <c:pt idx="185">
                  <c:v>29.583623235744223</c:v>
                </c:pt>
                <c:pt idx="186">
                  <c:v>30.029817263625944</c:v>
                </c:pt>
                <c:pt idx="187">
                  <c:v>30.476923041264484</c:v>
                </c:pt>
                <c:pt idx="188">
                  <c:v>30.924875443677209</c:v>
                </c:pt>
                <c:pt idx="189">
                  <c:v>31.373609345881494</c:v>
                </c:pt>
                <c:pt idx="190">
                  <c:v>31.823059622894707</c:v>
                </c:pt>
                <c:pt idx="191">
                  <c:v>32.273161149734221</c:v>
                </c:pt>
                <c:pt idx="192">
                  <c:v>32.723848801417404</c:v>
                </c:pt>
                <c:pt idx="193">
                  <c:v>33.175057452961624</c:v>
                </c:pt>
                <c:pt idx="194">
                  <c:v>33.62672197938425</c:v>
                </c:pt>
                <c:pt idx="195">
                  <c:v>34.078777255702661</c:v>
                </c:pt>
                <c:pt idx="196">
                  <c:v>34.531158156934218</c:v>
                </c:pt>
                <c:pt idx="197">
                  <c:v>34.983799558096301</c:v>
                </c:pt>
                <c:pt idx="198">
                  <c:v>35.43663633420627</c:v>
                </c:pt>
                <c:pt idx="199">
                  <c:v>35.889603360281491</c:v>
                </c:pt>
                <c:pt idx="200">
                  <c:v>36.342635511339353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-20.678712849703782</c:v>
                </c:pt>
                <c:pt idx="1">
                  <c:v>-11.038584339708127</c:v>
                </c:pt>
                <c:pt idx="2">
                  <c:v>-4.4849291424001567</c:v>
                </c:pt>
                <c:pt idx="3">
                  <c:v>0</c:v>
                </c:pt>
                <c:pt idx="4">
                  <c:v>5.6520748950937074</c:v>
                </c:pt>
                <c:pt idx="5">
                  <c:v>20.951502600291697</c:v>
                </c:pt>
                <c:pt idx="6">
                  <c:v>36.342635511339353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-20.70685627698321</c:v>
                </c:pt>
                <c:pt idx="1">
                  <c:v>-20.521310472117367</c:v>
                </c:pt>
                <c:pt idx="2">
                  <c:v>-20.34359692059709</c:v>
                </c:pt>
                <c:pt idx="3">
                  <c:v>-20.171779538842507</c:v>
                </c:pt>
                <c:pt idx="4">
                  <c:v>-20.004101285874924</c:v>
                </c:pt>
                <c:pt idx="5">
                  <c:v>-19.838974508415241</c:v>
                </c:pt>
                <c:pt idx="6">
                  <c:v>-19.674971612555684</c:v>
                </c:pt>
                <c:pt idx="7">
                  <c:v>-19.510816055422154</c:v>
                </c:pt>
                <c:pt idx="8">
                  <c:v>-19.345373650305014</c:v>
                </c:pt>
                <c:pt idx="9">
                  <c:v>-19.177644178798612</c:v>
                </c:pt>
                <c:pt idx="10">
                  <c:v>-19.006753303550635</c:v>
                </c:pt>
                <c:pt idx="11">
                  <c:v>-18.831944775284381</c:v>
                </c:pt>
                <c:pt idx="12">
                  <c:v>-18.652572927818248</c:v>
                </c:pt>
                <c:pt idx="13">
                  <c:v>-18.4680954548686</c:v>
                </c:pt>
                <c:pt idx="14">
                  <c:v>-18.278066462483242</c:v>
                </c:pt>
                <c:pt idx="15">
                  <c:v>-18.082129791014811</c:v>
                </c:pt>
                <c:pt idx="16">
                  <c:v>-17.880012600604363</c:v>
                </c:pt>
                <c:pt idx="17">
                  <c:v>-17.671519214207422</c:v>
                </c:pt>
                <c:pt idx="18">
                  <c:v>-17.456525212255951</c:v>
                </c:pt>
                <c:pt idx="19">
                  <c:v>-17.234971773111447</c:v>
                </c:pt>
                <c:pt idx="20">
                  <c:v>-17.006860253525794</c:v>
                </c:pt>
                <c:pt idx="21">
                  <c:v>-16.772247003387974</c:v>
                </c:pt>
                <c:pt idx="22">
                  <c:v>-16.531238409096463</c:v>
                </c:pt>
                <c:pt idx="23">
                  <c:v>-16.283986159958413</c:v>
                </c:pt>
                <c:pt idx="24">
                  <c:v>-16.030682732078414</c:v>
                </c:pt>
                <c:pt idx="25">
                  <c:v>-15.771557084261168</c:v>
                </c:pt>
                <c:pt idx="26">
                  <c:v>-15.506870560513716</c:v>
                </c:pt>
                <c:pt idx="27">
                  <c:v>-15.236912993794789</c:v>
                </c:pt>
                <c:pt idx="28">
                  <c:v>-14.96199900571985</c:v>
                </c:pt>
                <c:pt idx="29">
                  <c:v>-14.682464496992477</c:v>
                </c:pt>
                <c:pt idx="30">
                  <c:v>-14.398663323393732</c:v>
                </c:pt>
                <c:pt idx="31">
                  <c:v>-14.110964152223186</c:v>
                </c:pt>
                <c:pt idx="32">
                  <c:v>-13.819747494146377</c:v>
                </c:pt>
                <c:pt idx="33">
                  <c:v>-13.525402905465242</c:v>
                </c:pt>
                <c:pt idx="34">
                  <c:v>-13.228326355889564</c:v>
                </c:pt>
                <c:pt idx="35">
                  <c:v>-12.928917756948911</c:v>
                </c:pt>
                <c:pt idx="36">
                  <c:v>-12.627578646246127</c:v>
                </c:pt>
                <c:pt idx="37">
                  <c:v>-12.324710022815005</c:v>
                </c:pt>
                <c:pt idx="38">
                  <c:v>-12.020710328906201</c:v>
                </c:pt>
                <c:pt idx="39">
                  <c:v>-11.715973573587059</c:v>
                </c:pt>
                <c:pt idx="40">
                  <c:v>-11.410887593602437</c:v>
                </c:pt>
                <c:pt idx="41">
                  <c:v>-11.105832447005348</c:v>
                </c:pt>
                <c:pt idx="42">
                  <c:v>-10.801178935127473</c:v>
                </c:pt>
                <c:pt idx="43">
                  <c:v>-10.497287248521406</c:v>
                </c:pt>
                <c:pt idx="44">
                  <c:v>-10.19450573256783</c:v>
                </c:pt>
                <c:pt idx="45">
                  <c:v>-9.8931697685024229</c:v>
                </c:pt>
                <c:pt idx="46">
                  <c:v>-9.5936007656788007</c:v>
                </c:pt>
                <c:pt idx="47">
                  <c:v>-9.2961052609453851</c:v>
                </c:pt>
                <c:pt idx="48">
                  <c:v>-9.0009741210754779</c:v>
                </c:pt>
                <c:pt idx="49">
                  <c:v>-8.7084818442514926</c:v>
                </c:pt>
                <c:pt idx="50">
                  <c:v>-8.4188859566657435</c:v>
                </c:pt>
                <c:pt idx="51">
                  <c:v>-8.1324265003617544</c:v>
                </c:pt>
                <c:pt idx="52">
                  <c:v>-7.8493256085014798</c:v>
                </c:pt>
                <c:pt idx="53">
                  <c:v>-7.569787164305545</c:v>
                </c:pt>
                <c:pt idx="54">
                  <c:v>-7.2939965399749287</c:v>
                </c:pt>
                <c:pt idx="55">
                  <c:v>-7.0221204119641714</c:v>
                </c:pt>
                <c:pt idx="56">
                  <c:v>-6.7543066490376908</c:v>
                </c:pt>
                <c:pt idx="57">
                  <c:v>-6.4906842696022613</c:v>
                </c:pt>
                <c:pt idx="58">
                  <c:v>-6.2313634648703395</c:v>
                </c:pt>
                <c:pt idx="59">
                  <c:v>-5.9764356844703004</c:v>
                </c:pt>
                <c:pt idx="60">
                  <c:v>-5.7259737811813425</c:v>
                </c:pt>
                <c:pt idx="61">
                  <c:v>-5.4800322115321958</c:v>
                </c:pt>
                <c:pt idx="62">
                  <c:v>-5.2386472890644029</c:v>
                </c:pt>
                <c:pt idx="63">
                  <c:v>-5.0018374871223727</c:v>
                </c:pt>
                <c:pt idx="64">
                  <c:v>-4.7696037880940434</c:v>
                </c:pt>
                <c:pt idx="65">
                  <c:v>-4.5419300760873993</c:v>
                </c:pt>
                <c:pt idx="66">
                  <c:v>-4.3187835700897059</c:v>
                </c:pt>
                <c:pt idx="67">
                  <c:v>-4.1001152947177975</c:v>
                </c:pt>
                <c:pt idx="68">
                  <c:v>-3.8858605857293038</c:v>
                </c:pt>
                <c:pt idx="69">
                  <c:v>-3.6759396275262102</c:v>
                </c:pt>
                <c:pt idx="70">
                  <c:v>-3.4702580199436919</c:v>
                </c:pt>
                <c:pt idx="71">
                  <c:v>-3.2687073716786719</c:v>
                </c:pt>
                <c:pt idx="72">
                  <c:v>-3.0711659177740853</c:v>
                </c:pt>
                <c:pt idx="73">
                  <c:v>-2.8774991586363448</c:v>
                </c:pt>
                <c:pt idx="74">
                  <c:v>-2.6875605181250681</c:v>
                </c:pt>
                <c:pt idx="75">
                  <c:v>-2.5011920183155896</c:v>
                </c:pt>
                <c:pt idx="76">
                  <c:v>-2.3182249685963634</c:v>
                </c:pt>
                <c:pt idx="77">
                  <c:v>-2.1384806668248699</c:v>
                </c:pt>
                <c:pt idx="78">
                  <c:v>-1.9617711103271323</c:v>
                </c:pt>
                <c:pt idx="79">
                  <c:v>-1.7878997145875393</c:v>
                </c:pt>
                <c:pt idx="80">
                  <c:v>-1.6166620375371348</c:v>
                </c:pt>
                <c:pt idx="81">
                  <c:v>-1.4478465074101003</c:v>
                </c:pt>
                <c:pt idx="82">
                  <c:v>-1.2812351521996603</c:v>
                </c:pt>
                <c:pt idx="83">
                  <c:v>-1.1166043288061738</c:v>
                </c:pt>
                <c:pt idx="84">
                  <c:v>-0.95372545003170606</c:v>
                </c:pt>
                <c:pt idx="85">
                  <c:v>-0.79236570763689507</c:v>
                </c:pt>
                <c:pt idx="86">
                  <c:v>-0.63228878973744318</c:v>
                </c:pt>
                <c:pt idx="87">
                  <c:v>-0.47325559087911245</c:v>
                </c:pt>
                <c:pt idx="88">
                  <c:v>-0.31502491319160797</c:v>
                </c:pt>
                <c:pt idx="89">
                  <c:v>-0.15735415708326697</c:v>
                </c:pt>
                <c:pt idx="90">
                  <c:v>0</c:v>
                </c:pt>
                <c:pt idx="91">
                  <c:v>0.15728093816655128</c:v>
                </c:pt>
                <c:pt idx="92">
                  <c:v>0.31473144437514233</c:v>
                </c:pt>
                <c:pt idx="93">
                  <c:v>0.47259307772732234</c:v>
                </c:pt>
                <c:pt idx="94">
                  <c:v>0.63110555198655138</c:v>
                </c:pt>
                <c:pt idx="95">
                  <c:v>0.79050613649296908</c:v>
                </c:pt>
                <c:pt idx="96">
                  <c:v>0.95102907658121527</c:v>
                </c:pt>
                <c:pt idx="97">
                  <c:v>1.112905034547184</c:v>
                </c:pt>
                <c:pt idx="98">
                  <c:v>1.2763605521480563</c:v>
                </c:pt>
                <c:pt idx="99">
                  <c:v>1.4416175355584455</c:v>
                </c:pt>
                <c:pt idx="100">
                  <c:v>1.6088927636439478</c:v>
                </c:pt>
                <c:pt idx="101">
                  <c:v>1.7783974203518804</c:v>
                </c:pt>
                <c:pt idx="102">
                  <c:v>1.9503366519574474</c:v>
                </c:pt>
                <c:pt idx="103">
                  <c:v>2.124909149842066</c:v>
                </c:pt>
                <c:pt idx="104">
                  <c:v>2.3023067594190416</c:v>
                </c:pt>
                <c:pt idx="105">
                  <c:v>2.4827141157602748</c:v>
                </c:pt>
                <c:pt idx="106">
                  <c:v>2.6663083064161346</c:v>
                </c:pt>
                <c:pt idx="107">
                  <c:v>2.8532585618591262</c:v>
                </c:pt>
                <c:pt idx="108">
                  <c:v>3.0437259739204472</c:v>
                </c:pt>
                <c:pt idx="109">
                  <c:v>3.2378632425269984</c:v>
                </c:pt>
                <c:pt idx="110">
                  <c:v>3.4358144509848967</c:v>
                </c:pt>
                <c:pt idx="111">
                  <c:v>3.6377148699940056</c:v>
                </c:pt>
                <c:pt idx="112">
                  <c:v>3.8436907905164781</c:v>
                </c:pt>
                <c:pt idx="113">
                  <c:v>4.0538593855607736</c:v>
                </c:pt>
                <c:pt idx="114">
                  <c:v>4.268328600881099</c:v>
                </c:pt>
                <c:pt idx="115">
                  <c:v>4.487197074530668</c:v>
                </c:pt>
                <c:pt idx="116">
                  <c:v>4.7105540851457146</c:v>
                </c:pt>
                <c:pt idx="117">
                  <c:v>4.9384795287755452</c:v>
                </c:pt>
                <c:pt idx="118">
                  <c:v>5.1710439240125812</c:v>
                </c:pt>
                <c:pt idx="119">
                  <c:v>5.4083084451145638</c:v>
                </c:pt>
                <c:pt idx="120">
                  <c:v>5.6503249827498552</c:v>
                </c:pt>
                <c:pt idx="121">
                  <c:v>5.8971362319349661</c:v>
                </c:pt>
                <c:pt idx="122">
                  <c:v>6.1487758066721554</c:v>
                </c:pt>
                <c:pt idx="123">
                  <c:v>6.4052683807332196</c:v>
                </c:pt>
                <c:pt idx="124">
                  <c:v>6.666629853974225</c:v>
                </c:pt>
                <c:pt idx="125">
                  <c:v>6.9328675435043072</c:v>
                </c:pt>
                <c:pt idx="126">
                  <c:v>7.2039803989701632</c:v>
                </c:pt>
                <c:pt idx="127">
                  <c:v>7.4799592411563829</c:v>
                </c:pt>
                <c:pt idx="128">
                  <c:v>7.7607870230401579</c:v>
                </c:pt>
                <c:pt idx="129">
                  <c:v>8.0464391123774561</c:v>
                </c:pt>
                <c:pt idx="130">
                  <c:v>8.3368835948361451</c:v>
                </c:pt>
                <c:pt idx="131">
                  <c:v>8.6320815966301634</c:v>
                </c:pt>
                <c:pt idx="132">
                  <c:v>8.9319876255470909</c:v>
                </c:pt>
                <c:pt idx="133">
                  <c:v>9.2365499292001783</c:v>
                </c:pt>
                <c:pt idx="134">
                  <c:v>9.5457108692742096</c:v>
                </c:pt>
                <c:pt idx="135">
                  <c:v>9.8594073104731201</c:v>
                </c:pt>
                <c:pt idx="136">
                  <c:v>10.177571022815719</c:v>
                </c:pt>
                <c:pt idx="137">
                  <c:v>10.500129095864413</c:v>
                </c:pt>
                <c:pt idx="138">
                  <c:v>10.827004363410213</c:v>
                </c:pt>
                <c:pt idx="139">
                  <c:v>11.158115837075826</c:v>
                </c:pt>
                <c:pt idx="140">
                  <c:v>11.493379147237166</c:v>
                </c:pt>
                <c:pt idx="141">
                  <c:v>11.832706989601915</c:v>
                </c:pt>
                <c:pt idx="142">
                  <c:v>12.176009575722503</c:v>
                </c:pt>
                <c:pt idx="143">
                  <c:v>12.523195085659051</c:v>
                </c:pt>
                <c:pt idx="144">
                  <c:v>12.874170120946586</c:v>
                </c:pt>
                <c:pt idx="145">
                  <c:v>13.228840155959075</c:v>
                </c:pt>
                <c:pt idx="146">
                  <c:v>13.587109985701433</c:v>
                </c:pt>
                <c:pt idx="147">
                  <c:v>13.948884167999108</c:v>
                </c:pt>
                <c:pt idx="148">
                  <c:v>14.314067457993314</c:v>
                </c:pt>
                <c:pt idx="149">
                  <c:v>14.682565232788406</c:v>
                </c:pt>
                <c:pt idx="150">
                  <c:v>15.05428390403649</c:v>
                </c:pt>
                <c:pt idx="151">
                  <c:v>15.429131316182684</c:v>
                </c:pt>
                <c:pt idx="152">
                  <c:v>15.807017128033047</c:v>
                </c:pt>
                <c:pt idx="153">
                  <c:v>16.187853175245618</c:v>
                </c:pt>
                <c:pt idx="154">
                  <c:v>16.571553811283401</c:v>
                </c:pt>
                <c:pt idx="155">
                  <c:v>16.958036224306817</c:v>
                </c:pt>
                <c:pt idx="156">
                  <c:v>17.347220727421352</c:v>
                </c:pt>
                <c:pt idx="157">
                  <c:v>17.73903101963484</c:v>
                </c:pt>
                <c:pt idx="158">
                  <c:v>18.133394414817108</c:v>
                </c:pt>
                <c:pt idx="159">
                  <c:v>18.530242035893373</c:v>
                </c:pt>
                <c:pt idx="160">
                  <c:v>18.929508971441003</c:v>
                </c:pt>
                <c:pt idx="161">
                  <c:v>19.331134391798063</c:v>
                </c:pt>
                <c:pt idx="162">
                  <c:v>19.73506162173015</c:v>
                </c:pt>
                <c:pt idx="163">
                  <c:v>20.141238166640893</c:v>
                </c:pt>
                <c:pt idx="164">
                  <c:v>20.549615689249642</c:v>
                </c:pt>
                <c:pt idx="165">
                  <c:v>20.960149933598508</c:v>
                </c:pt>
                <c:pt idx="166">
                  <c:v>21.372800593189442</c:v>
                </c:pt>
                <c:pt idx="167">
                  <c:v>21.787531119990241</c:v>
                </c:pt>
                <c:pt idx="168">
                  <c:v>22.20430847098735</c:v>
                </c:pt>
                <c:pt idx="169">
                  <c:v>22.623102788901051</c:v>
                </c:pt>
                <c:pt idx="170">
                  <c:v>23.043887013618065</c:v>
                </c:pt>
                <c:pt idx="171">
                  <c:v>23.466636420834018</c:v>
                </c:pt>
                <c:pt idx="172">
                  <c:v>23.891328084337658</c:v>
                </c:pt>
                <c:pt idx="173">
                  <c:v>24.317940258306471</c:v>
                </c:pt>
                <c:pt idx="174">
                  <c:v>24.746451675922227</c:v>
                </c:pt>
                <c:pt idx="175">
                  <c:v>25.176840760553258</c:v>
                </c:pt>
                <c:pt idx="176">
                  <c:v>25.609084745688921</c:v>
                </c:pt>
                <c:pt idx="177">
                  <c:v>26.043158699749952</c:v>
                </c:pt>
                <c:pt idx="178">
                  <c:v>26.479034451837062</c:v>
                </c:pt>
                <c:pt idx="179">
                  <c:v>26.916679414418592</c:v>
                </c:pt>
                <c:pt idx="180">
                  <c:v>27.356055298896344</c:v>
                </c:pt>
                <c:pt idx="181">
                  <c:v>27.797116719927487</c:v>
                </c:pt>
                <c:pt idx="182">
                  <c:v>28.239809684318566</c:v>
                </c:pt>
                <c:pt idx="183">
                  <c:v>28.684069960246418</c:v>
                </c:pt>
                <c:pt idx="184">
                  <c:v>29.129821322498998</c:v>
                </c:pt>
                <c:pt idx="185">
                  <c:v>29.576973669367881</c:v>
                </c:pt>
                <c:pt idx="186">
                  <c:v>30.025421006762478</c:v>
                </c:pt>
                <c:pt idx="187">
                  <c:v>30.47503929505438</c:v>
                </c:pt>
                <c:pt idx="188">
                  <c:v>30.925684154099201</c:v>
                </c:pt>
                <c:pt idx="189">
                  <c:v>31.377188421821167</c:v>
                </c:pt>
                <c:pt idx="190">
                  <c:v>31.829359561684427</c:v>
                </c:pt>
                <c:pt idx="191">
                  <c:v>32.281976914313773</c:v>
                </c:pt>
                <c:pt idx="192">
                  <c:v>32.734788788465494</c:v>
                </c:pt>
                <c:pt idx="193">
                  <c:v>33.187509386487925</c:v>
                </c:pt>
                <c:pt idx="194">
                  <c:v>33.639815559349479</c:v>
                </c:pt>
                <c:pt idx="195">
                  <c:v>34.091343386250472</c:v>
                </c:pt>
                <c:pt idx="196">
                  <c:v>34.541684573773892</c:v>
                </c:pt>
                <c:pt idx="197">
                  <c:v>34.990382669467834</c:v>
                </c:pt>
                <c:pt idx="198">
                  <c:v>35.436929084692181</c:v>
                </c:pt>
                <c:pt idx="199">
                  <c:v>35.880758921498924</c:v>
                </c:pt>
                <c:pt idx="200">
                  <c:v>36.321246598255719</c:v>
                </c:pt>
              </c:numCache>
            </c:numRef>
          </c:yVal>
          <c:smooth val="1"/>
        </c:ser>
        <c:dLbls>
          <c:showLegendKey val="0"/>
          <c:showVal val="0"/>
          <c:showCatName val="0"/>
          <c:showSerName val="0"/>
          <c:showPercent val="0"/>
          <c:showBubbleSize val="0"/>
        </c:dLbls>
        <c:axId val="659054448"/>
        <c:axId val="659056800"/>
      </c:scatterChart>
      <c:valAx>
        <c:axId val="65905444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056800"/>
        <c:crossesAt val="-1000"/>
        <c:crossBetween val="midCat"/>
      </c:valAx>
      <c:valAx>
        <c:axId val="659056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905444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0.15727701227011634</v>
      </c>
      <c r="D59" s="55">
        <v>1</v>
      </c>
    </row>
    <row r="60" spans="1:4" s="11" customFormat="1" x14ac:dyDescent="0.25">
      <c r="A60" s="54">
        <v>2</v>
      </c>
      <c r="B60" s="56">
        <f>'Shiftfunktion bestimmen'!N2</f>
        <v>-3.6584654868011476E-5</v>
      </c>
      <c r="D60" s="55">
        <v>2</v>
      </c>
    </row>
    <row r="61" spans="1:4" s="11" customFormat="1" x14ac:dyDescent="0.25">
      <c r="A61" s="54">
        <v>3</v>
      </c>
      <c r="B61" s="56">
        <f>'Shiftfunktion bestimmen'!N3</f>
        <v>4.0540713927056695E-5</v>
      </c>
      <c r="D61" s="55">
        <v>3</v>
      </c>
    </row>
    <row r="62" spans="1:4" s="11" customFormat="1" x14ac:dyDescent="0.25">
      <c r="A62" s="54">
        <v>4</v>
      </c>
      <c r="B62" s="56">
        <f>'Shiftfunktion bestimmen'!N4</f>
        <v>-2.4825726736624792E-8</v>
      </c>
      <c r="D62" s="55">
        <v>4</v>
      </c>
    </row>
    <row r="63" spans="1:4" s="11" customFormat="1" x14ac:dyDescent="0.25">
      <c r="A63" s="54">
        <v>5</v>
      </c>
      <c r="B63" s="56">
        <f>'Shiftfunktion bestimmen'!N5</f>
        <v>-5.3593845279586902E-9</v>
      </c>
      <c r="D63" s="55">
        <v>5</v>
      </c>
    </row>
    <row r="64" spans="1:4" s="11" customFormat="1" x14ac:dyDescent="0.25">
      <c r="A64" s="54">
        <v>6</v>
      </c>
      <c r="B64" s="56">
        <f>'Shiftfunktion bestimmen'!N6</f>
        <v>2.2238401006752308E-11</v>
      </c>
      <c r="D64" s="55">
        <v>6</v>
      </c>
    </row>
    <row r="65" spans="1:5" s="11" customFormat="1" x14ac:dyDescent="0.25">
      <c r="A65" s="54">
        <v>7</v>
      </c>
      <c r="B65" s="56">
        <f>'Shiftfunktion bestimmen'!N7</f>
        <v>2.5024151170430427E-13</v>
      </c>
      <c r="D65" s="55">
        <v>7</v>
      </c>
    </row>
    <row r="66" spans="1:5" x14ac:dyDescent="0.25">
      <c r="A66" s="54">
        <v>8</v>
      </c>
      <c r="B66" s="56">
        <f>'Shiftfunktion bestimmen'!N8</f>
        <v>-1.5259343267637137E-15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2.724629633608853E-3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9.0451871452635561E-3</v>
      </c>
      <c r="D76" s="51">
        <v>3</v>
      </c>
      <c r="E76" s="56">
        <f>'Mastercurve bestimmen'!A20</f>
        <v>4.3276437088188502E-13</v>
      </c>
    </row>
    <row r="77" spans="1:5" x14ac:dyDescent="0.25">
      <c r="A77" s="50">
        <f t="shared" si="0"/>
        <v>4</v>
      </c>
      <c r="B77" s="56">
        <f>'Mastercurve bestimmen'!C21</f>
        <v>3.4814234608867525E-2</v>
      </c>
      <c r="D77" s="51">
        <v>4</v>
      </c>
      <c r="E77" s="56">
        <f>'Mastercurve bestimmen'!A21</f>
        <v>4.7973886968128502E-12</v>
      </c>
    </row>
    <row r="78" spans="1:5" x14ac:dyDescent="0.25">
      <c r="A78" s="50">
        <f t="shared" si="0"/>
        <v>5</v>
      </c>
      <c r="B78" s="56">
        <f>'Mastercurve bestimmen'!C22</f>
        <v>1.6737347405566028E-2</v>
      </c>
      <c r="D78" s="51">
        <v>5</v>
      </c>
      <c r="E78" s="56">
        <f>'Mastercurve bestimmen'!A22</f>
        <v>5.31812225239524E-11</v>
      </c>
    </row>
    <row r="79" spans="1:5" x14ac:dyDescent="0.25">
      <c r="A79" s="50">
        <f t="shared" si="0"/>
        <v>6</v>
      </c>
      <c r="B79" s="56">
        <f>'Mastercurve bestimmen'!C23</f>
        <v>1.9251005169364045E-2</v>
      </c>
      <c r="D79" s="51">
        <v>6</v>
      </c>
      <c r="E79" s="56">
        <f>'Mastercurve bestimmen'!A23</f>
        <v>5.8953789402578301E-10</v>
      </c>
    </row>
    <row r="80" spans="1:5" x14ac:dyDescent="0.25">
      <c r="A80" s="50">
        <f t="shared" si="0"/>
        <v>7</v>
      </c>
      <c r="B80" s="56">
        <f>'Mastercurve bestimmen'!C24</f>
        <v>2.190122208641376E-2</v>
      </c>
      <c r="D80" s="51">
        <v>7</v>
      </c>
      <c r="E80" s="56">
        <f>'Mastercurve bestimmen'!A24</f>
        <v>6.5352940755699598E-9</v>
      </c>
    </row>
    <row r="81" spans="1:5" x14ac:dyDescent="0.25">
      <c r="A81" s="50">
        <f t="shared" si="0"/>
        <v>8</v>
      </c>
      <c r="B81" s="56">
        <f>'Mastercurve bestimmen'!C25</f>
        <v>2.2497281457411155E-2</v>
      </c>
      <c r="D81" s="51">
        <v>8</v>
      </c>
      <c r="E81" s="56">
        <f>'Mastercurve bestimmen'!A25</f>
        <v>7.2446689325643296E-8</v>
      </c>
    </row>
    <row r="82" spans="1:5" x14ac:dyDescent="0.25">
      <c r="A82" s="50">
        <f t="shared" si="0"/>
        <v>9</v>
      </c>
      <c r="B82" s="56">
        <f>'Mastercurve bestimmen'!C26</f>
        <v>2.6719174389677101E-2</v>
      </c>
      <c r="D82" s="51">
        <f>A82</f>
        <v>9</v>
      </c>
      <c r="E82" s="56">
        <f>'Mastercurve bestimmen'!A26</f>
        <v>8.03104303120212E-7</v>
      </c>
    </row>
    <row r="83" spans="1:5" x14ac:dyDescent="0.25">
      <c r="A83" s="50">
        <f t="shared" si="0"/>
        <v>10</v>
      </c>
      <c r="B83" s="56">
        <f>'Mastercurve bestimmen'!C27</f>
        <v>2.8269244352707574E-2</v>
      </c>
      <c r="C83" s="11"/>
      <c r="D83" s="51">
        <f t="shared" ref="D83:D104" si="1">A83</f>
        <v>10</v>
      </c>
      <c r="E83" s="56">
        <f>'Mastercurve bestimmen'!A27</f>
        <v>8.9027742702096099E-6</v>
      </c>
    </row>
    <row r="84" spans="1:5" x14ac:dyDescent="0.25">
      <c r="A84" s="50">
        <f t="shared" si="0"/>
        <v>11</v>
      </c>
      <c r="B84" s="56">
        <f>'Mastercurve bestimmen'!C28</f>
        <v>2.8789242104317232E-2</v>
      </c>
      <c r="C84" s="11"/>
      <c r="D84" s="51">
        <f t="shared" si="1"/>
        <v>11</v>
      </c>
      <c r="E84" s="56">
        <f>'Mastercurve bestimmen'!A28</f>
        <v>9.86912775817142E-5</v>
      </c>
    </row>
    <row r="85" spans="1:5" x14ac:dyDescent="0.25">
      <c r="A85" s="50">
        <f t="shared" si="0"/>
        <v>12</v>
      </c>
      <c r="B85" s="56">
        <f>'Mastercurve bestimmen'!C29</f>
        <v>2.5595411660203616E-2</v>
      </c>
      <c r="C85" s="11"/>
      <c r="D85" s="51">
        <f t="shared" si="1"/>
        <v>12</v>
      </c>
      <c r="E85" s="56">
        <f>'Mastercurve bestimmen'!A29</f>
        <v>1.0940374286813801E-3</v>
      </c>
    </row>
    <row r="86" spans="1:5" x14ac:dyDescent="0.25">
      <c r="A86" s="50">
        <f t="shared" si="0"/>
        <v>13</v>
      </c>
      <c r="B86" s="56">
        <f>'Mastercurve bestimmen'!C30</f>
        <v>3.1571984224505523E-2</v>
      </c>
      <c r="C86" s="11"/>
      <c r="D86" s="51">
        <f t="shared" si="1"/>
        <v>13</v>
      </c>
      <c r="E86" s="56">
        <f>'Mastercurve bestimmen'!A30</f>
        <v>1.2127899493091E-2</v>
      </c>
    </row>
    <row r="87" spans="1:5" x14ac:dyDescent="0.25">
      <c r="A87" s="50">
        <f t="shared" si="0"/>
        <v>14</v>
      </c>
      <c r="B87" s="56">
        <f>'Mastercurve bestimmen'!C31</f>
        <v>4.0619048192840942E-2</v>
      </c>
      <c r="C87" s="11"/>
      <c r="D87" s="51">
        <f t="shared" si="1"/>
        <v>14</v>
      </c>
      <c r="E87" s="56">
        <f>'Mastercurve bestimmen'!A31</f>
        <v>0.13444324870292301</v>
      </c>
    </row>
    <row r="88" spans="1:5" x14ac:dyDescent="0.25">
      <c r="A88" s="50">
        <f t="shared" si="0"/>
        <v>15</v>
      </c>
      <c r="B88" s="56">
        <f>'Mastercurve bestimmen'!C32</f>
        <v>3.7761220679273885E-2</v>
      </c>
      <c r="C88" s="11"/>
      <c r="D88" s="51">
        <f t="shared" si="1"/>
        <v>15</v>
      </c>
      <c r="E88" s="56">
        <f>'Mastercurve bestimmen'!A32</f>
        <v>1.49036419143257</v>
      </c>
    </row>
    <row r="89" spans="1:5" x14ac:dyDescent="0.25">
      <c r="A89" s="50">
        <f t="shared" si="0"/>
        <v>16</v>
      </c>
      <c r="B89" s="56">
        <f>'Mastercurve bestimmen'!C33</f>
        <v>3.2047185254004913E-2</v>
      </c>
      <c r="C89" s="11"/>
      <c r="D89" s="51">
        <f t="shared" si="1"/>
        <v>16</v>
      </c>
      <c r="E89" s="56">
        <f>'Mastercurve bestimmen'!A33</f>
        <v>16.521360830937301</v>
      </c>
    </row>
    <row r="90" spans="1:5" x14ac:dyDescent="0.25">
      <c r="A90" s="50">
        <f t="shared" si="0"/>
        <v>17</v>
      </c>
      <c r="B90" s="56">
        <f>'Mastercurve bestimmen'!C34</f>
        <v>5.5060207151423582E-2</v>
      </c>
      <c r="C90" s="11"/>
      <c r="D90" s="51">
        <f t="shared" si="1"/>
        <v>17</v>
      </c>
      <c r="E90" s="56">
        <f>'Mastercurve bestimmen'!A34</f>
        <v>183.146753843879</v>
      </c>
    </row>
    <row r="91" spans="1:5" x14ac:dyDescent="0.25">
      <c r="A91" s="50">
        <f t="shared" si="0"/>
        <v>18</v>
      </c>
      <c r="B91" s="56">
        <f>'Mastercurve bestimmen'!C35</f>
        <v>5.5367146096233756E-2</v>
      </c>
      <c r="C91" s="11"/>
      <c r="D91" s="51">
        <f t="shared" si="1"/>
        <v>18</v>
      </c>
      <c r="E91" s="56">
        <f>'Mastercurve bestimmen'!A35</f>
        <v>2030.26456396616</v>
      </c>
    </row>
    <row r="92" spans="1:5" x14ac:dyDescent="0.25">
      <c r="A92" s="50">
        <f t="shared" si="0"/>
        <v>19</v>
      </c>
      <c r="B92" s="56">
        <f>'Mastercurve bestimmen'!C36</f>
        <v>4.7007838258753223E-2</v>
      </c>
      <c r="C92" s="11"/>
      <c r="D92" s="51">
        <f t="shared" si="1"/>
        <v>19</v>
      </c>
      <c r="E92" s="56">
        <f>'Mastercurve bestimmen'!A36</f>
        <v>22506.400540467101</v>
      </c>
    </row>
    <row r="93" spans="1:5" x14ac:dyDescent="0.25">
      <c r="A93" s="50">
        <f t="shared" si="0"/>
        <v>20</v>
      </c>
      <c r="B93" s="56">
        <f>'Mastercurve bestimmen'!C37</f>
        <v>4.3271313852142758E-2</v>
      </c>
      <c r="C93" s="11"/>
      <c r="D93" s="51">
        <f t="shared" si="1"/>
        <v>20</v>
      </c>
      <c r="E93" s="56">
        <f>'Mastercurve bestimmen'!A37</f>
        <v>249493.62476110301</v>
      </c>
    </row>
    <row r="94" spans="1:5" x14ac:dyDescent="0.25">
      <c r="A94" s="50">
        <f t="shared" si="0"/>
        <v>21</v>
      </c>
      <c r="B94" s="56">
        <f>'Mastercurve bestimmen'!C38</f>
        <v>2.2304524360839302E-2</v>
      </c>
      <c r="C94" s="11"/>
      <c r="D94" s="51">
        <f t="shared" si="1"/>
        <v>21</v>
      </c>
      <c r="E94" s="56">
        <f>'Mastercurve bestimmen'!A38</f>
        <v>2765749.6224023802</v>
      </c>
    </row>
    <row r="95" spans="1:5" x14ac:dyDescent="0.25">
      <c r="A95" s="50">
        <f t="shared" si="0"/>
        <v>22</v>
      </c>
      <c r="B95" s="56">
        <f>'Mastercurve bestimmen'!C39</f>
        <v>3.1643216322297517E-2</v>
      </c>
      <c r="C95" s="11"/>
      <c r="D95" s="51">
        <f t="shared" si="1"/>
        <v>22</v>
      </c>
      <c r="E95" s="56">
        <f>'Mastercurve bestimmen'!A39</f>
        <v>10000000</v>
      </c>
    </row>
    <row r="96" spans="1:5" x14ac:dyDescent="0.25">
      <c r="A96" s="50">
        <f t="shared" si="0"/>
        <v>23</v>
      </c>
      <c r="B96" s="56">
        <f>'Mastercurve bestimmen'!C40</f>
        <v>3.5141037946940686E-2</v>
      </c>
      <c r="C96" s="11"/>
      <c r="D96" s="51">
        <f t="shared" si="1"/>
        <v>23</v>
      </c>
      <c r="E96" s="56">
        <f>'Mastercurve bestimmen'!A40</f>
        <v>100000000</v>
      </c>
    </row>
    <row r="97" spans="1:5" x14ac:dyDescent="0.25">
      <c r="A97" s="50">
        <f t="shared" si="0"/>
        <v>24</v>
      </c>
      <c r="B97" s="56">
        <f>'Mastercurve bestimmen'!C41</f>
        <v>3.5593088100758001E-2</v>
      </c>
      <c r="C97" s="11"/>
      <c r="D97" s="51">
        <f t="shared" si="1"/>
        <v>24</v>
      </c>
      <c r="E97" s="56">
        <f>'Mastercurve bestimmen'!A41</f>
        <v>1000000000</v>
      </c>
    </row>
    <row r="98" spans="1:5" x14ac:dyDescent="0.25">
      <c r="A98" s="50">
        <f t="shared" si="0"/>
        <v>25</v>
      </c>
      <c r="B98" s="56">
        <f>'Mastercurve bestimmen'!C42</f>
        <v>3.9001792876272805E-2</v>
      </c>
      <c r="C98" s="11"/>
      <c r="D98" s="51">
        <f t="shared" si="1"/>
        <v>25</v>
      </c>
      <c r="E98" s="56">
        <f>'Mastercurve bestimmen'!A42</f>
        <v>10000000000</v>
      </c>
    </row>
    <row r="99" spans="1:5" x14ac:dyDescent="0.25">
      <c r="A99" s="50">
        <f t="shared" si="0"/>
        <v>26</v>
      </c>
      <c r="B99" s="56">
        <f>'Mastercurve bestimmen'!C43</f>
        <v>4.5862342503385417E-2</v>
      </c>
      <c r="C99" s="11"/>
      <c r="D99" s="51">
        <f t="shared" si="1"/>
        <v>26</v>
      </c>
      <c r="E99" s="56">
        <f>'Mastercurve bestimmen'!A43</f>
        <v>100000000000</v>
      </c>
    </row>
    <row r="100" spans="1:5" x14ac:dyDescent="0.25">
      <c r="A100" s="50">
        <f t="shared" si="0"/>
        <v>27</v>
      </c>
      <c r="B100" s="56">
        <f>'Mastercurve bestimmen'!C44</f>
        <v>5.0364270464190349E-2</v>
      </c>
      <c r="C100" s="11"/>
      <c r="D100" s="51">
        <f t="shared" si="1"/>
        <v>27</v>
      </c>
      <c r="E100" s="56">
        <f>'Mastercurve bestimmen'!A44</f>
        <v>1000000000000</v>
      </c>
    </row>
    <row r="101" spans="1:5" x14ac:dyDescent="0.25">
      <c r="A101" s="50">
        <f t="shared" si="0"/>
        <v>28</v>
      </c>
      <c r="B101" s="56">
        <f>'Mastercurve bestimmen'!C45</f>
        <v>4.7472549330169547E-2</v>
      </c>
      <c r="C101" s="11"/>
      <c r="D101" s="51">
        <f t="shared" si="1"/>
        <v>28</v>
      </c>
      <c r="E101" s="56">
        <f>'Mastercurve bestimmen'!A45</f>
        <v>10000000000000</v>
      </c>
    </row>
    <row r="102" spans="1:5" x14ac:dyDescent="0.25">
      <c r="A102" s="50">
        <f t="shared" si="0"/>
        <v>29</v>
      </c>
      <c r="B102" s="56">
        <f>'Mastercurve bestimmen'!C46</f>
        <v>3.4265272438938038E-2</v>
      </c>
      <c r="C102" s="11"/>
      <c r="D102" s="51">
        <f t="shared" si="1"/>
        <v>29</v>
      </c>
      <c r="E102" s="56">
        <f>'Mastercurve bestimmen'!A46</f>
        <v>100000000000000</v>
      </c>
    </row>
    <row r="103" spans="1:5" x14ac:dyDescent="0.25">
      <c r="A103" s="50">
        <f t="shared" si="0"/>
        <v>30</v>
      </c>
      <c r="B103" s="56">
        <f>'Mastercurve bestimmen'!C47</f>
        <v>1.7817533491132281E-2</v>
      </c>
      <c r="C103" s="11"/>
      <c r="D103" s="51">
        <f t="shared" si="1"/>
        <v>30</v>
      </c>
      <c r="E103" s="56">
        <f>'Mastercurve bestimmen'!A47</f>
        <v>1000000000000000</v>
      </c>
    </row>
    <row r="104" spans="1:5" x14ac:dyDescent="0.25">
      <c r="A104" s="50">
        <f t="shared" si="0"/>
        <v>31</v>
      </c>
      <c r="B104" s="56">
        <f>'Mastercurve bestimmen'!C48</f>
        <v>3.0591851493341829E-2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E69" sqref="E69"/>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6172.4582725066966</v>
      </c>
      <c r="G16" s="26">
        <f>INDEX(Comparison!$AM$3:$AS$33,G14,$B$3)</f>
        <v>6171.4179467154336</v>
      </c>
      <c r="H16" s="26">
        <f>INDEX(Comparison!$AM$3:$AS$33,H14,$B$3)</f>
        <v>6160.9029577093925</v>
      </c>
      <c r="I16" s="26">
        <f>INDEX(Comparison!$AM$3:$AS$33,I14,$B$3)</f>
        <v>6080.1494402060262</v>
      </c>
      <c r="J16" s="26">
        <f>INDEX(Comparison!$AM$3:$AS$33,J14,$B$3)</f>
        <v>5909.4727930371473</v>
      </c>
      <c r="K16" s="26">
        <f>INDEX(Comparison!$AM$3:$AS$33,K14,$B$3)</f>
        <v>5793.8515184178423</v>
      </c>
      <c r="L16" s="26">
        <f>INDEX(Comparison!$AM$3:$AS$33,L14,$B$3)</f>
        <v>5680.232087661574</v>
      </c>
      <c r="M16" s="26">
        <f>INDEX(Comparison!$AM$3:$AS$33,M14,$B$3)</f>
        <v>5553.2872228346014</v>
      </c>
      <c r="N16" s="26">
        <f>INDEX(Comparison!$AM$3:$AS$33,N14,$B$3)</f>
        <v>5418.4008813428445</v>
      </c>
      <c r="O16" s="26">
        <f>INDEX(Comparison!$AM$3:$AS$33,O14,$B$3)</f>
        <v>5266.5010696158342</v>
      </c>
      <c r="P16" s="26">
        <f>INDEX(Comparison!$AM$3:$AS$33,P14,$B$3)</f>
        <v>5102.6301031593184</v>
      </c>
      <c r="Q16" s="26">
        <f>INDEX(Comparison!$AM$3:$AS$33,Q14,$B$3)</f>
        <v>4935.1703334559215</v>
      </c>
      <c r="R16" s="26">
        <f>INDEX(Comparison!$AM$3:$AS$33,R14,$B$3)</f>
        <v>4773.9141111745284</v>
      </c>
      <c r="S16" s="26">
        <f>INDEX(Comparison!$AM$3:$AS$33,S14,$B$3)</f>
        <v>4598.1434168288733</v>
      </c>
      <c r="T16" s="26">
        <f>INDEX(Comparison!$AM$3:$AS$33,T14,$B$3)</f>
        <v>4383.948625533154</v>
      </c>
      <c r="U16" s="26">
        <f>INDEX(Comparison!$AM$3:$AS$33,U14,$B$3)</f>
        <v>4152.9128127042486</v>
      </c>
      <c r="V16" s="26">
        <f>INDEX(Comparison!$AM$3:$AS$33,V14,$B$3)</f>
        <v>3937.3787582645855</v>
      </c>
      <c r="W16" s="26">
        <f>INDEX(Comparison!$AM$3:$AS$33,W14,$B$3)</f>
        <v>3687.7590044854528</v>
      </c>
      <c r="X16" s="26">
        <f>INDEX(Comparison!$AM$3:$AS$33,X14,$B$3)</f>
        <v>3362.1408606761684</v>
      </c>
      <c r="Y16" s="26">
        <f>INDEX(Comparison!$AM$3:$AS$33,Y14,$B$3)</f>
        <v>3051.8261997186564</v>
      </c>
      <c r="Z16" s="26">
        <f>INDEX(Comparison!$AM$3:$AS$33,Z14,$B$3)</f>
        <v>2781.8342661671418</v>
      </c>
      <c r="AA16" s="26">
        <f>INDEX(Comparison!$AM$3:$AS$33,AA14,$B$3)</f>
        <v>2548.0002478694637</v>
      </c>
      <c r="AB16" s="26">
        <f>INDEX(Comparison!$AM$3:$AS$33,AB14,$B$3)</f>
        <v>2324.6967439739478</v>
      </c>
      <c r="AC16" s="26">
        <f>INDEX(Comparison!$AM$3:$AS$33,AC14,$B$3)</f>
        <v>2110.9011240283112</v>
      </c>
      <c r="AD16" s="26">
        <f>INDEX(Comparison!$AM$3:$AS$33,AD14,$B$3)</f>
        <v>1889.1026777393556</v>
      </c>
      <c r="AE16" s="26">
        <f>INDEX(Comparison!$AM$3:$AS$33,AE14,$B$3)</f>
        <v>1651.1191781124999</v>
      </c>
      <c r="AF16" s="26">
        <f>INDEX(Comparison!$AM$3:$AS$33,AF14,$B$3)</f>
        <v>1380.4414853809117</v>
      </c>
      <c r="AG16" s="26">
        <f>INDEX(Comparison!$AM$3:$AS$33,AG14,$B$3)</f>
        <v>1081.4922585918935</v>
      </c>
      <c r="AH16" s="26">
        <f>INDEX(Comparison!$AM$3:$AS$33,AH14,$B$3)</f>
        <v>789.75528719390093</v>
      </c>
      <c r="AI16" s="26">
        <f>INDEX(Comparison!$AM$3:$AS$33,AI14,$B$3)</f>
        <v>556.62130157468891</v>
      </c>
      <c r="AJ16" s="26">
        <f>INDEX(Comparison!$AM$3:$AS$33,AJ14,$B$3)</f>
        <v>403.21517792249892</v>
      </c>
    </row>
    <row r="17" spans="1:36" x14ac:dyDescent="0.25">
      <c r="A17" s="14" t="s">
        <v>20</v>
      </c>
      <c r="B17" s="105">
        <v>5.5737674480131519E-2</v>
      </c>
      <c r="C17" s="18">
        <f t="shared" ref="C17:C48" si="3">ABS(B17/$B$49)</f>
        <v>3.0892596949155148E-2</v>
      </c>
      <c r="D17" s="66"/>
      <c r="E17" s="65" t="s">
        <v>22</v>
      </c>
      <c r="F17" s="27">
        <f>($C$17+SUM(F18:F48))*$B$51</f>
        <v>6173.9046135816479</v>
      </c>
      <c r="G17" s="27">
        <f t="shared" ref="G17:M17" si="4">($C$17+SUM(G18:G48))*$B$51</f>
        <v>6172.3312882105174</v>
      </c>
      <c r="H17" s="27">
        <f t="shared" si="4"/>
        <v>6157.8641096309348</v>
      </c>
      <c r="I17" s="27">
        <f t="shared" si="4"/>
        <v>6080.9281792358552</v>
      </c>
      <c r="J17" s="27">
        <f t="shared" si="4"/>
        <v>5909.3606415546228</v>
      </c>
      <c r="K17" s="27">
        <f t="shared" si="4"/>
        <v>5793.8667366856271</v>
      </c>
      <c r="L17" s="27">
        <f t="shared" si="4"/>
        <v>5680.2273289336881</v>
      </c>
      <c r="M17" s="27">
        <f t="shared" si="4"/>
        <v>5553.2931810006148</v>
      </c>
      <c r="N17" s="27">
        <f t="shared" ref="N17" si="5">($C$17+SUM(N18:N48))*$B$51</f>
        <v>5418.3888613252939</v>
      </c>
      <c r="O17" s="27">
        <f t="shared" ref="O17" si="6">($C$17+SUM(O18:O48))*$B$51</f>
        <v>5266.5297759211244</v>
      </c>
      <c r="P17" s="27">
        <f t="shared" ref="P17" si="7">($C$17+SUM(P18:P48))*$B$51</f>
        <v>5102.5689570135119</v>
      </c>
      <c r="Q17" s="27">
        <f t="shared" ref="Q17" si="8">($C$17+SUM(Q18:Q48))*$B$51</f>
        <v>4935.2712683659574</v>
      </c>
      <c r="R17" s="27">
        <f t="shared" ref="R17" si="9">($C$17+SUM(R18:R48))*$B$51</f>
        <v>4773.784556129599</v>
      </c>
      <c r="S17" s="27">
        <f t="shared" ref="S17:T17" si="10">($C$17+SUM(S18:S48))*$B$51</f>
        <v>4598.2788297202487</v>
      </c>
      <c r="T17" s="27">
        <f t="shared" si="10"/>
        <v>4383.8268796256434</v>
      </c>
      <c r="U17" s="27">
        <f t="shared" ref="U17" si="11">($C$17+SUM(U18:U48))*$B$51</f>
        <v>4153.0122982841449</v>
      </c>
      <c r="V17" s="27">
        <f t="shared" ref="V17" si="12">($C$17+SUM(V18:V48))*$B$51</f>
        <v>3937.3036380413641</v>
      </c>
      <c r="W17" s="27">
        <f t="shared" ref="W17" si="13">($C$17+SUM(W18:W48))*$B$51</f>
        <v>3687.8107504146938</v>
      </c>
      <c r="X17" s="27">
        <f t="shared" ref="X17" si="14">($C$17+SUM(X18:X48))*$B$51</f>
        <v>3362.1117437417547</v>
      </c>
      <c r="Y17" s="27">
        <f t="shared" ref="Y17" si="15">($C$17+SUM(Y18:Y48))*$B$51</f>
        <v>3051.8377446941754</v>
      </c>
      <c r="Z17" s="27">
        <f t="shared" ref="Z17:AA17" si="16">($C$17+SUM(Z18:Z48))*$B$51</f>
        <v>2781.8340810801142</v>
      </c>
      <c r="AA17" s="27">
        <f t="shared" si="16"/>
        <v>2547.995143449898</v>
      </c>
      <c r="AB17" s="27">
        <f t="shared" ref="AB17" si="17">($C$17+SUM(AB18:AB48))*$B$51</f>
        <v>2324.7063490857859</v>
      </c>
      <c r="AC17" s="27">
        <f t="shared" ref="AC17" si="18">($C$17+SUM(AC18:AC48))*$B$51</f>
        <v>2110.8895492200577</v>
      </c>
      <c r="AD17" s="27">
        <f t="shared" ref="AD17" si="19">($C$17+SUM(AD18:AD48))*$B$51</f>
        <v>1889.1090964058376</v>
      </c>
      <c r="AE17" s="27">
        <f t="shared" ref="AE17" si="20">($C$17+SUM(AE18:AE48))*$B$51</f>
        <v>1651.1223504671821</v>
      </c>
      <c r="AF17" s="27">
        <f t="shared" ref="AF17" si="21">($C$17+SUM(AF18:AF48))*$B$51</f>
        <v>1380.4340860089612</v>
      </c>
      <c r="AG17" s="27">
        <f t="shared" ref="AG17:AH17" si="22">($C$17+SUM(AG18:AG48))*$B$51</f>
        <v>1081.4996193099159</v>
      </c>
      <c r="AH17" s="27">
        <f t="shared" si="22"/>
        <v>789.74890475439133</v>
      </c>
      <c r="AI17" s="27">
        <f t="shared" ref="AI17" si="23">($C$17+SUM(AI18:AI48))*$B$51</f>
        <v>556.62618133496085</v>
      </c>
      <c r="AJ17" s="27">
        <f t="shared" ref="AJ17" si="24">($C$17+SUM(AJ18:AJ48))*$B$51</f>
        <v>403.21346720289654</v>
      </c>
    </row>
    <row r="18" spans="1:36" x14ac:dyDescent="0.25">
      <c r="A18" s="3">
        <f>0.000000000000001/10^5</f>
        <v>1.0000000000000001E-20</v>
      </c>
      <c r="B18" s="106">
        <v>4.9158871248978454E-3</v>
      </c>
      <c r="C18" s="18">
        <f t="shared" si="3"/>
        <v>2.724629633608853E-3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1.6319692952468275E-2</v>
      </c>
      <c r="C20" s="18">
        <f t="shared" si="3"/>
        <v>9.0451871452635561E-3</v>
      </c>
      <c r="D20" s="17"/>
      <c r="F20" s="3">
        <f t="shared" si="25"/>
        <v>9.0243103233204058E-3</v>
      </c>
      <c r="G20" s="3">
        <f t="shared" si="25"/>
        <v>8.8385739557263164E-3</v>
      </c>
      <c r="H20" s="3">
        <f t="shared" si="25"/>
        <v>7.1790006075166442E-3</v>
      </c>
      <c r="I20" s="3">
        <f t="shared" si="25"/>
        <v>8.9718476264921047E-4</v>
      </c>
      <c r="J20" s="3">
        <f t="shared" si="25"/>
        <v>8.3379805851782463E-13</v>
      </c>
      <c r="K20" s="3">
        <f t="shared" si="25"/>
        <v>4.0072901023418814E-103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6.2813251961229333E-2</v>
      </c>
      <c r="C21" s="18">
        <f t="shared" si="3"/>
        <v>3.4814234608867525E-2</v>
      </c>
      <c r="D21" s="17"/>
      <c r="F21" s="3">
        <f t="shared" si="25"/>
        <v>3.4806978451694483E-2</v>
      </c>
      <c r="G21" s="3">
        <f t="shared" si="25"/>
        <v>3.4741741055733362E-2</v>
      </c>
      <c r="H21" s="3">
        <f t="shared" si="25"/>
        <v>3.4096054382853389E-2</v>
      </c>
      <c r="I21" s="3">
        <f t="shared" si="25"/>
        <v>2.8263737166852276E-2</v>
      </c>
      <c r="J21" s="3">
        <f t="shared" si="25"/>
        <v>4.3299630793127682E-3</v>
      </c>
      <c r="K21" s="3">
        <f t="shared" si="25"/>
        <v>3.0834028356032336E-11</v>
      </c>
      <c r="L21" s="3">
        <f t="shared" si="25"/>
        <v>1.0339296975983772E-92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3.0198200005254857E-2</v>
      </c>
      <c r="C22" s="18">
        <f t="shared" si="3"/>
        <v>1.6737347405566028E-2</v>
      </c>
      <c r="D22" s="17"/>
      <c r="F22" s="3">
        <f t="shared" si="25"/>
        <v>1.6737032685647028E-2</v>
      </c>
      <c r="G22" s="3">
        <f t="shared" si="25"/>
        <v>1.6734200472664613E-2</v>
      </c>
      <c r="H22" s="3">
        <f t="shared" si="25"/>
        <v>1.6705904688895264E-2</v>
      </c>
      <c r="I22" s="3">
        <f t="shared" si="25"/>
        <v>1.6425565034223242E-2</v>
      </c>
      <c r="J22" s="3">
        <f t="shared" si="25"/>
        <v>1.3868308873159764E-2</v>
      </c>
      <c r="K22" s="3">
        <f t="shared" si="25"/>
        <v>2.5530268439919626E-3</v>
      </c>
      <c r="L22" s="3">
        <f t="shared" si="25"/>
        <v>1.1412325166599282E-10</v>
      </c>
      <c r="M22" s="3">
        <f t="shared" si="25"/>
        <v>3.635479484053376E-84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3.4733443138864596E-2</v>
      </c>
      <c r="C23" s="18">
        <f t="shared" si="3"/>
        <v>1.9251005169364045E-2</v>
      </c>
      <c r="D23" s="17"/>
      <c r="F23" s="3">
        <f t="shared" si="25"/>
        <v>1.9250972514993501E-2</v>
      </c>
      <c r="G23" s="3">
        <f t="shared" si="25"/>
        <v>1.9250678628151115E-2</v>
      </c>
      <c r="H23" s="3">
        <f t="shared" si="25"/>
        <v>1.9247740006473446E-2</v>
      </c>
      <c r="I23" s="3">
        <f t="shared" si="25"/>
        <v>1.9218378450381456E-2</v>
      </c>
      <c r="J23" s="3">
        <f t="shared" si="25"/>
        <v>1.8927215085066736E-2</v>
      </c>
      <c r="K23" s="3">
        <f t="shared" si="25"/>
        <v>1.6247497477876342E-2</v>
      </c>
      <c r="L23" s="3">
        <f t="shared" si="25"/>
        <v>3.5300762521960336E-3</v>
      </c>
      <c r="M23" s="3">
        <f t="shared" si="25"/>
        <v>8.2748507621589603E-10</v>
      </c>
      <c r="N23" s="3">
        <f t="shared" si="25"/>
        <v>4.1449663009041992E-76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3.9515071827037881E-2</v>
      </c>
      <c r="C24" s="18">
        <f t="shared" si="3"/>
        <v>2.190122208641376E-2</v>
      </c>
      <c r="D24" s="17"/>
      <c r="F24" s="3">
        <f t="shared" si="25"/>
        <v>2.1901218735191894E-2</v>
      </c>
      <c r="G24" s="3">
        <f t="shared" si="25"/>
        <v>2.1901188574218168E-2</v>
      </c>
      <c r="H24" s="3">
        <f t="shared" si="25"/>
        <v>2.1900886966765388E-2</v>
      </c>
      <c r="I24" s="3">
        <f t="shared" si="25"/>
        <v>2.1897871120671809E-2</v>
      </c>
      <c r="J24" s="3">
        <f t="shared" si="25"/>
        <v>2.1867735491524619E-2</v>
      </c>
      <c r="K24" s="3">
        <f t="shared" si="25"/>
        <v>2.1568650787912445E-2</v>
      </c>
      <c r="L24" s="3">
        <f t="shared" si="25"/>
        <v>1.8793802021699738E-2</v>
      </c>
      <c r="M24" s="3">
        <f t="shared" si="25"/>
        <v>4.741670089205282E-3</v>
      </c>
      <c r="N24" s="3">
        <f t="shared" si="25"/>
        <v>4.9556222728438915E-9</v>
      </c>
      <c r="O24" s="3">
        <f t="shared" si="25"/>
        <v>7.7048966905131628E-69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4.0590506282942154E-2</v>
      </c>
      <c r="C25" s="18">
        <f t="shared" si="3"/>
        <v>2.2497281457411155E-2</v>
      </c>
      <c r="D25" s="17"/>
      <c r="F25" s="3">
        <f t="shared" si="25"/>
        <v>2.2497281146875481E-2</v>
      </c>
      <c r="G25" s="3">
        <f t="shared" si="25"/>
        <v>2.2497278352054634E-2</v>
      </c>
      <c r="H25" s="3">
        <f t="shared" si="25"/>
        <v>2.2497250403865247E-2</v>
      </c>
      <c r="I25" s="3">
        <f t="shared" si="25"/>
        <v>2.2496970923880918E-2</v>
      </c>
      <c r="J25" s="3">
        <f t="shared" si="25"/>
        <v>2.2494176314987135E-2</v>
      </c>
      <c r="K25" s="3">
        <f t="shared" si="25"/>
        <v>2.2466249312223366E-2</v>
      </c>
      <c r="L25" s="3">
        <f t="shared" si="25"/>
        <v>2.2188879158139489E-2</v>
      </c>
      <c r="M25" s="3">
        <f t="shared" si="25"/>
        <v>1.9596714904581317E-2</v>
      </c>
      <c r="N25" s="3">
        <f t="shared" si="25"/>
        <v>5.6579925300794236E-3</v>
      </c>
      <c r="O25" s="3">
        <f t="shared" si="25"/>
        <v>2.277473446871467E-8</v>
      </c>
      <c r="P25" s="3">
        <f t="shared" si="25"/>
        <v>2.5430965398552621E-62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4.8207816486286609E-2</v>
      </c>
      <c r="C26" s="18">
        <f t="shared" si="3"/>
        <v>2.6719174389677101E-2</v>
      </c>
      <c r="D26" s="17"/>
      <c r="F26" s="3">
        <f t="shared" si="25"/>
        <v>2.6719174356407232E-2</v>
      </c>
      <c r="G26" s="3">
        <f t="shared" si="25"/>
        <v>2.671917405697842E-2</v>
      </c>
      <c r="H26" s="3">
        <f t="shared" si="25"/>
        <v>2.6719171062690481E-2</v>
      </c>
      <c r="I26" s="3">
        <f t="shared" si="25"/>
        <v>2.6719141119829523E-2</v>
      </c>
      <c r="J26" s="3">
        <f t="shared" si="25"/>
        <v>2.6718841693065501E-2</v>
      </c>
      <c r="K26" s="3">
        <f t="shared" si="25"/>
        <v>2.6715847609972209E-2</v>
      </c>
      <c r="L26" s="3">
        <f t="shared" si="25"/>
        <v>2.6685925226082697E-2</v>
      </c>
      <c r="M26" s="3">
        <f t="shared" si="25"/>
        <v>2.6388538465499219E-2</v>
      </c>
      <c r="N26" s="3">
        <f t="shared" si="25"/>
        <v>2.3590984399435487E-2</v>
      </c>
      <c r="O26" s="3">
        <f t="shared" si="25"/>
        <v>7.6922488138971281E-3</v>
      </c>
      <c r="P26" s="3">
        <f t="shared" si="25"/>
        <v>1.0450231816885603E-7</v>
      </c>
      <c r="Q26" s="3">
        <f t="shared" si="25"/>
        <v>2.2379580125375907E-56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5.1004515487119068E-2</v>
      </c>
      <c r="C27" s="18">
        <f t="shared" si="3"/>
        <v>2.8269244352707574E-2</v>
      </c>
      <c r="D27" s="17"/>
      <c r="F27" s="3">
        <f t="shared" si="25"/>
        <v>2.8269244349532246E-2</v>
      </c>
      <c r="G27" s="3">
        <f t="shared" si="25"/>
        <v>2.8269244320954276E-2</v>
      </c>
      <c r="H27" s="3">
        <f t="shared" si="25"/>
        <v>2.8269244035174598E-2</v>
      </c>
      <c r="I27" s="3">
        <f t="shared" si="25"/>
        <v>2.8269241177377964E-2</v>
      </c>
      <c r="J27" s="3">
        <f t="shared" si="25"/>
        <v>2.8269212599427506E-2</v>
      </c>
      <c r="K27" s="3">
        <f t="shared" si="25"/>
        <v>2.8268926821511917E-2</v>
      </c>
      <c r="L27" s="3">
        <f t="shared" si="25"/>
        <v>2.8266069201244751E-2</v>
      </c>
      <c r="M27" s="3">
        <f t="shared" si="25"/>
        <v>2.8237508881506099E-2</v>
      </c>
      <c r="N27" s="3">
        <f t="shared" si="25"/>
        <v>2.7953488052589986E-2</v>
      </c>
      <c r="O27" s="3">
        <f t="shared" si="25"/>
        <v>2.5265754568615774E-2</v>
      </c>
      <c r="P27" s="3">
        <f t="shared" si="25"/>
        <v>9.1937974765338871E-3</v>
      </c>
      <c r="Q27" s="3">
        <f t="shared" si="25"/>
        <v>3.7421529103001307E-7</v>
      </c>
      <c r="R27" s="3">
        <f t="shared" si="25"/>
        <v>4.6707594024997031E-51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5.1942716489039434E-2</v>
      </c>
      <c r="C28" s="18">
        <f t="shared" si="3"/>
        <v>2.8789242104317232E-2</v>
      </c>
      <c r="D28" s="17"/>
      <c r="F28" s="3">
        <f t="shared" si="25"/>
        <v>2.8789242104025524E-2</v>
      </c>
      <c r="G28" s="3">
        <f t="shared" si="25"/>
        <v>2.8789242101400131E-2</v>
      </c>
      <c r="H28" s="3">
        <f t="shared" si="25"/>
        <v>2.8789242075146222E-2</v>
      </c>
      <c r="I28" s="3">
        <f t="shared" si="25"/>
        <v>2.8789241812607138E-2</v>
      </c>
      <c r="J28" s="3">
        <f t="shared" si="25"/>
        <v>2.8789239187216414E-2</v>
      </c>
      <c r="K28" s="3">
        <f t="shared" si="25"/>
        <v>2.8789212933322365E-2</v>
      </c>
      <c r="L28" s="3">
        <f t="shared" si="25"/>
        <v>2.8788950395698648E-2</v>
      </c>
      <c r="M28" s="3">
        <f t="shared" si="25"/>
        <v>2.8786325151136719E-2</v>
      </c>
      <c r="N28" s="3">
        <f t="shared" si="25"/>
        <v>2.8760085868599513E-2</v>
      </c>
      <c r="O28" s="3">
        <f t="shared" si="25"/>
        <v>2.8499004920816966E-2</v>
      </c>
      <c r="P28" s="3">
        <f t="shared" si="25"/>
        <v>2.601506263082316E-2</v>
      </c>
      <c r="Q28" s="3">
        <f t="shared" si="25"/>
        <v>1.0451452964916803E-2</v>
      </c>
      <c r="R28" s="3">
        <f t="shared" si="25"/>
        <v>1.1447077332925832E-6</v>
      </c>
      <c r="S28" s="3">
        <f t="shared" si="25"/>
        <v>2.8436365023506681E-46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4.6180278260497851E-2</v>
      </c>
      <c r="C29" s="18">
        <f t="shared" si="3"/>
        <v>2.5595411660203616E-2</v>
      </c>
      <c r="D29" s="17"/>
      <c r="F29" s="3">
        <f t="shared" si="25"/>
        <v>2.5595411660180221E-2</v>
      </c>
      <c r="G29" s="3">
        <f t="shared" si="25"/>
        <v>2.5595411659969661E-2</v>
      </c>
      <c r="H29" s="3">
        <f t="shared" si="25"/>
        <v>2.5595411657864078E-2</v>
      </c>
      <c r="I29" s="3">
        <f t="shared" si="25"/>
        <v>2.5595411636808243E-2</v>
      </c>
      <c r="J29" s="3">
        <f t="shared" si="25"/>
        <v>2.5595411426249905E-2</v>
      </c>
      <c r="K29" s="3">
        <f t="shared" si="25"/>
        <v>2.5595409320666611E-2</v>
      </c>
      <c r="L29" s="3">
        <f t="shared" si="25"/>
        <v>2.5595388264843193E-2</v>
      </c>
      <c r="M29" s="3">
        <f t="shared" si="25"/>
        <v>2.5595177707561662E-2</v>
      </c>
      <c r="N29" s="3">
        <f t="shared" si="25"/>
        <v>2.55930722300108E-2</v>
      </c>
      <c r="O29" s="3">
        <f t="shared" si="25"/>
        <v>2.5572026978046319E-2</v>
      </c>
      <c r="P29" s="3">
        <f t="shared" si="25"/>
        <v>2.5362523920433925E-2</v>
      </c>
      <c r="Q29" s="3">
        <f t="shared" si="25"/>
        <v>2.3359612096140476E-2</v>
      </c>
      <c r="R29" s="3">
        <f t="shared" si="25"/>
        <v>1.0261177434981119E-2</v>
      </c>
      <c r="S29" s="3">
        <f t="shared" si="25"/>
        <v>2.7448139020783558E-6</v>
      </c>
      <c r="T29" s="3">
        <f t="shared" si="25"/>
        <v>5.1483726818710226E-42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5.6963452515618372E-2</v>
      </c>
      <c r="C30" s="18">
        <f t="shared" si="3"/>
        <v>3.1571984224505523E-2</v>
      </c>
      <c r="D30" s="17"/>
      <c r="F30" s="3">
        <f t="shared" si="25"/>
        <v>3.1571984224502921E-2</v>
      </c>
      <c r="G30" s="3">
        <f t="shared" si="25"/>
        <v>3.1571984224479488E-2</v>
      </c>
      <c r="H30" s="3">
        <f t="shared" si="25"/>
        <v>3.1571984224245196E-2</v>
      </c>
      <c r="I30" s="3">
        <f t="shared" si="25"/>
        <v>3.1571984221902272E-2</v>
      </c>
      <c r="J30" s="3">
        <f t="shared" si="25"/>
        <v>3.1571984198472999E-2</v>
      </c>
      <c r="K30" s="3">
        <f t="shared" si="25"/>
        <v>3.1571983964180275E-2</v>
      </c>
      <c r="L30" s="3">
        <f t="shared" si="25"/>
        <v>3.1571981621253166E-2</v>
      </c>
      <c r="M30" s="3">
        <f t="shared" si="25"/>
        <v>3.1571958191991628E-2</v>
      </c>
      <c r="N30" s="3">
        <f t="shared" si="25"/>
        <v>3.1571723900332485E-2</v>
      </c>
      <c r="O30" s="3">
        <f t="shared" si="25"/>
        <v>3.1569381079364682E-2</v>
      </c>
      <c r="P30" s="3">
        <f t="shared" si="25"/>
        <v>3.1545962429423091E-2</v>
      </c>
      <c r="Q30" s="3">
        <f t="shared" si="25"/>
        <v>3.1312729284003436E-2</v>
      </c>
      <c r="R30" s="3">
        <f t="shared" si="25"/>
        <v>2.9073166722080705E-2</v>
      </c>
      <c r="S30" s="3">
        <f t="shared" si="25"/>
        <v>1.3842243787879882E-2</v>
      </c>
      <c r="T30" s="3">
        <f t="shared" si="25"/>
        <v>8.2860594126941993E-6</v>
      </c>
      <c r="U30" s="3">
        <f t="shared" si="25"/>
        <v>4.8951221718012242E-38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7.3286531708279035E-2</v>
      </c>
      <c r="C31" s="18">
        <f t="shared" si="3"/>
        <v>4.0619048192840942E-2</v>
      </c>
      <c r="D31" s="17"/>
      <c r="F31" s="3">
        <f t="shared" si="25"/>
        <v>4.0619048192840637E-2</v>
      </c>
      <c r="G31" s="3">
        <f t="shared" si="25"/>
        <v>4.0619048192837924E-2</v>
      </c>
      <c r="H31" s="3">
        <f t="shared" si="25"/>
        <v>4.0619048192810731E-2</v>
      </c>
      <c r="I31" s="3">
        <f t="shared" si="25"/>
        <v>4.0619048192538816E-2</v>
      </c>
      <c r="J31" s="3">
        <f t="shared" si="25"/>
        <v>4.0619048189819665E-2</v>
      </c>
      <c r="K31" s="3">
        <f t="shared" si="25"/>
        <v>4.0619048162628159E-2</v>
      </c>
      <c r="L31" s="3">
        <f t="shared" si="25"/>
        <v>4.0619047890713106E-2</v>
      </c>
      <c r="M31" s="3">
        <f t="shared" si="25"/>
        <v>4.0619045171562666E-2</v>
      </c>
      <c r="N31" s="3">
        <f t="shared" si="25"/>
        <v>4.0619017980068284E-2</v>
      </c>
      <c r="O31" s="3">
        <f t="shared" si="25"/>
        <v>4.0618746066125609E-2</v>
      </c>
      <c r="P31" s="3">
        <f t="shared" si="25"/>
        <v>4.0616027026811191E-2</v>
      </c>
      <c r="Q31" s="3">
        <f t="shared" si="25"/>
        <v>4.058884664241922E-2</v>
      </c>
      <c r="R31" s="3">
        <f t="shared" si="25"/>
        <v>4.031804119910691E-2</v>
      </c>
      <c r="S31" s="3">
        <f t="shared" si="25"/>
        <v>3.7707397564168806E-2</v>
      </c>
      <c r="T31" s="3">
        <f t="shared" si="25"/>
        <v>1.9306249573856515E-2</v>
      </c>
      <c r="U31" s="3">
        <f t="shared" si="25"/>
        <v>2.3900747152296776E-5</v>
      </c>
      <c r="V31" s="3">
        <f t="shared" si="26"/>
        <v>2.0209105525890358E-34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6.8130323574216015E-2</v>
      </c>
      <c r="C32" s="18">
        <f t="shared" si="3"/>
        <v>3.7761220679273885E-2</v>
      </c>
      <c r="D32" s="17"/>
      <c r="F32" s="3">
        <f t="shared" si="25"/>
        <v>3.7761220679273858E-2</v>
      </c>
      <c r="G32" s="3">
        <f t="shared" si="25"/>
        <v>3.7761220679273635E-2</v>
      </c>
      <c r="H32" s="3">
        <f t="shared" si="25"/>
        <v>3.7761220679271353E-2</v>
      </c>
      <c r="I32" s="3">
        <f t="shared" si="25"/>
        <v>3.7761220679248544E-2</v>
      </c>
      <c r="J32" s="3">
        <f t="shared" si="25"/>
        <v>3.7761220679020518E-2</v>
      </c>
      <c r="K32" s="3">
        <f t="shared" si="25"/>
        <v>3.7761220676740197E-2</v>
      </c>
      <c r="L32" s="3">
        <f t="shared" si="25"/>
        <v>3.7761220653936979E-2</v>
      </c>
      <c r="M32" s="3">
        <f t="shared" si="25"/>
        <v>3.776122042590481E-2</v>
      </c>
      <c r="N32" s="3">
        <f t="shared" si="25"/>
        <v>3.7761218145583156E-2</v>
      </c>
      <c r="O32" s="3">
        <f t="shared" si="25"/>
        <v>3.7761195342374203E-2</v>
      </c>
      <c r="P32" s="3">
        <f t="shared" si="25"/>
        <v>3.7760967311042067E-2</v>
      </c>
      <c r="Q32" s="3">
        <f t="shared" si="25"/>
        <v>3.7758687073455977E-2</v>
      </c>
      <c r="R32" s="3">
        <f t="shared" si="25"/>
        <v>3.7735892269429416E-2</v>
      </c>
      <c r="S32" s="3">
        <f t="shared" si="25"/>
        <v>3.7508699723514227E-2</v>
      </c>
      <c r="T32" s="3">
        <f t="shared" si="25"/>
        <v>3.5310662578521258E-2</v>
      </c>
      <c r="U32" s="3">
        <f t="shared" si="25"/>
        <v>1.9303872649333517E-2</v>
      </c>
      <c r="V32" s="3">
        <f t="shared" si="26"/>
        <v>4.6028859410966783E-5</v>
      </c>
      <c r="W32" s="3">
        <f t="shared" si="26"/>
        <v>2.7345628403529901E-31</v>
      </c>
      <c r="X32" s="3">
        <f t="shared" si="26"/>
        <v>1.4978380349599944E-293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5.7820829457364442E-2</v>
      </c>
      <c r="C33" s="18">
        <f t="shared" si="3"/>
        <v>3.2047185254004913E-2</v>
      </c>
      <c r="D33" s="17"/>
      <c r="F33" s="3">
        <f t="shared" si="25"/>
        <v>3.2047185254004906E-2</v>
      </c>
      <c r="G33" s="3">
        <f t="shared" si="25"/>
        <v>3.2047185254004892E-2</v>
      </c>
      <c r="H33" s="3">
        <f t="shared" si="25"/>
        <v>3.2047185254004719E-2</v>
      </c>
      <c r="I33" s="3">
        <f t="shared" si="25"/>
        <v>3.2047185254002977E-2</v>
      </c>
      <c r="J33" s="3">
        <f t="shared" si="25"/>
        <v>3.2047185253985512E-2</v>
      </c>
      <c r="K33" s="3">
        <f t="shared" si="25"/>
        <v>3.2047185253810936E-2</v>
      </c>
      <c r="L33" s="3">
        <f t="shared" si="25"/>
        <v>3.2047185252065173E-2</v>
      </c>
      <c r="M33" s="3">
        <f t="shared" si="25"/>
        <v>3.2047185234607485E-2</v>
      </c>
      <c r="N33" s="3">
        <f t="shared" si="25"/>
        <v>3.2047185060030667E-2</v>
      </c>
      <c r="O33" s="3">
        <f t="shared" si="25"/>
        <v>3.2047183314262505E-2</v>
      </c>
      <c r="P33" s="3">
        <f t="shared" si="25"/>
        <v>3.2047165856586089E-2</v>
      </c>
      <c r="Q33" s="3">
        <f t="shared" si="25"/>
        <v>3.2046991280345022E-2</v>
      </c>
      <c r="R33" s="3">
        <f t="shared" si="25"/>
        <v>3.204524557023853E-2</v>
      </c>
      <c r="S33" s="3">
        <f t="shared" si="25"/>
        <v>3.2027793698535603E-2</v>
      </c>
      <c r="T33" s="3">
        <f t="shared" si="25"/>
        <v>3.1853796865227491E-2</v>
      </c>
      <c r="U33" s="3">
        <f t="shared" ref="P33:AE48" si="27">$C33*EXP(-U$15/$A33)</f>
        <v>3.0164980161465085E-2</v>
      </c>
      <c r="V33" s="3">
        <f t="shared" si="27"/>
        <v>1.7495301146378549E-2</v>
      </c>
      <c r="W33" s="3">
        <f t="shared" si="27"/>
        <v>7.5353808296735461E-5</v>
      </c>
      <c r="X33" s="3">
        <f t="shared" si="27"/>
        <v>1.6555528211894937E-28</v>
      </c>
      <c r="Y33" s="3">
        <f t="shared" si="27"/>
        <v>4.3383181608442892E-265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9.9341855528225068E-2</v>
      </c>
      <c r="C34" s="18">
        <f t="shared" si="3"/>
        <v>5.5060207151423582E-2</v>
      </c>
      <c r="D34" s="17"/>
      <c r="F34" s="3">
        <f t="shared" ref="F34:O48" si="28">$C34*EXP(-F$15/$A34)</f>
        <v>5.5060207151423582E-2</v>
      </c>
      <c r="G34" s="3">
        <f t="shared" si="28"/>
        <v>5.5060207151423582E-2</v>
      </c>
      <c r="H34" s="3">
        <f t="shared" si="28"/>
        <v>5.5060207151423554E-2</v>
      </c>
      <c r="I34" s="3">
        <f t="shared" si="28"/>
        <v>5.5060207151423284E-2</v>
      </c>
      <c r="J34" s="3">
        <f t="shared" si="28"/>
        <v>5.5060207151420577E-2</v>
      </c>
      <c r="K34" s="3">
        <f t="shared" si="28"/>
        <v>5.5060207151393516E-2</v>
      </c>
      <c r="L34" s="3">
        <f t="shared" si="28"/>
        <v>5.5060207151122947E-2</v>
      </c>
      <c r="M34" s="3">
        <f t="shared" si="28"/>
        <v>5.5060207148417237E-2</v>
      </c>
      <c r="N34" s="3">
        <f t="shared" si="28"/>
        <v>5.5060207121360144E-2</v>
      </c>
      <c r="O34" s="3">
        <f t="shared" si="28"/>
        <v>5.5060206850789217E-2</v>
      </c>
      <c r="P34" s="3">
        <f t="shared" si="27"/>
        <v>5.5060204145080067E-2</v>
      </c>
      <c r="Q34" s="3">
        <f t="shared" si="27"/>
        <v>5.5060177087995772E-2</v>
      </c>
      <c r="R34" s="3">
        <f t="shared" si="27"/>
        <v>5.50599065178842E-2</v>
      </c>
      <c r="S34" s="3">
        <f t="shared" si="27"/>
        <v>5.5057200889895519E-2</v>
      </c>
      <c r="T34" s="3">
        <f t="shared" si="27"/>
        <v>5.5030151921388881E-2</v>
      </c>
      <c r="U34" s="3">
        <f t="shared" si="27"/>
        <v>5.4760392046715158E-2</v>
      </c>
      <c r="V34" s="3">
        <f t="shared" si="27"/>
        <v>5.2134464649330158E-2</v>
      </c>
      <c r="W34" s="3">
        <f t="shared" si="27"/>
        <v>3.1893972385057881E-2</v>
      </c>
      <c r="X34" s="3">
        <f t="shared" si="27"/>
        <v>2.3417771805162165E-4</v>
      </c>
      <c r="Y34" s="3">
        <f t="shared" si="27"/>
        <v>1.0663877020886488E-25</v>
      </c>
      <c r="Z34" s="3">
        <f t="shared" si="27"/>
        <v>4.088939749021356E-239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9.9895647202627252E-2</v>
      </c>
      <c r="C35" s="18">
        <f t="shared" si="3"/>
        <v>5.5367146096233756E-2</v>
      </c>
      <c r="D35" s="17"/>
      <c r="F35" s="3">
        <f t="shared" si="28"/>
        <v>5.5367146096233756E-2</v>
      </c>
      <c r="G35" s="3">
        <f t="shared" si="28"/>
        <v>5.5367146096233756E-2</v>
      </c>
      <c r="H35" s="3">
        <f t="shared" si="28"/>
        <v>5.5367146096233756E-2</v>
      </c>
      <c r="I35" s="3">
        <f t="shared" si="28"/>
        <v>5.5367146096233728E-2</v>
      </c>
      <c r="J35" s="3">
        <f t="shared" si="28"/>
        <v>5.5367146096233485E-2</v>
      </c>
      <c r="K35" s="3">
        <f t="shared" si="28"/>
        <v>5.5367146096231029E-2</v>
      </c>
      <c r="L35" s="3">
        <f t="shared" si="28"/>
        <v>5.5367146096206486E-2</v>
      </c>
      <c r="M35" s="3">
        <f t="shared" si="28"/>
        <v>5.5367146095961044E-2</v>
      </c>
      <c r="N35" s="3">
        <f t="shared" si="28"/>
        <v>5.5367146093506667E-2</v>
      </c>
      <c r="O35" s="3">
        <f t="shared" si="28"/>
        <v>5.5367146068962855E-2</v>
      </c>
      <c r="P35" s="3">
        <f t="shared" si="27"/>
        <v>5.5367145823524734E-2</v>
      </c>
      <c r="Q35" s="3">
        <f t="shared" si="27"/>
        <v>5.5367143369143612E-2</v>
      </c>
      <c r="R35" s="3">
        <f t="shared" si="27"/>
        <v>5.5367118825338402E-2</v>
      </c>
      <c r="S35" s="3">
        <f t="shared" si="27"/>
        <v>5.5366873387884687E-2</v>
      </c>
      <c r="T35" s="3">
        <f t="shared" si="27"/>
        <v>5.5364419073186802E-2</v>
      </c>
      <c r="U35" s="3">
        <f t="shared" si="27"/>
        <v>5.5339881909158804E-2</v>
      </c>
      <c r="V35" s="3">
        <f t="shared" si="27"/>
        <v>5.5095107583812204E-2</v>
      </c>
      <c r="W35" s="3">
        <f t="shared" si="27"/>
        <v>5.2706127627763909E-2</v>
      </c>
      <c r="X35" s="3">
        <f t="shared" si="27"/>
        <v>3.3833104350088544E-2</v>
      </c>
      <c r="Y35" s="3">
        <f t="shared" si="27"/>
        <v>4.0192890242179378E-4</v>
      </c>
      <c r="Z35" s="3">
        <f t="shared" si="27"/>
        <v>2.2502103924007743E-23</v>
      </c>
      <c r="AA35" s="3">
        <f t="shared" si="27"/>
        <v>6.8070982016056034E-216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8.4813445473470125E-2</v>
      </c>
      <c r="C36" s="18">
        <f t="shared" si="3"/>
        <v>4.7007838258753223E-2</v>
      </c>
      <c r="D36" s="17"/>
      <c r="F36" s="3">
        <f t="shared" si="28"/>
        <v>4.7007838258753223E-2</v>
      </c>
      <c r="G36" s="3">
        <f t="shared" si="28"/>
        <v>4.7007838258753223E-2</v>
      </c>
      <c r="H36" s="3">
        <f t="shared" si="28"/>
        <v>4.7007838258753223E-2</v>
      </c>
      <c r="I36" s="3">
        <f t="shared" si="28"/>
        <v>4.7007838258753223E-2</v>
      </c>
      <c r="J36" s="3">
        <f t="shared" si="28"/>
        <v>4.7007838258753203E-2</v>
      </c>
      <c r="K36" s="3">
        <f t="shared" si="28"/>
        <v>4.7007838258753015E-2</v>
      </c>
      <c r="L36" s="3">
        <f t="shared" si="28"/>
        <v>4.7007838258751135E-2</v>
      </c>
      <c r="M36" s="3">
        <f t="shared" si="28"/>
        <v>4.7007838258732337E-2</v>
      </c>
      <c r="N36" s="3">
        <f t="shared" si="28"/>
        <v>4.7007838258544356E-2</v>
      </c>
      <c r="O36" s="3">
        <f t="shared" si="28"/>
        <v>4.7007838256664582E-2</v>
      </c>
      <c r="P36" s="3">
        <f t="shared" si="27"/>
        <v>4.7007838237866792E-2</v>
      </c>
      <c r="Q36" s="3">
        <f t="shared" si="27"/>
        <v>4.7007838049888916E-2</v>
      </c>
      <c r="R36" s="3">
        <f t="shared" si="27"/>
        <v>4.7007836170110166E-2</v>
      </c>
      <c r="S36" s="3">
        <f t="shared" si="27"/>
        <v>4.7007817372326836E-2</v>
      </c>
      <c r="T36" s="3">
        <f t="shared" si="27"/>
        <v>4.700762939490695E-2</v>
      </c>
      <c r="U36" s="3">
        <f t="shared" si="27"/>
        <v>4.7005749662050782E-2</v>
      </c>
      <c r="V36" s="3">
        <f t="shared" si="27"/>
        <v>4.6986956467146755E-2</v>
      </c>
      <c r="W36" s="3">
        <f t="shared" si="27"/>
        <v>4.6799437272918423E-2</v>
      </c>
      <c r="X36" s="3">
        <f t="shared" si="27"/>
        <v>4.496491658570953E-2</v>
      </c>
      <c r="Y36" s="3">
        <f t="shared" si="27"/>
        <v>3.0144313827906288E-2</v>
      </c>
      <c r="Z36" s="3">
        <f t="shared" si="27"/>
        <v>5.5274077954669599E-4</v>
      </c>
      <c r="AA36" s="3">
        <f t="shared" si="27"/>
        <v>2.3751035489409054E-21</v>
      </c>
      <c r="AB36" s="3">
        <f t="shared" si="27"/>
        <v>5.0967457275140724E-195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7.8071856820191937E-2</v>
      </c>
      <c r="C37" s="18">
        <f t="shared" si="3"/>
        <v>4.3271313852142758E-2</v>
      </c>
      <c r="D37" s="17"/>
      <c r="F37" s="3">
        <f t="shared" si="28"/>
        <v>4.3271313852142758E-2</v>
      </c>
      <c r="G37" s="3">
        <f t="shared" si="28"/>
        <v>4.3271313852142758E-2</v>
      </c>
      <c r="H37" s="3">
        <f t="shared" si="28"/>
        <v>4.3271313852142758E-2</v>
      </c>
      <c r="I37" s="3">
        <f t="shared" si="28"/>
        <v>4.3271313852142758E-2</v>
      </c>
      <c r="J37" s="3">
        <f t="shared" si="28"/>
        <v>4.3271313852142758E-2</v>
      </c>
      <c r="K37" s="3">
        <f t="shared" si="28"/>
        <v>4.3271313852142737E-2</v>
      </c>
      <c r="L37" s="3">
        <f t="shared" si="28"/>
        <v>4.3271313852142584E-2</v>
      </c>
      <c r="M37" s="3">
        <f t="shared" si="28"/>
        <v>4.3271313852141023E-2</v>
      </c>
      <c r="N37" s="3">
        <f t="shared" si="28"/>
        <v>4.3271313852125418E-2</v>
      </c>
      <c r="O37" s="3">
        <f t="shared" si="28"/>
        <v>4.327131385196932E-2</v>
      </c>
      <c r="P37" s="3">
        <f t="shared" si="27"/>
        <v>4.3271313850408395E-2</v>
      </c>
      <c r="Q37" s="3">
        <f t="shared" si="27"/>
        <v>4.3271313834799104E-2</v>
      </c>
      <c r="R37" s="3">
        <f t="shared" si="27"/>
        <v>4.3271313678706208E-2</v>
      </c>
      <c r="S37" s="3">
        <f t="shared" si="27"/>
        <v>4.327131211777728E-2</v>
      </c>
      <c r="T37" s="3">
        <f t="shared" si="27"/>
        <v>4.3271296508491104E-2</v>
      </c>
      <c r="U37" s="3">
        <f t="shared" si="27"/>
        <v>4.3271140415939026E-2</v>
      </c>
      <c r="V37" s="3">
        <f t="shared" si="27"/>
        <v>4.3269579521386915E-2</v>
      </c>
      <c r="W37" s="3">
        <f t="shared" si="27"/>
        <v>4.325397367231873E-2</v>
      </c>
      <c r="X37" s="3">
        <f t="shared" si="27"/>
        <v>4.3098224414042374E-2</v>
      </c>
      <c r="Y37" s="3">
        <f t="shared" si="27"/>
        <v>4.1571246290476864E-2</v>
      </c>
      <c r="Z37" s="3">
        <f t="shared" si="27"/>
        <v>2.8982090581079367E-2</v>
      </c>
      <c r="AA37" s="3">
        <f t="shared" si="27"/>
        <v>7.8613359726040807E-4</v>
      </c>
      <c r="AB37" s="3">
        <f t="shared" si="27"/>
        <v>1.6949731979074356E-19</v>
      </c>
      <c r="AC37" s="3">
        <f t="shared" si="27"/>
        <v>3.6798288067241725E-176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4.0242726123179605E-2</v>
      </c>
      <c r="C38" s="18">
        <f t="shared" si="3"/>
        <v>2.2304524360839302E-2</v>
      </c>
      <c r="D38" s="17"/>
      <c r="F38" s="3">
        <f t="shared" si="28"/>
        <v>2.2304524360839302E-2</v>
      </c>
      <c r="G38" s="3">
        <f t="shared" si="28"/>
        <v>2.2304524360839302E-2</v>
      </c>
      <c r="H38" s="3">
        <f t="shared" si="28"/>
        <v>2.2304524360839302E-2</v>
      </c>
      <c r="I38" s="3">
        <f t="shared" si="28"/>
        <v>2.2304524360839302E-2</v>
      </c>
      <c r="J38" s="3">
        <f t="shared" si="28"/>
        <v>2.2304524360839302E-2</v>
      </c>
      <c r="K38" s="3">
        <f t="shared" si="28"/>
        <v>2.2304524360839302E-2</v>
      </c>
      <c r="L38" s="3">
        <f t="shared" si="28"/>
        <v>2.2304524360839295E-2</v>
      </c>
      <c r="M38" s="3">
        <f t="shared" si="28"/>
        <v>2.2304524360839219E-2</v>
      </c>
      <c r="N38" s="3">
        <f t="shared" si="28"/>
        <v>2.2304524360838494E-2</v>
      </c>
      <c r="O38" s="3">
        <f t="shared" si="28"/>
        <v>2.2304524360831236E-2</v>
      </c>
      <c r="P38" s="3">
        <f t="shared" si="27"/>
        <v>2.2304524360758655E-2</v>
      </c>
      <c r="Q38" s="3">
        <f t="shared" si="27"/>
        <v>2.2304524360032846E-2</v>
      </c>
      <c r="R38" s="3">
        <f t="shared" si="27"/>
        <v>2.2304524352774753E-2</v>
      </c>
      <c r="S38" s="3">
        <f t="shared" si="27"/>
        <v>2.2304524280193808E-2</v>
      </c>
      <c r="T38" s="3">
        <f t="shared" si="27"/>
        <v>2.2304523554384378E-2</v>
      </c>
      <c r="U38" s="3">
        <f t="shared" si="27"/>
        <v>2.2304516296291394E-2</v>
      </c>
      <c r="V38" s="3">
        <f t="shared" si="27"/>
        <v>2.2304443715491448E-2</v>
      </c>
      <c r="W38" s="3">
        <f t="shared" si="27"/>
        <v>2.2303717920481955E-2</v>
      </c>
      <c r="X38" s="3">
        <f t="shared" si="27"/>
        <v>2.2296461269230627E-2</v>
      </c>
      <c r="Y38" s="3">
        <f t="shared" si="27"/>
        <v>2.2224024484829158E-2</v>
      </c>
      <c r="Z38" s="3">
        <f t="shared" si="27"/>
        <v>2.1512474607823552E-2</v>
      </c>
      <c r="AA38" s="3">
        <f t="shared" si="27"/>
        <v>1.5536994400369729E-2</v>
      </c>
      <c r="AB38" s="3">
        <f t="shared" si="27"/>
        <v>5.9997533126037535E-4</v>
      </c>
      <c r="AC38" s="3">
        <f t="shared" si="27"/>
        <v>4.4238179238705623E-18</v>
      </c>
      <c r="AD38" s="3">
        <f t="shared" si="27"/>
        <v>2.1010468720060649E-159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5.7091972351157018E-2</v>
      </c>
      <c r="C39" s="18">
        <f t="shared" si="3"/>
        <v>3.1643216322297517E-2</v>
      </c>
      <c r="D39" s="17"/>
      <c r="F39" s="3">
        <f t="shared" si="28"/>
        <v>3.1643216322297517E-2</v>
      </c>
      <c r="G39" s="3">
        <f t="shared" si="28"/>
        <v>3.1643216322297517E-2</v>
      </c>
      <c r="H39" s="3">
        <f t="shared" si="28"/>
        <v>3.1643216322297517E-2</v>
      </c>
      <c r="I39" s="3">
        <f t="shared" si="28"/>
        <v>3.1643216322297517E-2</v>
      </c>
      <c r="J39" s="3">
        <f t="shared" si="28"/>
        <v>3.1643216322297517E-2</v>
      </c>
      <c r="K39" s="3">
        <f t="shared" si="28"/>
        <v>3.1643216322297517E-2</v>
      </c>
      <c r="L39" s="3">
        <f t="shared" si="28"/>
        <v>3.164321632229751E-2</v>
      </c>
      <c r="M39" s="3">
        <f t="shared" si="28"/>
        <v>3.1643216322297482E-2</v>
      </c>
      <c r="N39" s="3">
        <f t="shared" si="28"/>
        <v>3.1643216322297198E-2</v>
      </c>
      <c r="O39" s="3">
        <f t="shared" si="28"/>
        <v>3.1643216322294353E-2</v>
      </c>
      <c r="P39" s="3">
        <f t="shared" si="27"/>
        <v>3.1643216322265875E-2</v>
      </c>
      <c r="Q39" s="3">
        <f t="shared" si="27"/>
        <v>3.1643216321981082E-2</v>
      </c>
      <c r="R39" s="3">
        <f t="shared" si="27"/>
        <v>3.1643216319133194E-2</v>
      </c>
      <c r="S39" s="3">
        <f t="shared" si="27"/>
        <v>3.1643216290654301E-2</v>
      </c>
      <c r="T39" s="3">
        <f t="shared" si="27"/>
        <v>3.1643216005865359E-2</v>
      </c>
      <c r="U39" s="3">
        <f t="shared" si="27"/>
        <v>3.1643213157976045E-2</v>
      </c>
      <c r="V39" s="3">
        <f t="shared" si="27"/>
        <v>3.1643184679097019E-2</v>
      </c>
      <c r="W39" s="3">
        <f t="shared" si="27"/>
        <v>3.1642899891716446E-2</v>
      </c>
      <c r="X39" s="3">
        <f t="shared" si="27"/>
        <v>3.1640052158876095E-2</v>
      </c>
      <c r="Y39" s="3">
        <f t="shared" si="27"/>
        <v>3.1611588922310828E-2</v>
      </c>
      <c r="Z39" s="3">
        <f t="shared" si="27"/>
        <v>3.1328361059179619E-2</v>
      </c>
      <c r="AA39" s="3">
        <f t="shared" si="27"/>
        <v>2.8631966155421015E-2</v>
      </c>
      <c r="AB39" s="3">
        <f t="shared" si="27"/>
        <v>1.1640888737513873E-2</v>
      </c>
      <c r="AC39" s="3">
        <f t="shared" si="27"/>
        <v>1.4365997984914217E-6</v>
      </c>
      <c r="AD39" s="3">
        <f t="shared" si="27"/>
        <v>1.1771516884460938E-45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6.3402883778409413E-2</v>
      </c>
      <c r="C40" s="18">
        <f t="shared" si="3"/>
        <v>3.5141037946940686E-2</v>
      </c>
      <c r="D40" s="17"/>
      <c r="F40" s="3">
        <f t="shared" si="28"/>
        <v>3.5141037946940686E-2</v>
      </c>
      <c r="G40" s="3">
        <f t="shared" si="28"/>
        <v>3.5141037946940686E-2</v>
      </c>
      <c r="H40" s="3">
        <f t="shared" si="28"/>
        <v>3.5141037946940686E-2</v>
      </c>
      <c r="I40" s="3">
        <f t="shared" si="28"/>
        <v>3.5141037946940686E-2</v>
      </c>
      <c r="J40" s="3">
        <f t="shared" si="28"/>
        <v>3.5141037946940686E-2</v>
      </c>
      <c r="K40" s="3">
        <f t="shared" si="28"/>
        <v>3.5141037946940686E-2</v>
      </c>
      <c r="L40" s="3">
        <f t="shared" si="28"/>
        <v>3.5141037946940686E-2</v>
      </c>
      <c r="M40" s="3">
        <f t="shared" si="28"/>
        <v>3.5141037946940679E-2</v>
      </c>
      <c r="N40" s="3">
        <f t="shared" si="28"/>
        <v>3.5141037946940651E-2</v>
      </c>
      <c r="O40" s="3">
        <f t="shared" si="28"/>
        <v>3.5141037946940332E-2</v>
      </c>
      <c r="P40" s="3">
        <f t="shared" si="27"/>
        <v>3.5141037946937168E-2</v>
      </c>
      <c r="Q40" s="3">
        <f t="shared" si="27"/>
        <v>3.5141037946905547E-2</v>
      </c>
      <c r="R40" s="3">
        <f t="shared" si="27"/>
        <v>3.5141037946589272E-2</v>
      </c>
      <c r="S40" s="3">
        <f t="shared" si="27"/>
        <v>3.514103794342658E-2</v>
      </c>
      <c r="T40" s="3">
        <f t="shared" si="27"/>
        <v>3.514103791179965E-2</v>
      </c>
      <c r="U40" s="3">
        <f t="shared" si="27"/>
        <v>3.5141037595530306E-2</v>
      </c>
      <c r="V40" s="3">
        <f t="shared" si="27"/>
        <v>3.5141034432837066E-2</v>
      </c>
      <c r="W40" s="3">
        <f t="shared" si="27"/>
        <v>3.5141002805920307E-2</v>
      </c>
      <c r="X40" s="3">
        <f t="shared" si="27"/>
        <v>3.5140686538318262E-2</v>
      </c>
      <c r="Y40" s="3">
        <f t="shared" si="27"/>
        <v>3.5137524018845324E-2</v>
      </c>
      <c r="Z40" s="3">
        <f t="shared" si="27"/>
        <v>3.5105914473657344E-2</v>
      </c>
      <c r="AA40" s="3">
        <f t="shared" si="27"/>
        <v>3.4791378777141835E-2</v>
      </c>
      <c r="AB40" s="3">
        <f t="shared" si="27"/>
        <v>3.1796926043013485E-2</v>
      </c>
      <c r="AC40" s="3">
        <f t="shared" si="27"/>
        <v>1.2927665402104988E-2</v>
      </c>
      <c r="AD40" s="3">
        <f t="shared" si="27"/>
        <v>1.595400654571922E-6</v>
      </c>
      <c r="AE40" s="3">
        <f t="shared" si="27"/>
        <v>1.3072733103885061E-45</v>
      </c>
      <c r="AF40" s="3">
        <f t="shared" si="29"/>
        <v>0</v>
      </c>
      <c r="AG40" s="3">
        <f t="shared" si="29"/>
        <v>0</v>
      </c>
      <c r="AH40" s="3">
        <f t="shared" si="29"/>
        <v>0</v>
      </c>
      <c r="AI40" s="3">
        <f t="shared" si="29"/>
        <v>0</v>
      </c>
      <c r="AJ40" s="3">
        <f t="shared" si="29"/>
        <v>0</v>
      </c>
    </row>
    <row r="41" spans="1:36" x14ac:dyDescent="0.25">
      <c r="A41" s="3">
        <f t="shared" si="30"/>
        <v>1000000000</v>
      </c>
      <c r="B41" s="106">
        <v>6.4218490972703643E-2</v>
      </c>
      <c r="C41" s="18">
        <f t="shared" si="3"/>
        <v>3.5593088100758001E-2</v>
      </c>
      <c r="D41" s="17"/>
      <c r="F41" s="3">
        <f t="shared" si="28"/>
        <v>3.5593088100758001E-2</v>
      </c>
      <c r="G41" s="3">
        <f t="shared" si="28"/>
        <v>3.5593088100758001E-2</v>
      </c>
      <c r="H41" s="3">
        <f t="shared" si="28"/>
        <v>3.5593088100758001E-2</v>
      </c>
      <c r="I41" s="3">
        <f t="shared" si="28"/>
        <v>3.5593088100758001E-2</v>
      </c>
      <c r="J41" s="3">
        <f t="shared" si="28"/>
        <v>3.5593088100758001E-2</v>
      </c>
      <c r="K41" s="3">
        <f t="shared" si="28"/>
        <v>3.5593088100758001E-2</v>
      </c>
      <c r="L41" s="3">
        <f t="shared" si="28"/>
        <v>3.5593088100758001E-2</v>
      </c>
      <c r="M41" s="3">
        <f t="shared" si="28"/>
        <v>3.5593088100758001E-2</v>
      </c>
      <c r="N41" s="3">
        <f t="shared" si="28"/>
        <v>3.5593088100757994E-2</v>
      </c>
      <c r="O41" s="3">
        <f t="shared" si="28"/>
        <v>3.5593088100757966E-2</v>
      </c>
      <c r="P41" s="3">
        <f t="shared" si="27"/>
        <v>3.5593088100757647E-2</v>
      </c>
      <c r="Q41" s="3">
        <f t="shared" si="27"/>
        <v>3.5593088100754441E-2</v>
      </c>
      <c r="R41" s="3">
        <f t="shared" si="27"/>
        <v>3.5593088100722411E-2</v>
      </c>
      <c r="S41" s="3">
        <f t="shared" si="27"/>
        <v>3.559308810040207E-2</v>
      </c>
      <c r="T41" s="3">
        <f t="shared" si="27"/>
        <v>3.5593088097198688E-2</v>
      </c>
      <c r="U41" s="3">
        <f t="shared" si="27"/>
        <v>3.5593088065164917E-2</v>
      </c>
      <c r="V41" s="3">
        <f t="shared" si="27"/>
        <v>3.5593087744827119E-2</v>
      </c>
      <c r="W41" s="3">
        <f t="shared" si="27"/>
        <v>3.5593084541449369E-2</v>
      </c>
      <c r="X41" s="3">
        <f t="shared" si="27"/>
        <v>3.5593052507687697E-2</v>
      </c>
      <c r="Y41" s="3">
        <f t="shared" si="27"/>
        <v>3.5592732171656642E-2</v>
      </c>
      <c r="Z41" s="3">
        <f t="shared" si="27"/>
        <v>3.5589528969907434E-2</v>
      </c>
      <c r="AA41" s="3">
        <f t="shared" si="27"/>
        <v>3.5557512803270595E-2</v>
      </c>
      <c r="AB41" s="3">
        <f t="shared" si="27"/>
        <v>3.5238930956774953E-2</v>
      </c>
      <c r="AC41" s="3">
        <f t="shared" si="27"/>
        <v>3.2205957937016305E-2</v>
      </c>
      <c r="AD41" s="3">
        <f t="shared" si="27"/>
        <v>1.3093965360072768E-2</v>
      </c>
      <c r="AE41" s="3">
        <f t="shared" si="27"/>
        <v>1.6159236998043486E-6</v>
      </c>
      <c r="AF41" s="3">
        <f t="shared" si="29"/>
        <v>1.3240899195602292E-45</v>
      </c>
      <c r="AG41" s="3">
        <f t="shared" si="29"/>
        <v>0</v>
      </c>
      <c r="AH41" s="3">
        <f t="shared" si="29"/>
        <v>0</v>
      </c>
      <c r="AI41" s="3">
        <f t="shared" si="29"/>
        <v>0</v>
      </c>
      <c r="AJ41" s="3">
        <f t="shared" si="29"/>
        <v>0</v>
      </c>
    </row>
    <row r="42" spans="1:36" x14ac:dyDescent="0.25">
      <c r="A42" s="3">
        <f t="shared" si="30"/>
        <v>10000000000</v>
      </c>
      <c r="B42" s="106">
        <v>7.0368614171773508E-2</v>
      </c>
      <c r="C42" s="18">
        <f t="shared" si="3"/>
        <v>3.9001792876272805E-2</v>
      </c>
      <c r="D42" s="17"/>
      <c r="F42" s="3">
        <f t="shared" si="28"/>
        <v>3.9001792876272805E-2</v>
      </c>
      <c r="G42" s="3">
        <f t="shared" si="28"/>
        <v>3.9001792876272805E-2</v>
      </c>
      <c r="H42" s="3">
        <f t="shared" si="28"/>
        <v>3.9001792876272805E-2</v>
      </c>
      <c r="I42" s="3">
        <f t="shared" si="28"/>
        <v>3.9001792876272805E-2</v>
      </c>
      <c r="J42" s="3">
        <f t="shared" si="28"/>
        <v>3.9001792876272805E-2</v>
      </c>
      <c r="K42" s="3">
        <f t="shared" si="28"/>
        <v>3.9001792876272805E-2</v>
      </c>
      <c r="L42" s="3">
        <f t="shared" si="28"/>
        <v>3.9001792876272805E-2</v>
      </c>
      <c r="M42" s="3">
        <f t="shared" si="28"/>
        <v>3.9001792876272805E-2</v>
      </c>
      <c r="N42" s="3">
        <f t="shared" si="28"/>
        <v>3.9001792876272805E-2</v>
      </c>
      <c r="O42" s="3">
        <f t="shared" si="28"/>
        <v>3.9001792876272798E-2</v>
      </c>
      <c r="P42" s="3">
        <f t="shared" si="27"/>
        <v>3.9001792876272763E-2</v>
      </c>
      <c r="Q42" s="3">
        <f t="shared" si="27"/>
        <v>3.9001792876272416E-2</v>
      </c>
      <c r="R42" s="3">
        <f t="shared" si="27"/>
        <v>3.9001792876268905E-2</v>
      </c>
      <c r="S42" s="3">
        <f t="shared" si="27"/>
        <v>3.9001792876233801E-2</v>
      </c>
      <c r="T42" s="3">
        <f t="shared" si="27"/>
        <v>3.9001792875882783E-2</v>
      </c>
      <c r="U42" s="3">
        <f t="shared" si="27"/>
        <v>3.9001792872372626E-2</v>
      </c>
      <c r="V42" s="3">
        <f t="shared" si="27"/>
        <v>3.900179283727101E-2</v>
      </c>
      <c r="W42" s="3">
        <f t="shared" si="27"/>
        <v>3.9001792486254877E-2</v>
      </c>
      <c r="X42" s="3">
        <f t="shared" si="27"/>
        <v>3.9001788976093715E-2</v>
      </c>
      <c r="Y42" s="3">
        <f t="shared" si="27"/>
        <v>3.9001753874499431E-2</v>
      </c>
      <c r="Z42" s="3">
        <f t="shared" si="27"/>
        <v>3.9001402860294125E-2</v>
      </c>
      <c r="AA42" s="3">
        <f t="shared" si="27"/>
        <v>3.8997892891987643E-2</v>
      </c>
      <c r="AB42" s="3">
        <f t="shared" si="27"/>
        <v>3.8962810577794299E-2</v>
      </c>
      <c r="AC42" s="3">
        <f t="shared" si="27"/>
        <v>3.8613718553073377E-2</v>
      </c>
      <c r="AD42" s="3">
        <f t="shared" si="27"/>
        <v>3.5290281564939963E-2</v>
      </c>
      <c r="AE42" s="3">
        <f t="shared" si="27"/>
        <v>1.4347957768007579E-2</v>
      </c>
      <c r="AF42" s="3">
        <f t="shared" si="29"/>
        <v>1.7706786571937675E-6</v>
      </c>
      <c r="AG42" s="3">
        <f t="shared" si="29"/>
        <v>1.4508963270076304E-45</v>
      </c>
      <c r="AH42" s="3">
        <f t="shared" si="29"/>
        <v>0</v>
      </c>
      <c r="AI42" s="3">
        <f t="shared" si="29"/>
        <v>0</v>
      </c>
      <c r="AJ42" s="3">
        <f t="shared" si="29"/>
        <v>0</v>
      </c>
    </row>
    <row r="43" spans="1:36" x14ac:dyDescent="0.25">
      <c r="A43" s="3">
        <f t="shared" si="30"/>
        <v>100000000000</v>
      </c>
      <c r="B43" s="106">
        <v>8.2746695642235579E-2</v>
      </c>
      <c r="C43" s="18">
        <f t="shared" si="3"/>
        <v>4.5862342503385417E-2</v>
      </c>
      <c r="D43" s="17"/>
      <c r="F43" s="3">
        <f t="shared" si="28"/>
        <v>4.5862342503385417E-2</v>
      </c>
      <c r="G43" s="3">
        <f t="shared" si="28"/>
        <v>4.5862342503385417E-2</v>
      </c>
      <c r="H43" s="3">
        <f t="shared" si="28"/>
        <v>4.5862342503385417E-2</v>
      </c>
      <c r="I43" s="3">
        <f t="shared" si="28"/>
        <v>4.5862342503385417E-2</v>
      </c>
      <c r="J43" s="3">
        <f t="shared" si="28"/>
        <v>4.5862342503385417E-2</v>
      </c>
      <c r="K43" s="3">
        <f t="shared" si="28"/>
        <v>4.5862342503385417E-2</v>
      </c>
      <c r="L43" s="3">
        <f t="shared" si="28"/>
        <v>4.5862342503385417E-2</v>
      </c>
      <c r="M43" s="3">
        <f t="shared" si="28"/>
        <v>4.5862342503385417E-2</v>
      </c>
      <c r="N43" s="3">
        <f t="shared" si="28"/>
        <v>4.5862342503385417E-2</v>
      </c>
      <c r="O43" s="3">
        <f t="shared" si="28"/>
        <v>4.5862342503385417E-2</v>
      </c>
      <c r="P43" s="3">
        <f t="shared" si="27"/>
        <v>4.586234250338541E-2</v>
      </c>
      <c r="Q43" s="3">
        <f t="shared" si="27"/>
        <v>4.5862342503385368E-2</v>
      </c>
      <c r="R43" s="3">
        <f t="shared" si="27"/>
        <v>4.5862342503384959E-2</v>
      </c>
      <c r="S43" s="3">
        <f t="shared" si="27"/>
        <v>4.586234250338083E-2</v>
      </c>
      <c r="T43" s="3">
        <f t="shared" si="27"/>
        <v>4.5862342503339558E-2</v>
      </c>
      <c r="U43" s="3">
        <f t="shared" si="27"/>
        <v>4.5862342502926791E-2</v>
      </c>
      <c r="V43" s="3">
        <f t="shared" si="27"/>
        <v>4.5862342498799183E-2</v>
      </c>
      <c r="W43" s="3">
        <f t="shared" si="27"/>
        <v>4.5862342457523075E-2</v>
      </c>
      <c r="X43" s="3">
        <f t="shared" si="27"/>
        <v>4.5862342044761993E-2</v>
      </c>
      <c r="Y43" s="3">
        <f t="shared" si="27"/>
        <v>4.58623379171514E-2</v>
      </c>
      <c r="Z43" s="3">
        <f t="shared" si="27"/>
        <v>4.5862296641065843E-2</v>
      </c>
      <c r="AA43" s="3">
        <f t="shared" si="27"/>
        <v>4.5861883882253492E-2</v>
      </c>
      <c r="AB43" s="3">
        <f t="shared" si="27"/>
        <v>4.5857756498439151E-2</v>
      </c>
      <c r="AC43" s="3">
        <f t="shared" si="27"/>
        <v>4.5816503084411472E-2</v>
      </c>
      <c r="AD43" s="3">
        <f t="shared" si="27"/>
        <v>4.5406004570824138E-2</v>
      </c>
      <c r="AE43" s="3">
        <f t="shared" si="27"/>
        <v>4.1497963575844107E-2</v>
      </c>
      <c r="AF43" s="3">
        <f t="shared" si="29"/>
        <v>1.6871812930958716E-2</v>
      </c>
      <c r="AG43" s="3">
        <f t="shared" si="29"/>
        <v>2.0821471283967216E-6</v>
      </c>
      <c r="AH43" s="3">
        <f t="shared" si="29"/>
        <v>1.7061139855088337E-45</v>
      </c>
      <c r="AI43" s="3">
        <f t="shared" si="29"/>
        <v>0</v>
      </c>
      <c r="AJ43" s="3">
        <f t="shared" si="29"/>
        <v>0</v>
      </c>
    </row>
    <row r="44" spans="1:36" x14ac:dyDescent="0.25">
      <c r="A44" s="3">
        <f t="shared" si="30"/>
        <v>1000000000000</v>
      </c>
      <c r="B44" s="106">
        <v>9.0869256384711772E-2</v>
      </c>
      <c r="C44" s="18">
        <f t="shared" si="3"/>
        <v>5.0364270464190349E-2</v>
      </c>
      <c r="D44" s="17"/>
      <c r="F44" s="3">
        <f t="shared" si="28"/>
        <v>5.0364270464190349E-2</v>
      </c>
      <c r="G44" s="3">
        <f t="shared" si="28"/>
        <v>5.0364270464190349E-2</v>
      </c>
      <c r="H44" s="3">
        <f t="shared" si="28"/>
        <v>5.0364270464190349E-2</v>
      </c>
      <c r="I44" s="3">
        <f t="shared" si="28"/>
        <v>5.0364270464190349E-2</v>
      </c>
      <c r="J44" s="3">
        <f t="shared" si="28"/>
        <v>5.0364270464190349E-2</v>
      </c>
      <c r="K44" s="3">
        <f t="shared" si="28"/>
        <v>5.0364270464190349E-2</v>
      </c>
      <c r="L44" s="3">
        <f t="shared" si="28"/>
        <v>5.0364270464190349E-2</v>
      </c>
      <c r="M44" s="3">
        <f t="shared" si="28"/>
        <v>5.0364270464190349E-2</v>
      </c>
      <c r="N44" s="3">
        <f t="shared" si="28"/>
        <v>5.0364270464190349E-2</v>
      </c>
      <c r="O44" s="3">
        <f t="shared" si="28"/>
        <v>5.0364270464190349E-2</v>
      </c>
      <c r="P44" s="3">
        <f t="shared" si="27"/>
        <v>5.0364270464190349E-2</v>
      </c>
      <c r="Q44" s="3">
        <f t="shared" si="27"/>
        <v>5.0364270464190342E-2</v>
      </c>
      <c r="R44" s="3">
        <f t="shared" si="27"/>
        <v>5.03642704641903E-2</v>
      </c>
      <c r="S44" s="3">
        <f t="shared" si="27"/>
        <v>5.0364270464189842E-2</v>
      </c>
      <c r="T44" s="3">
        <f t="shared" si="27"/>
        <v>5.0364270464185311E-2</v>
      </c>
      <c r="U44" s="3">
        <f t="shared" si="27"/>
        <v>5.0364270464139986E-2</v>
      </c>
      <c r="V44" s="3">
        <f t="shared" si="27"/>
        <v>5.0364270463686703E-2</v>
      </c>
      <c r="W44" s="3">
        <f t="shared" si="27"/>
        <v>5.0364270459153919E-2</v>
      </c>
      <c r="X44" s="3">
        <f t="shared" si="27"/>
        <v>5.036427041382608E-2</v>
      </c>
      <c r="Y44" s="3">
        <f t="shared" si="27"/>
        <v>5.0364269960547645E-2</v>
      </c>
      <c r="Z44" s="3">
        <f t="shared" si="27"/>
        <v>5.0364265427763559E-2</v>
      </c>
      <c r="AA44" s="3">
        <f t="shared" si="27"/>
        <v>5.0364220099945067E-2</v>
      </c>
      <c r="AB44" s="3">
        <f t="shared" si="27"/>
        <v>5.0363766824003911E-2</v>
      </c>
      <c r="AC44" s="3">
        <f t="shared" si="27"/>
        <v>5.0359234288956889E-2</v>
      </c>
      <c r="AD44" s="3">
        <f t="shared" si="27"/>
        <v>5.0313931367469443E-2</v>
      </c>
      <c r="AE44" s="3">
        <f t="shared" si="27"/>
        <v>4.9863137599969791E-2</v>
      </c>
      <c r="AF44" s="3">
        <f t="shared" si="29"/>
        <v>4.557147644808273E-2</v>
      </c>
      <c r="AG44" s="3">
        <f t="shared" si="29"/>
        <v>1.8527979673373725E-2</v>
      </c>
      <c r="AH44" s="3">
        <f t="shared" si="29"/>
        <v>2.2865343416130325E-6</v>
      </c>
      <c r="AI44" s="3">
        <f t="shared" si="29"/>
        <v>1.8735891260365027E-45</v>
      </c>
      <c r="AJ44" s="3">
        <f t="shared" si="29"/>
        <v>0</v>
      </c>
    </row>
    <row r="45" spans="1:36" x14ac:dyDescent="0.25">
      <c r="A45" s="3">
        <f t="shared" si="30"/>
        <v>10000000000000</v>
      </c>
      <c r="B45" s="106">
        <v>8.5651896008028514E-2</v>
      </c>
      <c r="C45" s="18">
        <f t="shared" si="3"/>
        <v>4.7472549330169547E-2</v>
      </c>
      <c r="D45" s="17"/>
      <c r="F45" s="3">
        <f t="shared" si="28"/>
        <v>4.7472549330169547E-2</v>
      </c>
      <c r="G45" s="3">
        <f t="shared" si="28"/>
        <v>4.7472549330169547E-2</v>
      </c>
      <c r="H45" s="3">
        <f t="shared" si="28"/>
        <v>4.7472549330169547E-2</v>
      </c>
      <c r="I45" s="3">
        <f t="shared" si="28"/>
        <v>4.7472549330169547E-2</v>
      </c>
      <c r="J45" s="3">
        <f t="shared" si="28"/>
        <v>4.7472549330169547E-2</v>
      </c>
      <c r="K45" s="3">
        <f t="shared" si="28"/>
        <v>4.7472549330169547E-2</v>
      </c>
      <c r="L45" s="3">
        <f t="shared" si="28"/>
        <v>4.7472549330169547E-2</v>
      </c>
      <c r="M45" s="3">
        <f t="shared" si="28"/>
        <v>4.7472549330169547E-2</v>
      </c>
      <c r="N45" s="3">
        <f t="shared" si="28"/>
        <v>4.7472549330169547E-2</v>
      </c>
      <c r="O45" s="3">
        <f t="shared" si="28"/>
        <v>4.7472549330169547E-2</v>
      </c>
      <c r="P45" s="3">
        <f t="shared" si="27"/>
        <v>4.7472549330169547E-2</v>
      </c>
      <c r="Q45" s="3">
        <f t="shared" si="27"/>
        <v>4.7472549330169547E-2</v>
      </c>
      <c r="R45" s="3">
        <f t="shared" si="27"/>
        <v>4.747254933016954E-2</v>
      </c>
      <c r="S45" s="3">
        <f t="shared" si="27"/>
        <v>4.7472549330169499E-2</v>
      </c>
      <c r="T45" s="3">
        <f t="shared" si="27"/>
        <v>4.7472549330169075E-2</v>
      </c>
      <c r="U45" s="3">
        <f t="shared" si="27"/>
        <v>4.7472549330164801E-2</v>
      </c>
      <c r="V45" s="3">
        <f t="shared" si="27"/>
        <v>4.7472549330122078E-2</v>
      </c>
      <c r="W45" s="3">
        <f t="shared" si="27"/>
        <v>4.7472549329694823E-2</v>
      </c>
      <c r="X45" s="3">
        <f t="shared" si="27"/>
        <v>4.7472549325422289E-2</v>
      </c>
      <c r="Y45" s="3">
        <f t="shared" si="27"/>
        <v>4.7472549282697001E-2</v>
      </c>
      <c r="Z45" s="3">
        <f t="shared" si="27"/>
        <v>4.7472548855444059E-2</v>
      </c>
      <c r="AA45" s="3">
        <f t="shared" si="27"/>
        <v>4.7472544582914854E-2</v>
      </c>
      <c r="AB45" s="3">
        <f t="shared" si="27"/>
        <v>4.7472501857643956E-2</v>
      </c>
      <c r="AC45" s="3">
        <f t="shared" si="27"/>
        <v>4.7472074607049865E-2</v>
      </c>
      <c r="AD45" s="3">
        <f t="shared" si="27"/>
        <v>4.7467802312591366E-2</v>
      </c>
      <c r="AE45" s="3">
        <f t="shared" si="27"/>
        <v>4.7425100509203927E-2</v>
      </c>
      <c r="AF45" s="3">
        <f t="shared" si="29"/>
        <v>4.7000189571983542E-2</v>
      </c>
      <c r="AG45" s="3">
        <f t="shared" si="29"/>
        <v>4.295493896349533E-2</v>
      </c>
      <c r="AH45" s="3">
        <f t="shared" si="29"/>
        <v>1.7464174918566503E-2</v>
      </c>
      <c r="AI45" s="3">
        <f t="shared" si="29"/>
        <v>2.1552504052357948E-6</v>
      </c>
      <c r="AJ45" s="3">
        <f t="shared" si="29"/>
        <v>1.7660149028362778E-45</v>
      </c>
    </row>
    <row r="46" spans="1:36" x14ac:dyDescent="0.25">
      <c r="A46" s="3">
        <f t="shared" si="30"/>
        <v>100000000000000</v>
      </c>
      <c r="B46" s="106">
        <v>6.1822792182797758E-2</v>
      </c>
      <c r="C46" s="18">
        <f t="shared" si="3"/>
        <v>3.4265272438938038E-2</v>
      </c>
      <c r="D46" s="17"/>
      <c r="F46" s="3">
        <f t="shared" si="28"/>
        <v>3.4265272438938038E-2</v>
      </c>
      <c r="G46" s="3">
        <f t="shared" si="28"/>
        <v>3.4265272438938038E-2</v>
      </c>
      <c r="H46" s="3">
        <f t="shared" si="28"/>
        <v>3.4265272438938038E-2</v>
      </c>
      <c r="I46" s="3">
        <f t="shared" si="28"/>
        <v>3.4265272438938038E-2</v>
      </c>
      <c r="J46" s="3">
        <f t="shared" si="28"/>
        <v>3.4265272438938038E-2</v>
      </c>
      <c r="K46" s="3">
        <f t="shared" si="28"/>
        <v>3.4265272438938038E-2</v>
      </c>
      <c r="L46" s="3">
        <f t="shared" si="28"/>
        <v>3.4265272438938038E-2</v>
      </c>
      <c r="M46" s="3">
        <f t="shared" si="28"/>
        <v>3.4265272438938038E-2</v>
      </c>
      <c r="N46" s="3">
        <f t="shared" si="28"/>
        <v>3.4265272438938038E-2</v>
      </c>
      <c r="O46" s="3">
        <f t="shared" si="28"/>
        <v>3.4265272438938038E-2</v>
      </c>
      <c r="P46" s="3">
        <f t="shared" si="27"/>
        <v>3.4265272438938038E-2</v>
      </c>
      <c r="Q46" s="3">
        <f t="shared" si="27"/>
        <v>3.4265272438938038E-2</v>
      </c>
      <c r="R46" s="3">
        <f t="shared" si="27"/>
        <v>3.4265272438938038E-2</v>
      </c>
      <c r="S46" s="3">
        <f t="shared" si="27"/>
        <v>3.4265272438938031E-2</v>
      </c>
      <c r="T46" s="3">
        <f t="shared" si="27"/>
        <v>3.4265272438938003E-2</v>
      </c>
      <c r="U46" s="3">
        <f t="shared" si="27"/>
        <v>3.4265272438937698E-2</v>
      </c>
      <c r="V46" s="3">
        <f t="shared" si="27"/>
        <v>3.426527243893461E-2</v>
      </c>
      <c r="W46" s="3">
        <f t="shared" si="27"/>
        <v>3.4265272438903774E-2</v>
      </c>
      <c r="X46" s="3">
        <f t="shared" si="27"/>
        <v>3.4265272438595389E-2</v>
      </c>
      <c r="Y46" s="3">
        <f t="shared" si="27"/>
        <v>3.4265272435511508E-2</v>
      </c>
      <c r="Z46" s="3">
        <f t="shared" si="27"/>
        <v>3.4265272404672767E-2</v>
      </c>
      <c r="AA46" s="3">
        <f t="shared" si="27"/>
        <v>3.4265272096285312E-2</v>
      </c>
      <c r="AB46" s="3">
        <f t="shared" si="27"/>
        <v>3.4265269012410969E-2</v>
      </c>
      <c r="AC46" s="3">
        <f t="shared" si="27"/>
        <v>3.4265238173682731E-2</v>
      </c>
      <c r="AD46" s="3">
        <f t="shared" si="27"/>
        <v>3.4264929787926904E-2</v>
      </c>
      <c r="AE46" s="3">
        <f t="shared" si="27"/>
        <v>3.4261846083014795E-2</v>
      </c>
      <c r="AF46" s="3">
        <f t="shared" si="29"/>
        <v>3.4231024293425873E-2</v>
      </c>
      <c r="AG46" s="3">
        <f t="shared" si="29"/>
        <v>3.3924327281540559E-2</v>
      </c>
      <c r="AH46" s="3">
        <f t="shared" si="29"/>
        <v>3.100450064194742E-2</v>
      </c>
      <c r="AI46" s="3">
        <f t="shared" si="29"/>
        <v>1.2605489276423751E-2</v>
      </c>
      <c r="AJ46" s="3">
        <f t="shared" si="29"/>
        <v>1.5556409620201951E-6</v>
      </c>
    </row>
    <row r="47" spans="1:36" x14ac:dyDescent="0.25">
      <c r="A47" s="3">
        <f t="shared" si="30"/>
        <v>1000000000000000</v>
      </c>
      <c r="B47" s="106">
        <v>3.214711548537301E-2</v>
      </c>
      <c r="C47" s="18">
        <f t="shared" si="3"/>
        <v>1.7817533491132281E-2</v>
      </c>
      <c r="D47" s="17"/>
      <c r="F47" s="3">
        <f t="shared" si="28"/>
        <v>1.7817533491132281E-2</v>
      </c>
      <c r="G47" s="3">
        <f t="shared" si="28"/>
        <v>1.7817533491132281E-2</v>
      </c>
      <c r="H47" s="3">
        <f t="shared" si="28"/>
        <v>1.7817533491132281E-2</v>
      </c>
      <c r="I47" s="3">
        <f t="shared" si="28"/>
        <v>1.7817533491132281E-2</v>
      </c>
      <c r="J47" s="3">
        <f t="shared" si="28"/>
        <v>1.7817533491132281E-2</v>
      </c>
      <c r="K47" s="3">
        <f t="shared" si="28"/>
        <v>1.7817533491132281E-2</v>
      </c>
      <c r="L47" s="3">
        <f t="shared" si="28"/>
        <v>1.7817533491132281E-2</v>
      </c>
      <c r="M47" s="3">
        <f t="shared" si="28"/>
        <v>1.7817533491132281E-2</v>
      </c>
      <c r="N47" s="3">
        <f t="shared" si="28"/>
        <v>1.7817533491132281E-2</v>
      </c>
      <c r="O47" s="3">
        <f t="shared" si="28"/>
        <v>1.7817533491132281E-2</v>
      </c>
      <c r="P47" s="3">
        <f t="shared" si="27"/>
        <v>1.7817533491132281E-2</v>
      </c>
      <c r="Q47" s="3">
        <f t="shared" si="27"/>
        <v>1.7817533491132281E-2</v>
      </c>
      <c r="R47" s="3">
        <f t="shared" si="27"/>
        <v>1.7817533491132281E-2</v>
      </c>
      <c r="S47" s="3">
        <f t="shared" si="27"/>
        <v>1.7817533491132281E-2</v>
      </c>
      <c r="T47" s="3">
        <f t="shared" si="27"/>
        <v>1.7817533491132277E-2</v>
      </c>
      <c r="U47" s="3">
        <f t="shared" si="27"/>
        <v>1.7817533491132263E-2</v>
      </c>
      <c r="V47" s="3">
        <f t="shared" si="27"/>
        <v>1.7817533491132104E-2</v>
      </c>
      <c r="W47" s="3">
        <f t="shared" si="27"/>
        <v>1.7817533491130497E-2</v>
      </c>
      <c r="X47" s="3">
        <f t="shared" si="27"/>
        <v>1.7817533491114465E-2</v>
      </c>
      <c r="Y47" s="3">
        <f t="shared" si="27"/>
        <v>1.7817533490954104E-2</v>
      </c>
      <c r="Z47" s="3">
        <f t="shared" si="27"/>
        <v>1.7817533489350529E-2</v>
      </c>
      <c r="AA47" s="3">
        <f t="shared" si="27"/>
        <v>1.7817533473314748E-2</v>
      </c>
      <c r="AB47" s="3">
        <f t="shared" si="27"/>
        <v>1.7817533312956949E-2</v>
      </c>
      <c r="AC47" s="3">
        <f t="shared" si="27"/>
        <v>1.7817531709379022E-2</v>
      </c>
      <c r="AD47" s="3">
        <f t="shared" si="27"/>
        <v>1.78175156736077E-2</v>
      </c>
      <c r="AE47" s="3">
        <f t="shared" si="27"/>
        <v>1.7817355316688242E-2</v>
      </c>
      <c r="AF47" s="3">
        <f t="shared" si="29"/>
        <v>1.7815751826867867E-2</v>
      </c>
      <c r="AG47" s="3">
        <f t="shared" si="29"/>
        <v>1.7799724863439049E-2</v>
      </c>
      <c r="AH47" s="3">
        <f t="shared" si="29"/>
        <v>1.7640246070715751E-2</v>
      </c>
      <c r="AI47" s="3">
        <f t="shared" si="29"/>
        <v>1.6121970999885368E-2</v>
      </c>
      <c r="AJ47" s="3">
        <f t="shared" si="29"/>
        <v>6.5547042637712017E-3</v>
      </c>
    </row>
    <row r="48" spans="1:36" x14ac:dyDescent="0.25">
      <c r="A48" s="3">
        <f t="shared" si="30"/>
        <v>1E+16</v>
      </c>
      <c r="B48" s="106">
        <v>5.519505734939658E-2</v>
      </c>
      <c r="C48" s="18">
        <f t="shared" si="3"/>
        <v>3.0591851493341829E-2</v>
      </c>
      <c r="D48" s="17"/>
      <c r="F48" s="3">
        <f t="shared" si="28"/>
        <v>3.0591851493341829E-2</v>
      </c>
      <c r="G48" s="3">
        <f t="shared" si="28"/>
        <v>3.0591851493341829E-2</v>
      </c>
      <c r="H48" s="3">
        <f t="shared" si="28"/>
        <v>3.0591851493341829E-2</v>
      </c>
      <c r="I48" s="3">
        <f t="shared" si="28"/>
        <v>3.0591851493341829E-2</v>
      </c>
      <c r="J48" s="3">
        <f t="shared" si="28"/>
        <v>3.0591851493341829E-2</v>
      </c>
      <c r="K48" s="3">
        <f t="shared" si="28"/>
        <v>3.0591851493341829E-2</v>
      </c>
      <c r="L48" s="3">
        <f t="shared" si="28"/>
        <v>3.0591851493341829E-2</v>
      </c>
      <c r="M48" s="3">
        <f t="shared" si="28"/>
        <v>3.0591851493341829E-2</v>
      </c>
      <c r="N48" s="3">
        <f t="shared" si="28"/>
        <v>3.0591851493341829E-2</v>
      </c>
      <c r="O48" s="3">
        <f t="shared" si="28"/>
        <v>3.0591851493341829E-2</v>
      </c>
      <c r="P48" s="3">
        <f t="shared" si="27"/>
        <v>3.0591851493341829E-2</v>
      </c>
      <c r="Q48" s="3">
        <f t="shared" si="27"/>
        <v>3.0591851493341829E-2</v>
      </c>
      <c r="R48" s="3">
        <f t="shared" si="27"/>
        <v>3.0591851493341829E-2</v>
      </c>
      <c r="S48" s="3">
        <f t="shared" si="27"/>
        <v>3.0591851493341829E-2</v>
      </c>
      <c r="T48" s="3">
        <f t="shared" si="27"/>
        <v>3.0591851493341829E-2</v>
      </c>
      <c r="U48" s="3">
        <f t="shared" si="27"/>
        <v>3.0591851493341825E-2</v>
      </c>
      <c r="V48" s="3">
        <f t="shared" si="27"/>
        <v>3.0591851493341798E-2</v>
      </c>
      <c r="W48" s="3">
        <f t="shared" si="27"/>
        <v>3.0591851493341524E-2</v>
      </c>
      <c r="X48" s="3">
        <f t="shared" si="27"/>
        <v>3.0591851493338769E-2</v>
      </c>
      <c r="Y48" s="3">
        <f t="shared" si="27"/>
        <v>3.0591851493311239E-2</v>
      </c>
      <c r="Z48" s="3">
        <f t="shared" si="27"/>
        <v>3.059185149303591E-2</v>
      </c>
      <c r="AA48" s="3">
        <f t="shared" si="27"/>
        <v>3.0591851490282644E-2</v>
      </c>
      <c r="AB48" s="3">
        <f t="shared" si="27"/>
        <v>3.0591851462749977E-2</v>
      </c>
      <c r="AC48" s="3">
        <f t="shared" si="27"/>
        <v>3.0591851187423316E-2</v>
      </c>
      <c r="AD48" s="3">
        <f t="shared" si="27"/>
        <v>3.0591848434156833E-2</v>
      </c>
      <c r="AE48" s="3">
        <f t="shared" si="27"/>
        <v>3.0591820901505633E-2</v>
      </c>
      <c r="AF48" s="3">
        <f t="shared" si="29"/>
        <v>3.0591545576356481E-2</v>
      </c>
      <c r="AG48" s="3">
        <f t="shared" si="29"/>
        <v>3.0588792461146652E-2</v>
      </c>
      <c r="AH48" s="3">
        <f t="shared" si="29"/>
        <v>3.0561274932676866E-2</v>
      </c>
      <c r="AI48" s="3">
        <f t="shared" si="29"/>
        <v>3.0287457485062317E-2</v>
      </c>
      <c r="AJ48" s="3">
        <f t="shared" si="29"/>
        <v>2.7680651918174932E-2</v>
      </c>
    </row>
    <row r="49" spans="1:36" x14ac:dyDescent="0.25">
      <c r="B49" s="16">
        <f>SUM(B17:B48)</f>
        <v>1.8042404972255282</v>
      </c>
      <c r="C49" s="18">
        <f>SUM(C17:C48)</f>
        <v>0.99999999999999989</v>
      </c>
      <c r="F49" s="3">
        <f t="shared" ref="F49:AJ49" si="31">F16-F17</f>
        <v>-1.4463410749513059</v>
      </c>
      <c r="G49" s="3">
        <f t="shared" si="31"/>
        <v>-0.91334149508384144</v>
      </c>
      <c r="H49" s="3">
        <f t="shared" si="31"/>
        <v>3.0388480784577041</v>
      </c>
      <c r="I49" s="3">
        <f t="shared" si="31"/>
        <v>-0.778739029829012</v>
      </c>
      <c r="J49" s="3">
        <f t="shared" si="31"/>
        <v>0.1121514825244958</v>
      </c>
      <c r="K49" s="3">
        <f t="shared" si="31"/>
        <v>-1.5218267784803174E-2</v>
      </c>
      <c r="L49" s="3">
        <f t="shared" si="31"/>
        <v>4.7587278859282378E-3</v>
      </c>
      <c r="M49" s="3">
        <f t="shared" si="31"/>
        <v>-5.9581660134426784E-3</v>
      </c>
      <c r="N49" s="3">
        <f t="shared" si="31"/>
        <v>1.202001755063975E-2</v>
      </c>
      <c r="O49" s="3">
        <f t="shared" si="31"/>
        <v>-2.8706305290143064E-2</v>
      </c>
      <c r="P49" s="3">
        <f t="shared" si="31"/>
        <v>6.1146145806560526E-2</v>
      </c>
      <c r="Q49" s="3">
        <f t="shared" si="31"/>
        <v>-0.10093491003590316</v>
      </c>
      <c r="R49" s="3">
        <f t="shared" si="31"/>
        <v>0.12955504492947512</v>
      </c>
      <c r="S49" s="3">
        <f t="shared" si="31"/>
        <v>-0.13541289137538115</v>
      </c>
      <c r="T49" s="3">
        <f t="shared" si="31"/>
        <v>0.12174590751055803</v>
      </c>
      <c r="U49" s="3">
        <f t="shared" si="31"/>
        <v>-9.9485579896281706E-2</v>
      </c>
      <c r="V49" s="3">
        <f t="shared" si="31"/>
        <v>7.512022322134726E-2</v>
      </c>
      <c r="W49" s="3">
        <f t="shared" si="31"/>
        <v>-5.1745929240951227E-2</v>
      </c>
      <c r="X49" s="3">
        <f t="shared" si="31"/>
        <v>2.9116934413650597E-2</v>
      </c>
      <c r="Y49" s="3">
        <f t="shared" si="31"/>
        <v>-1.1544975518972933E-2</v>
      </c>
      <c r="Z49" s="3">
        <f t="shared" si="31"/>
        <v>1.8508702760300366E-4</v>
      </c>
      <c r="AA49" s="3">
        <f t="shared" si="31"/>
        <v>5.1044195656686497E-3</v>
      </c>
      <c r="AB49" s="3">
        <f t="shared" si="31"/>
        <v>-9.6051118380273692E-3</v>
      </c>
      <c r="AC49" s="3">
        <f t="shared" si="31"/>
        <v>1.1574808253499214E-2</v>
      </c>
      <c r="AD49" s="3">
        <f t="shared" si="31"/>
        <v>-6.4186664819771977E-3</v>
      </c>
      <c r="AE49" s="3">
        <f t="shared" si="31"/>
        <v>-3.1723546821922355E-3</v>
      </c>
      <c r="AF49" s="3">
        <f t="shared" si="31"/>
        <v>7.3993719504414912E-3</v>
      </c>
      <c r="AG49" s="3">
        <f t="shared" si="31"/>
        <v>-7.3607180224826152E-3</v>
      </c>
      <c r="AH49" s="3">
        <f t="shared" si="31"/>
        <v>6.382439509593496E-3</v>
      </c>
      <c r="AI49" s="3">
        <f t="shared" si="31"/>
        <v>-4.8797602719332644E-3</v>
      </c>
      <c r="AJ49" s="3">
        <f t="shared" si="31"/>
        <v>1.7107196023857796E-3</v>
      </c>
    </row>
    <row r="50" spans="1:36" x14ac:dyDescent="0.25">
      <c r="F50" s="57">
        <f t="shared" ref="F50:AJ50" si="32">F49/F17</f>
        <v>-2.3426683200928895E-4</v>
      </c>
      <c r="G50" s="57">
        <f t="shared" si="32"/>
        <v>-1.4797350505608352E-4</v>
      </c>
      <c r="H50" s="57">
        <f t="shared" si="32"/>
        <v>4.9349060394251445E-4</v>
      </c>
      <c r="I50" s="57">
        <f t="shared" si="32"/>
        <v>-1.2806252711356153E-4</v>
      </c>
      <c r="J50" s="57">
        <f t="shared" si="32"/>
        <v>1.8978615340523744E-5</v>
      </c>
      <c r="K50" s="57">
        <f t="shared" si="32"/>
        <v>-2.6266168133353999E-6</v>
      </c>
      <c r="L50" s="57">
        <f t="shared" si="32"/>
        <v>8.3777067542498563E-7</v>
      </c>
      <c r="M50" s="57">
        <f t="shared" si="32"/>
        <v>-1.0729067994874191E-6</v>
      </c>
      <c r="N50" s="57">
        <f t="shared" si="32"/>
        <v>2.2183748450456825E-6</v>
      </c>
      <c r="O50" s="57">
        <f t="shared" si="32"/>
        <v>-5.4507059698760152E-6</v>
      </c>
      <c r="P50" s="57">
        <f t="shared" si="32"/>
        <v>1.1983404109123264E-5</v>
      </c>
      <c r="Q50" s="57">
        <f t="shared" si="32"/>
        <v>-2.0451745111332488E-5</v>
      </c>
      <c r="R50" s="57">
        <f t="shared" si="32"/>
        <v>2.7138854593495389E-5</v>
      </c>
      <c r="S50" s="57">
        <f t="shared" si="32"/>
        <v>-2.9448603790653434E-5</v>
      </c>
      <c r="T50" s="57">
        <f t="shared" si="32"/>
        <v>2.7771604776727523E-5</v>
      </c>
      <c r="U50" s="57">
        <f t="shared" si="32"/>
        <v>-2.3955041004185104E-5</v>
      </c>
      <c r="V50" s="57">
        <f t="shared" si="32"/>
        <v>1.9079103398465931E-5</v>
      </c>
      <c r="W50" s="57">
        <f t="shared" si="32"/>
        <v>-1.4031611908266282E-5</v>
      </c>
      <c r="X50" s="57">
        <f t="shared" si="32"/>
        <v>8.6603113260137614E-6</v>
      </c>
      <c r="Y50" s="57">
        <f t="shared" si="32"/>
        <v>-3.7829584941219918E-6</v>
      </c>
      <c r="Z50" s="57">
        <f t="shared" si="32"/>
        <v>6.653417213550679E-8</v>
      </c>
      <c r="AA50" s="57">
        <f t="shared" si="32"/>
        <v>2.0033082004848095E-6</v>
      </c>
      <c r="AB50" s="57">
        <f t="shared" si="32"/>
        <v>-4.1317527445153133E-6</v>
      </c>
      <c r="AC50" s="57">
        <f t="shared" si="32"/>
        <v>5.4833793922452894E-6</v>
      </c>
      <c r="AD50" s="57">
        <f t="shared" si="32"/>
        <v>-3.397721441386927E-6</v>
      </c>
      <c r="AE50" s="57">
        <f t="shared" si="32"/>
        <v>-1.9213322872739402E-6</v>
      </c>
      <c r="AF50" s="57">
        <f t="shared" si="32"/>
        <v>5.360177661096567E-6</v>
      </c>
      <c r="AG50" s="57">
        <f t="shared" si="32"/>
        <v>-6.8060292311331074E-6</v>
      </c>
      <c r="AH50" s="57">
        <f t="shared" si="32"/>
        <v>8.0816060284102681E-6</v>
      </c>
      <c r="AI50" s="57">
        <f t="shared" si="32"/>
        <v>-8.7666740005475449E-6</v>
      </c>
      <c r="AJ50" s="57">
        <f t="shared" si="32"/>
        <v>4.2427144466505316E-6</v>
      </c>
    </row>
    <row r="51" spans="1:36" x14ac:dyDescent="0.25">
      <c r="A51" s="13" t="s">
        <v>21</v>
      </c>
      <c r="B51" s="3">
        <f>STUTT!D8</f>
        <v>6190.9489999999996</v>
      </c>
      <c r="E51" s="11" t="s">
        <v>24</v>
      </c>
      <c r="F51" s="20">
        <f t="shared" ref="F51:AJ51" si="33">(F16-F17)^2</f>
        <v>2.0919025050912992</v>
      </c>
      <c r="G51" s="20">
        <f t="shared" si="33"/>
        <v>0.83419268664198676</v>
      </c>
      <c r="H51" s="20">
        <f t="shared" si="33"/>
        <v>9.2345976439460813</v>
      </c>
      <c r="I51" s="20">
        <f t="shared" si="33"/>
        <v>0.60643447657903082</v>
      </c>
      <c r="J51" s="20">
        <f t="shared" si="33"/>
        <v>1.2577955032442288E-2</v>
      </c>
      <c r="K51" s="20">
        <f t="shared" si="33"/>
        <v>2.3159567436997812E-4</v>
      </c>
      <c r="L51" s="20">
        <f t="shared" si="33"/>
        <v>2.2645491092311037E-5</v>
      </c>
      <c r="M51" s="20">
        <f t="shared" si="33"/>
        <v>3.5499742243743417E-5</v>
      </c>
      <c r="N51" s="20">
        <f t="shared" si="33"/>
        <v>1.4448082191768761E-4</v>
      </c>
      <c r="O51" s="20">
        <f t="shared" si="33"/>
        <v>8.2405196341089567E-4</v>
      </c>
      <c r="P51" s="20">
        <f t="shared" si="33"/>
        <v>3.7388511469971593E-3</v>
      </c>
      <c r="Q51" s="20">
        <f t="shared" si="33"/>
        <v>1.0187856063955864E-2</v>
      </c>
      <c r="R51" s="20">
        <f t="shared" si="33"/>
        <v>1.6784509666678316E-2</v>
      </c>
      <c r="S51" s="20">
        <f t="shared" si="33"/>
        <v>1.8336651150640773E-2</v>
      </c>
      <c r="T51" s="20">
        <f t="shared" si="33"/>
        <v>1.482206599556935E-2</v>
      </c>
      <c r="U51" s="20">
        <f t="shared" si="33"/>
        <v>9.8973806072994511E-3</v>
      </c>
      <c r="V51" s="20">
        <f t="shared" si="33"/>
        <v>5.6430479368250403E-3</v>
      </c>
      <c r="W51" s="20">
        <f t="shared" si="33"/>
        <v>2.6776411930095312E-3</v>
      </c>
      <c r="X51" s="20">
        <f t="shared" si="33"/>
        <v>8.4779586964883042E-4</v>
      </c>
      <c r="Y51" s="20">
        <f t="shared" si="33"/>
        <v>1.3328645973368435E-4</v>
      </c>
      <c r="Z51" s="20">
        <f t="shared" si="33"/>
        <v>3.4257207786915039E-8</v>
      </c>
      <c r="AA51" s="20">
        <f t="shared" si="33"/>
        <v>2.6055099102380928E-5</v>
      </c>
      <c r="AB51" s="20">
        <f t="shared" si="33"/>
        <v>9.2258173421013508E-5</v>
      </c>
      <c r="AC51" s="20">
        <f t="shared" si="33"/>
        <v>1.339761861052735E-4</v>
      </c>
      <c r="AD51" s="20">
        <f t="shared" si="33"/>
        <v>4.1199279406857537E-5</v>
      </c>
      <c r="AE51" s="20">
        <f t="shared" si="33"/>
        <v>1.0063834229627E-5</v>
      </c>
      <c r="AF51" s="20">
        <f t="shared" si="33"/>
        <v>5.4750705260980315E-5</v>
      </c>
      <c r="AG51" s="20">
        <f t="shared" si="33"/>
        <v>5.4180169806500383E-5</v>
      </c>
      <c r="AH51" s="20">
        <f t="shared" si="33"/>
        <v>4.0735534093620068E-5</v>
      </c>
      <c r="AI51" s="20">
        <f t="shared" si="33"/>
        <v>2.3812060311538206E-5</v>
      </c>
      <c r="AJ51" s="20">
        <f t="shared" si="33"/>
        <v>2.9265615579869597E-6</v>
      </c>
    </row>
    <row r="52" spans="1:36" x14ac:dyDescent="0.25">
      <c r="A52" s="13"/>
    </row>
    <row r="53" spans="1:36" x14ac:dyDescent="0.25">
      <c r="E53" s="118" t="s">
        <v>25</v>
      </c>
      <c r="F53" s="118"/>
      <c r="G53" s="104">
        <f>SUM(F51:AJ51)</f>
        <v>12.864512618934739</v>
      </c>
      <c r="I53" s="3">
        <f>G53+C123</f>
        <v>12.864512618934739</v>
      </c>
      <c r="K53" s="3">
        <f>SUM(Z51:AJ51)</f>
        <v>4.7999186050356525E-4</v>
      </c>
    </row>
    <row r="55" spans="1:36" x14ac:dyDescent="0.25">
      <c r="E55" s="30" t="s">
        <v>30</v>
      </c>
      <c r="F55" s="31">
        <f t="shared" ref="F55:AJ55" si="34">ABS(F17-F16)/F16</f>
        <v>2.3432172581766721E-4</v>
      </c>
      <c r="G55" s="31">
        <f t="shared" si="34"/>
        <v>1.4799540445481287E-4</v>
      </c>
      <c r="H55" s="31">
        <f t="shared" si="34"/>
        <v>4.9324719108829139E-4</v>
      </c>
      <c r="I55" s="31">
        <f t="shared" si="34"/>
        <v>1.2807892922490807E-4</v>
      </c>
      <c r="J55" s="31">
        <f t="shared" si="34"/>
        <v>1.8978255159519239E-5</v>
      </c>
      <c r="K55" s="31">
        <f t="shared" si="34"/>
        <v>2.6266237124694053E-6</v>
      </c>
      <c r="L55" s="31">
        <f t="shared" si="34"/>
        <v>8.3776997356586901E-7</v>
      </c>
      <c r="M55" s="31">
        <f t="shared" si="34"/>
        <v>1.0729079506176545E-6</v>
      </c>
      <c r="N55" s="31">
        <f t="shared" si="34"/>
        <v>2.2183699238696463E-6</v>
      </c>
      <c r="O55" s="31">
        <f t="shared" si="34"/>
        <v>5.450735680233527E-6</v>
      </c>
      <c r="P55" s="31">
        <f t="shared" si="34"/>
        <v>1.1983260508870042E-5</v>
      </c>
      <c r="Q55" s="31">
        <f t="shared" si="34"/>
        <v>2.0452163393765193E-5</v>
      </c>
      <c r="R55" s="31">
        <f t="shared" si="34"/>
        <v>2.713811809605444E-5</v>
      </c>
      <c r="S55" s="31">
        <f t="shared" si="34"/>
        <v>2.944947103645783E-5</v>
      </c>
      <c r="T55" s="31">
        <f t="shared" si="34"/>
        <v>2.7770833536114236E-5</v>
      </c>
      <c r="U55" s="31">
        <f t="shared" si="34"/>
        <v>2.3955614861921401E-5</v>
      </c>
      <c r="V55" s="31">
        <f t="shared" si="34"/>
        <v>1.9078739393224333E-5</v>
      </c>
      <c r="W55" s="31">
        <f t="shared" si="34"/>
        <v>1.4031808797161694E-5</v>
      </c>
      <c r="X55" s="31">
        <f t="shared" si="34"/>
        <v>8.6602363256710246E-6</v>
      </c>
      <c r="Y55" s="31">
        <f t="shared" si="34"/>
        <v>3.7829728049510974E-6</v>
      </c>
      <c r="Z55" s="31">
        <f t="shared" si="34"/>
        <v>6.6534167708711027E-8</v>
      </c>
      <c r="AA55" s="31">
        <f t="shared" si="34"/>
        <v>2.0033041872491035E-6</v>
      </c>
      <c r="AB55" s="31">
        <f t="shared" si="34"/>
        <v>4.1317698159665902E-6</v>
      </c>
      <c r="AC55" s="31">
        <f t="shared" si="34"/>
        <v>5.4833493249606009E-6</v>
      </c>
      <c r="AD55" s="31">
        <f t="shared" si="34"/>
        <v>3.3977329859371456E-6</v>
      </c>
      <c r="AE55" s="31">
        <f t="shared" si="34"/>
        <v>1.921335978798791E-6</v>
      </c>
      <c r="AF55" s="31">
        <f t="shared" si="34"/>
        <v>5.3601489297460138E-6</v>
      </c>
      <c r="AG55" s="31">
        <f t="shared" si="34"/>
        <v>6.8060755534822731E-6</v>
      </c>
      <c r="AH55" s="31">
        <f t="shared" si="34"/>
        <v>8.0815407165820941E-6</v>
      </c>
      <c r="AI55" s="31">
        <f t="shared" si="34"/>
        <v>8.7667508557943414E-6</v>
      </c>
      <c r="AJ55" s="31">
        <f t="shared" si="34"/>
        <v>4.2426964461010274E-6</v>
      </c>
    </row>
    <row r="56" spans="1:36" x14ac:dyDescent="0.25">
      <c r="E56" s="13" t="s">
        <v>31</v>
      </c>
      <c r="F56" s="32">
        <f>AVERAGE(F55:AJ55)</f>
        <v>4.1012657119434597E-5</v>
      </c>
    </row>
    <row r="57" spans="1:36" x14ac:dyDescent="0.25">
      <c r="A57" s="42"/>
      <c r="B57" s="15"/>
      <c r="C57" s="15"/>
      <c r="D57" s="15"/>
      <c r="F57" s="60">
        <f>AVERAGE(S55:X55)</f>
        <v>2.0491117325091754E-5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-20.678712849703782</v>
      </c>
    </row>
    <row r="119" spans="1:14" x14ac:dyDescent="0.25">
      <c r="L119" s="11">
        <f>L118+1</f>
        <v>2</v>
      </c>
      <c r="M119" s="11">
        <f t="shared" ref="M119:M124" si="35">INDEX($B$125:$K$126,1,L119)</f>
        <v>0</v>
      </c>
      <c r="N119" s="11">
        <f t="shared" ref="N119:N124" si="36">IF(L119=$B$3,0,INDEX($B$125:$K$126,2,L119))</f>
        <v>-11.038584339708127</v>
      </c>
    </row>
    <row r="120" spans="1:14" x14ac:dyDescent="0.25">
      <c r="L120" s="11">
        <f t="shared" ref="L120:L124" si="37">L119+1</f>
        <v>3</v>
      </c>
      <c r="M120" s="11">
        <f t="shared" si="35"/>
        <v>25</v>
      </c>
      <c r="N120" s="11">
        <f t="shared" si="36"/>
        <v>-4.4849291424001567</v>
      </c>
    </row>
    <row r="121" spans="1:14" x14ac:dyDescent="0.25">
      <c r="A121" s="103">
        <f>(A165+A204+A243+A282+A321+A360+A399)*10^9</f>
        <v>1634999328899811.2</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5.6520748950937074</v>
      </c>
    </row>
    <row r="123" spans="1:14" x14ac:dyDescent="0.25">
      <c r="A123" s="118"/>
      <c r="B123" s="118"/>
      <c r="C123" s="3"/>
      <c r="D123" s="3"/>
      <c r="E123" s="3"/>
      <c r="F123" s="3"/>
      <c r="G123" s="3"/>
      <c r="H123" s="3"/>
      <c r="I123" s="3"/>
      <c r="J123" s="3"/>
      <c r="K123" s="3"/>
      <c r="L123" s="11">
        <f t="shared" si="37"/>
        <v>6</v>
      </c>
      <c r="M123" s="11">
        <f t="shared" si="35"/>
        <v>125</v>
      </c>
      <c r="N123" s="11">
        <f t="shared" si="36"/>
        <v>20.951502600291697</v>
      </c>
    </row>
    <row r="124" spans="1:14" x14ac:dyDescent="0.25">
      <c r="B124" s="3"/>
      <c r="C124" s="3"/>
      <c r="D124" s="3"/>
      <c r="E124" s="3"/>
      <c r="F124" s="3"/>
      <c r="G124" s="3"/>
      <c r="H124" s="3"/>
      <c r="I124" s="3"/>
      <c r="J124" s="3"/>
      <c r="K124" s="3"/>
      <c r="L124" s="11">
        <f t="shared" si="37"/>
        <v>7</v>
      </c>
      <c r="M124" s="11">
        <f t="shared" si="35"/>
        <v>160</v>
      </c>
      <c r="N124" s="11">
        <f t="shared" si="36"/>
        <v>36.342635511339353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-20.678712849703782</v>
      </c>
      <c r="C126" s="107">
        <v>-11.038584339708127</v>
      </c>
      <c r="D126" s="107">
        <v>-4.4849291424001567</v>
      </c>
      <c r="E126" s="107">
        <v>-6.2079259229650319E-5</v>
      </c>
      <c r="F126" s="107">
        <v>5.6520748950937074</v>
      </c>
      <c r="G126" s="107">
        <v>20.951502600291697</v>
      </c>
      <c r="H126" s="107">
        <v>36.342635511339353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6190.9472364362628</v>
      </c>
      <c r="C131" s="27">
        <f t="shared" ref="C131:AF131" si="40">($C$17+SUM(C132:C162))*$B$51</f>
        <v>6190.9313726574819</v>
      </c>
      <c r="D131" s="27">
        <f t="shared" si="40"/>
        <v>6190.7735532058223</v>
      </c>
      <c r="E131" s="27">
        <f t="shared" si="40"/>
        <v>6189.2744133913402</v>
      </c>
      <c r="F131" s="27">
        <f t="shared" si="40"/>
        <v>6180.009984397765</v>
      </c>
      <c r="G131" s="27">
        <f t="shared" si="40"/>
        <v>6174.0814240126228</v>
      </c>
      <c r="H131" s="27">
        <f t="shared" si="40"/>
        <v>6174.0807723559201</v>
      </c>
      <c r="I131" s="27">
        <f t="shared" si="40"/>
        <v>6174.079111524431</v>
      </c>
      <c r="J131" s="27">
        <f t="shared" si="40"/>
        <v>6174.062504711379</v>
      </c>
      <c r="K131" s="27">
        <f t="shared" si="40"/>
        <v>6173.8965866482085</v>
      </c>
      <c r="L131" s="27">
        <f t="shared" si="40"/>
        <v>6172.2522960474153</v>
      </c>
      <c r="M131" s="27">
        <f t="shared" si="40"/>
        <v>6157.1884021846663</v>
      </c>
      <c r="N131" s="27">
        <f t="shared" si="40"/>
        <v>6078.6219357711288</v>
      </c>
      <c r="O131" s="27">
        <f t="shared" si="40"/>
        <v>5906.0986499018309</v>
      </c>
      <c r="P131" s="27">
        <f t="shared" si="40"/>
        <v>5791.6918456062349</v>
      </c>
      <c r="Q131" s="27">
        <f t="shared" si="40"/>
        <v>5677.6969555145115</v>
      </c>
      <c r="R131" s="27">
        <f t="shared" si="40"/>
        <v>5550.4533125819989</v>
      </c>
      <c r="S131" s="27">
        <f t="shared" si="40"/>
        <v>5415.3301090658679</v>
      </c>
      <c r="T131" s="27">
        <f t="shared" si="40"/>
        <v>5263.0159942711907</v>
      </c>
      <c r="U131" s="27">
        <f t="shared" si="40"/>
        <v>5098.9136861427869</v>
      </c>
      <c r="V131" s="27">
        <f t="shared" si="40"/>
        <v>4931.6680852419822</v>
      </c>
      <c r="W131" s="27">
        <f t="shared" si="40"/>
        <v>4770.4235041130669</v>
      </c>
      <c r="X131" s="27">
        <f t="shared" si="40"/>
        <v>4594.2462930839429</v>
      </c>
      <c r="Y131" s="27">
        <f t="shared" si="40"/>
        <v>4379.0972831441386</v>
      </c>
      <c r="Z131" s="27">
        <f t="shared" si="40"/>
        <v>4148.7647112612958</v>
      </c>
      <c r="AA131" s="27">
        <f t="shared" si="40"/>
        <v>3933.397630055119</v>
      </c>
      <c r="AB131" s="27">
        <f t="shared" si="40"/>
        <v>3682.0516775590331</v>
      </c>
      <c r="AC131" s="27">
        <f t="shared" si="40"/>
        <v>3356.5294579331789</v>
      </c>
      <c r="AD131" s="27">
        <f t="shared" si="40"/>
        <v>3047.0954740938014</v>
      </c>
      <c r="AE131" s="27">
        <f t="shared" si="40"/>
        <v>2777.6415844390062</v>
      </c>
      <c r="AF131" s="27">
        <f t="shared" si="40"/>
        <v>2544.6961250922063</v>
      </c>
    </row>
    <row r="132" spans="1:33" x14ac:dyDescent="0.25">
      <c r="B132" s="3">
        <f t="shared" ref="B132:Z133" si="41">$C18*EXP(-B$129/$A18/EXP(-$B$126))</f>
        <v>2.7243447720225297E-3</v>
      </c>
      <c r="C132" s="3">
        <f t="shared" ref="C132:AF132" si="42">$C18*EXP(-C$129/$A18/EXP(-$B$126))</f>
        <v>2.721782357581914E-3</v>
      </c>
      <c r="D132" s="3">
        <f t="shared" si="42"/>
        <v>2.6962903958403553E-3</v>
      </c>
      <c r="E132" s="3">
        <f t="shared" si="42"/>
        <v>2.4541401780955752E-3</v>
      </c>
      <c r="F132" s="3">
        <f t="shared" si="42"/>
        <v>9.5769313375285332E-4</v>
      </c>
      <c r="G132" s="3">
        <f t="shared" si="42"/>
        <v>7.8432571707366575E-8</v>
      </c>
      <c r="H132" s="3">
        <f t="shared" si="42"/>
        <v>1.0646264952170994E-48</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9.0451871452417038E-3</v>
      </c>
      <c r="C134" s="3">
        <f t="shared" si="44"/>
        <v>9.0451871450450243E-3</v>
      </c>
      <c r="D134" s="3">
        <f t="shared" si="44"/>
        <v>9.0451871430782347E-3</v>
      </c>
      <c r="E134" s="3">
        <f t="shared" si="44"/>
        <v>9.0451871234103493E-3</v>
      </c>
      <c r="F134" s="3">
        <f t="shared" si="44"/>
        <v>9.0451869267314904E-3</v>
      </c>
      <c r="G134" s="3">
        <f t="shared" si="44"/>
        <v>9.0451849599431436E-3</v>
      </c>
      <c r="H134" s="3">
        <f t="shared" si="44"/>
        <v>9.0451652920831883E-3</v>
      </c>
      <c r="I134" s="3">
        <f t="shared" si="44"/>
        <v>9.0449686158357422E-3</v>
      </c>
      <c r="J134" s="3">
        <f t="shared" si="44"/>
        <v>9.0430020885528036E-3</v>
      </c>
      <c r="K134" s="3">
        <f t="shared" si="44"/>
        <v>9.0233603159656922E-3</v>
      </c>
      <c r="L134" s="3">
        <f t="shared" si="44"/>
        <v>8.8292738171505767E-3</v>
      </c>
      <c r="M134" s="3">
        <f t="shared" si="44"/>
        <v>7.1038182864443357E-3</v>
      </c>
      <c r="N134" s="3">
        <f t="shared" si="44"/>
        <v>8.0753327383839145E-4</v>
      </c>
      <c r="O134" s="3">
        <f t="shared" si="44"/>
        <v>2.9096868410248096E-13</v>
      </c>
      <c r="P134" s="3">
        <f t="shared" si="44"/>
        <v>1.0732588738890005E-107</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3.4814234608859941E-2</v>
      </c>
      <c r="C135" s="3">
        <f t="shared" si="47"/>
        <v>3.4814234608791648E-2</v>
      </c>
      <c r="D135" s="3">
        <f t="shared" si="47"/>
        <v>3.4814234608108771E-2</v>
      </c>
      <c r="E135" s="3">
        <f t="shared" si="47"/>
        <v>3.4814234601279984E-2</v>
      </c>
      <c r="F135" s="3">
        <f t="shared" si="47"/>
        <v>3.4814234532992115E-2</v>
      </c>
      <c r="G135" s="3">
        <f t="shared" si="47"/>
        <v>3.4814233850113417E-2</v>
      </c>
      <c r="H135" s="3">
        <f t="shared" si="47"/>
        <v>3.4814227021327179E-2</v>
      </c>
      <c r="I135" s="3">
        <f t="shared" si="47"/>
        <v>3.4814158733538499E-2</v>
      </c>
      <c r="J135" s="3">
        <f t="shared" si="47"/>
        <v>3.4813475863018681E-2</v>
      </c>
      <c r="K135" s="3">
        <f t="shared" si="47"/>
        <v>3.4806647894464963E-2</v>
      </c>
      <c r="L135" s="3">
        <f t="shared" si="47"/>
        <v>3.4738441819944885E-2</v>
      </c>
      <c r="M135" s="3">
        <f t="shared" si="47"/>
        <v>3.4063689032221178E-2</v>
      </c>
      <c r="N135" s="3">
        <f t="shared" si="47"/>
        <v>2.7996589498845759E-2</v>
      </c>
      <c r="O135" s="3">
        <f t="shared" si="47"/>
        <v>3.9376728388173538E-3</v>
      </c>
      <c r="P135" s="3">
        <f t="shared" si="47"/>
        <v>1.1928467043022192E-11</v>
      </c>
      <c r="Q135" s="3">
        <f t="shared" si="47"/>
        <v>7.7630911433034643E-97</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1.6737347405565699E-2</v>
      </c>
      <c r="C136" s="3">
        <f t="shared" si="49"/>
        <v>1.6737347405562736E-2</v>
      </c>
      <c r="D136" s="3">
        <f t="shared" si="49"/>
        <v>1.6737347405533124E-2</v>
      </c>
      <c r="E136" s="3">
        <f t="shared" si="49"/>
        <v>1.6737347405236965E-2</v>
      </c>
      <c r="F136" s="3">
        <f t="shared" si="49"/>
        <v>1.6737347402275411E-2</v>
      </c>
      <c r="G136" s="3">
        <f t="shared" si="49"/>
        <v>1.6737347372659851E-2</v>
      </c>
      <c r="H136" s="3">
        <f t="shared" si="49"/>
        <v>1.6737347076504261E-2</v>
      </c>
      <c r="I136" s="3">
        <f t="shared" si="49"/>
        <v>1.6737344114948642E-2</v>
      </c>
      <c r="J136" s="3">
        <f t="shared" si="49"/>
        <v>1.6737314499421296E-2</v>
      </c>
      <c r="K136" s="3">
        <f t="shared" si="49"/>
        <v>1.6737018347029946E-2</v>
      </c>
      <c r="L136" s="3">
        <f t="shared" si="49"/>
        <v>1.6734057111310041E-2</v>
      </c>
      <c r="M136" s="3">
        <f t="shared" si="49"/>
        <v>1.6704473554613197E-2</v>
      </c>
      <c r="N136" s="3">
        <f t="shared" si="49"/>
        <v>1.6411499271404791E-2</v>
      </c>
      <c r="O136" s="3">
        <f t="shared" si="49"/>
        <v>1.3750006482468219E-2</v>
      </c>
      <c r="P136" s="3">
        <f t="shared" si="49"/>
        <v>2.3434158013316653E-3</v>
      </c>
      <c r="Q136" s="3">
        <f t="shared" si="49"/>
        <v>4.8452240548246526E-11</v>
      </c>
      <c r="R136" s="3">
        <f t="shared" si="49"/>
        <v>6.9176561572361765E-88</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1.9251005169364011E-2</v>
      </c>
      <c r="C137" s="3">
        <f t="shared" si="51"/>
        <v>1.9251005169363702E-2</v>
      </c>
      <c r="D137" s="3">
        <f t="shared" si="51"/>
        <v>1.9251005169360631E-2</v>
      </c>
      <c r="E137" s="3">
        <f t="shared" si="51"/>
        <v>1.9251005169329906E-2</v>
      </c>
      <c r="F137" s="3">
        <f t="shared" si="51"/>
        <v>1.9251005169022624E-2</v>
      </c>
      <c r="G137" s="3">
        <f t="shared" si="51"/>
        <v>1.9251005165949828E-2</v>
      </c>
      <c r="H137" s="3">
        <f t="shared" si="51"/>
        <v>1.9251005135221901E-2</v>
      </c>
      <c r="I137" s="3">
        <f t="shared" si="51"/>
        <v>1.9251004827942599E-2</v>
      </c>
      <c r="J137" s="3">
        <f t="shared" si="51"/>
        <v>1.9251001755149856E-2</v>
      </c>
      <c r="K137" s="3">
        <f t="shared" si="51"/>
        <v>1.9250971027249399E-2</v>
      </c>
      <c r="L137" s="3">
        <f t="shared" si="51"/>
        <v>1.9250663750942407E-2</v>
      </c>
      <c r="M137" s="3">
        <f t="shared" si="51"/>
        <v>1.924759125761373E-2</v>
      </c>
      <c r="N137" s="3">
        <f t="shared" si="51"/>
        <v>1.9216893282530581E-2</v>
      </c>
      <c r="O137" s="3">
        <f t="shared" si="51"/>
        <v>1.8912593498724539E-2</v>
      </c>
      <c r="P137" s="3">
        <f t="shared" si="51"/>
        <v>1.6122418307498488E-2</v>
      </c>
      <c r="Q137" s="3">
        <f t="shared" si="51"/>
        <v>3.2675418205395878E-3</v>
      </c>
      <c r="R137" s="3">
        <f t="shared" si="51"/>
        <v>3.8205936681852337E-10</v>
      </c>
      <c r="S137" s="3">
        <f t="shared" si="51"/>
        <v>1.824852724635728E-79</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2.1901222086413756E-2</v>
      </c>
      <c r="C138" s="3">
        <f t="shared" si="53"/>
        <v>2.1901222086413725E-2</v>
      </c>
      <c r="D138" s="3">
        <f t="shared" si="53"/>
        <v>2.1901222086413409E-2</v>
      </c>
      <c r="E138" s="3">
        <f t="shared" si="53"/>
        <v>2.1901222086410255E-2</v>
      </c>
      <c r="F138" s="3">
        <f t="shared" si="53"/>
        <v>2.1901222086378722E-2</v>
      </c>
      <c r="G138" s="3">
        <f t="shared" si="53"/>
        <v>2.190122208606337E-2</v>
      </c>
      <c r="H138" s="3">
        <f t="shared" si="53"/>
        <v>2.1901222082909854E-2</v>
      </c>
      <c r="I138" s="3">
        <f t="shared" si="53"/>
        <v>2.1901222051374708E-2</v>
      </c>
      <c r="J138" s="3">
        <f t="shared" si="53"/>
        <v>2.1901221736023255E-2</v>
      </c>
      <c r="K138" s="3">
        <f t="shared" si="53"/>
        <v>2.1901218582508975E-2</v>
      </c>
      <c r="L138" s="3">
        <f t="shared" si="53"/>
        <v>2.1901187047391139E-2</v>
      </c>
      <c r="M138" s="3">
        <f t="shared" si="53"/>
        <v>2.1900871698710134E-2</v>
      </c>
      <c r="N138" s="3">
        <f t="shared" si="53"/>
        <v>2.1897718461622966E-2</v>
      </c>
      <c r="O138" s="3">
        <f t="shared" si="53"/>
        <v>2.1866211049739018E-2</v>
      </c>
      <c r="P138" s="3">
        <f t="shared" si="53"/>
        <v>2.1553619583686106E-2</v>
      </c>
      <c r="Q138" s="3">
        <f t="shared" si="53"/>
        <v>1.866323789454084E-2</v>
      </c>
      <c r="R138" s="3">
        <f t="shared" si="53"/>
        <v>4.4223669643788203E-3</v>
      </c>
      <c r="S138" s="3">
        <f t="shared" si="53"/>
        <v>2.4679288184960023E-9</v>
      </c>
      <c r="T138" s="3">
        <f t="shared" si="53"/>
        <v>7.2295481000914479E-72</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2.2497281457411155E-2</v>
      </c>
      <c r="C139" s="3">
        <f t="shared" si="55"/>
        <v>2.2497281457411152E-2</v>
      </c>
      <c r="D139" s="3">
        <f t="shared" si="55"/>
        <v>2.2497281457411124E-2</v>
      </c>
      <c r="E139" s="3">
        <f t="shared" si="55"/>
        <v>2.2497281457410829E-2</v>
      </c>
      <c r="F139" s="3">
        <f t="shared" si="55"/>
        <v>2.2497281457407908E-2</v>
      </c>
      <c r="G139" s="3">
        <f t="shared" si="55"/>
        <v>2.2497281457378688E-2</v>
      </c>
      <c r="H139" s="3">
        <f t="shared" si="55"/>
        <v>2.249728145708647E-2</v>
      </c>
      <c r="I139" s="3">
        <f t="shared" si="55"/>
        <v>2.2497281454164318E-2</v>
      </c>
      <c r="J139" s="3">
        <f t="shared" si="55"/>
        <v>2.2497281424942776E-2</v>
      </c>
      <c r="K139" s="3">
        <f t="shared" si="55"/>
        <v>2.2497281132727361E-2</v>
      </c>
      <c r="L139" s="3">
        <f t="shared" si="55"/>
        <v>2.2497278210573433E-2</v>
      </c>
      <c r="M139" s="3">
        <f t="shared" si="55"/>
        <v>2.2497248989055019E-2</v>
      </c>
      <c r="N139" s="3">
        <f t="shared" si="55"/>
        <v>2.2496956775958424E-2</v>
      </c>
      <c r="O139" s="3">
        <f t="shared" si="55"/>
        <v>2.249403485373731E-2</v>
      </c>
      <c r="P139" s="3">
        <f t="shared" si="55"/>
        <v>2.246483649597943E-2</v>
      </c>
      <c r="Q139" s="3">
        <f t="shared" si="55"/>
        <v>2.2174929371224537E-2</v>
      </c>
      <c r="R139" s="3">
        <f t="shared" si="55"/>
        <v>1.9473861512273909E-2</v>
      </c>
      <c r="S139" s="3">
        <f t="shared" si="55"/>
        <v>5.3131294449529701E-3</v>
      </c>
      <c r="T139" s="3">
        <f t="shared" si="55"/>
        <v>1.2143212451057721E-8</v>
      </c>
      <c r="U139" s="3">
        <f t="shared" si="55"/>
        <v>4.7224303070762671E-65</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2.6719174389677101E-2</v>
      </c>
      <c r="C140" s="3">
        <f t="shared" si="57"/>
        <v>2.6719174389677101E-2</v>
      </c>
      <c r="D140" s="3">
        <f t="shared" si="57"/>
        <v>2.6719174389677098E-2</v>
      </c>
      <c r="E140" s="3">
        <f t="shared" si="57"/>
        <v>2.6719174389677067E-2</v>
      </c>
      <c r="F140" s="3">
        <f t="shared" si="57"/>
        <v>2.6719174389676754E-2</v>
      </c>
      <c r="G140" s="3">
        <f t="shared" si="57"/>
        <v>2.6719174389673622E-2</v>
      </c>
      <c r="H140" s="3">
        <f t="shared" si="57"/>
        <v>2.6719174389642317E-2</v>
      </c>
      <c r="I140" s="3">
        <f t="shared" si="57"/>
        <v>2.6719174389329244E-2</v>
      </c>
      <c r="J140" s="3">
        <f t="shared" si="57"/>
        <v>2.6719174386198537E-2</v>
      </c>
      <c r="K140" s="3">
        <f t="shared" si="57"/>
        <v>2.6719174354891444E-2</v>
      </c>
      <c r="L140" s="3">
        <f t="shared" si="57"/>
        <v>2.6719174041820545E-2</v>
      </c>
      <c r="M140" s="3">
        <f t="shared" si="57"/>
        <v>2.6719170911111728E-2</v>
      </c>
      <c r="N140" s="3">
        <f t="shared" si="57"/>
        <v>2.6719139604043724E-2</v>
      </c>
      <c r="O140" s="3">
        <f t="shared" si="57"/>
        <v>2.6718826535381251E-2</v>
      </c>
      <c r="P140" s="3">
        <f t="shared" si="57"/>
        <v>2.6715696050502148E-2</v>
      </c>
      <c r="Q140" s="3">
        <f t="shared" si="57"/>
        <v>2.6684411367531205E-2</v>
      </c>
      <c r="R140" s="3">
        <f t="shared" si="57"/>
        <v>2.6373572404628554E-2</v>
      </c>
      <c r="S140" s="3">
        <f t="shared" si="57"/>
        <v>2.3457530854457152E-2</v>
      </c>
      <c r="T140" s="3">
        <f t="shared" si="57"/>
        <v>7.268012269935141E-3</v>
      </c>
      <c r="U140" s="3">
        <f t="shared" si="57"/>
        <v>5.9258302632292053E-8</v>
      </c>
      <c r="V140" s="3">
        <f t="shared" si="57"/>
        <v>7.6928057331889988E-59</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2.8269244352707574E-2</v>
      </c>
      <c r="C141" s="3">
        <f t="shared" si="59"/>
        <v>2.8269244352707574E-2</v>
      </c>
      <c r="D141" s="3">
        <f t="shared" si="59"/>
        <v>2.8269244352707574E-2</v>
      </c>
      <c r="E141" s="3">
        <f t="shared" si="59"/>
        <v>2.826924435270757E-2</v>
      </c>
      <c r="F141" s="3">
        <f t="shared" si="59"/>
        <v>2.8269244352707539E-2</v>
      </c>
      <c r="G141" s="3">
        <f t="shared" si="59"/>
        <v>2.8269244352707241E-2</v>
      </c>
      <c r="H141" s="3">
        <f t="shared" si="59"/>
        <v>2.8269244352704254E-2</v>
      </c>
      <c r="I141" s="3">
        <f t="shared" si="59"/>
        <v>2.8269244352674375E-2</v>
      </c>
      <c r="J141" s="3">
        <f t="shared" si="59"/>
        <v>2.8269244352375576E-2</v>
      </c>
      <c r="K141" s="3">
        <f t="shared" si="59"/>
        <v>2.8269244349387577E-2</v>
      </c>
      <c r="L141" s="3">
        <f t="shared" si="59"/>
        <v>2.8269244319507583E-2</v>
      </c>
      <c r="M141" s="3">
        <f t="shared" si="59"/>
        <v>2.8269244020707674E-2</v>
      </c>
      <c r="N141" s="3">
        <f t="shared" si="59"/>
        <v>2.826924103270876E-2</v>
      </c>
      <c r="O141" s="3">
        <f t="shared" si="59"/>
        <v>2.8269211152736961E-2</v>
      </c>
      <c r="P141" s="3">
        <f t="shared" si="59"/>
        <v>2.8268912354756009E-2</v>
      </c>
      <c r="Q141" s="3">
        <f t="shared" si="59"/>
        <v>2.8265924548642803E-2</v>
      </c>
      <c r="R141" s="3">
        <f t="shared" si="59"/>
        <v>2.8236063850348853E-2</v>
      </c>
      <c r="S141" s="3">
        <f t="shared" si="59"/>
        <v>2.7939186380079285E-2</v>
      </c>
      <c r="T141" s="3">
        <f t="shared" si="59"/>
        <v>2.5136786133897842E-2</v>
      </c>
      <c r="U141" s="3">
        <f t="shared" si="59"/>
        <v>8.7351366477982344E-3</v>
      </c>
      <c r="V141" s="3">
        <f t="shared" si="59"/>
        <v>2.2432063944484392E-7</v>
      </c>
      <c r="W141" s="3">
        <f t="shared" si="59"/>
        <v>2.7981084607055755E-53</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2.8789242104317232E-2</v>
      </c>
      <c r="C142" s="3">
        <f t="shared" si="61"/>
        <v>2.8789242104317232E-2</v>
      </c>
      <c r="D142" s="3">
        <f t="shared" si="61"/>
        <v>2.8789242104317232E-2</v>
      </c>
      <c r="E142" s="3">
        <f t="shared" si="61"/>
        <v>2.8789242104317232E-2</v>
      </c>
      <c r="F142" s="3">
        <f t="shared" si="61"/>
        <v>2.8789242104317228E-2</v>
      </c>
      <c r="G142" s="3">
        <f t="shared" si="61"/>
        <v>2.87892421043172E-2</v>
      </c>
      <c r="H142" s="3">
        <f t="shared" si="61"/>
        <v>2.8789242104316926E-2</v>
      </c>
      <c r="I142" s="3">
        <f t="shared" si="61"/>
        <v>2.8789242104314182E-2</v>
      </c>
      <c r="J142" s="3">
        <f t="shared" si="61"/>
        <v>2.8789242104286732E-2</v>
      </c>
      <c r="K142" s="3">
        <f t="shared" si="61"/>
        <v>2.8789242104012229E-2</v>
      </c>
      <c r="L142" s="3">
        <f t="shared" si="61"/>
        <v>2.8789242101267227E-2</v>
      </c>
      <c r="M142" s="3">
        <f t="shared" si="61"/>
        <v>2.8789242073817178E-2</v>
      </c>
      <c r="N142" s="3">
        <f t="shared" si="61"/>
        <v>2.8789241799316717E-2</v>
      </c>
      <c r="O142" s="3">
        <f t="shared" si="61"/>
        <v>2.8789239054312209E-2</v>
      </c>
      <c r="P142" s="3">
        <f t="shared" si="61"/>
        <v>2.8789211604281554E-2</v>
      </c>
      <c r="Q142" s="3">
        <f t="shared" si="61"/>
        <v>2.8788937105414528E-2</v>
      </c>
      <c r="R142" s="3">
        <f t="shared" si="61"/>
        <v>2.8786192260690895E-2</v>
      </c>
      <c r="S142" s="3">
        <f t="shared" si="61"/>
        <v>2.8758758203044115E-2</v>
      </c>
      <c r="T142" s="3">
        <f t="shared" si="61"/>
        <v>2.8485851521966681E-2</v>
      </c>
      <c r="U142" s="3">
        <f t="shared" si="61"/>
        <v>2.5895242070712417E-2</v>
      </c>
      <c r="V142" s="3">
        <f t="shared" si="61"/>
        <v>9.9799338907887898E-3</v>
      </c>
      <c r="W142" s="3">
        <f t="shared" si="61"/>
        <v>7.2144720778390435E-7</v>
      </c>
      <c r="X142" s="3">
        <f t="shared" si="61"/>
        <v>2.8117291382345856E-48</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2.5595411660203616E-2</v>
      </c>
      <c r="C143" s="3">
        <f t="shared" si="63"/>
        <v>2.5595411660203616E-2</v>
      </c>
      <c r="D143" s="3">
        <f t="shared" si="63"/>
        <v>2.5595411660203616E-2</v>
      </c>
      <c r="E143" s="3">
        <f t="shared" si="63"/>
        <v>2.5595411660203616E-2</v>
      </c>
      <c r="F143" s="3">
        <f t="shared" si="63"/>
        <v>2.5595411660203616E-2</v>
      </c>
      <c r="G143" s="3">
        <f t="shared" si="63"/>
        <v>2.5595411660203612E-2</v>
      </c>
      <c r="H143" s="3">
        <f t="shared" si="63"/>
        <v>2.5595411660203592E-2</v>
      </c>
      <c r="I143" s="3">
        <f t="shared" si="63"/>
        <v>2.5595411660203373E-2</v>
      </c>
      <c r="J143" s="3">
        <f t="shared" si="63"/>
        <v>2.559541166020117E-2</v>
      </c>
      <c r="K143" s="3">
        <f t="shared" si="63"/>
        <v>2.5595411660179156E-2</v>
      </c>
      <c r="L143" s="3">
        <f t="shared" si="63"/>
        <v>2.5595411659959003E-2</v>
      </c>
      <c r="M143" s="3">
        <f t="shared" si="63"/>
        <v>2.5595411657757489E-2</v>
      </c>
      <c r="N143" s="3">
        <f t="shared" si="63"/>
        <v>2.5595411635742343E-2</v>
      </c>
      <c r="O143" s="3">
        <f t="shared" si="63"/>
        <v>2.5595411415590887E-2</v>
      </c>
      <c r="P143" s="3">
        <f t="shared" si="63"/>
        <v>2.559540921407643E-2</v>
      </c>
      <c r="Q143" s="3">
        <f t="shared" si="63"/>
        <v>2.559538719894227E-2</v>
      </c>
      <c r="R143" s="3">
        <f t="shared" si="63"/>
        <v>2.559516704864212E-2</v>
      </c>
      <c r="S143" s="3">
        <f t="shared" si="63"/>
        <v>2.5592965649783216E-2</v>
      </c>
      <c r="T143" s="3">
        <f t="shared" si="63"/>
        <v>2.5570962072138912E-2</v>
      </c>
      <c r="U143" s="3">
        <f t="shared" si="63"/>
        <v>2.5351964084550701E-2</v>
      </c>
      <c r="V143" s="3">
        <f t="shared" si="63"/>
        <v>2.3262535001044488E-2</v>
      </c>
      <c r="W143" s="3">
        <f t="shared" si="63"/>
        <v>9.8426337740254808E-3</v>
      </c>
      <c r="X143" s="3">
        <f t="shared" si="63"/>
        <v>1.8098983808296352E-6</v>
      </c>
      <c r="Y143" s="3">
        <f t="shared" si="63"/>
        <v>7.9998684475335333E-44</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3.1571984224505523E-2</v>
      </c>
      <c r="C144" s="3">
        <f t="shared" si="65"/>
        <v>3.1571984224505523E-2</v>
      </c>
      <c r="D144" s="3">
        <f t="shared" si="65"/>
        <v>3.1571984224505523E-2</v>
      </c>
      <c r="E144" s="3">
        <f t="shared" si="65"/>
        <v>3.1571984224505523E-2</v>
      </c>
      <c r="F144" s="3">
        <f t="shared" si="65"/>
        <v>3.1571984224505523E-2</v>
      </c>
      <c r="G144" s="3">
        <f t="shared" si="65"/>
        <v>3.1571984224505523E-2</v>
      </c>
      <c r="H144" s="3">
        <f t="shared" si="65"/>
        <v>3.1571984224505516E-2</v>
      </c>
      <c r="I144" s="3">
        <f t="shared" si="65"/>
        <v>3.1571984224505495E-2</v>
      </c>
      <c r="J144" s="3">
        <f t="shared" si="65"/>
        <v>3.1571984224505252E-2</v>
      </c>
      <c r="K144" s="3">
        <f t="shared" si="65"/>
        <v>3.1571984224502796E-2</v>
      </c>
      <c r="L144" s="3">
        <f t="shared" si="65"/>
        <v>3.1571984224478301E-2</v>
      </c>
      <c r="M144" s="3">
        <f t="shared" si="65"/>
        <v>3.1571984224233338E-2</v>
      </c>
      <c r="N144" s="3">
        <f t="shared" si="65"/>
        <v>3.1571984221783665E-2</v>
      </c>
      <c r="O144" s="3">
        <f t="shared" si="65"/>
        <v>3.1571984197286948E-2</v>
      </c>
      <c r="P144" s="3">
        <f t="shared" si="65"/>
        <v>3.1571983952319763E-2</v>
      </c>
      <c r="Q144" s="3">
        <f t="shared" si="65"/>
        <v>3.1571981502648012E-2</v>
      </c>
      <c r="R144" s="3">
        <f t="shared" si="65"/>
        <v>3.1571957005941002E-2</v>
      </c>
      <c r="S144" s="3">
        <f t="shared" si="65"/>
        <v>3.1571712039916246E-2</v>
      </c>
      <c r="T144" s="3">
        <f t="shared" si="65"/>
        <v>3.1569262484203969E-2</v>
      </c>
      <c r="U144" s="3">
        <f t="shared" si="65"/>
        <v>3.1544777377606352E-2</v>
      </c>
      <c r="V144" s="3">
        <f t="shared" si="65"/>
        <v>3.1300968370195678E-2</v>
      </c>
      <c r="W144" s="3">
        <f t="shared" si="65"/>
        <v>2.8964153654102535E-2</v>
      </c>
      <c r="X144" s="3">
        <f t="shared" si="65"/>
        <v>1.3331884213402902E-2</v>
      </c>
      <c r="Y144" s="3">
        <f t="shared" si="65"/>
        <v>5.6911291029218898E-6</v>
      </c>
      <c r="Z144" s="3">
        <f t="shared" si="65"/>
        <v>1.1435824516745182E-39</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4.0619048192840942E-2</v>
      </c>
      <c r="C145" s="3">
        <f t="shared" si="68"/>
        <v>4.0619048192840942E-2</v>
      </c>
      <c r="D145" s="3">
        <f t="shared" si="68"/>
        <v>4.0619048192840942E-2</v>
      </c>
      <c r="E145" s="3">
        <f t="shared" si="68"/>
        <v>4.0619048192840942E-2</v>
      </c>
      <c r="F145" s="3">
        <f t="shared" si="68"/>
        <v>4.0619048192840942E-2</v>
      </c>
      <c r="G145" s="3">
        <f t="shared" si="68"/>
        <v>4.0619048192840942E-2</v>
      </c>
      <c r="H145" s="3">
        <f t="shared" si="68"/>
        <v>4.0619048192840942E-2</v>
      </c>
      <c r="I145" s="3">
        <f t="shared" si="68"/>
        <v>4.0619048192840936E-2</v>
      </c>
      <c r="J145" s="3">
        <f t="shared" si="68"/>
        <v>4.0619048192840908E-2</v>
      </c>
      <c r="K145" s="3">
        <f t="shared" si="68"/>
        <v>4.061904819284063E-2</v>
      </c>
      <c r="L145" s="3">
        <f t="shared" si="68"/>
        <v>4.0619048192837785E-2</v>
      </c>
      <c r="M145" s="3">
        <f t="shared" si="68"/>
        <v>4.061904819280935E-2</v>
      </c>
      <c r="N145" s="3">
        <f t="shared" si="68"/>
        <v>4.0619048192525049E-2</v>
      </c>
      <c r="O145" s="3">
        <f t="shared" si="68"/>
        <v>4.0619048189682011E-2</v>
      </c>
      <c r="P145" s="3">
        <f t="shared" si="68"/>
        <v>4.0619048161251656E-2</v>
      </c>
      <c r="Q145" s="3">
        <f t="shared" si="68"/>
        <v>4.0619047876948047E-2</v>
      </c>
      <c r="R145" s="3">
        <f t="shared" si="68"/>
        <v>4.0619045033912095E-2</v>
      </c>
      <c r="S145" s="3">
        <f t="shared" si="68"/>
        <v>4.0619016603563519E-2</v>
      </c>
      <c r="T145" s="3">
        <f t="shared" si="68"/>
        <v>4.0618732301172203E-2</v>
      </c>
      <c r="U145" s="3">
        <f t="shared" si="68"/>
        <v>4.061588938670134E-2</v>
      </c>
      <c r="V145" s="3">
        <f t="shared" si="68"/>
        <v>4.0587471183388436E-2</v>
      </c>
      <c r="W145" s="3">
        <f t="shared" si="68"/>
        <v>4.0304380461606594E-2</v>
      </c>
      <c r="X145" s="3">
        <f t="shared" si="68"/>
        <v>3.7579830311593967E-2</v>
      </c>
      <c r="Y145" s="3">
        <f t="shared" si="68"/>
        <v>1.866295738470759E-2</v>
      </c>
      <c r="Z145" s="3">
        <f t="shared" si="68"/>
        <v>1.7030874975085168E-5</v>
      </c>
      <c r="AA145" s="3">
        <f t="shared" ref="AA145" si="69">$C31*EXP(-AA$129/$A31/EXP(-$B$126))</f>
        <v>6.8202756029429021E-36</v>
      </c>
      <c r="AB145" s="3">
        <f t="shared" si="67"/>
        <v>0</v>
      </c>
      <c r="AC145" s="3">
        <f t="shared" si="67"/>
        <v>0</v>
      </c>
      <c r="AD145" s="3">
        <f t="shared" si="67"/>
        <v>0</v>
      </c>
      <c r="AE145" s="3">
        <f t="shared" si="67"/>
        <v>0</v>
      </c>
      <c r="AF145" s="3">
        <f t="shared" si="67"/>
        <v>0</v>
      </c>
    </row>
    <row r="146" spans="1:32" x14ac:dyDescent="0.25">
      <c r="B146" s="3">
        <f t="shared" ref="B146:Z146" si="70">$C32*EXP(-B$129/$A32/EXP(-$B$126))</f>
        <v>3.7761220679273885E-2</v>
      </c>
      <c r="C146" s="3">
        <f t="shared" si="70"/>
        <v>3.7761220679273885E-2</v>
      </c>
      <c r="D146" s="3">
        <f t="shared" si="70"/>
        <v>3.7761220679273885E-2</v>
      </c>
      <c r="E146" s="3">
        <f t="shared" si="70"/>
        <v>3.7761220679273885E-2</v>
      </c>
      <c r="F146" s="3">
        <f t="shared" si="70"/>
        <v>3.7761220679273885E-2</v>
      </c>
      <c r="G146" s="3">
        <f t="shared" si="70"/>
        <v>3.7761220679273885E-2</v>
      </c>
      <c r="H146" s="3">
        <f t="shared" si="70"/>
        <v>3.7761220679273885E-2</v>
      </c>
      <c r="I146" s="3">
        <f t="shared" si="70"/>
        <v>3.7761220679273885E-2</v>
      </c>
      <c r="J146" s="3">
        <f t="shared" si="70"/>
        <v>3.7761220679273878E-2</v>
      </c>
      <c r="K146" s="3">
        <f t="shared" si="70"/>
        <v>3.7761220679273858E-2</v>
      </c>
      <c r="L146" s="3">
        <f t="shared" si="70"/>
        <v>3.7761220679273622E-2</v>
      </c>
      <c r="M146" s="3">
        <f t="shared" si="70"/>
        <v>3.7761220679271235E-2</v>
      </c>
      <c r="N146" s="3">
        <f t="shared" si="70"/>
        <v>3.7761220679247393E-2</v>
      </c>
      <c r="O146" s="3">
        <f t="shared" si="70"/>
        <v>3.7761220679008972E-2</v>
      </c>
      <c r="P146" s="3">
        <f t="shared" si="70"/>
        <v>3.7761220676624761E-2</v>
      </c>
      <c r="Q146" s="3">
        <f t="shared" si="70"/>
        <v>3.7761220652782618E-2</v>
      </c>
      <c r="R146" s="3">
        <f t="shared" si="70"/>
        <v>3.776122041436121E-2</v>
      </c>
      <c r="S146" s="3">
        <f t="shared" si="70"/>
        <v>3.7761218030147252E-2</v>
      </c>
      <c r="T146" s="3">
        <f t="shared" si="70"/>
        <v>3.7761194188015913E-2</v>
      </c>
      <c r="U146" s="3">
        <f t="shared" si="70"/>
        <v>3.7760955767530496E-2</v>
      </c>
      <c r="V146" s="3">
        <f t="shared" si="70"/>
        <v>3.7758571645469745E-2</v>
      </c>
      <c r="W146" s="3">
        <f t="shared" si="70"/>
        <v>3.7734738702271432E-2</v>
      </c>
      <c r="X146" s="3">
        <f t="shared" si="70"/>
        <v>3.7497235080743513E-2</v>
      </c>
      <c r="Y146" s="3">
        <f t="shared" si="70"/>
        <v>3.520288284247932E-2</v>
      </c>
      <c r="Z146" s="3">
        <f t="shared" si="70"/>
        <v>1.872268273455005E-2</v>
      </c>
      <c r="AA146" s="3">
        <f t="shared" ref="AA146" si="71">$C32*EXP(-AA$129/$A32/EXP(-$B$126))</f>
        <v>3.3905219120755105E-5</v>
      </c>
      <c r="AB146" s="3">
        <f t="shared" si="67"/>
        <v>1.2860306812446642E-32</v>
      </c>
      <c r="AC146" s="3">
        <f t="shared" si="67"/>
        <v>7.9268214040126303E-307</v>
      </c>
      <c r="AD146" s="3">
        <f t="shared" si="67"/>
        <v>0</v>
      </c>
      <c r="AE146" s="3">
        <f t="shared" si="67"/>
        <v>0</v>
      </c>
      <c r="AF146" s="3">
        <f t="shared" si="67"/>
        <v>0</v>
      </c>
    </row>
    <row r="147" spans="1:32" x14ac:dyDescent="0.25">
      <c r="B147" s="3">
        <f t="shared" ref="B147:Z147" si="72">$C33*EXP(-B$129/$A33/EXP(-$B$126))</f>
        <v>3.2047185254004913E-2</v>
      </c>
      <c r="C147" s="3">
        <f t="shared" si="72"/>
        <v>3.2047185254004913E-2</v>
      </c>
      <c r="D147" s="3">
        <f t="shared" si="72"/>
        <v>3.2047185254004913E-2</v>
      </c>
      <c r="E147" s="3">
        <f t="shared" si="72"/>
        <v>3.2047185254004913E-2</v>
      </c>
      <c r="F147" s="3">
        <f t="shared" si="72"/>
        <v>3.2047185254004913E-2</v>
      </c>
      <c r="G147" s="3">
        <f t="shared" si="72"/>
        <v>3.2047185254004913E-2</v>
      </c>
      <c r="H147" s="3">
        <f t="shared" si="72"/>
        <v>3.2047185254004913E-2</v>
      </c>
      <c r="I147" s="3">
        <f t="shared" si="72"/>
        <v>3.2047185254004913E-2</v>
      </c>
      <c r="J147" s="3">
        <f t="shared" si="72"/>
        <v>3.2047185254004913E-2</v>
      </c>
      <c r="K147" s="3">
        <f t="shared" si="72"/>
        <v>3.2047185254004906E-2</v>
      </c>
      <c r="L147" s="3">
        <f t="shared" si="72"/>
        <v>3.2047185254004892E-2</v>
      </c>
      <c r="M147" s="3">
        <f t="shared" si="72"/>
        <v>3.2047185254004712E-2</v>
      </c>
      <c r="N147" s="3">
        <f t="shared" si="72"/>
        <v>3.2047185254002887E-2</v>
      </c>
      <c r="O147" s="3">
        <f t="shared" si="72"/>
        <v>3.2047185253984631E-2</v>
      </c>
      <c r="P147" s="3">
        <f t="shared" si="72"/>
        <v>3.2047185253802103E-2</v>
      </c>
      <c r="Q147" s="3">
        <f t="shared" si="72"/>
        <v>3.2047185251976792E-2</v>
      </c>
      <c r="R147" s="3">
        <f t="shared" si="72"/>
        <v>3.2047185233723734E-2</v>
      </c>
      <c r="S147" s="3">
        <f t="shared" si="72"/>
        <v>3.2047185051193132E-2</v>
      </c>
      <c r="T147" s="3">
        <f t="shared" si="72"/>
        <v>3.2047183225887108E-2</v>
      </c>
      <c r="U147" s="3">
        <f t="shared" si="72"/>
        <v>3.2047164972832665E-2</v>
      </c>
      <c r="V147" s="3">
        <f t="shared" si="72"/>
        <v>3.2046982442859993E-2</v>
      </c>
      <c r="W147" s="3">
        <f t="shared" si="72"/>
        <v>3.2045157200311959E-2</v>
      </c>
      <c r="X147" s="3">
        <f t="shared" si="72"/>
        <v>3.2026910491493567E-2</v>
      </c>
      <c r="Y147" s="3">
        <f t="shared" si="72"/>
        <v>3.1845013866606868E-2</v>
      </c>
      <c r="Z147" s="3">
        <f t="shared" si="72"/>
        <v>3.0081909847626234E-2</v>
      </c>
      <c r="AA147" s="3">
        <f t="shared" ref="AA147" si="73">$C33*EXP(-AA$129/$A33/EXP(-$B$126))</f>
        <v>1.7019430979273553E-2</v>
      </c>
      <c r="AB147" s="3">
        <f t="shared" si="67"/>
        <v>5.7192797738578799E-5</v>
      </c>
      <c r="AC147" s="3">
        <f t="shared" si="67"/>
        <v>1.0502783168296881E-29</v>
      </c>
      <c r="AD147" s="3">
        <f t="shared" si="67"/>
        <v>4.5807329842710854E-277</v>
      </c>
      <c r="AE147" s="3">
        <f t="shared" si="67"/>
        <v>0</v>
      </c>
      <c r="AF147" s="3">
        <f t="shared" si="67"/>
        <v>0</v>
      </c>
    </row>
    <row r="148" spans="1:32" x14ac:dyDescent="0.25">
      <c r="B148" s="3">
        <f t="shared" ref="B148:Z148" si="74">$C34*EXP(-B$129/$A34/EXP(-$B$126))</f>
        <v>5.5060207151423582E-2</v>
      </c>
      <c r="C148" s="3">
        <f t="shared" si="74"/>
        <v>5.5060207151423582E-2</v>
      </c>
      <c r="D148" s="3">
        <f t="shared" si="74"/>
        <v>5.5060207151423582E-2</v>
      </c>
      <c r="E148" s="3">
        <f t="shared" si="74"/>
        <v>5.5060207151423582E-2</v>
      </c>
      <c r="F148" s="3">
        <f t="shared" si="74"/>
        <v>5.5060207151423582E-2</v>
      </c>
      <c r="G148" s="3">
        <f t="shared" si="74"/>
        <v>5.5060207151423582E-2</v>
      </c>
      <c r="H148" s="3">
        <f t="shared" si="74"/>
        <v>5.5060207151423582E-2</v>
      </c>
      <c r="I148" s="3">
        <f t="shared" si="74"/>
        <v>5.5060207151423582E-2</v>
      </c>
      <c r="J148" s="3">
        <f t="shared" si="74"/>
        <v>5.5060207151423582E-2</v>
      </c>
      <c r="K148" s="3">
        <f t="shared" si="74"/>
        <v>5.5060207151423582E-2</v>
      </c>
      <c r="L148" s="3">
        <f t="shared" si="74"/>
        <v>5.5060207151423575E-2</v>
      </c>
      <c r="M148" s="3">
        <f t="shared" si="74"/>
        <v>5.5060207151423554E-2</v>
      </c>
      <c r="N148" s="3">
        <f t="shared" si="74"/>
        <v>5.506020715142327E-2</v>
      </c>
      <c r="O148" s="3">
        <f t="shared" si="74"/>
        <v>5.5060207151420439E-2</v>
      </c>
      <c r="P148" s="3">
        <f t="shared" si="74"/>
        <v>5.5060207151392149E-2</v>
      </c>
      <c r="Q148" s="3">
        <f t="shared" si="74"/>
        <v>5.506020715110925E-2</v>
      </c>
      <c r="R148" s="3">
        <f t="shared" si="74"/>
        <v>5.506020714828027E-2</v>
      </c>
      <c r="S148" s="3">
        <f t="shared" si="74"/>
        <v>5.5060207119990441E-2</v>
      </c>
      <c r="T148" s="3">
        <f t="shared" si="74"/>
        <v>5.5060206837092208E-2</v>
      </c>
      <c r="U148" s="3">
        <f t="shared" si="74"/>
        <v>5.5060204008109924E-2</v>
      </c>
      <c r="V148" s="3">
        <f t="shared" si="74"/>
        <v>5.5060175718295072E-2</v>
      </c>
      <c r="W148" s="3">
        <f t="shared" si="74"/>
        <v>5.5059892820946019E-2</v>
      </c>
      <c r="X148" s="3">
        <f t="shared" si="74"/>
        <v>5.5057063927397711E-2</v>
      </c>
      <c r="Y148" s="3">
        <f t="shared" si="74"/>
        <v>5.5028782984616192E-2</v>
      </c>
      <c r="Z148" s="3">
        <f t="shared" si="74"/>
        <v>5.4746771309593385E-2</v>
      </c>
      <c r="AA148" s="3">
        <f>$C34*EXP(-AA$129/$A34/EXP(-$B$126))</f>
        <v>5.2004933885879207E-2</v>
      </c>
      <c r="AB148" s="3">
        <f t="shared" si="67"/>
        <v>3.1110351425784243E-2</v>
      </c>
      <c r="AC148" s="3">
        <f t="shared" si="67"/>
        <v>1.8260329115135098E-4</v>
      </c>
      <c r="AD148" s="3">
        <f t="shared" si="67"/>
        <v>8.8622794198010314E-27</v>
      </c>
      <c r="AE148" s="3">
        <f t="shared" si="67"/>
        <v>6.4256019614405723E-250</v>
      </c>
      <c r="AF148" s="3">
        <f t="shared" si="67"/>
        <v>0</v>
      </c>
    </row>
    <row r="149" spans="1:32" x14ac:dyDescent="0.25">
      <c r="B149" s="3">
        <f t="shared" ref="B149:Z149" si="75">$C35*EXP(-B$129/$A35/EXP(-$B$126))</f>
        <v>5.5367146096233756E-2</v>
      </c>
      <c r="C149" s="3">
        <f t="shared" si="75"/>
        <v>5.5367146096233756E-2</v>
      </c>
      <c r="D149" s="3">
        <f t="shared" si="75"/>
        <v>5.5367146096233756E-2</v>
      </c>
      <c r="E149" s="3">
        <f t="shared" si="75"/>
        <v>5.5367146096233756E-2</v>
      </c>
      <c r="F149" s="3">
        <f t="shared" si="75"/>
        <v>5.5367146096233756E-2</v>
      </c>
      <c r="G149" s="3">
        <f t="shared" si="75"/>
        <v>5.5367146096233756E-2</v>
      </c>
      <c r="H149" s="3">
        <f t="shared" si="75"/>
        <v>5.5367146096233756E-2</v>
      </c>
      <c r="I149" s="3">
        <f t="shared" si="75"/>
        <v>5.5367146096233756E-2</v>
      </c>
      <c r="J149" s="3">
        <f t="shared" si="75"/>
        <v>5.5367146096233756E-2</v>
      </c>
      <c r="K149" s="3">
        <f t="shared" si="75"/>
        <v>5.5367146096233756E-2</v>
      </c>
      <c r="L149" s="3">
        <f t="shared" si="75"/>
        <v>5.5367146096233756E-2</v>
      </c>
      <c r="M149" s="3">
        <f t="shared" si="75"/>
        <v>5.5367146096233756E-2</v>
      </c>
      <c r="N149" s="3">
        <f t="shared" si="75"/>
        <v>5.5367146096233728E-2</v>
      </c>
      <c r="O149" s="3">
        <f t="shared" si="75"/>
        <v>5.5367146096233472E-2</v>
      </c>
      <c r="P149" s="3">
        <f t="shared" si="75"/>
        <v>5.5367146096230904E-2</v>
      </c>
      <c r="Q149" s="3">
        <f t="shared" si="75"/>
        <v>5.5367146096205237E-2</v>
      </c>
      <c r="R149" s="3">
        <f t="shared" si="75"/>
        <v>5.5367146095948623E-2</v>
      </c>
      <c r="S149" s="3">
        <f t="shared" si="75"/>
        <v>5.5367146093382419E-2</v>
      </c>
      <c r="T149" s="3">
        <f t="shared" si="75"/>
        <v>5.5367146067720377E-2</v>
      </c>
      <c r="U149" s="3">
        <f t="shared" si="75"/>
        <v>5.5367145811100013E-2</v>
      </c>
      <c r="V149" s="3">
        <f t="shared" si="75"/>
        <v>5.5367143244896368E-2</v>
      </c>
      <c r="W149" s="3">
        <f t="shared" si="75"/>
        <v>5.5367117582866464E-2</v>
      </c>
      <c r="X149" s="3">
        <f t="shared" si="75"/>
        <v>5.536686096322159E-2</v>
      </c>
      <c r="Y149" s="3">
        <f t="shared" si="75"/>
        <v>5.5364294832188958E-2</v>
      </c>
      <c r="Z149" s="3">
        <f t="shared" si="75"/>
        <v>5.5338640062349211E-2</v>
      </c>
      <c r="AA149" s="3">
        <f t="shared" ref="AA149" si="76">$C35*EXP(-AA$129/$A35/EXP(-$B$126))</f>
        <v>5.5082745292368784E-2</v>
      </c>
      <c r="AB149" s="3">
        <f t="shared" si="67"/>
        <v>5.2587984468658401E-2</v>
      </c>
      <c r="AC149" s="3">
        <f t="shared" si="67"/>
        <v>3.3082324315662978E-2</v>
      </c>
      <c r="AD149" s="3">
        <f t="shared" si="67"/>
        <v>3.2113741215873329E-4</v>
      </c>
      <c r="AE149" s="3">
        <f t="shared" si="67"/>
        <v>2.385831610466632E-24</v>
      </c>
      <c r="AF149" s="3">
        <f t="shared" si="67"/>
        <v>1.2221616120922448E-225</v>
      </c>
    </row>
    <row r="150" spans="1:32" x14ac:dyDescent="0.25">
      <c r="B150" s="3">
        <f t="shared" ref="B150:Z150" si="77">$C36*EXP(-B$129/$A36/EXP(-$B$126))</f>
        <v>4.7007838258753223E-2</v>
      </c>
      <c r="C150" s="3">
        <f t="shared" si="77"/>
        <v>4.7007838258753223E-2</v>
      </c>
      <c r="D150" s="3">
        <f t="shared" si="77"/>
        <v>4.7007838258753223E-2</v>
      </c>
      <c r="E150" s="3">
        <f t="shared" si="77"/>
        <v>4.7007838258753223E-2</v>
      </c>
      <c r="F150" s="3">
        <f t="shared" si="77"/>
        <v>4.7007838258753223E-2</v>
      </c>
      <c r="G150" s="3">
        <f t="shared" si="77"/>
        <v>4.7007838258753223E-2</v>
      </c>
      <c r="H150" s="3">
        <f t="shared" si="77"/>
        <v>4.7007838258753223E-2</v>
      </c>
      <c r="I150" s="3">
        <f t="shared" si="77"/>
        <v>4.7007838258753223E-2</v>
      </c>
      <c r="J150" s="3">
        <f t="shared" si="77"/>
        <v>4.7007838258753223E-2</v>
      </c>
      <c r="K150" s="3">
        <f t="shared" si="77"/>
        <v>4.7007838258753223E-2</v>
      </c>
      <c r="L150" s="3">
        <f t="shared" si="77"/>
        <v>4.7007838258753223E-2</v>
      </c>
      <c r="M150" s="3">
        <f t="shared" si="77"/>
        <v>4.7007838258753223E-2</v>
      </c>
      <c r="N150" s="3">
        <f t="shared" si="77"/>
        <v>4.7007838258753223E-2</v>
      </c>
      <c r="O150" s="3">
        <f t="shared" si="77"/>
        <v>4.7007838258753203E-2</v>
      </c>
      <c r="P150" s="3">
        <f t="shared" si="77"/>
        <v>4.7007838258753001E-2</v>
      </c>
      <c r="Q150" s="3">
        <f t="shared" si="77"/>
        <v>4.7007838258751045E-2</v>
      </c>
      <c r="R150" s="3">
        <f t="shared" si="77"/>
        <v>4.7007838258731387E-2</v>
      </c>
      <c r="S150" s="3">
        <f t="shared" si="77"/>
        <v>4.7007838258534843E-2</v>
      </c>
      <c r="T150" s="3">
        <f t="shared" si="77"/>
        <v>4.7007838256569422E-2</v>
      </c>
      <c r="U150" s="3">
        <f t="shared" si="77"/>
        <v>4.7007838236915199E-2</v>
      </c>
      <c r="V150" s="3">
        <f t="shared" si="77"/>
        <v>4.7007838040372979E-2</v>
      </c>
      <c r="W150" s="3">
        <f t="shared" si="77"/>
        <v>4.7007836074950807E-2</v>
      </c>
      <c r="X150" s="3">
        <f t="shared" si="77"/>
        <v>4.7007816420733609E-2</v>
      </c>
      <c r="Y150" s="3">
        <f t="shared" si="77"/>
        <v>4.7007619879013557E-2</v>
      </c>
      <c r="Z150" s="3">
        <f t="shared" si="77"/>
        <v>4.7005654507008741E-2</v>
      </c>
      <c r="AA150" s="3">
        <f t="shared" ref="AA150" si="78">$C36*EXP(-AA$129/$A36/EXP(-$B$126))</f>
        <v>4.6986005305826861E-2</v>
      </c>
      <c r="AB150" s="3">
        <f t="shared" si="67"/>
        <v>4.6789964482349608E-2</v>
      </c>
      <c r="AC150" s="3">
        <f t="shared" si="67"/>
        <v>4.4873984835487532E-2</v>
      </c>
      <c r="AD150" s="3">
        <f t="shared" si="67"/>
        <v>2.9540228478175831E-2</v>
      </c>
      <c r="AE150" s="3">
        <f t="shared" si="67"/>
        <v>4.5144617935111863E-4</v>
      </c>
      <c r="AF150" s="3">
        <f t="shared" si="67"/>
        <v>3.137092326440652E-22</v>
      </c>
    </row>
    <row r="151" spans="1:32" x14ac:dyDescent="0.25">
      <c r="B151" s="3">
        <f t="shared" ref="B151:Z151" si="79">$C37*EXP(-B$129/$A37/EXP(-$B$126))</f>
        <v>4.3271313852142758E-2</v>
      </c>
      <c r="C151" s="3">
        <f t="shared" si="79"/>
        <v>4.3271313852142758E-2</v>
      </c>
      <c r="D151" s="3">
        <f t="shared" si="79"/>
        <v>4.3271313852142758E-2</v>
      </c>
      <c r="E151" s="3">
        <f t="shared" si="79"/>
        <v>4.3271313852142758E-2</v>
      </c>
      <c r="F151" s="3">
        <f t="shared" si="79"/>
        <v>4.3271313852142758E-2</v>
      </c>
      <c r="G151" s="3">
        <f t="shared" si="79"/>
        <v>4.3271313852142758E-2</v>
      </c>
      <c r="H151" s="3">
        <f t="shared" si="79"/>
        <v>4.3271313852142758E-2</v>
      </c>
      <c r="I151" s="3">
        <f t="shared" si="79"/>
        <v>4.3271313852142758E-2</v>
      </c>
      <c r="J151" s="3">
        <f t="shared" si="79"/>
        <v>4.3271313852142758E-2</v>
      </c>
      <c r="K151" s="3">
        <f t="shared" si="79"/>
        <v>4.3271313852142758E-2</v>
      </c>
      <c r="L151" s="3">
        <f t="shared" si="79"/>
        <v>4.3271313852142758E-2</v>
      </c>
      <c r="M151" s="3">
        <f t="shared" si="79"/>
        <v>4.3271313852142758E-2</v>
      </c>
      <c r="N151" s="3">
        <f t="shared" si="79"/>
        <v>4.3271313852142758E-2</v>
      </c>
      <c r="O151" s="3">
        <f t="shared" si="79"/>
        <v>4.3271313852142758E-2</v>
      </c>
      <c r="P151" s="3">
        <f t="shared" si="79"/>
        <v>4.3271313852142737E-2</v>
      </c>
      <c r="Q151" s="3">
        <f t="shared" si="79"/>
        <v>4.3271313852142577E-2</v>
      </c>
      <c r="R151" s="3">
        <f t="shared" si="79"/>
        <v>4.3271313852140947E-2</v>
      </c>
      <c r="S151" s="3">
        <f t="shared" si="79"/>
        <v>4.327131385212462E-2</v>
      </c>
      <c r="T151" s="3">
        <f t="shared" si="79"/>
        <v>4.3271313851961417E-2</v>
      </c>
      <c r="U151" s="3">
        <f t="shared" si="79"/>
        <v>4.3271313850329375E-2</v>
      </c>
      <c r="V151" s="3">
        <f t="shared" si="79"/>
        <v>4.3271313834008916E-2</v>
      </c>
      <c r="W151" s="3">
        <f t="shared" si="79"/>
        <v>4.3271313670804369E-2</v>
      </c>
      <c r="X151" s="3">
        <f t="shared" si="79"/>
        <v>4.327131203875894E-2</v>
      </c>
      <c r="Y151" s="3">
        <f t="shared" si="79"/>
        <v>4.3271295718307963E-2</v>
      </c>
      <c r="Z151" s="3">
        <f t="shared" si="79"/>
        <v>4.327113251413682E-2</v>
      </c>
      <c r="AA151" s="3">
        <f t="shared" ref="AA151" si="80">$C37*EXP(-AA$129/$A37/EXP(-$B$126))</f>
        <v>4.3269500506280201E-2</v>
      </c>
      <c r="AB151" s="3">
        <f t="shared" si="67"/>
        <v>4.3253183812722598E-2</v>
      </c>
      <c r="AC151" s="3">
        <f t="shared" si="67"/>
        <v>4.309035490610276E-2</v>
      </c>
      <c r="AD151" s="3">
        <f t="shared" si="67"/>
        <v>4.1495401732943256E-2</v>
      </c>
      <c r="AE151" s="3">
        <f t="shared" si="67"/>
        <v>2.8457647644487476E-2</v>
      </c>
      <c r="AF151" s="3">
        <f t="shared" si="67"/>
        <v>6.5492148819652101E-4</v>
      </c>
    </row>
    <row r="152" spans="1:32" x14ac:dyDescent="0.25">
      <c r="B152" s="3">
        <f t="shared" ref="B152:Z152" si="81">$C38*EXP(-B$129/$A38/EXP(-$B$126))</f>
        <v>2.2304524360839302E-2</v>
      </c>
      <c r="C152" s="3">
        <f t="shared" si="81"/>
        <v>2.2304524360839302E-2</v>
      </c>
      <c r="D152" s="3">
        <f t="shared" si="81"/>
        <v>2.2304524360839302E-2</v>
      </c>
      <c r="E152" s="3">
        <f t="shared" si="81"/>
        <v>2.2304524360839302E-2</v>
      </c>
      <c r="F152" s="3">
        <f t="shared" si="81"/>
        <v>2.2304524360839302E-2</v>
      </c>
      <c r="G152" s="3">
        <f t="shared" si="81"/>
        <v>2.2304524360839302E-2</v>
      </c>
      <c r="H152" s="3">
        <f t="shared" si="81"/>
        <v>2.2304524360839302E-2</v>
      </c>
      <c r="I152" s="3">
        <f t="shared" si="81"/>
        <v>2.2304524360839302E-2</v>
      </c>
      <c r="J152" s="3">
        <f t="shared" si="81"/>
        <v>2.2304524360839302E-2</v>
      </c>
      <c r="K152" s="3">
        <f t="shared" si="81"/>
        <v>2.2304524360839302E-2</v>
      </c>
      <c r="L152" s="3">
        <f t="shared" si="81"/>
        <v>2.2304524360839302E-2</v>
      </c>
      <c r="M152" s="3">
        <f t="shared" si="81"/>
        <v>2.2304524360839302E-2</v>
      </c>
      <c r="N152" s="3">
        <f t="shared" si="81"/>
        <v>2.2304524360839302E-2</v>
      </c>
      <c r="O152" s="3">
        <f t="shared" si="81"/>
        <v>2.2304524360839302E-2</v>
      </c>
      <c r="P152" s="3">
        <f t="shared" si="81"/>
        <v>2.2304524360839302E-2</v>
      </c>
      <c r="Q152" s="3">
        <f t="shared" si="81"/>
        <v>2.2304524360839295E-2</v>
      </c>
      <c r="R152" s="3">
        <f t="shared" si="81"/>
        <v>2.2304524360839219E-2</v>
      </c>
      <c r="S152" s="3">
        <f t="shared" si="81"/>
        <v>2.2304524360838459E-2</v>
      </c>
      <c r="T152" s="3">
        <f t="shared" si="81"/>
        <v>2.2304524360830871E-2</v>
      </c>
      <c r="U152" s="3">
        <f t="shared" si="81"/>
        <v>2.2304524360754981E-2</v>
      </c>
      <c r="V152" s="3">
        <f t="shared" si="81"/>
        <v>2.2304524359996105E-2</v>
      </c>
      <c r="W152" s="3">
        <f t="shared" si="81"/>
        <v>2.2304524352407328E-2</v>
      </c>
      <c r="X152" s="3">
        <f t="shared" si="81"/>
        <v>2.230452427651957E-2</v>
      </c>
      <c r="Y152" s="3">
        <f t="shared" si="81"/>
        <v>2.2304523517641991E-2</v>
      </c>
      <c r="Z152" s="3">
        <f t="shared" si="81"/>
        <v>2.2304515928867626E-2</v>
      </c>
      <c r="AA152" s="3">
        <f t="shared" ref="AA152" si="82">$C38*EXP(-AA$129/$A38/EXP(-$B$126))</f>
        <v>2.2304440041265972E-2</v>
      </c>
      <c r="AB152" s="3">
        <f t="shared" si="67"/>
        <v>2.2303681179450051E-2</v>
      </c>
      <c r="AC152" s="3">
        <f t="shared" si="67"/>
        <v>2.2296093981173451E-2</v>
      </c>
      <c r="AD152" s="3">
        <f t="shared" si="67"/>
        <v>2.2220363808086077E-2</v>
      </c>
      <c r="AE152" s="3">
        <f t="shared" si="67"/>
        <v>2.1477066138314009E-2</v>
      </c>
      <c r="AF152" s="3">
        <f t="shared" si="67"/>
        <v>1.528314900943553E-2</v>
      </c>
    </row>
    <row r="153" spans="1:32" x14ac:dyDescent="0.25">
      <c r="B153" s="3">
        <f t="shared" ref="B153:Z153" si="83">$C39*EXP(-B$129/$A39/EXP(-$B$126))</f>
        <v>3.1643216322297517E-2</v>
      </c>
      <c r="C153" s="3">
        <f t="shared" si="83"/>
        <v>3.1643216322297517E-2</v>
      </c>
      <c r="D153" s="3">
        <f t="shared" si="83"/>
        <v>3.1643216322297517E-2</v>
      </c>
      <c r="E153" s="3">
        <f t="shared" si="83"/>
        <v>3.1643216322297517E-2</v>
      </c>
      <c r="F153" s="3">
        <f t="shared" si="83"/>
        <v>3.1643216322297517E-2</v>
      </c>
      <c r="G153" s="3">
        <f t="shared" si="83"/>
        <v>3.1643216322297517E-2</v>
      </c>
      <c r="H153" s="3">
        <f t="shared" si="83"/>
        <v>3.1643216322297517E-2</v>
      </c>
      <c r="I153" s="3">
        <f t="shared" si="83"/>
        <v>3.1643216322297517E-2</v>
      </c>
      <c r="J153" s="3">
        <f t="shared" si="83"/>
        <v>3.1643216322297517E-2</v>
      </c>
      <c r="K153" s="3">
        <f t="shared" si="83"/>
        <v>3.1643216322297517E-2</v>
      </c>
      <c r="L153" s="3">
        <f t="shared" si="83"/>
        <v>3.1643216322297517E-2</v>
      </c>
      <c r="M153" s="3">
        <f t="shared" si="83"/>
        <v>3.1643216322297517E-2</v>
      </c>
      <c r="N153" s="3">
        <f t="shared" si="83"/>
        <v>3.1643216322297517E-2</v>
      </c>
      <c r="O153" s="3">
        <f t="shared" si="83"/>
        <v>3.1643216322297517E-2</v>
      </c>
      <c r="P153" s="3">
        <f t="shared" si="83"/>
        <v>3.1643216322297517E-2</v>
      </c>
      <c r="Q153" s="3">
        <f t="shared" si="83"/>
        <v>3.164321632229751E-2</v>
      </c>
      <c r="R153" s="3">
        <f t="shared" si="83"/>
        <v>3.1643216322297482E-2</v>
      </c>
      <c r="S153" s="3">
        <f t="shared" si="83"/>
        <v>3.1643216322297184E-2</v>
      </c>
      <c r="T153" s="3">
        <f t="shared" si="83"/>
        <v>3.1643216322294207E-2</v>
      </c>
      <c r="U153" s="3">
        <f t="shared" si="83"/>
        <v>3.1643216322264432E-2</v>
      </c>
      <c r="V153" s="3">
        <f t="shared" si="83"/>
        <v>3.1643216321966663E-2</v>
      </c>
      <c r="W153" s="3">
        <f t="shared" si="83"/>
        <v>3.1643216318989024E-2</v>
      </c>
      <c r="X153" s="3">
        <f t="shared" si="83"/>
        <v>3.1643216289212621E-2</v>
      </c>
      <c r="Y153" s="3">
        <f t="shared" si="83"/>
        <v>3.1643215991448585E-2</v>
      </c>
      <c r="Z153" s="3">
        <f t="shared" si="83"/>
        <v>3.1643213013808374E-2</v>
      </c>
      <c r="AA153" s="3">
        <f t="shared" ref="AA153" si="84">$C39*EXP(-AA$129/$A39/EXP(-$B$126))</f>
        <v>3.1643183237421636E-2</v>
      </c>
      <c r="AB153" s="3">
        <f t="shared" si="67"/>
        <v>3.1642885475095375E-2</v>
      </c>
      <c r="AC153" s="3">
        <f t="shared" si="67"/>
        <v>3.1639908005935267E-2</v>
      </c>
      <c r="AD153" s="3">
        <f t="shared" si="67"/>
        <v>3.1610148719222825E-2</v>
      </c>
      <c r="AE153" s="3">
        <f t="shared" si="67"/>
        <v>3.1314090990892447E-2</v>
      </c>
      <c r="AF153" s="3">
        <f t="shared" si="67"/>
        <v>2.8501814552263086E-2</v>
      </c>
    </row>
    <row r="154" spans="1:32" x14ac:dyDescent="0.25">
      <c r="B154" s="3">
        <f t="shared" ref="B154:Z154" si="85">$C40*EXP(-B$129/$A40/EXP(-$B$126))</f>
        <v>3.5141037946940686E-2</v>
      </c>
      <c r="C154" s="3">
        <f t="shared" si="85"/>
        <v>3.5141037946940686E-2</v>
      </c>
      <c r="D154" s="3">
        <f t="shared" si="85"/>
        <v>3.5141037946940686E-2</v>
      </c>
      <c r="E154" s="3">
        <f t="shared" si="85"/>
        <v>3.5141037946940686E-2</v>
      </c>
      <c r="F154" s="3">
        <f t="shared" si="85"/>
        <v>3.5141037946940686E-2</v>
      </c>
      <c r="G154" s="3">
        <f t="shared" si="85"/>
        <v>3.5141037946940686E-2</v>
      </c>
      <c r="H154" s="3">
        <f t="shared" si="85"/>
        <v>3.5141037946940686E-2</v>
      </c>
      <c r="I154" s="3">
        <f t="shared" si="85"/>
        <v>3.5141037946940686E-2</v>
      </c>
      <c r="J154" s="3">
        <f t="shared" si="85"/>
        <v>3.5141037946940686E-2</v>
      </c>
      <c r="K154" s="3">
        <f t="shared" si="85"/>
        <v>3.5141037946940686E-2</v>
      </c>
      <c r="L154" s="3">
        <f t="shared" si="85"/>
        <v>3.5141037946940686E-2</v>
      </c>
      <c r="M154" s="3">
        <f t="shared" si="85"/>
        <v>3.5141037946940686E-2</v>
      </c>
      <c r="N154" s="3">
        <f t="shared" si="85"/>
        <v>3.5141037946940686E-2</v>
      </c>
      <c r="O154" s="3">
        <f t="shared" si="85"/>
        <v>3.5141037946940686E-2</v>
      </c>
      <c r="P154" s="3">
        <f t="shared" si="85"/>
        <v>3.5141037946940686E-2</v>
      </c>
      <c r="Q154" s="3">
        <f t="shared" si="85"/>
        <v>3.5141037946940686E-2</v>
      </c>
      <c r="R154" s="3">
        <f t="shared" si="85"/>
        <v>3.5141037946940679E-2</v>
      </c>
      <c r="S154" s="3">
        <f t="shared" si="85"/>
        <v>3.5141037946940651E-2</v>
      </c>
      <c r="T154" s="3">
        <f t="shared" si="85"/>
        <v>3.5141037946940318E-2</v>
      </c>
      <c r="U154" s="3">
        <f t="shared" si="85"/>
        <v>3.5141037946937008E-2</v>
      </c>
      <c r="V154" s="3">
        <f t="shared" si="85"/>
        <v>3.5141037946903944E-2</v>
      </c>
      <c r="W154" s="3">
        <f t="shared" si="85"/>
        <v>3.5141037946573264E-2</v>
      </c>
      <c r="X154" s="3">
        <f t="shared" si="85"/>
        <v>3.5141037943266479E-2</v>
      </c>
      <c r="Y154" s="3">
        <f t="shared" si="85"/>
        <v>3.5141037910198604E-2</v>
      </c>
      <c r="Z154" s="3">
        <f t="shared" si="85"/>
        <v>3.5141037579519918E-2</v>
      </c>
      <c r="AA154" s="3">
        <f t="shared" ref="AA154:AF154" si="86">$C40*EXP(-AA$129/$A40/EXP(-$B$126))</f>
        <v>3.5141034272733192E-2</v>
      </c>
      <c r="AB154" s="3">
        <f t="shared" si="86"/>
        <v>3.5141001204883025E-2</v>
      </c>
      <c r="AC154" s="3">
        <f t="shared" si="86"/>
        <v>3.5140670528092784E-2</v>
      </c>
      <c r="AD154" s="3">
        <f t="shared" si="86"/>
        <v>3.5137363931327284E-2</v>
      </c>
      <c r="AE154" s="3">
        <f t="shared" si="86"/>
        <v>3.5104315071407856E-2</v>
      </c>
      <c r="AF154" s="3">
        <f t="shared" si="86"/>
        <v>3.4775531304303504E-2</v>
      </c>
    </row>
    <row r="155" spans="1:32" x14ac:dyDescent="0.25">
      <c r="B155" s="3">
        <f t="shared" ref="B155:Z155" si="87">$C41*EXP(-B$129/$A41/EXP(-$B$126))</f>
        <v>3.5593088100758001E-2</v>
      </c>
      <c r="C155" s="3">
        <f t="shared" si="87"/>
        <v>3.5593088100758001E-2</v>
      </c>
      <c r="D155" s="3">
        <f t="shared" si="87"/>
        <v>3.5593088100758001E-2</v>
      </c>
      <c r="E155" s="3">
        <f t="shared" si="87"/>
        <v>3.5593088100758001E-2</v>
      </c>
      <c r="F155" s="3">
        <f t="shared" si="87"/>
        <v>3.5593088100758001E-2</v>
      </c>
      <c r="G155" s="3">
        <f t="shared" si="87"/>
        <v>3.5593088100758001E-2</v>
      </c>
      <c r="H155" s="3">
        <f t="shared" si="87"/>
        <v>3.5593088100758001E-2</v>
      </c>
      <c r="I155" s="3">
        <f t="shared" si="87"/>
        <v>3.5593088100758001E-2</v>
      </c>
      <c r="J155" s="3">
        <f t="shared" si="87"/>
        <v>3.5593088100758001E-2</v>
      </c>
      <c r="K155" s="3">
        <f t="shared" si="87"/>
        <v>3.5593088100758001E-2</v>
      </c>
      <c r="L155" s="3">
        <f t="shared" si="87"/>
        <v>3.5593088100758001E-2</v>
      </c>
      <c r="M155" s="3">
        <f t="shared" si="87"/>
        <v>3.5593088100758001E-2</v>
      </c>
      <c r="N155" s="3">
        <f t="shared" si="87"/>
        <v>3.5593088100758001E-2</v>
      </c>
      <c r="O155" s="3">
        <f t="shared" si="87"/>
        <v>3.5593088100758001E-2</v>
      </c>
      <c r="P155" s="3">
        <f t="shared" si="87"/>
        <v>3.5593088100758001E-2</v>
      </c>
      <c r="Q155" s="3">
        <f t="shared" si="87"/>
        <v>3.5593088100758001E-2</v>
      </c>
      <c r="R155" s="3">
        <f t="shared" si="87"/>
        <v>3.5593088100758001E-2</v>
      </c>
      <c r="S155" s="3">
        <f t="shared" si="87"/>
        <v>3.5593088100757994E-2</v>
      </c>
      <c r="T155" s="3">
        <f t="shared" si="87"/>
        <v>3.5593088100757966E-2</v>
      </c>
      <c r="U155" s="3">
        <f t="shared" si="87"/>
        <v>3.5593088100757626E-2</v>
      </c>
      <c r="V155" s="3">
        <f t="shared" si="87"/>
        <v>3.5593088100754282E-2</v>
      </c>
      <c r="W155" s="3">
        <f t="shared" si="87"/>
        <v>3.5593088100720788E-2</v>
      </c>
      <c r="X155" s="3">
        <f t="shared" si="87"/>
        <v>3.5593088100385854E-2</v>
      </c>
      <c r="Y155" s="3">
        <f t="shared" si="87"/>
        <v>3.5593088097036527E-2</v>
      </c>
      <c r="Z155" s="3">
        <f t="shared" si="87"/>
        <v>3.5593088063543277E-2</v>
      </c>
      <c r="AA155" s="3">
        <f t="shared" ref="AA155:AF155" si="88">$C41*EXP(-AA$129/$A41/EXP(-$B$126))</f>
        <v>3.5593087728610778E-2</v>
      </c>
      <c r="AB155" s="3">
        <f t="shared" si="88"/>
        <v>3.559308437928594E-2</v>
      </c>
      <c r="AC155" s="3">
        <f t="shared" si="88"/>
        <v>3.5593050886054856E-2</v>
      </c>
      <c r="AD155" s="3">
        <f t="shared" si="88"/>
        <v>3.5592715955477514E-2</v>
      </c>
      <c r="AE155" s="3">
        <f t="shared" si="88"/>
        <v>3.5589366823042506E-2</v>
      </c>
      <c r="AF155" s="3">
        <f t="shared" si="88"/>
        <v>3.5555892826499833E-2</v>
      </c>
    </row>
    <row r="156" spans="1:32" x14ac:dyDescent="0.25">
      <c r="B156" s="3">
        <f t="shared" ref="B156:Z156" si="89">$C42*EXP(-B$129/$A42/EXP(-$B$126))</f>
        <v>3.9001792876272805E-2</v>
      </c>
      <c r="C156" s="3">
        <f t="shared" si="89"/>
        <v>3.9001792876272805E-2</v>
      </c>
      <c r="D156" s="3">
        <f t="shared" si="89"/>
        <v>3.9001792876272805E-2</v>
      </c>
      <c r="E156" s="3">
        <f t="shared" si="89"/>
        <v>3.9001792876272805E-2</v>
      </c>
      <c r="F156" s="3">
        <f t="shared" si="89"/>
        <v>3.9001792876272805E-2</v>
      </c>
      <c r="G156" s="3">
        <f t="shared" si="89"/>
        <v>3.9001792876272805E-2</v>
      </c>
      <c r="H156" s="3">
        <f t="shared" si="89"/>
        <v>3.9001792876272805E-2</v>
      </c>
      <c r="I156" s="3">
        <f t="shared" si="89"/>
        <v>3.9001792876272805E-2</v>
      </c>
      <c r="J156" s="3">
        <f t="shared" si="89"/>
        <v>3.9001792876272805E-2</v>
      </c>
      <c r="K156" s="3">
        <f t="shared" si="89"/>
        <v>3.9001792876272805E-2</v>
      </c>
      <c r="L156" s="3">
        <f t="shared" si="89"/>
        <v>3.9001792876272805E-2</v>
      </c>
      <c r="M156" s="3">
        <f t="shared" si="89"/>
        <v>3.9001792876272805E-2</v>
      </c>
      <c r="N156" s="3">
        <f t="shared" si="89"/>
        <v>3.9001792876272805E-2</v>
      </c>
      <c r="O156" s="3">
        <f t="shared" si="89"/>
        <v>3.9001792876272805E-2</v>
      </c>
      <c r="P156" s="3">
        <f t="shared" si="89"/>
        <v>3.9001792876272805E-2</v>
      </c>
      <c r="Q156" s="3">
        <f t="shared" si="89"/>
        <v>3.9001792876272805E-2</v>
      </c>
      <c r="R156" s="3">
        <f t="shared" si="89"/>
        <v>3.9001792876272805E-2</v>
      </c>
      <c r="S156" s="3">
        <f t="shared" si="89"/>
        <v>3.9001792876272805E-2</v>
      </c>
      <c r="T156" s="3">
        <f t="shared" si="89"/>
        <v>3.9001792876272798E-2</v>
      </c>
      <c r="U156" s="3">
        <f t="shared" si="89"/>
        <v>3.9001792876272763E-2</v>
      </c>
      <c r="V156" s="3">
        <f t="shared" si="89"/>
        <v>3.9001792876272395E-2</v>
      </c>
      <c r="W156" s="3">
        <f t="shared" si="89"/>
        <v>3.9001792876268725E-2</v>
      </c>
      <c r="X156" s="3">
        <f t="shared" si="89"/>
        <v>3.9001792876232025E-2</v>
      </c>
      <c r="Y156" s="3">
        <f t="shared" si="89"/>
        <v>3.9001792875865013E-2</v>
      </c>
      <c r="Z156" s="3">
        <f t="shared" si="89"/>
        <v>3.9001792872194935E-2</v>
      </c>
      <c r="AA156" s="3">
        <f t="shared" ref="AA156:AF156" si="90">$C42*EXP(-AA$129/$A42/EXP(-$B$126))</f>
        <v>3.9001792835494077E-2</v>
      </c>
      <c r="AB156" s="3">
        <f t="shared" si="90"/>
        <v>3.9001792468485515E-2</v>
      </c>
      <c r="AC156" s="3">
        <f t="shared" si="90"/>
        <v>3.9001788798400092E-2</v>
      </c>
      <c r="AD156" s="3">
        <f t="shared" si="90"/>
        <v>3.9001752097564873E-2</v>
      </c>
      <c r="AE156" s="3">
        <f t="shared" si="90"/>
        <v>3.9001385091112152E-2</v>
      </c>
      <c r="AF156" s="3">
        <f t="shared" si="90"/>
        <v>3.8997715216523697E-2</v>
      </c>
    </row>
    <row r="157" spans="1:32" x14ac:dyDescent="0.25">
      <c r="B157" s="3">
        <f t="shared" ref="B157:Z157" si="91">$C43*EXP(-B$129/$A43/EXP(-$B$126))</f>
        <v>4.5862342503385417E-2</v>
      </c>
      <c r="C157" s="3">
        <f t="shared" si="91"/>
        <v>4.5862342503385417E-2</v>
      </c>
      <c r="D157" s="3">
        <f t="shared" si="91"/>
        <v>4.5862342503385417E-2</v>
      </c>
      <c r="E157" s="3">
        <f t="shared" si="91"/>
        <v>4.5862342503385417E-2</v>
      </c>
      <c r="F157" s="3">
        <f t="shared" si="91"/>
        <v>4.5862342503385417E-2</v>
      </c>
      <c r="G157" s="3">
        <f t="shared" si="91"/>
        <v>4.5862342503385417E-2</v>
      </c>
      <c r="H157" s="3">
        <f t="shared" si="91"/>
        <v>4.5862342503385417E-2</v>
      </c>
      <c r="I157" s="3">
        <f t="shared" si="91"/>
        <v>4.5862342503385417E-2</v>
      </c>
      <c r="J157" s="3">
        <f t="shared" si="91"/>
        <v>4.5862342503385417E-2</v>
      </c>
      <c r="K157" s="3">
        <f t="shared" si="91"/>
        <v>4.5862342503385417E-2</v>
      </c>
      <c r="L157" s="3">
        <f t="shared" si="91"/>
        <v>4.5862342503385417E-2</v>
      </c>
      <c r="M157" s="3">
        <f t="shared" si="91"/>
        <v>4.5862342503385417E-2</v>
      </c>
      <c r="N157" s="3">
        <f t="shared" si="91"/>
        <v>4.5862342503385417E-2</v>
      </c>
      <c r="O157" s="3">
        <f t="shared" si="91"/>
        <v>4.5862342503385417E-2</v>
      </c>
      <c r="P157" s="3">
        <f t="shared" si="91"/>
        <v>4.5862342503385417E-2</v>
      </c>
      <c r="Q157" s="3">
        <f t="shared" si="91"/>
        <v>4.5862342503385417E-2</v>
      </c>
      <c r="R157" s="3">
        <f t="shared" si="91"/>
        <v>4.5862342503385417E-2</v>
      </c>
      <c r="S157" s="3">
        <f t="shared" si="91"/>
        <v>4.5862342503385417E-2</v>
      </c>
      <c r="T157" s="3">
        <f t="shared" si="91"/>
        <v>4.5862342503385417E-2</v>
      </c>
      <c r="U157" s="3">
        <f t="shared" si="91"/>
        <v>4.586234250338541E-2</v>
      </c>
      <c r="V157" s="3">
        <f t="shared" si="91"/>
        <v>4.5862342503385368E-2</v>
      </c>
      <c r="W157" s="3">
        <f t="shared" si="91"/>
        <v>4.5862342503384938E-2</v>
      </c>
      <c r="X157" s="3">
        <f t="shared" si="91"/>
        <v>4.5862342503380622E-2</v>
      </c>
      <c r="Y157" s="3">
        <f t="shared" si="91"/>
        <v>4.5862342503337462E-2</v>
      </c>
      <c r="Z157" s="3">
        <f t="shared" si="91"/>
        <v>4.5862342502905898E-2</v>
      </c>
      <c r="AA157" s="3">
        <f t="shared" ref="AA157:AF157" si="92">$C43*EXP(-AA$129/$A43/EXP(-$B$126))</f>
        <v>4.5862342498590232E-2</v>
      </c>
      <c r="AB157" s="3">
        <f t="shared" si="92"/>
        <v>4.5862342455433566E-2</v>
      </c>
      <c r="AC157" s="3">
        <f t="shared" si="92"/>
        <v>4.5862342023866937E-2</v>
      </c>
      <c r="AD157" s="3">
        <f t="shared" si="92"/>
        <v>4.5862337708200862E-2</v>
      </c>
      <c r="AE157" s="3">
        <f t="shared" si="92"/>
        <v>4.5862294551562384E-2</v>
      </c>
      <c r="AF157" s="3">
        <f t="shared" si="92"/>
        <v>4.5861862987411239E-2</v>
      </c>
    </row>
    <row r="158" spans="1:32" x14ac:dyDescent="0.25">
      <c r="B158" s="3">
        <f t="shared" ref="B158:Z158" si="93">$C44*EXP(-B$129/$A44/EXP(-$B$126))</f>
        <v>5.0364270464190349E-2</v>
      </c>
      <c r="C158" s="3">
        <f t="shared" si="93"/>
        <v>5.0364270464190349E-2</v>
      </c>
      <c r="D158" s="3">
        <f t="shared" si="93"/>
        <v>5.0364270464190349E-2</v>
      </c>
      <c r="E158" s="3">
        <f t="shared" si="93"/>
        <v>5.0364270464190349E-2</v>
      </c>
      <c r="F158" s="3">
        <f t="shared" si="93"/>
        <v>5.0364270464190349E-2</v>
      </c>
      <c r="G158" s="3">
        <f t="shared" si="93"/>
        <v>5.0364270464190349E-2</v>
      </c>
      <c r="H158" s="3">
        <f t="shared" si="93"/>
        <v>5.0364270464190349E-2</v>
      </c>
      <c r="I158" s="3">
        <f t="shared" si="93"/>
        <v>5.0364270464190349E-2</v>
      </c>
      <c r="J158" s="3">
        <f t="shared" si="93"/>
        <v>5.0364270464190349E-2</v>
      </c>
      <c r="K158" s="3">
        <f t="shared" si="93"/>
        <v>5.0364270464190349E-2</v>
      </c>
      <c r="L158" s="3">
        <f t="shared" si="93"/>
        <v>5.0364270464190349E-2</v>
      </c>
      <c r="M158" s="3">
        <f t="shared" si="93"/>
        <v>5.0364270464190349E-2</v>
      </c>
      <c r="N158" s="3">
        <f t="shared" si="93"/>
        <v>5.0364270464190349E-2</v>
      </c>
      <c r="O158" s="3">
        <f t="shared" si="93"/>
        <v>5.0364270464190349E-2</v>
      </c>
      <c r="P158" s="3">
        <f t="shared" si="93"/>
        <v>5.0364270464190349E-2</v>
      </c>
      <c r="Q158" s="3">
        <f t="shared" si="93"/>
        <v>5.0364270464190349E-2</v>
      </c>
      <c r="R158" s="3">
        <f t="shared" si="93"/>
        <v>5.0364270464190349E-2</v>
      </c>
      <c r="S158" s="3">
        <f t="shared" si="93"/>
        <v>5.0364270464190349E-2</v>
      </c>
      <c r="T158" s="3">
        <f t="shared" si="93"/>
        <v>5.0364270464190349E-2</v>
      </c>
      <c r="U158" s="3">
        <f t="shared" si="93"/>
        <v>5.0364270464190349E-2</v>
      </c>
      <c r="V158" s="3">
        <f t="shared" si="93"/>
        <v>5.0364270464190342E-2</v>
      </c>
      <c r="W158" s="3">
        <f t="shared" si="93"/>
        <v>5.03642704641903E-2</v>
      </c>
      <c r="X158" s="3">
        <f t="shared" si="93"/>
        <v>5.0364270464189821E-2</v>
      </c>
      <c r="Y158" s="3">
        <f t="shared" si="93"/>
        <v>5.0364270464185082E-2</v>
      </c>
      <c r="Z158" s="3">
        <f t="shared" si="93"/>
        <v>5.0364270464137689E-2</v>
      </c>
      <c r="AA158" s="3">
        <f t="shared" ref="AA158:AF158" si="94">$C44*EXP(-AA$129/$A44/EXP(-$B$126))</f>
        <v>5.0364270463663756E-2</v>
      </c>
      <c r="AB158" s="3">
        <f t="shared" si="94"/>
        <v>5.0364270458924464E-2</v>
      </c>
      <c r="AC158" s="3">
        <f t="shared" si="94"/>
        <v>5.0364270411531464E-2</v>
      </c>
      <c r="AD158" s="3">
        <f t="shared" si="94"/>
        <v>5.0364269937601493E-2</v>
      </c>
      <c r="AE158" s="3">
        <f t="shared" si="94"/>
        <v>5.0364265198302068E-2</v>
      </c>
      <c r="AF158" s="3">
        <f t="shared" si="94"/>
        <v>5.0364217805332283E-2</v>
      </c>
    </row>
    <row r="159" spans="1:32" x14ac:dyDescent="0.25">
      <c r="A159" s="11" t="s">
        <v>75</v>
      </c>
      <c r="B159" s="3">
        <f t="shared" ref="B159:Z159" si="95">$C45*EXP(-B$129/$A45/EXP(-$B$126))</f>
        <v>4.7472549330169547E-2</v>
      </c>
      <c r="C159" s="3">
        <f t="shared" si="95"/>
        <v>4.7472549330169547E-2</v>
      </c>
      <c r="D159" s="3">
        <f t="shared" si="95"/>
        <v>4.7472549330169547E-2</v>
      </c>
      <c r="E159" s="3">
        <f t="shared" si="95"/>
        <v>4.7472549330169547E-2</v>
      </c>
      <c r="F159" s="3">
        <f t="shared" si="95"/>
        <v>4.7472549330169547E-2</v>
      </c>
      <c r="G159" s="3">
        <f t="shared" si="95"/>
        <v>4.7472549330169547E-2</v>
      </c>
      <c r="H159" s="3">
        <f t="shared" si="95"/>
        <v>4.7472549330169547E-2</v>
      </c>
      <c r="I159" s="3">
        <f t="shared" si="95"/>
        <v>4.7472549330169547E-2</v>
      </c>
      <c r="J159" s="3">
        <f t="shared" si="95"/>
        <v>4.7472549330169547E-2</v>
      </c>
      <c r="K159" s="3">
        <f t="shared" si="95"/>
        <v>4.7472549330169547E-2</v>
      </c>
      <c r="L159" s="3">
        <f t="shared" si="95"/>
        <v>4.7472549330169547E-2</v>
      </c>
      <c r="M159" s="3">
        <f t="shared" si="95"/>
        <v>4.7472549330169547E-2</v>
      </c>
      <c r="N159" s="3">
        <f t="shared" si="95"/>
        <v>4.7472549330169547E-2</v>
      </c>
      <c r="O159" s="3">
        <f t="shared" si="95"/>
        <v>4.7472549330169547E-2</v>
      </c>
      <c r="P159" s="3">
        <f t="shared" si="95"/>
        <v>4.7472549330169547E-2</v>
      </c>
      <c r="Q159" s="3">
        <f t="shared" si="95"/>
        <v>4.7472549330169547E-2</v>
      </c>
      <c r="R159" s="3">
        <f t="shared" si="95"/>
        <v>4.7472549330169547E-2</v>
      </c>
      <c r="S159" s="3">
        <f t="shared" si="95"/>
        <v>4.7472549330169547E-2</v>
      </c>
      <c r="T159" s="3">
        <f t="shared" si="95"/>
        <v>4.7472549330169547E-2</v>
      </c>
      <c r="U159" s="3">
        <f t="shared" si="95"/>
        <v>4.7472549330169547E-2</v>
      </c>
      <c r="V159" s="3">
        <f t="shared" si="95"/>
        <v>4.7472549330169547E-2</v>
      </c>
      <c r="W159" s="3">
        <f t="shared" si="95"/>
        <v>4.747254933016954E-2</v>
      </c>
      <c r="X159" s="3">
        <f t="shared" si="95"/>
        <v>4.7472549330169499E-2</v>
      </c>
      <c r="Y159" s="3">
        <f t="shared" si="95"/>
        <v>4.7472549330169055E-2</v>
      </c>
      <c r="Z159" s="3">
        <f t="shared" si="95"/>
        <v>4.7472549330164579E-2</v>
      </c>
      <c r="AA159" s="3">
        <f t="shared" ref="AA159:AF159" si="96">$C45*EXP(-AA$129/$A45/EXP(-$B$126))</f>
        <v>4.7472549330119906E-2</v>
      </c>
      <c r="AB159" s="3">
        <f t="shared" si="96"/>
        <v>4.7472549329673194E-2</v>
      </c>
      <c r="AC159" s="3">
        <f t="shared" si="96"/>
        <v>4.7472549325206004E-2</v>
      </c>
      <c r="AD159" s="3">
        <f t="shared" si="96"/>
        <v>4.7472549280534126E-2</v>
      </c>
      <c r="AE159" s="3">
        <f t="shared" si="96"/>
        <v>4.7472548833815381E-2</v>
      </c>
      <c r="AF159" s="3">
        <f t="shared" si="96"/>
        <v>4.747254436662815E-2</v>
      </c>
    </row>
    <row r="160" spans="1:32" x14ac:dyDescent="0.25">
      <c r="B160" s="3">
        <f t="shared" ref="B160:Z160" si="97">$C46*EXP(-B$129/$A46/EXP(-$B$126))</f>
        <v>3.4265272438938038E-2</v>
      </c>
      <c r="C160" s="3">
        <f t="shared" si="97"/>
        <v>3.4265272438938038E-2</v>
      </c>
      <c r="D160" s="3">
        <f t="shared" si="97"/>
        <v>3.4265272438938038E-2</v>
      </c>
      <c r="E160" s="3">
        <f t="shared" si="97"/>
        <v>3.4265272438938038E-2</v>
      </c>
      <c r="F160" s="3">
        <f t="shared" si="97"/>
        <v>3.4265272438938038E-2</v>
      </c>
      <c r="G160" s="3">
        <f t="shared" si="97"/>
        <v>3.4265272438938038E-2</v>
      </c>
      <c r="H160" s="3">
        <f t="shared" si="97"/>
        <v>3.4265272438938038E-2</v>
      </c>
      <c r="I160" s="3">
        <f t="shared" si="97"/>
        <v>3.4265272438938038E-2</v>
      </c>
      <c r="J160" s="3">
        <f t="shared" si="97"/>
        <v>3.4265272438938038E-2</v>
      </c>
      <c r="K160" s="3">
        <f t="shared" si="97"/>
        <v>3.4265272438938038E-2</v>
      </c>
      <c r="L160" s="3">
        <f t="shared" si="97"/>
        <v>3.4265272438938038E-2</v>
      </c>
      <c r="M160" s="3">
        <f t="shared" si="97"/>
        <v>3.4265272438938038E-2</v>
      </c>
      <c r="N160" s="3">
        <f t="shared" si="97"/>
        <v>3.4265272438938038E-2</v>
      </c>
      <c r="O160" s="3">
        <f t="shared" si="97"/>
        <v>3.4265272438938038E-2</v>
      </c>
      <c r="P160" s="3">
        <f t="shared" si="97"/>
        <v>3.4265272438938038E-2</v>
      </c>
      <c r="Q160" s="3">
        <f t="shared" si="97"/>
        <v>3.4265272438938038E-2</v>
      </c>
      <c r="R160" s="3">
        <f t="shared" si="97"/>
        <v>3.4265272438938038E-2</v>
      </c>
      <c r="S160" s="3">
        <f t="shared" si="97"/>
        <v>3.4265272438938038E-2</v>
      </c>
      <c r="T160" s="3">
        <f t="shared" si="97"/>
        <v>3.4265272438938038E-2</v>
      </c>
      <c r="U160" s="3">
        <f t="shared" si="97"/>
        <v>3.4265272438938038E-2</v>
      </c>
      <c r="V160" s="3">
        <f t="shared" si="97"/>
        <v>3.4265272438938038E-2</v>
      </c>
      <c r="W160" s="3">
        <f t="shared" si="97"/>
        <v>3.4265272438938038E-2</v>
      </c>
      <c r="X160" s="3">
        <f t="shared" si="97"/>
        <v>3.4265272438938031E-2</v>
      </c>
      <c r="Y160" s="3">
        <f t="shared" si="97"/>
        <v>3.4265272438938003E-2</v>
      </c>
      <c r="Z160" s="3">
        <f t="shared" si="97"/>
        <v>3.4265272438937677E-2</v>
      </c>
      <c r="AA160" s="3">
        <f t="shared" ref="AA160:AF160" si="98">$C46*EXP(-AA$129/$A46/EXP(-$B$126))</f>
        <v>3.4265272438934458E-2</v>
      </c>
      <c r="AB160" s="3">
        <f t="shared" si="98"/>
        <v>3.4265272438902213E-2</v>
      </c>
      <c r="AC160" s="3">
        <f t="shared" si="98"/>
        <v>3.4265272438579776E-2</v>
      </c>
      <c r="AD160" s="3">
        <f t="shared" si="98"/>
        <v>3.4265272435355397E-2</v>
      </c>
      <c r="AE160" s="3">
        <f t="shared" si="98"/>
        <v>3.4265272403111627E-2</v>
      </c>
      <c r="AF160" s="3">
        <f t="shared" si="98"/>
        <v>3.4265272080673925E-2</v>
      </c>
    </row>
    <row r="161" spans="1:34" x14ac:dyDescent="0.25">
      <c r="A161" s="11" t="s">
        <v>75</v>
      </c>
      <c r="B161" s="3">
        <f t="shared" ref="B161:Z161" si="99">$C47*EXP(-B$129/$A47/EXP(-$B$126))</f>
        <v>1.7817533491132281E-2</v>
      </c>
      <c r="C161" s="3">
        <f t="shared" si="99"/>
        <v>1.7817533491132281E-2</v>
      </c>
      <c r="D161" s="3">
        <f t="shared" si="99"/>
        <v>1.7817533491132281E-2</v>
      </c>
      <c r="E161" s="3">
        <f t="shared" si="99"/>
        <v>1.7817533491132281E-2</v>
      </c>
      <c r="F161" s="3">
        <f t="shared" si="99"/>
        <v>1.7817533491132281E-2</v>
      </c>
      <c r="G161" s="3">
        <f t="shared" si="99"/>
        <v>1.7817533491132281E-2</v>
      </c>
      <c r="H161" s="3">
        <f t="shared" si="99"/>
        <v>1.7817533491132281E-2</v>
      </c>
      <c r="I161" s="3">
        <f t="shared" si="99"/>
        <v>1.7817533491132281E-2</v>
      </c>
      <c r="J161" s="3">
        <f t="shared" si="99"/>
        <v>1.7817533491132281E-2</v>
      </c>
      <c r="K161" s="3">
        <f t="shared" si="99"/>
        <v>1.7817533491132281E-2</v>
      </c>
      <c r="L161" s="3">
        <f t="shared" si="99"/>
        <v>1.7817533491132281E-2</v>
      </c>
      <c r="M161" s="3">
        <f t="shared" si="99"/>
        <v>1.7817533491132281E-2</v>
      </c>
      <c r="N161" s="3">
        <f t="shared" si="99"/>
        <v>1.7817533491132281E-2</v>
      </c>
      <c r="O161" s="3">
        <f t="shared" si="99"/>
        <v>1.7817533491132281E-2</v>
      </c>
      <c r="P161" s="3">
        <f t="shared" si="99"/>
        <v>1.7817533491132281E-2</v>
      </c>
      <c r="Q161" s="3">
        <f t="shared" si="99"/>
        <v>1.7817533491132281E-2</v>
      </c>
      <c r="R161" s="3">
        <f t="shared" si="99"/>
        <v>1.7817533491132281E-2</v>
      </c>
      <c r="S161" s="3">
        <f t="shared" si="99"/>
        <v>1.7817533491132281E-2</v>
      </c>
      <c r="T161" s="3">
        <f t="shared" si="99"/>
        <v>1.7817533491132281E-2</v>
      </c>
      <c r="U161" s="3">
        <f t="shared" si="99"/>
        <v>1.7817533491132281E-2</v>
      </c>
      <c r="V161" s="3">
        <f t="shared" si="99"/>
        <v>1.7817533491132281E-2</v>
      </c>
      <c r="W161" s="3">
        <f t="shared" si="99"/>
        <v>1.7817533491132281E-2</v>
      </c>
      <c r="X161" s="3">
        <f t="shared" si="99"/>
        <v>1.7817533491132281E-2</v>
      </c>
      <c r="Y161" s="3">
        <f t="shared" si="99"/>
        <v>1.7817533491132277E-2</v>
      </c>
      <c r="Z161" s="3">
        <f t="shared" si="99"/>
        <v>1.7817533491132263E-2</v>
      </c>
      <c r="AA161" s="3">
        <f t="shared" ref="AA161:AF161" si="100">$C47*EXP(-AA$129/$A47/EXP(-$B$126))</f>
        <v>1.7817533491132093E-2</v>
      </c>
      <c r="AB161" s="3">
        <f t="shared" si="100"/>
        <v>1.7817533491130418E-2</v>
      </c>
      <c r="AC161" s="3">
        <f t="shared" si="100"/>
        <v>1.781753349111365E-2</v>
      </c>
      <c r="AD161" s="3">
        <f t="shared" si="100"/>
        <v>1.7817533490945989E-2</v>
      </c>
      <c r="AE161" s="3">
        <f t="shared" si="100"/>
        <v>1.7817533489269351E-2</v>
      </c>
      <c r="AF161" s="3">
        <f t="shared" si="100"/>
        <v>1.7817533472502974E-2</v>
      </c>
    </row>
    <row r="162" spans="1:34" x14ac:dyDescent="0.25">
      <c r="B162" s="3">
        <f t="shared" ref="B162:Z162" si="101">$C48*EXP(-B$129/$A48/EXP(-$B$126))</f>
        <v>3.0591851493341829E-2</v>
      </c>
      <c r="C162" s="3">
        <f t="shared" si="101"/>
        <v>3.0591851493341829E-2</v>
      </c>
      <c r="D162" s="3">
        <f t="shared" si="101"/>
        <v>3.0591851493341829E-2</v>
      </c>
      <c r="E162" s="3">
        <f t="shared" si="101"/>
        <v>3.0591851493341829E-2</v>
      </c>
      <c r="F162" s="3">
        <f t="shared" si="101"/>
        <v>3.0591851493341829E-2</v>
      </c>
      <c r="G162" s="3">
        <f t="shared" si="101"/>
        <v>3.0591851493341829E-2</v>
      </c>
      <c r="H162" s="3">
        <f t="shared" si="101"/>
        <v>3.0591851493341829E-2</v>
      </c>
      <c r="I162" s="3">
        <f t="shared" si="101"/>
        <v>3.0591851493341829E-2</v>
      </c>
      <c r="J162" s="3">
        <f t="shared" si="101"/>
        <v>3.0591851493341829E-2</v>
      </c>
      <c r="K162" s="3">
        <f t="shared" si="101"/>
        <v>3.0591851493341829E-2</v>
      </c>
      <c r="L162" s="3">
        <f t="shared" si="101"/>
        <v>3.0591851493341829E-2</v>
      </c>
      <c r="M162" s="3">
        <f t="shared" si="101"/>
        <v>3.0591851493341829E-2</v>
      </c>
      <c r="N162" s="3">
        <f t="shared" si="101"/>
        <v>3.0591851493341829E-2</v>
      </c>
      <c r="O162" s="3">
        <f t="shared" si="101"/>
        <v>3.0591851493341829E-2</v>
      </c>
      <c r="P162" s="3">
        <f t="shared" si="101"/>
        <v>3.0591851493341829E-2</v>
      </c>
      <c r="Q162" s="3">
        <f t="shared" si="101"/>
        <v>3.0591851493341829E-2</v>
      </c>
      <c r="R162" s="3">
        <f t="shared" si="101"/>
        <v>3.0591851493341829E-2</v>
      </c>
      <c r="S162" s="3">
        <f t="shared" si="101"/>
        <v>3.0591851493341829E-2</v>
      </c>
      <c r="T162" s="3">
        <f t="shared" si="101"/>
        <v>3.0591851493341829E-2</v>
      </c>
      <c r="U162" s="3">
        <f t="shared" si="101"/>
        <v>3.0591851493341829E-2</v>
      </c>
      <c r="V162" s="3">
        <f t="shared" si="101"/>
        <v>3.0591851493341829E-2</v>
      </c>
      <c r="W162" s="3">
        <f t="shared" si="101"/>
        <v>3.0591851493341829E-2</v>
      </c>
      <c r="X162" s="3">
        <f t="shared" si="101"/>
        <v>3.0591851493341829E-2</v>
      </c>
      <c r="Y162" s="3">
        <f t="shared" si="101"/>
        <v>3.0591851493341829E-2</v>
      </c>
      <c r="Z162" s="3">
        <f t="shared" si="101"/>
        <v>3.0591851493341825E-2</v>
      </c>
      <c r="AA162" s="3">
        <f t="shared" ref="AA162:AF162" si="102">$C48*EXP(-AA$129/$A48/EXP(-$B$126))</f>
        <v>3.0591851493341798E-2</v>
      </c>
      <c r="AB162" s="3">
        <f t="shared" si="102"/>
        <v>3.059185149334151E-2</v>
      </c>
      <c r="AC162" s="3">
        <f t="shared" si="102"/>
        <v>3.059185149333863E-2</v>
      </c>
      <c r="AD162" s="3">
        <f t="shared" si="102"/>
        <v>3.0591851493309841E-2</v>
      </c>
      <c r="AE162" s="3">
        <f t="shared" si="102"/>
        <v>3.059185149302197E-2</v>
      </c>
      <c r="AF162" s="3">
        <f t="shared" si="102"/>
        <v>3.0591851490143266E-2</v>
      </c>
    </row>
    <row r="163" spans="1:34" x14ac:dyDescent="0.25">
      <c r="A163" s="79">
        <f>AVERAGE(B163:AF163)</f>
        <v>1.5698183409692566E-2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1.033252798158096E-2</v>
      </c>
      <c r="M163" s="80">
        <f t="shared" si="103"/>
        <v>1.2725667872420004E-2</v>
      </c>
      <c r="N163" s="80">
        <f t="shared" si="103"/>
        <v>2.5105546107081076E-2</v>
      </c>
      <c r="O163" s="80">
        <f t="shared" si="103"/>
        <v>5.0749800302183755E-2</v>
      </c>
      <c r="P163" s="80">
        <f t="shared" si="103"/>
        <v>5.4500302702491822E-2</v>
      </c>
      <c r="Q163" s="80">
        <f t="shared" si="103"/>
        <v>4.7023424596359484E-2</v>
      </c>
      <c r="R163" s="80">
        <f t="shared" si="103"/>
        <v>4.9889783718704409E-2</v>
      </c>
      <c r="S163" s="80">
        <f t="shared" si="103"/>
        <v>5.4063903864748492E-2</v>
      </c>
      <c r="T163" s="80">
        <f t="shared" si="103"/>
        <v>5.9333551548814221E-2</v>
      </c>
      <c r="U163" s="80">
        <f t="shared" si="103"/>
        <v>6.4266354500972706E-2</v>
      </c>
      <c r="V163" s="80">
        <f t="shared" si="103"/>
        <v>5.8652822505112667E-2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2093.6502637447575</v>
      </c>
      <c r="C164" s="21">
        <f t="shared" ref="C164:AF164" si="104">(C131-C130)^2</f>
        <v>2099.7419867107651</v>
      </c>
      <c r="D164" s="21">
        <f t="shared" si="104"/>
        <v>2111.3309402396503</v>
      </c>
      <c r="E164" s="21">
        <f t="shared" si="104"/>
        <v>2250.46329108481</v>
      </c>
      <c r="F164" s="21">
        <f t="shared" si="104"/>
        <v>3214.931440522992</v>
      </c>
      <c r="G164" s="21">
        <f t="shared" si="104"/>
        <v>3922.2626359500127</v>
      </c>
      <c r="H164" s="21">
        <f t="shared" si="104"/>
        <v>3922.3024997276366</v>
      </c>
      <c r="I164" s="21">
        <f t="shared" si="104"/>
        <v>3922.477123414003</v>
      </c>
      <c r="J164" s="21">
        <f t="shared" si="104"/>
        <v>3924.5492035795482</v>
      </c>
      <c r="K164" s="21">
        <f t="shared" si="104"/>
        <v>3945.1835213676136</v>
      </c>
      <c r="L164" s="21">
        <f t="shared" si="104"/>
        <v>4152.61747655416</v>
      </c>
      <c r="M164" s="21">
        <f t="shared" si="104"/>
        <v>6298.6918503125662</v>
      </c>
      <c r="N164" s="21">
        <f t="shared" si="104"/>
        <v>24503.854895747154</v>
      </c>
      <c r="O164" s="21">
        <f t="shared" si="104"/>
        <v>99703.102915855299</v>
      </c>
      <c r="P164" s="21">
        <f t="shared" si="104"/>
        <v>111451.50406610598</v>
      </c>
      <c r="Q164" s="21">
        <f t="shared" si="104"/>
        <v>78488.941972843866</v>
      </c>
      <c r="R164" s="21">
        <f t="shared" si="104"/>
        <v>84943.895626474434</v>
      </c>
      <c r="S164" s="21">
        <f t="shared" si="104"/>
        <v>95794.611257191209</v>
      </c>
      <c r="T164" s="21">
        <f t="shared" si="104"/>
        <v>110204.35610311858</v>
      </c>
      <c r="U164" s="21">
        <f t="shared" si="104"/>
        <v>122636.05190776542</v>
      </c>
      <c r="V164" s="21">
        <f t="shared" si="104"/>
        <v>94420.405714314751</v>
      </c>
      <c r="W164" s="21">
        <f t="shared" si="104"/>
        <v>14303.311846234994</v>
      </c>
      <c r="X164" s="21">
        <f t="shared" si="104"/>
        <v>12798.497597049154</v>
      </c>
      <c r="Y164" s="21">
        <f t="shared" si="104"/>
        <v>65819.108258087304</v>
      </c>
      <c r="Z164" s="21">
        <f t="shared" si="104"/>
        <v>109911.35717421227</v>
      </c>
      <c r="AA164" s="21">
        <f t="shared" si="104"/>
        <v>156240.96487979099</v>
      </c>
      <c r="AB164" s="21">
        <f t="shared" si="104"/>
        <v>153138.53409009203</v>
      </c>
      <c r="AC164" s="21">
        <f t="shared" si="104"/>
        <v>68988.709649068929</v>
      </c>
      <c r="AD164" s="21">
        <f t="shared" si="104"/>
        <v>13445.364351220229</v>
      </c>
      <c r="AE164" s="21">
        <f t="shared" si="104"/>
        <v>5.0296303434959651</v>
      </c>
      <c r="AF164" s="21">
        <f t="shared" si="104"/>
        <v>9809.9012445306744</v>
      </c>
    </row>
    <row r="165" spans="1:34" x14ac:dyDescent="0.25">
      <c r="A165" s="71">
        <f>SUM(B165:AF165)</f>
        <v>832598.03378628346</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4152.61747655416</v>
      </c>
      <c r="M165" s="60">
        <f t="shared" si="105"/>
        <v>6298.6918503125662</v>
      </c>
      <c r="N165" s="60">
        <f t="shared" si="105"/>
        <v>24503.854895747154</v>
      </c>
      <c r="O165" s="60">
        <f t="shared" si="105"/>
        <v>99703.102915855299</v>
      </c>
      <c r="P165" s="60">
        <f t="shared" si="105"/>
        <v>111451.50406610598</v>
      </c>
      <c r="Q165" s="60">
        <f t="shared" si="105"/>
        <v>78488.941972843866</v>
      </c>
      <c r="R165" s="60">
        <f t="shared" si="105"/>
        <v>84943.895626474434</v>
      </c>
      <c r="S165" s="60">
        <f t="shared" si="105"/>
        <v>95794.611257191209</v>
      </c>
      <c r="T165" s="60">
        <f t="shared" si="105"/>
        <v>110204.35610311858</v>
      </c>
      <c r="U165" s="60">
        <f t="shared" si="105"/>
        <v>122636.05190776542</v>
      </c>
      <c r="V165" s="60">
        <f t="shared" si="105"/>
        <v>94420.405714314751</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6177.462949236693</v>
      </c>
      <c r="C170" s="27">
        <f t="shared" ref="C170:AF170" si="106">($C$17+SUM(C171:C201))*$B$51</f>
        <v>6174.0809303028136</v>
      </c>
      <c r="D170" s="27">
        <f t="shared" si="106"/>
        <v>6174.0806732714482</v>
      </c>
      <c r="E170" s="27">
        <f t="shared" si="106"/>
        <v>6174.0781207003693</v>
      </c>
      <c r="F170" s="27">
        <f t="shared" si="106"/>
        <v>6174.0525985370223</v>
      </c>
      <c r="G170" s="27">
        <f t="shared" si="106"/>
        <v>6173.797731221247</v>
      </c>
      <c r="H170" s="27">
        <f t="shared" si="106"/>
        <v>6171.2840676586766</v>
      </c>
      <c r="I170" s="27">
        <f t="shared" si="106"/>
        <v>6149.2626421557079</v>
      </c>
      <c r="J170" s="27">
        <f t="shared" si="106"/>
        <v>6054.6549022734325</v>
      </c>
      <c r="K170" s="27">
        <f t="shared" si="106"/>
        <v>5879.5192152398595</v>
      </c>
      <c r="L170" s="27">
        <f t="shared" si="106"/>
        <v>5771.9041341384036</v>
      </c>
      <c r="M170" s="27">
        <f t="shared" si="106"/>
        <v>5654.5752258128541</v>
      </c>
      <c r="N170" s="27">
        <f t="shared" si="106"/>
        <v>5524.4233919844246</v>
      </c>
      <c r="O170" s="27">
        <f t="shared" si="106"/>
        <v>5386.5896279080107</v>
      </c>
      <c r="P170" s="27">
        <f t="shared" si="106"/>
        <v>5229.7840747760092</v>
      </c>
      <c r="Q170" s="27">
        <f t="shared" si="106"/>
        <v>5063.8495892877409</v>
      </c>
      <c r="R170" s="27">
        <f t="shared" si="106"/>
        <v>4896.6500268052851</v>
      </c>
      <c r="S170" s="27">
        <f t="shared" si="106"/>
        <v>4736.7135451112381</v>
      </c>
      <c r="T170" s="27">
        <f t="shared" si="106"/>
        <v>4553.1852059595531</v>
      </c>
      <c r="U170" s="27">
        <f t="shared" si="106"/>
        <v>4330.7816318342848</v>
      </c>
      <c r="V170" s="27">
        <f t="shared" si="106"/>
        <v>4104.9183535669399</v>
      </c>
      <c r="W170" s="27">
        <f t="shared" si="106"/>
        <v>3892.0980455998319</v>
      </c>
      <c r="X170" s="27">
        <f t="shared" si="106"/>
        <v>3621.1970190981624</v>
      </c>
      <c r="Y170" s="27">
        <f t="shared" si="106"/>
        <v>3298.4902698596056</v>
      </c>
      <c r="Z170" s="27">
        <f t="shared" si="106"/>
        <v>2998.7409074838388</v>
      </c>
      <c r="AA170" s="27">
        <f t="shared" si="106"/>
        <v>2735.6852477531111</v>
      </c>
      <c r="AB170" s="27">
        <f t="shared" si="106"/>
        <v>2512.7098507480373</v>
      </c>
      <c r="AC170" s="27">
        <f t="shared" si="106"/>
        <v>2275.5367671791864</v>
      </c>
      <c r="AD170" s="27">
        <f t="shared" si="106"/>
        <v>2061.0842248982381</v>
      </c>
      <c r="AE170" s="27">
        <f t="shared" si="106"/>
        <v>1837.4401398006278</v>
      </c>
      <c r="AF170" s="27">
        <f t="shared" si="106"/>
        <v>1593.5071630636062</v>
      </c>
      <c r="AG170" s="27"/>
      <c r="AH170" s="27"/>
    </row>
    <row r="171" spans="1:34" x14ac:dyDescent="0.25">
      <c r="B171" s="3">
        <f t="shared" ref="B171:AF171" si="107">$C18*EXP(-B$168/$A18/EXP(-$C$126))</f>
        <v>5.4628057483405363E-4</v>
      </c>
      <c r="C171" s="3">
        <f t="shared" si="107"/>
        <v>2.8601597802147806E-10</v>
      </c>
      <c r="D171" s="3">
        <f t="shared" si="107"/>
        <v>4.4272665558691402E-73</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9.0451868093946626E-3</v>
      </c>
      <c r="C173" s="3">
        <f t="shared" si="109"/>
        <v>9.0451837865751818E-3</v>
      </c>
      <c r="D173" s="3">
        <f t="shared" si="109"/>
        <v>9.0451535584359366E-3</v>
      </c>
      <c r="E173" s="3">
        <f t="shared" si="109"/>
        <v>9.0448512825995111E-3</v>
      </c>
      <c r="F173" s="3">
        <f t="shared" si="109"/>
        <v>9.0418290797685107E-3</v>
      </c>
      <c r="G173" s="3">
        <f t="shared" si="109"/>
        <v>9.0116625361542201E-3</v>
      </c>
      <c r="H173" s="3">
        <f t="shared" si="109"/>
        <v>8.7154775713568309E-3</v>
      </c>
      <c r="I173" s="3">
        <f t="shared" si="109"/>
        <v>6.239558836491855E-3</v>
      </c>
      <c r="J173" s="3">
        <f t="shared" si="109"/>
        <v>2.2068907337964921E-4</v>
      </c>
      <c r="K173" s="3">
        <f t="shared" si="109"/>
        <v>6.7616128392475653E-19</v>
      </c>
      <c r="L173" s="3">
        <f t="shared" si="109"/>
        <v>4.9288430445699238E-164</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3.481423449225219E-2</v>
      </c>
      <c r="C174" s="3">
        <f t="shared" si="110"/>
        <v>3.4814233442714157E-2</v>
      </c>
      <c r="D174" s="3">
        <f t="shared" si="110"/>
        <v>3.4814222947335625E-2</v>
      </c>
      <c r="E174" s="3">
        <f t="shared" si="110"/>
        <v>3.481411799372431E-2</v>
      </c>
      <c r="F174" s="3">
        <f t="shared" si="110"/>
        <v>3.4813068475013059E-2</v>
      </c>
      <c r="G174" s="3">
        <f t="shared" si="110"/>
        <v>3.4802575027897124E-2</v>
      </c>
      <c r="H174" s="3">
        <f t="shared" si="110"/>
        <v>3.4697814362464538E-2</v>
      </c>
      <c r="I174" s="3">
        <f t="shared" si="110"/>
        <v>3.3667395965762674E-2</v>
      </c>
      <c r="J174" s="3">
        <f t="shared" si="110"/>
        <v>2.4904831236222426E-2</v>
      </c>
      <c r="K174" s="3">
        <f t="shared" si="110"/>
        <v>1.2218682126778841E-3</v>
      </c>
      <c r="L174" s="3">
        <f t="shared" si="110"/>
        <v>9.8726104581507764E-17</v>
      </c>
      <c r="M174" s="3">
        <f t="shared" si="110"/>
        <v>1.1708691135489308E-147</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1.6737347400508574E-2</v>
      </c>
      <c r="C175" s="3">
        <f t="shared" si="111"/>
        <v>1.6737347354991477E-2</v>
      </c>
      <c r="D175" s="3">
        <f t="shared" si="111"/>
        <v>1.6737346899820513E-2</v>
      </c>
      <c r="E175" s="3">
        <f t="shared" si="111"/>
        <v>1.6737342348111559E-2</v>
      </c>
      <c r="F175" s="3">
        <f t="shared" si="111"/>
        <v>1.6737296831090112E-2</v>
      </c>
      <c r="G175" s="3">
        <f t="shared" si="111"/>
        <v>1.6736841667683636E-2</v>
      </c>
      <c r="H175" s="3">
        <f t="shared" si="111"/>
        <v>1.6732290714351609E-2</v>
      </c>
      <c r="I175" s="3">
        <f t="shared" si="111"/>
        <v>1.6686849185855807E-2</v>
      </c>
      <c r="J175" s="3">
        <f t="shared" si="111"/>
        <v>1.6239166450957333E-2</v>
      </c>
      <c r="K175" s="3">
        <f t="shared" si="111"/>
        <v>1.2372505576217307E-2</v>
      </c>
      <c r="L175" s="3">
        <f t="shared" si="111"/>
        <v>8.1544919250309169E-4</v>
      </c>
      <c r="M175" s="3">
        <f t="shared" si="111"/>
        <v>1.2612157770340187E-15</v>
      </c>
      <c r="N175" s="3">
        <f t="shared" si="111"/>
        <v>9.8790293000236418E-134</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1.9251005168839305E-2</v>
      </c>
      <c r="C176" s="3">
        <f t="shared" si="112"/>
        <v>1.9251005164116632E-2</v>
      </c>
      <c r="D176" s="3">
        <f t="shared" si="112"/>
        <v>1.9251005116889895E-2</v>
      </c>
      <c r="E176" s="3">
        <f t="shared" si="112"/>
        <v>1.9251004644622545E-2</v>
      </c>
      <c r="F176" s="3">
        <f t="shared" si="112"/>
        <v>1.9250999921949691E-2</v>
      </c>
      <c r="G176" s="3">
        <f t="shared" si="112"/>
        <v>1.9250952695284866E-2</v>
      </c>
      <c r="H176" s="3">
        <f t="shared" si="112"/>
        <v>1.9250480435008686E-2</v>
      </c>
      <c r="I176" s="3">
        <f t="shared" si="112"/>
        <v>1.9245758469396378E-2</v>
      </c>
      <c r="J176" s="3">
        <f t="shared" si="112"/>
        <v>1.9198602470426211E-2</v>
      </c>
      <c r="K176" s="3">
        <f t="shared" si="112"/>
        <v>1.8733350792427376E-2</v>
      </c>
      <c r="L176" s="3">
        <f t="shared" si="112"/>
        <v>1.4657974450547756E-2</v>
      </c>
      <c r="M176" s="3">
        <f t="shared" si="112"/>
        <v>1.2608368926459333E-3</v>
      </c>
      <c r="N176" s="3">
        <f t="shared" si="112"/>
        <v>2.795814700792657E-14</v>
      </c>
      <c r="O176" s="3">
        <f t="shared" si="112"/>
        <v>8.035319423544229E-121</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2.1901222086359907E-2</v>
      </c>
      <c r="C177" s="3">
        <f t="shared" si="113"/>
        <v>2.1901222085875232E-2</v>
      </c>
      <c r="D177" s="3">
        <f t="shared" si="113"/>
        <v>2.1901222081028494E-2</v>
      </c>
      <c r="E177" s="3">
        <f t="shared" si="113"/>
        <v>2.1901222032561125E-2</v>
      </c>
      <c r="F177" s="3">
        <f t="shared" si="113"/>
        <v>2.1901221547887428E-2</v>
      </c>
      <c r="G177" s="3">
        <f t="shared" si="113"/>
        <v>2.1901216701151052E-2</v>
      </c>
      <c r="H177" s="3">
        <f t="shared" si="113"/>
        <v>2.1901168233846274E-2</v>
      </c>
      <c r="I177" s="3">
        <f t="shared" si="113"/>
        <v>2.1900683566697627E-2</v>
      </c>
      <c r="J177" s="3">
        <f t="shared" si="113"/>
        <v>2.1895837485077681E-2</v>
      </c>
      <c r="K177" s="3">
        <f t="shared" si="113"/>
        <v>2.1847435607259498E-2</v>
      </c>
      <c r="L177" s="3">
        <f t="shared" si="113"/>
        <v>2.1369262692243596E-2</v>
      </c>
      <c r="M177" s="3">
        <f t="shared" si="113"/>
        <v>1.7126958159090454E-2</v>
      </c>
      <c r="N177" s="3">
        <f t="shared" si="113"/>
        <v>1.8732132691727567E-3</v>
      </c>
      <c r="O177" s="3">
        <f t="shared" si="113"/>
        <v>4.5883560698540222E-13</v>
      </c>
      <c r="P177" s="3">
        <f t="shared" si="113"/>
        <v>3.5674343405909501E-109</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2.2497281457406166E-2</v>
      </c>
      <c r="C178" s="3">
        <f t="shared" si="114"/>
        <v>2.2497281457361254E-2</v>
      </c>
      <c r="D178" s="3">
        <f t="shared" si="114"/>
        <v>2.2497281456912138E-2</v>
      </c>
      <c r="E178" s="3">
        <f t="shared" si="114"/>
        <v>2.2497281452420984E-2</v>
      </c>
      <c r="F178" s="3">
        <f t="shared" si="114"/>
        <v>2.2497281407509468E-2</v>
      </c>
      <c r="G178" s="3">
        <f t="shared" si="114"/>
        <v>2.2497280958394286E-2</v>
      </c>
      <c r="H178" s="3">
        <f t="shared" si="114"/>
        <v>2.249727646724297E-2</v>
      </c>
      <c r="I178" s="3">
        <f t="shared" si="114"/>
        <v>2.2497231555779124E-2</v>
      </c>
      <c r="J178" s="3">
        <f t="shared" si="114"/>
        <v>2.2496782446071763E-2</v>
      </c>
      <c r="K178" s="3">
        <f t="shared" si="114"/>
        <v>2.2492291842072607E-2</v>
      </c>
      <c r="L178" s="3">
        <f t="shared" si="114"/>
        <v>2.2447435073123915E-2</v>
      </c>
      <c r="M178" s="3">
        <f t="shared" si="114"/>
        <v>2.2003758288165743E-2</v>
      </c>
      <c r="N178" s="3">
        <f t="shared" si="114"/>
        <v>1.8021804759963293E-2</v>
      </c>
      <c r="O178" s="3">
        <f t="shared" si="114"/>
        <v>2.4480057245411572E-3</v>
      </c>
      <c r="P178" s="3">
        <f t="shared" si="114"/>
        <v>5.235448781765511E-12</v>
      </c>
      <c r="Q178" s="3">
        <f t="shared" si="114"/>
        <v>1.0480180856510015E-98</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2.6719174389676567E-2</v>
      </c>
      <c r="C179" s="3">
        <f t="shared" si="115"/>
        <v>2.6719174389671755E-2</v>
      </c>
      <c r="D179" s="3">
        <f t="shared" si="115"/>
        <v>2.6719174389623637E-2</v>
      </c>
      <c r="E179" s="3">
        <f t="shared" si="115"/>
        <v>2.671917438914247E-2</v>
      </c>
      <c r="F179" s="3">
        <f t="shared" si="115"/>
        <v>2.6719174384330784E-2</v>
      </c>
      <c r="G179" s="3">
        <f t="shared" si="115"/>
        <v>2.671917433621392E-2</v>
      </c>
      <c r="H179" s="3">
        <f t="shared" si="115"/>
        <v>2.6719173855045273E-2</v>
      </c>
      <c r="I179" s="3">
        <f t="shared" si="115"/>
        <v>2.6719169043359293E-2</v>
      </c>
      <c r="J179" s="3">
        <f t="shared" si="115"/>
        <v>2.6719120926547175E-2</v>
      </c>
      <c r="K179" s="3">
        <f t="shared" si="115"/>
        <v>2.6718639763191727E-2</v>
      </c>
      <c r="L179" s="3">
        <f t="shared" si="115"/>
        <v>2.6713828606180309E-2</v>
      </c>
      <c r="M179" s="3">
        <f t="shared" si="115"/>
        <v>2.6665764658635113E-2</v>
      </c>
      <c r="N179" s="3">
        <f t="shared" si="115"/>
        <v>2.6189855860983744E-2</v>
      </c>
      <c r="O179" s="3">
        <f t="shared" si="115"/>
        <v>2.1873776576247589E-2</v>
      </c>
      <c r="P179" s="3">
        <f t="shared" si="115"/>
        <v>3.6126875930293412E-3</v>
      </c>
      <c r="Q179" s="3">
        <f t="shared" si="115"/>
        <v>5.4562814635659388E-11</v>
      </c>
      <c r="R179" s="3">
        <f t="shared" si="115"/>
        <v>3.3694602981741816E-89</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2.8269244352707525E-2</v>
      </c>
      <c r="C180" s="3">
        <f t="shared" si="116"/>
        <v>2.8269244352707064E-2</v>
      </c>
      <c r="D180" s="3">
        <f t="shared" si="116"/>
        <v>2.826924435270247E-2</v>
      </c>
      <c r="E180" s="3">
        <f t="shared" si="116"/>
        <v>2.8269244352656549E-2</v>
      </c>
      <c r="F180" s="3">
        <f t="shared" si="116"/>
        <v>2.8269244352197315E-2</v>
      </c>
      <c r="G180" s="3">
        <f t="shared" si="116"/>
        <v>2.8269244347604961E-2</v>
      </c>
      <c r="H180" s="3">
        <f t="shared" si="116"/>
        <v>2.8269244301681453E-2</v>
      </c>
      <c r="I180" s="3">
        <f t="shared" si="116"/>
        <v>2.8269243842446348E-2</v>
      </c>
      <c r="J180" s="3">
        <f t="shared" si="116"/>
        <v>2.8269239250095741E-2</v>
      </c>
      <c r="K180" s="3">
        <f t="shared" si="116"/>
        <v>2.8269193326630689E-2</v>
      </c>
      <c r="L180" s="3">
        <f t="shared" si="116"/>
        <v>2.8268734096083298E-2</v>
      </c>
      <c r="M180" s="3">
        <f t="shared" si="116"/>
        <v>2.8264142200898193E-2</v>
      </c>
      <c r="N180" s="3">
        <f t="shared" si="116"/>
        <v>2.82182642532753E-2</v>
      </c>
      <c r="O180" s="3">
        <f t="shared" si="116"/>
        <v>2.776356066032357E-2</v>
      </c>
      <c r="P180" s="3">
        <f t="shared" si="116"/>
        <v>2.3600643001667927E-2</v>
      </c>
      <c r="Q180" s="3">
        <f t="shared" si="116"/>
        <v>4.6495460895370601E-3</v>
      </c>
      <c r="R180" s="3">
        <f t="shared" si="116"/>
        <v>4.0952250477662855E-10</v>
      </c>
      <c r="S180" s="3">
        <f t="shared" si="116"/>
        <v>1.1506677210150836E-80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2.8789242104317228E-2</v>
      </c>
      <c r="C181" s="3">
        <f t="shared" si="117"/>
        <v>2.8789242104317183E-2</v>
      </c>
      <c r="D181" s="3">
        <f t="shared" si="117"/>
        <v>2.8789242104316763E-2</v>
      </c>
      <c r="E181" s="3">
        <f t="shared" si="117"/>
        <v>2.8789242104312544E-2</v>
      </c>
      <c r="F181" s="3">
        <f t="shared" si="117"/>
        <v>2.8789242104270356E-2</v>
      </c>
      <c r="G181" s="3">
        <f t="shared" si="117"/>
        <v>2.8789242103848468E-2</v>
      </c>
      <c r="H181" s="3">
        <f t="shared" si="117"/>
        <v>2.8789242099629582E-2</v>
      </c>
      <c r="I181" s="3">
        <f t="shared" si="117"/>
        <v>2.8789242057440729E-2</v>
      </c>
      <c r="J181" s="3">
        <f t="shared" si="117"/>
        <v>2.8789241635552219E-2</v>
      </c>
      <c r="K181" s="3">
        <f t="shared" si="117"/>
        <v>2.8789237416667439E-2</v>
      </c>
      <c r="L181" s="3">
        <f t="shared" si="117"/>
        <v>2.8789195227853646E-2</v>
      </c>
      <c r="M181" s="3">
        <f t="shared" si="117"/>
        <v>2.8788773343116102E-2</v>
      </c>
      <c r="N181" s="3">
        <f t="shared" si="117"/>
        <v>2.878455483575847E-2</v>
      </c>
      <c r="O181" s="3">
        <f t="shared" si="117"/>
        <v>2.874240374553692E-2</v>
      </c>
      <c r="P181" s="3">
        <f t="shared" si="117"/>
        <v>2.8324272824618465E-2</v>
      </c>
      <c r="Q181" s="3">
        <f t="shared" si="117"/>
        <v>2.4463331583773593E-2</v>
      </c>
      <c r="R181" s="3">
        <f t="shared" si="117"/>
        <v>5.6504616505390079E-3</v>
      </c>
      <c r="S181" s="3">
        <f t="shared" si="117"/>
        <v>2.4421212904322498E-9</v>
      </c>
      <c r="T181" s="3">
        <f t="shared" si="117"/>
        <v>5.5539275573819232E-73</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2.5595411660203616E-2</v>
      </c>
      <c r="C182" s="3">
        <f t="shared" si="118"/>
        <v>2.5595411660203612E-2</v>
      </c>
      <c r="D182" s="3">
        <f t="shared" si="118"/>
        <v>2.5595411660203578E-2</v>
      </c>
      <c r="E182" s="3">
        <f t="shared" si="118"/>
        <v>2.5595411660203241E-2</v>
      </c>
      <c r="F182" s="3">
        <f t="shared" si="118"/>
        <v>2.5595411660199855E-2</v>
      </c>
      <c r="G182" s="3">
        <f t="shared" si="118"/>
        <v>2.5595411660166021E-2</v>
      </c>
      <c r="H182" s="3">
        <f t="shared" si="118"/>
        <v>2.5595411659827663E-2</v>
      </c>
      <c r="I182" s="3">
        <f t="shared" si="118"/>
        <v>2.5595411656444085E-2</v>
      </c>
      <c r="J182" s="3">
        <f t="shared" si="118"/>
        <v>2.5595411622608307E-2</v>
      </c>
      <c r="K182" s="3">
        <f t="shared" si="118"/>
        <v>2.5595411284250517E-2</v>
      </c>
      <c r="L182" s="3">
        <f t="shared" si="118"/>
        <v>2.5595407900672877E-2</v>
      </c>
      <c r="M182" s="3">
        <f t="shared" si="118"/>
        <v>2.559537406492108E-2</v>
      </c>
      <c r="N182" s="3">
        <f t="shared" si="118"/>
        <v>2.559503570986316E-2</v>
      </c>
      <c r="O182" s="3">
        <f t="shared" si="118"/>
        <v>2.5591652405280732E-2</v>
      </c>
      <c r="P182" s="3">
        <f t="shared" si="118"/>
        <v>2.5557843947101311E-2</v>
      </c>
      <c r="Q182" s="3">
        <f t="shared" si="118"/>
        <v>2.5222206145884593E-2</v>
      </c>
      <c r="R182" s="3">
        <f t="shared" si="118"/>
        <v>2.2098950019987997E-2</v>
      </c>
      <c r="S182" s="3">
        <f t="shared" si="118"/>
        <v>5.89192659019177E-3</v>
      </c>
      <c r="T182" s="3">
        <f t="shared" si="118"/>
        <v>1.0693360344032512E-8</v>
      </c>
      <c r="U182" s="3">
        <f t="shared" si="118"/>
        <v>4.1465122161916629E-66</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3.1571984224505523E-2</v>
      </c>
      <c r="C183" s="3">
        <f t="shared" si="119"/>
        <v>3.1571984224505523E-2</v>
      </c>
      <c r="D183" s="3">
        <f t="shared" si="119"/>
        <v>3.1571984224505516E-2</v>
      </c>
      <c r="E183" s="3">
        <f t="shared" si="119"/>
        <v>3.1571984224505481E-2</v>
      </c>
      <c r="F183" s="3">
        <f t="shared" si="119"/>
        <v>3.1571984224505106E-2</v>
      </c>
      <c r="G183" s="3">
        <f t="shared" si="119"/>
        <v>3.1571984224501339E-2</v>
      </c>
      <c r="H183" s="3">
        <f t="shared" si="119"/>
        <v>3.1571984224463688E-2</v>
      </c>
      <c r="I183" s="3">
        <f t="shared" si="119"/>
        <v>3.1571984224087191E-2</v>
      </c>
      <c r="J183" s="3">
        <f t="shared" si="119"/>
        <v>3.1571984220322216E-2</v>
      </c>
      <c r="K183" s="3">
        <f t="shared" si="119"/>
        <v>3.1571984182672423E-2</v>
      </c>
      <c r="L183" s="3">
        <f t="shared" si="119"/>
        <v>3.1571983806174549E-2</v>
      </c>
      <c r="M183" s="3">
        <f t="shared" si="119"/>
        <v>3.1571980041196067E-2</v>
      </c>
      <c r="N183" s="3">
        <f t="shared" si="119"/>
        <v>3.1571942391435889E-2</v>
      </c>
      <c r="O183" s="3">
        <f t="shared" si="119"/>
        <v>3.1571565896303506E-2</v>
      </c>
      <c r="P183" s="3">
        <f t="shared" si="119"/>
        <v>3.1567801191904429E-2</v>
      </c>
      <c r="Q183" s="3">
        <f t="shared" si="119"/>
        <v>3.1530178829494826E-2</v>
      </c>
      <c r="R183" s="3">
        <f t="shared" si="119"/>
        <v>3.1156412507980898E-2</v>
      </c>
      <c r="S183" s="3">
        <f t="shared" si="119"/>
        <v>2.7653974501381986E-2</v>
      </c>
      <c r="T183" s="3">
        <f t="shared" si="119"/>
        <v>8.3918688203659299E-3</v>
      </c>
      <c r="U183" s="3">
        <f t="shared" si="119"/>
        <v>5.5573784205729866E-8</v>
      </c>
      <c r="V183" s="3">
        <f t="shared" si="119"/>
        <v>9.0153545170028969E-60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4.0619048192840942E-2</v>
      </c>
      <c r="C184" s="3">
        <f t="shared" si="120"/>
        <v>4.0619048192840942E-2</v>
      </c>
      <c r="D184" s="3">
        <f t="shared" si="120"/>
        <v>4.0619048192840942E-2</v>
      </c>
      <c r="E184" s="3">
        <f t="shared" si="120"/>
        <v>4.0619048192840936E-2</v>
      </c>
      <c r="F184" s="3">
        <f t="shared" si="120"/>
        <v>4.0619048192840894E-2</v>
      </c>
      <c r="G184" s="3">
        <f t="shared" si="120"/>
        <v>4.0619048192840457E-2</v>
      </c>
      <c r="H184" s="3">
        <f t="shared" si="120"/>
        <v>4.0619048192836085E-2</v>
      </c>
      <c r="I184" s="3">
        <f t="shared" si="120"/>
        <v>4.0619048192792391E-2</v>
      </c>
      <c r="J184" s="3">
        <f t="shared" si="120"/>
        <v>4.0619048192355435E-2</v>
      </c>
      <c r="K184" s="3">
        <f t="shared" si="120"/>
        <v>4.0619048187985889E-2</v>
      </c>
      <c r="L184" s="3">
        <f t="shared" si="120"/>
        <v>4.0619048144290355E-2</v>
      </c>
      <c r="M184" s="3">
        <f t="shared" si="120"/>
        <v>4.0619047707335085E-2</v>
      </c>
      <c r="N184" s="3">
        <f t="shared" si="120"/>
        <v>4.0619043337782615E-2</v>
      </c>
      <c r="O184" s="3">
        <f t="shared" si="120"/>
        <v>4.0618999642283805E-2</v>
      </c>
      <c r="P184" s="3">
        <f t="shared" si="120"/>
        <v>4.0618562689880927E-2</v>
      </c>
      <c r="Q184" s="3">
        <f t="shared" si="120"/>
        <v>4.0614193424368381E-2</v>
      </c>
      <c r="R184" s="3">
        <f t="shared" si="120"/>
        <v>4.0570526610573379E-2</v>
      </c>
      <c r="S184" s="3">
        <f t="shared" si="120"/>
        <v>4.0136432349738509E-2</v>
      </c>
      <c r="T184" s="3">
        <f t="shared" si="120"/>
        <v>3.6042920966884766E-2</v>
      </c>
      <c r="U184" s="3">
        <f t="shared" si="120"/>
        <v>1.2292270603967131E-2</v>
      </c>
      <c r="V184" s="3">
        <f t="shared" si="120"/>
        <v>2.6166970214030621E-7</v>
      </c>
      <c r="W184" s="3">
        <f t="shared" si="120"/>
        <v>4.9999621571502737E-54</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3.7761220679273885E-2</v>
      </c>
      <c r="C185" s="3">
        <f t="shared" si="121"/>
        <v>3.7761220679273885E-2</v>
      </c>
      <c r="D185" s="3">
        <f t="shared" si="121"/>
        <v>3.7761220679273885E-2</v>
      </c>
      <c r="E185" s="3">
        <f t="shared" si="121"/>
        <v>3.7761220679273885E-2</v>
      </c>
      <c r="F185" s="3">
        <f t="shared" si="121"/>
        <v>3.7761220679273878E-2</v>
      </c>
      <c r="G185" s="3">
        <f t="shared" si="121"/>
        <v>3.7761220679273844E-2</v>
      </c>
      <c r="H185" s="3">
        <f t="shared" si="121"/>
        <v>3.7761220679273476E-2</v>
      </c>
      <c r="I185" s="3">
        <f t="shared" si="121"/>
        <v>3.7761220679269812E-2</v>
      </c>
      <c r="J185" s="3">
        <f t="shared" si="121"/>
        <v>3.7761220679233168E-2</v>
      </c>
      <c r="K185" s="3">
        <f t="shared" si="121"/>
        <v>3.7761220678866732E-2</v>
      </c>
      <c r="L185" s="3">
        <f t="shared" si="121"/>
        <v>3.7761220675202357E-2</v>
      </c>
      <c r="M185" s="3">
        <f t="shared" si="121"/>
        <v>3.7761220638558614E-2</v>
      </c>
      <c r="N185" s="3">
        <f t="shared" si="121"/>
        <v>3.7761220272121157E-2</v>
      </c>
      <c r="O185" s="3">
        <f t="shared" si="121"/>
        <v>3.7761216607746804E-2</v>
      </c>
      <c r="P185" s="3">
        <f t="shared" si="121"/>
        <v>3.776117996402286E-2</v>
      </c>
      <c r="Q185" s="3">
        <f t="shared" si="121"/>
        <v>3.776081352873914E-2</v>
      </c>
      <c r="R185" s="3">
        <f t="shared" si="121"/>
        <v>3.7757149371470476E-2</v>
      </c>
      <c r="S185" s="3">
        <f t="shared" si="121"/>
        <v>3.7720527348620782E-2</v>
      </c>
      <c r="T185" s="3">
        <f t="shared" si="121"/>
        <v>3.7356255102616476E-2</v>
      </c>
      <c r="U185" s="3">
        <f t="shared" si="121"/>
        <v>3.3901514511483023E-2</v>
      </c>
      <c r="V185" s="3">
        <f t="shared" si="121"/>
        <v>1.284626207397175E-2</v>
      </c>
      <c r="W185" s="3">
        <f t="shared" si="121"/>
        <v>7.8406768047943188E-7</v>
      </c>
      <c r="X185" s="3">
        <f t="shared" si="121"/>
        <v>5.6249841097573666E-49</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3.2047185254004913E-2</v>
      </c>
      <c r="C186" s="3">
        <f t="shared" si="122"/>
        <v>3.2047185254004913E-2</v>
      </c>
      <c r="D186" s="3">
        <f t="shared" si="122"/>
        <v>3.2047185254004913E-2</v>
      </c>
      <c r="E186" s="3">
        <f t="shared" si="122"/>
        <v>3.2047185254004913E-2</v>
      </c>
      <c r="F186" s="3">
        <f t="shared" si="122"/>
        <v>3.2047185254004913E-2</v>
      </c>
      <c r="G186" s="3">
        <f t="shared" si="122"/>
        <v>3.2047185254004906E-2</v>
      </c>
      <c r="H186" s="3">
        <f t="shared" si="122"/>
        <v>3.2047185254004878E-2</v>
      </c>
      <c r="I186" s="3">
        <f t="shared" si="122"/>
        <v>3.2047185254004601E-2</v>
      </c>
      <c r="J186" s="3">
        <f t="shared" si="122"/>
        <v>3.2047185254001798E-2</v>
      </c>
      <c r="K186" s="3">
        <f t="shared" si="122"/>
        <v>3.2047185253973744E-2</v>
      </c>
      <c r="L186" s="3">
        <f t="shared" si="122"/>
        <v>3.2047185253693204E-2</v>
      </c>
      <c r="M186" s="3">
        <f t="shared" si="122"/>
        <v>3.2047185250887837E-2</v>
      </c>
      <c r="N186" s="3">
        <f t="shared" si="122"/>
        <v>3.2047185222834125E-2</v>
      </c>
      <c r="O186" s="3">
        <f t="shared" si="122"/>
        <v>3.2047184942297018E-2</v>
      </c>
      <c r="P186" s="3">
        <f t="shared" si="122"/>
        <v>3.2047182136926075E-2</v>
      </c>
      <c r="Q186" s="3">
        <f t="shared" si="122"/>
        <v>3.2047154083230188E-2</v>
      </c>
      <c r="R186" s="3">
        <f t="shared" si="122"/>
        <v>3.2046873547621951E-2</v>
      </c>
      <c r="S186" s="3">
        <f t="shared" si="122"/>
        <v>3.204406832660308E-2</v>
      </c>
      <c r="T186" s="3">
        <f t="shared" si="122"/>
        <v>3.201602961838465E-2</v>
      </c>
      <c r="U186" s="3">
        <f t="shared" si="122"/>
        <v>3.1736988370252919E-2</v>
      </c>
      <c r="V186" s="3">
        <f t="shared" si="122"/>
        <v>2.9076900421884214E-2</v>
      </c>
      <c r="W186" s="3">
        <f t="shared" si="122"/>
        <v>1.2116357350929967E-2</v>
      </c>
      <c r="X186" s="3">
        <f t="shared" si="122"/>
        <v>1.9125452457110977E-6</v>
      </c>
      <c r="Y186" s="3">
        <f t="shared" si="122"/>
        <v>1.8365728675725685E-44</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5.5060207151423582E-2</v>
      </c>
      <c r="C187" s="3">
        <f t="shared" si="123"/>
        <v>5.5060207151423582E-2</v>
      </c>
      <c r="D187" s="3">
        <f t="shared" si="123"/>
        <v>5.5060207151423582E-2</v>
      </c>
      <c r="E187" s="3">
        <f t="shared" si="123"/>
        <v>5.5060207151423582E-2</v>
      </c>
      <c r="F187" s="3">
        <f t="shared" si="123"/>
        <v>5.5060207151423582E-2</v>
      </c>
      <c r="G187" s="3">
        <f t="shared" si="123"/>
        <v>5.5060207151423582E-2</v>
      </c>
      <c r="H187" s="3">
        <f t="shared" si="123"/>
        <v>5.5060207151423575E-2</v>
      </c>
      <c r="I187" s="3">
        <f t="shared" si="123"/>
        <v>5.5060207151423533E-2</v>
      </c>
      <c r="J187" s="3">
        <f t="shared" si="123"/>
        <v>5.5060207151423096E-2</v>
      </c>
      <c r="K187" s="3">
        <f t="shared" si="123"/>
        <v>5.5060207151418752E-2</v>
      </c>
      <c r="L187" s="3">
        <f t="shared" si="123"/>
        <v>5.5060207151375273E-2</v>
      </c>
      <c r="M187" s="3">
        <f t="shared" si="123"/>
        <v>5.5060207150940475E-2</v>
      </c>
      <c r="N187" s="3">
        <f t="shared" si="123"/>
        <v>5.5060207146592523E-2</v>
      </c>
      <c r="O187" s="3">
        <f t="shared" si="123"/>
        <v>5.506020710311299E-2</v>
      </c>
      <c r="P187" s="3">
        <f t="shared" si="123"/>
        <v>5.5060206668317679E-2</v>
      </c>
      <c r="Q187" s="3">
        <f t="shared" si="123"/>
        <v>5.5060202320364716E-2</v>
      </c>
      <c r="R187" s="3">
        <f t="shared" si="123"/>
        <v>5.5060158840853961E-2</v>
      </c>
      <c r="S187" s="3">
        <f t="shared" si="123"/>
        <v>5.5059724047634817E-2</v>
      </c>
      <c r="T187" s="3">
        <f t="shared" si="123"/>
        <v>5.5055376304277558E-2</v>
      </c>
      <c r="U187" s="3">
        <f t="shared" si="123"/>
        <v>5.5011917748600613E-2</v>
      </c>
      <c r="V187" s="3">
        <f t="shared" si="123"/>
        <v>5.4579214477312343E-2</v>
      </c>
      <c r="W187" s="3">
        <f t="shared" si="123"/>
        <v>5.0435024914067095E-2</v>
      </c>
      <c r="X187" s="3">
        <f t="shared" si="123"/>
        <v>2.2897171026545208E-2</v>
      </c>
      <c r="Y187" s="3">
        <f t="shared" si="123"/>
        <v>8.5168247610580428E-6</v>
      </c>
      <c r="Z187" s="3">
        <f t="shared" si="123"/>
        <v>4.3175417482757543E-40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5.5367146096233756E-2</v>
      </c>
      <c r="C188" s="3">
        <f t="shared" si="124"/>
        <v>5.5367146096233756E-2</v>
      </c>
      <c r="D188" s="3">
        <f t="shared" si="124"/>
        <v>5.5367146096233756E-2</v>
      </c>
      <c r="E188" s="3">
        <f t="shared" si="124"/>
        <v>5.5367146096233756E-2</v>
      </c>
      <c r="F188" s="3">
        <f t="shared" si="124"/>
        <v>5.5367146096233756E-2</v>
      </c>
      <c r="G188" s="3">
        <f t="shared" si="124"/>
        <v>5.5367146096233756E-2</v>
      </c>
      <c r="H188" s="3">
        <f t="shared" si="124"/>
        <v>5.5367146096233756E-2</v>
      </c>
      <c r="I188" s="3">
        <f t="shared" si="124"/>
        <v>5.5367146096233749E-2</v>
      </c>
      <c r="J188" s="3">
        <f t="shared" si="124"/>
        <v>5.5367146096233714E-2</v>
      </c>
      <c r="K188" s="3">
        <f t="shared" si="124"/>
        <v>5.5367146096233319E-2</v>
      </c>
      <c r="L188" s="3">
        <f t="shared" si="124"/>
        <v>5.5367146096229371E-2</v>
      </c>
      <c r="M188" s="3">
        <f t="shared" si="124"/>
        <v>5.5367146096189937E-2</v>
      </c>
      <c r="N188" s="3">
        <f t="shared" si="124"/>
        <v>5.5367146095795523E-2</v>
      </c>
      <c r="O188" s="3">
        <f t="shared" si="124"/>
        <v>5.5367146091851442E-2</v>
      </c>
      <c r="P188" s="3">
        <f t="shared" si="124"/>
        <v>5.5367146052410644E-2</v>
      </c>
      <c r="Q188" s="3">
        <f t="shared" si="124"/>
        <v>5.5367145658002617E-2</v>
      </c>
      <c r="R188" s="3">
        <f t="shared" si="124"/>
        <v>5.5367141713922506E-2</v>
      </c>
      <c r="S188" s="3">
        <f t="shared" si="124"/>
        <v>5.5367102273136855E-2</v>
      </c>
      <c r="T188" s="3">
        <f t="shared" si="124"/>
        <v>5.5366707866825585E-2</v>
      </c>
      <c r="U188" s="3">
        <f t="shared" si="124"/>
        <v>5.5362763958234563E-2</v>
      </c>
      <c r="V188" s="3">
        <f t="shared" si="124"/>
        <v>5.532334032041706E-2</v>
      </c>
      <c r="W188" s="3">
        <f t="shared" si="124"/>
        <v>5.4930644687606257E-2</v>
      </c>
      <c r="X188" s="3">
        <f t="shared" si="124"/>
        <v>5.1153778179702077E-2</v>
      </c>
      <c r="Y188" s="3">
        <f t="shared" si="124"/>
        <v>2.5090418996313403E-2</v>
      </c>
      <c r="Z188" s="3">
        <f t="shared" si="124"/>
        <v>2.0221338230780526E-5</v>
      </c>
      <c r="AA188" s="3">
        <f t="shared" si="124"/>
        <v>2.3379202320150965E-36</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4.7007838258753223E-2</v>
      </c>
      <c r="C189" s="3">
        <f t="shared" si="125"/>
        <v>4.7007838258753223E-2</v>
      </c>
      <c r="D189" s="3">
        <f t="shared" si="125"/>
        <v>4.7007838258753223E-2</v>
      </c>
      <c r="E189" s="3">
        <f t="shared" si="125"/>
        <v>4.7007838258753223E-2</v>
      </c>
      <c r="F189" s="3">
        <f t="shared" si="125"/>
        <v>4.7007838258753223E-2</v>
      </c>
      <c r="G189" s="3">
        <f t="shared" si="125"/>
        <v>4.7007838258753223E-2</v>
      </c>
      <c r="H189" s="3">
        <f t="shared" si="125"/>
        <v>4.7007838258753223E-2</v>
      </c>
      <c r="I189" s="3">
        <f t="shared" si="125"/>
        <v>4.7007838258753223E-2</v>
      </c>
      <c r="J189" s="3">
        <f t="shared" si="125"/>
        <v>4.7007838258753216E-2</v>
      </c>
      <c r="K189" s="3">
        <f t="shared" si="125"/>
        <v>4.7007838258753189E-2</v>
      </c>
      <c r="L189" s="3">
        <f t="shared" si="125"/>
        <v>4.700783825875289E-2</v>
      </c>
      <c r="M189" s="3">
        <f t="shared" si="125"/>
        <v>4.7007838258749865E-2</v>
      </c>
      <c r="N189" s="3">
        <f t="shared" si="125"/>
        <v>4.700783825871966E-2</v>
      </c>
      <c r="O189" s="3">
        <f t="shared" si="125"/>
        <v>4.7007838258417589E-2</v>
      </c>
      <c r="P189" s="3">
        <f t="shared" si="125"/>
        <v>4.7007838255396867E-2</v>
      </c>
      <c r="Q189" s="3">
        <f t="shared" si="125"/>
        <v>4.7007838225189662E-2</v>
      </c>
      <c r="R189" s="3">
        <f t="shared" si="125"/>
        <v>4.7007837923117662E-2</v>
      </c>
      <c r="S189" s="3">
        <f t="shared" si="125"/>
        <v>4.7007834902397724E-2</v>
      </c>
      <c r="T189" s="3">
        <f t="shared" si="125"/>
        <v>4.7007804695209043E-2</v>
      </c>
      <c r="U189" s="3">
        <f t="shared" si="125"/>
        <v>4.7007502624389817E-2</v>
      </c>
      <c r="V189" s="3">
        <f t="shared" si="125"/>
        <v>4.7004482022955874E-2</v>
      </c>
      <c r="W189" s="3">
        <f t="shared" si="125"/>
        <v>4.6974286681914647E-2</v>
      </c>
      <c r="X189" s="3">
        <f t="shared" si="125"/>
        <v>4.6673398067971675E-2</v>
      </c>
      <c r="Y189" s="3">
        <f t="shared" si="125"/>
        <v>4.3768502825095833E-2</v>
      </c>
      <c r="Z189" s="3">
        <f t="shared" si="125"/>
        <v>2.3018890794965524E-2</v>
      </c>
      <c r="AA189" s="3">
        <f t="shared" si="125"/>
        <v>3.7265882240702521E-5</v>
      </c>
      <c r="AB189" s="3">
        <f t="shared" si="125"/>
        <v>4.6087330599351958E-33</v>
      </c>
      <c r="AC189" s="3">
        <f t="shared" si="125"/>
        <v>0</v>
      </c>
      <c r="AD189" s="3">
        <f t="shared" si="125"/>
        <v>0</v>
      </c>
      <c r="AE189" s="3">
        <f t="shared" si="125"/>
        <v>0</v>
      </c>
      <c r="AF189" s="3">
        <f t="shared" si="125"/>
        <v>0</v>
      </c>
      <c r="AG189" s="3"/>
      <c r="AH189" s="3"/>
    </row>
    <row r="190" spans="2:34" x14ac:dyDescent="0.25">
      <c r="B190" s="3">
        <f t="shared" ref="B190:AF190" si="126">$C37*EXP(-B$168/$A37/EXP(-$C$126))</f>
        <v>4.3271313852142758E-2</v>
      </c>
      <c r="C190" s="3">
        <f t="shared" si="126"/>
        <v>4.3271313852142758E-2</v>
      </c>
      <c r="D190" s="3">
        <f t="shared" si="126"/>
        <v>4.3271313852142758E-2</v>
      </c>
      <c r="E190" s="3">
        <f t="shared" si="126"/>
        <v>4.3271313852142758E-2</v>
      </c>
      <c r="F190" s="3">
        <f t="shared" si="126"/>
        <v>4.3271313852142758E-2</v>
      </c>
      <c r="G190" s="3">
        <f t="shared" si="126"/>
        <v>4.3271313852142758E-2</v>
      </c>
      <c r="H190" s="3">
        <f t="shared" si="126"/>
        <v>4.3271313852142758E-2</v>
      </c>
      <c r="I190" s="3">
        <f t="shared" si="126"/>
        <v>4.3271313852142758E-2</v>
      </c>
      <c r="J190" s="3">
        <f t="shared" si="126"/>
        <v>4.3271313852142758E-2</v>
      </c>
      <c r="K190" s="3">
        <f t="shared" si="126"/>
        <v>4.3271313852142751E-2</v>
      </c>
      <c r="L190" s="3">
        <f t="shared" si="126"/>
        <v>4.327131385214273E-2</v>
      </c>
      <c r="M190" s="3">
        <f t="shared" si="126"/>
        <v>4.327131385214248E-2</v>
      </c>
      <c r="N190" s="3">
        <f t="shared" si="126"/>
        <v>4.3271313852139968E-2</v>
      </c>
      <c r="O190" s="3">
        <f t="shared" si="126"/>
        <v>4.3271313852114891E-2</v>
      </c>
      <c r="P190" s="3">
        <f t="shared" si="126"/>
        <v>4.3271313851864057E-2</v>
      </c>
      <c r="Q190" s="3">
        <f t="shared" si="126"/>
        <v>4.327131384935571E-2</v>
      </c>
      <c r="R190" s="3">
        <f t="shared" si="126"/>
        <v>4.3271313824272281E-2</v>
      </c>
      <c r="S190" s="3">
        <f t="shared" si="126"/>
        <v>4.3271313573438018E-2</v>
      </c>
      <c r="T190" s="3">
        <f t="shared" si="126"/>
        <v>4.3271311065095401E-2</v>
      </c>
      <c r="U190" s="3">
        <f t="shared" si="126"/>
        <v>4.3271285981677253E-2</v>
      </c>
      <c r="V190" s="3">
        <f t="shared" si="126"/>
        <v>4.3271035148295466E-2</v>
      </c>
      <c r="W190" s="3">
        <f t="shared" si="126"/>
        <v>4.3268526894447393E-2</v>
      </c>
      <c r="X190" s="3">
        <f t="shared" si="126"/>
        <v>4.3243452351231615E-2</v>
      </c>
      <c r="Y190" s="3">
        <f t="shared" si="126"/>
        <v>4.2993504733390045E-2</v>
      </c>
      <c r="Z190" s="3">
        <f t="shared" si="126"/>
        <v>4.0572125036499603E-2</v>
      </c>
      <c r="AA190" s="3">
        <f t="shared" si="126"/>
        <v>2.272358321036768E-2</v>
      </c>
      <c r="AB190" s="3">
        <f t="shared" si="126"/>
        <v>6.9018801295857326E-5</v>
      </c>
      <c r="AC190" s="3">
        <f t="shared" si="126"/>
        <v>4.6118310126554903E-30</v>
      </c>
      <c r="AD190" s="3">
        <f t="shared" si="126"/>
        <v>8.1833875105668015E-282</v>
      </c>
      <c r="AE190" s="3">
        <f t="shared" si="126"/>
        <v>0</v>
      </c>
      <c r="AF190" s="3">
        <f t="shared" si="126"/>
        <v>0</v>
      </c>
      <c r="AG190" s="3"/>
      <c r="AH190" s="3"/>
    </row>
    <row r="191" spans="2:34" x14ac:dyDescent="0.25">
      <c r="B191" s="3">
        <f t="shared" ref="B191:AF191" si="127">$C38*EXP(-B$168/$A38/EXP(-$C$126))</f>
        <v>2.2304524360839302E-2</v>
      </c>
      <c r="C191" s="3">
        <f t="shared" si="127"/>
        <v>2.2304524360839302E-2</v>
      </c>
      <c r="D191" s="3">
        <f t="shared" si="127"/>
        <v>2.2304524360839302E-2</v>
      </c>
      <c r="E191" s="3">
        <f t="shared" si="127"/>
        <v>2.2304524360839302E-2</v>
      </c>
      <c r="F191" s="3">
        <f t="shared" si="127"/>
        <v>2.2304524360839302E-2</v>
      </c>
      <c r="G191" s="3">
        <f t="shared" si="127"/>
        <v>2.2304524360839302E-2</v>
      </c>
      <c r="H191" s="3">
        <f t="shared" si="127"/>
        <v>2.2304524360839302E-2</v>
      </c>
      <c r="I191" s="3">
        <f t="shared" si="127"/>
        <v>2.2304524360839302E-2</v>
      </c>
      <c r="J191" s="3">
        <f t="shared" si="127"/>
        <v>2.2304524360839302E-2</v>
      </c>
      <c r="K191" s="3">
        <f t="shared" si="127"/>
        <v>2.2304524360839302E-2</v>
      </c>
      <c r="L191" s="3">
        <f t="shared" si="127"/>
        <v>2.2304524360839299E-2</v>
      </c>
      <c r="M191" s="3">
        <f t="shared" si="127"/>
        <v>2.2304524360839288E-2</v>
      </c>
      <c r="N191" s="3">
        <f t="shared" si="127"/>
        <v>2.2304524360839174E-2</v>
      </c>
      <c r="O191" s="3">
        <f t="shared" si="127"/>
        <v>2.2304524360838008E-2</v>
      </c>
      <c r="P191" s="3">
        <f t="shared" si="127"/>
        <v>2.2304524360826344E-2</v>
      </c>
      <c r="Q191" s="3">
        <f t="shared" si="127"/>
        <v>2.2304524360709708E-2</v>
      </c>
      <c r="R191" s="3">
        <f t="shared" si="127"/>
        <v>2.2304524359543366E-2</v>
      </c>
      <c r="S191" s="3">
        <f t="shared" si="127"/>
        <v>2.2304524347879936E-2</v>
      </c>
      <c r="T191" s="3">
        <f t="shared" si="127"/>
        <v>2.2304524231245616E-2</v>
      </c>
      <c r="U191" s="3">
        <f t="shared" si="127"/>
        <v>2.2304523064902493E-2</v>
      </c>
      <c r="V191" s="3">
        <f t="shared" si="127"/>
        <v>2.2304511401474606E-2</v>
      </c>
      <c r="W191" s="3">
        <f t="shared" si="127"/>
        <v>2.2304394767531172E-2</v>
      </c>
      <c r="X191" s="3">
        <f t="shared" si="127"/>
        <v>2.230322846164071E-2</v>
      </c>
      <c r="Y191" s="3">
        <f t="shared" si="127"/>
        <v>2.2291568756473524E-2</v>
      </c>
      <c r="Z191" s="3">
        <f t="shared" si="127"/>
        <v>2.2175306430571636E-2</v>
      </c>
      <c r="AA191" s="3">
        <f t="shared" si="127"/>
        <v>2.104551708138758E-2</v>
      </c>
      <c r="AB191" s="3">
        <f t="shared" si="127"/>
        <v>1.2475538733053362E-2</v>
      </c>
      <c r="AC191" s="3">
        <f t="shared" si="127"/>
        <v>6.6843070448501413E-5</v>
      </c>
      <c r="AD191" s="3">
        <f t="shared" si="127"/>
        <v>1.3032484371208381E-27</v>
      </c>
      <c r="AE191" s="3">
        <f t="shared" si="127"/>
        <v>1.0345117550942391E-254</v>
      </c>
      <c r="AF191" s="3">
        <f t="shared" si="127"/>
        <v>0</v>
      </c>
      <c r="AG191" s="3"/>
      <c r="AH191" s="3"/>
    </row>
    <row r="192" spans="2:34" x14ac:dyDescent="0.25">
      <c r="B192" s="3">
        <f t="shared" ref="B192:AF192" si="128">$C39*EXP(-B$168/$A39/EXP(-$C$126))</f>
        <v>3.1643216322297517E-2</v>
      </c>
      <c r="C192" s="3">
        <f t="shared" si="128"/>
        <v>3.1643216322297517E-2</v>
      </c>
      <c r="D192" s="3">
        <f t="shared" si="128"/>
        <v>3.1643216322297517E-2</v>
      </c>
      <c r="E192" s="3">
        <f t="shared" si="128"/>
        <v>3.1643216322297517E-2</v>
      </c>
      <c r="F192" s="3">
        <f t="shared" si="128"/>
        <v>3.1643216322297517E-2</v>
      </c>
      <c r="G192" s="3">
        <f t="shared" si="128"/>
        <v>3.1643216322297517E-2</v>
      </c>
      <c r="H192" s="3">
        <f t="shared" si="128"/>
        <v>3.1643216322297517E-2</v>
      </c>
      <c r="I192" s="3">
        <f t="shared" si="128"/>
        <v>3.1643216322297517E-2</v>
      </c>
      <c r="J192" s="3">
        <f t="shared" si="128"/>
        <v>3.1643216322297517E-2</v>
      </c>
      <c r="K192" s="3">
        <f t="shared" si="128"/>
        <v>3.1643216322297517E-2</v>
      </c>
      <c r="L192" s="3">
        <f t="shared" si="128"/>
        <v>3.1643216322297517E-2</v>
      </c>
      <c r="M192" s="3">
        <f t="shared" si="128"/>
        <v>3.164321632229751E-2</v>
      </c>
      <c r="N192" s="3">
        <f t="shared" si="128"/>
        <v>3.1643216322297468E-2</v>
      </c>
      <c r="O192" s="3">
        <f t="shared" si="128"/>
        <v>3.164321632229701E-2</v>
      </c>
      <c r="P192" s="3">
        <f t="shared" si="128"/>
        <v>3.1643216322292431E-2</v>
      </c>
      <c r="Q192" s="3">
        <f t="shared" si="128"/>
        <v>3.1643216322246669E-2</v>
      </c>
      <c r="R192" s="3">
        <f t="shared" si="128"/>
        <v>3.1643216321789021E-2</v>
      </c>
      <c r="S192" s="3">
        <f t="shared" si="128"/>
        <v>3.1643216317212598E-2</v>
      </c>
      <c r="T192" s="3">
        <f t="shared" si="128"/>
        <v>3.1643216271448289E-2</v>
      </c>
      <c r="U192" s="3">
        <f t="shared" si="128"/>
        <v>3.1643215813805255E-2</v>
      </c>
      <c r="V192" s="3">
        <f t="shared" si="128"/>
        <v>3.1643211237375249E-2</v>
      </c>
      <c r="W192" s="3">
        <f t="shared" si="128"/>
        <v>3.1643165473111586E-2</v>
      </c>
      <c r="X192" s="3">
        <f t="shared" si="128"/>
        <v>3.164270783411522E-2</v>
      </c>
      <c r="Y192" s="3">
        <f t="shared" si="128"/>
        <v>3.1638131808158776E-2</v>
      </c>
      <c r="Z192" s="3">
        <f t="shared" si="128"/>
        <v>3.1592407929843178E-2</v>
      </c>
      <c r="AA192" s="3">
        <f t="shared" si="128"/>
        <v>3.1138787878469919E-2</v>
      </c>
      <c r="AB192" s="3">
        <f t="shared" si="128"/>
        <v>2.6945822734279822E-2</v>
      </c>
      <c r="AC192" s="3">
        <f t="shared" si="128"/>
        <v>6.3443758332933772E-3</v>
      </c>
      <c r="AD192" s="3">
        <f t="shared" si="128"/>
        <v>3.3217231995599637E-9</v>
      </c>
      <c r="AE192" s="3">
        <f t="shared" si="128"/>
        <v>5.1417246445449181E-72</v>
      </c>
      <c r="AF192" s="3">
        <f t="shared" si="128"/>
        <v>0</v>
      </c>
      <c r="AG192" s="3"/>
      <c r="AH192" s="3"/>
    </row>
    <row r="193" spans="1:34" x14ac:dyDescent="0.25">
      <c r="B193" s="3">
        <f t="shared" ref="B193:AF193" si="129">$C40*EXP(-B$168/$A40/EXP(-$C$126))</f>
        <v>3.5141037946940686E-2</v>
      </c>
      <c r="C193" s="3">
        <f t="shared" si="129"/>
        <v>3.5141037946940686E-2</v>
      </c>
      <c r="D193" s="3">
        <f t="shared" si="129"/>
        <v>3.5141037946940686E-2</v>
      </c>
      <c r="E193" s="3">
        <f t="shared" si="129"/>
        <v>3.5141037946940686E-2</v>
      </c>
      <c r="F193" s="3">
        <f t="shared" si="129"/>
        <v>3.5141037946940686E-2</v>
      </c>
      <c r="G193" s="3">
        <f t="shared" si="129"/>
        <v>3.5141037946940686E-2</v>
      </c>
      <c r="H193" s="3">
        <f t="shared" si="129"/>
        <v>3.5141037946940686E-2</v>
      </c>
      <c r="I193" s="3">
        <f t="shared" si="129"/>
        <v>3.5141037946940686E-2</v>
      </c>
      <c r="J193" s="3">
        <f t="shared" si="129"/>
        <v>3.5141037946940686E-2</v>
      </c>
      <c r="K193" s="3">
        <f t="shared" si="129"/>
        <v>3.5141037946940686E-2</v>
      </c>
      <c r="L193" s="3">
        <f t="shared" si="129"/>
        <v>3.5141037946940686E-2</v>
      </c>
      <c r="M193" s="3">
        <f t="shared" si="129"/>
        <v>3.5141037946940686E-2</v>
      </c>
      <c r="N193" s="3">
        <f t="shared" si="129"/>
        <v>3.5141037946940679E-2</v>
      </c>
      <c r="O193" s="3">
        <f t="shared" si="129"/>
        <v>3.514103794694063E-2</v>
      </c>
      <c r="P193" s="3">
        <f t="shared" si="129"/>
        <v>3.5141037946940117E-2</v>
      </c>
      <c r="Q193" s="3">
        <f t="shared" si="129"/>
        <v>3.5141037946935037E-2</v>
      </c>
      <c r="R193" s="3">
        <f t="shared" si="129"/>
        <v>3.5141037946884217E-2</v>
      </c>
      <c r="S193" s="3">
        <f t="shared" si="129"/>
        <v>3.5141037946375984E-2</v>
      </c>
      <c r="T193" s="3">
        <f t="shared" si="129"/>
        <v>3.5141037941293682E-2</v>
      </c>
      <c r="U193" s="3">
        <f t="shared" si="129"/>
        <v>3.5141037890470621E-2</v>
      </c>
      <c r="V193" s="3">
        <f t="shared" si="129"/>
        <v>3.5141037382239997E-2</v>
      </c>
      <c r="W193" s="3">
        <f t="shared" si="129"/>
        <v>3.5141032299934247E-2</v>
      </c>
      <c r="X193" s="3">
        <f t="shared" si="129"/>
        <v>3.5140981476917084E-2</v>
      </c>
      <c r="Y193" s="3">
        <f t="shared" si="129"/>
        <v>3.5140473250788194E-2</v>
      </c>
      <c r="Z193" s="3">
        <f t="shared" si="129"/>
        <v>3.5135391393743581E-2</v>
      </c>
      <c r="AA193" s="3">
        <f t="shared" si="129"/>
        <v>3.5084613226107141E-2</v>
      </c>
      <c r="AB193" s="3">
        <f t="shared" si="129"/>
        <v>3.458085029390584E-2</v>
      </c>
      <c r="AC193" s="3">
        <f t="shared" si="129"/>
        <v>2.9924397367584423E-2</v>
      </c>
      <c r="AD193" s="3">
        <f t="shared" si="129"/>
        <v>7.0456792266819866E-3</v>
      </c>
      <c r="AE193" s="3">
        <f t="shared" si="129"/>
        <v>3.6889044342409815E-9</v>
      </c>
      <c r="AF193" s="3">
        <f t="shared" si="129"/>
        <v>5.7100877169477958E-72</v>
      </c>
      <c r="AG193" s="3"/>
      <c r="AH193" s="3"/>
    </row>
    <row r="194" spans="1:34" x14ac:dyDescent="0.25">
      <c r="B194" s="3">
        <f t="shared" ref="B194:AF194" si="130">$C41*EXP(-B$168/$A41/EXP(-$C$126))</f>
        <v>3.5593088100758001E-2</v>
      </c>
      <c r="C194" s="3">
        <f t="shared" si="130"/>
        <v>3.5593088100758001E-2</v>
      </c>
      <c r="D194" s="3">
        <f t="shared" si="130"/>
        <v>3.5593088100758001E-2</v>
      </c>
      <c r="E194" s="3">
        <f t="shared" si="130"/>
        <v>3.5593088100758001E-2</v>
      </c>
      <c r="F194" s="3">
        <f t="shared" si="130"/>
        <v>3.5593088100758001E-2</v>
      </c>
      <c r="G194" s="3">
        <f t="shared" si="130"/>
        <v>3.5593088100758001E-2</v>
      </c>
      <c r="H194" s="3">
        <f t="shared" si="130"/>
        <v>3.5593088100758001E-2</v>
      </c>
      <c r="I194" s="3">
        <f t="shared" si="130"/>
        <v>3.5593088100758001E-2</v>
      </c>
      <c r="J194" s="3">
        <f t="shared" si="130"/>
        <v>3.5593088100758001E-2</v>
      </c>
      <c r="K194" s="3">
        <f t="shared" si="130"/>
        <v>3.5593088100758001E-2</v>
      </c>
      <c r="L194" s="3">
        <f t="shared" si="130"/>
        <v>3.5593088100758001E-2</v>
      </c>
      <c r="M194" s="3">
        <f t="shared" si="130"/>
        <v>3.5593088100758001E-2</v>
      </c>
      <c r="N194" s="3">
        <f t="shared" si="130"/>
        <v>3.5593088100758001E-2</v>
      </c>
      <c r="O194" s="3">
        <f t="shared" si="130"/>
        <v>3.5593088100757994E-2</v>
      </c>
      <c r="P194" s="3">
        <f t="shared" si="130"/>
        <v>3.5593088100757946E-2</v>
      </c>
      <c r="Q194" s="3">
        <f t="shared" si="130"/>
        <v>3.5593088100757425E-2</v>
      </c>
      <c r="R194" s="3">
        <f t="shared" si="130"/>
        <v>3.5593088100752283E-2</v>
      </c>
      <c r="S194" s="3">
        <f t="shared" si="130"/>
        <v>3.5593088100700804E-2</v>
      </c>
      <c r="T194" s="3">
        <f t="shared" si="130"/>
        <v>3.5593088100186035E-2</v>
      </c>
      <c r="U194" s="3">
        <f t="shared" si="130"/>
        <v>3.5593088095038354E-2</v>
      </c>
      <c r="V194" s="3">
        <f t="shared" si="130"/>
        <v>3.559308804356151E-2</v>
      </c>
      <c r="W194" s="3">
        <f t="shared" si="130"/>
        <v>3.5593087528793074E-2</v>
      </c>
      <c r="X194" s="3">
        <f t="shared" si="130"/>
        <v>3.5593082381109135E-2</v>
      </c>
      <c r="Y194" s="3">
        <f t="shared" si="130"/>
        <v>3.55930309043107E-2</v>
      </c>
      <c r="Z194" s="3">
        <f t="shared" si="130"/>
        <v>3.5592516140421027E-2</v>
      </c>
      <c r="AA194" s="3">
        <f t="shared" si="130"/>
        <v>3.5587368910968739E-2</v>
      </c>
      <c r="AB194" s="3">
        <f t="shared" si="130"/>
        <v>3.5535937538992542E-2</v>
      </c>
      <c r="AC194" s="3">
        <f t="shared" si="130"/>
        <v>3.5025694260043004E-2</v>
      </c>
      <c r="AD194" s="3">
        <f t="shared" si="130"/>
        <v>3.0309341274287801E-2</v>
      </c>
      <c r="AE194" s="3">
        <f t="shared" si="130"/>
        <v>7.1363140105201329E-3</v>
      </c>
      <c r="AF194" s="3">
        <f t="shared" si="130"/>
        <v>3.7363580643652217E-9</v>
      </c>
      <c r="AG194" s="3"/>
      <c r="AH194" s="3"/>
    </row>
    <row r="195" spans="1:34" x14ac:dyDescent="0.25">
      <c r="B195" s="3">
        <f t="shared" ref="B195:AF195" si="131">$C42*EXP(-B$168/$A42/EXP(-$C$126))</f>
        <v>3.9001792876272805E-2</v>
      </c>
      <c r="C195" s="3">
        <f t="shared" si="131"/>
        <v>3.9001792876272805E-2</v>
      </c>
      <c r="D195" s="3">
        <f t="shared" si="131"/>
        <v>3.9001792876272805E-2</v>
      </c>
      <c r="E195" s="3">
        <f t="shared" si="131"/>
        <v>3.9001792876272805E-2</v>
      </c>
      <c r="F195" s="3">
        <f t="shared" si="131"/>
        <v>3.9001792876272805E-2</v>
      </c>
      <c r="G195" s="3">
        <f t="shared" si="131"/>
        <v>3.9001792876272805E-2</v>
      </c>
      <c r="H195" s="3">
        <f t="shared" si="131"/>
        <v>3.9001792876272805E-2</v>
      </c>
      <c r="I195" s="3">
        <f t="shared" si="131"/>
        <v>3.9001792876272805E-2</v>
      </c>
      <c r="J195" s="3">
        <f t="shared" si="131"/>
        <v>3.9001792876272805E-2</v>
      </c>
      <c r="K195" s="3">
        <f t="shared" si="131"/>
        <v>3.9001792876272805E-2</v>
      </c>
      <c r="L195" s="3">
        <f t="shared" si="131"/>
        <v>3.9001792876272805E-2</v>
      </c>
      <c r="M195" s="3">
        <f t="shared" si="131"/>
        <v>3.9001792876272805E-2</v>
      </c>
      <c r="N195" s="3">
        <f t="shared" si="131"/>
        <v>3.9001792876272805E-2</v>
      </c>
      <c r="O195" s="3">
        <f t="shared" si="131"/>
        <v>3.9001792876272805E-2</v>
      </c>
      <c r="P195" s="3">
        <f t="shared" si="131"/>
        <v>3.9001792876272798E-2</v>
      </c>
      <c r="Q195" s="3">
        <f t="shared" si="131"/>
        <v>3.9001792876272742E-2</v>
      </c>
      <c r="R195" s="3">
        <f t="shared" si="131"/>
        <v>3.900179287627218E-2</v>
      </c>
      <c r="S195" s="3">
        <f t="shared" si="131"/>
        <v>3.9001792876266539E-2</v>
      </c>
      <c r="T195" s="3">
        <f t="shared" si="131"/>
        <v>3.9001792876210133E-2</v>
      </c>
      <c r="U195" s="3">
        <f t="shared" si="131"/>
        <v>3.9001792875646063E-2</v>
      </c>
      <c r="V195" s="3">
        <f t="shared" si="131"/>
        <v>3.9001792870005395E-2</v>
      </c>
      <c r="W195" s="3">
        <f t="shared" si="131"/>
        <v>3.9001792813598675E-2</v>
      </c>
      <c r="X195" s="3">
        <f t="shared" si="131"/>
        <v>3.9001792249531521E-2</v>
      </c>
      <c r="Y195" s="3">
        <f t="shared" si="131"/>
        <v>3.9001786608860445E-2</v>
      </c>
      <c r="Z195" s="3">
        <f t="shared" si="131"/>
        <v>3.9001730202194496E-2</v>
      </c>
      <c r="AA195" s="3">
        <f t="shared" si="131"/>
        <v>3.9001166140021852E-2</v>
      </c>
      <c r="AB195" s="3">
        <f t="shared" si="131"/>
        <v>3.8995525966951834E-2</v>
      </c>
      <c r="AC195" s="3">
        <f t="shared" si="131"/>
        <v>3.8939169077898544E-2</v>
      </c>
      <c r="AD195" s="3">
        <f t="shared" si="131"/>
        <v>3.8380060449117431E-2</v>
      </c>
      <c r="AE195" s="3">
        <f t="shared" si="131"/>
        <v>3.3212028336784424E-2</v>
      </c>
      <c r="AF195" s="3">
        <f t="shared" si="131"/>
        <v>7.8197497264201297E-3</v>
      </c>
      <c r="AG195" s="3"/>
      <c r="AH195" s="3"/>
    </row>
    <row r="196" spans="1:34" x14ac:dyDescent="0.25">
      <c r="B196" s="3">
        <f t="shared" ref="B196:AF196" si="132">$C43*EXP(-B$168/$A43/EXP(-$C$126))</f>
        <v>4.5862342503385417E-2</v>
      </c>
      <c r="C196" s="3">
        <f t="shared" si="132"/>
        <v>4.5862342503385417E-2</v>
      </c>
      <c r="D196" s="3">
        <f t="shared" si="132"/>
        <v>4.5862342503385417E-2</v>
      </c>
      <c r="E196" s="3">
        <f t="shared" si="132"/>
        <v>4.5862342503385417E-2</v>
      </c>
      <c r="F196" s="3">
        <f t="shared" si="132"/>
        <v>4.5862342503385417E-2</v>
      </c>
      <c r="G196" s="3">
        <f t="shared" si="132"/>
        <v>4.5862342503385417E-2</v>
      </c>
      <c r="H196" s="3">
        <f t="shared" si="132"/>
        <v>4.5862342503385417E-2</v>
      </c>
      <c r="I196" s="3">
        <f t="shared" si="132"/>
        <v>4.5862342503385417E-2</v>
      </c>
      <c r="J196" s="3">
        <f t="shared" si="132"/>
        <v>4.5862342503385417E-2</v>
      </c>
      <c r="K196" s="3">
        <f t="shared" si="132"/>
        <v>4.5862342503385417E-2</v>
      </c>
      <c r="L196" s="3">
        <f t="shared" si="132"/>
        <v>4.5862342503385417E-2</v>
      </c>
      <c r="M196" s="3">
        <f t="shared" si="132"/>
        <v>4.5862342503385417E-2</v>
      </c>
      <c r="N196" s="3">
        <f t="shared" si="132"/>
        <v>4.5862342503385417E-2</v>
      </c>
      <c r="O196" s="3">
        <f t="shared" si="132"/>
        <v>4.5862342503385417E-2</v>
      </c>
      <c r="P196" s="3">
        <f t="shared" si="132"/>
        <v>4.5862342503385417E-2</v>
      </c>
      <c r="Q196" s="3">
        <f t="shared" si="132"/>
        <v>4.586234250338541E-2</v>
      </c>
      <c r="R196" s="3">
        <f t="shared" si="132"/>
        <v>4.5862342503385348E-2</v>
      </c>
      <c r="S196" s="3">
        <f t="shared" si="132"/>
        <v>4.5862342503384682E-2</v>
      </c>
      <c r="T196" s="3">
        <f t="shared" si="132"/>
        <v>4.5862342503378048E-2</v>
      </c>
      <c r="U196" s="3">
        <f t="shared" si="132"/>
        <v>4.5862342503311719E-2</v>
      </c>
      <c r="V196" s="3">
        <f t="shared" si="132"/>
        <v>4.586234250264843E-2</v>
      </c>
      <c r="W196" s="3">
        <f t="shared" si="132"/>
        <v>4.5862342496015548E-2</v>
      </c>
      <c r="X196" s="3">
        <f t="shared" si="132"/>
        <v>4.5862342429686696E-2</v>
      </c>
      <c r="Y196" s="3">
        <f t="shared" si="132"/>
        <v>4.5862341766398182E-2</v>
      </c>
      <c r="Z196" s="3">
        <f t="shared" si="132"/>
        <v>4.5862335133513649E-2</v>
      </c>
      <c r="AA196" s="3">
        <f t="shared" si="132"/>
        <v>4.5862268804720982E-2</v>
      </c>
      <c r="AB196" s="3">
        <f t="shared" si="132"/>
        <v>4.5861605522070435E-2</v>
      </c>
      <c r="AC196" s="3">
        <f t="shared" si="132"/>
        <v>4.585497322314161E-2</v>
      </c>
      <c r="AD196" s="3">
        <f t="shared" si="132"/>
        <v>4.5788702963300315E-2</v>
      </c>
      <c r="AE196" s="3">
        <f t="shared" si="132"/>
        <v>4.5131245202035257E-2</v>
      </c>
      <c r="AF196" s="3">
        <f t="shared" si="132"/>
        <v>3.9054138450655543E-2</v>
      </c>
      <c r="AG196" s="3"/>
      <c r="AH196" s="3"/>
    </row>
    <row r="197" spans="1:34" x14ac:dyDescent="0.25">
      <c r="B197" s="3">
        <f t="shared" ref="B197:AF197" si="133">$C44*EXP(-B$168/$A44/EXP(-$C$126))</f>
        <v>5.0364270464190349E-2</v>
      </c>
      <c r="C197" s="3">
        <f t="shared" si="133"/>
        <v>5.0364270464190349E-2</v>
      </c>
      <c r="D197" s="3">
        <f t="shared" si="133"/>
        <v>5.0364270464190349E-2</v>
      </c>
      <c r="E197" s="3">
        <f t="shared" si="133"/>
        <v>5.0364270464190349E-2</v>
      </c>
      <c r="F197" s="3">
        <f t="shared" si="133"/>
        <v>5.0364270464190349E-2</v>
      </c>
      <c r="G197" s="3">
        <f t="shared" si="133"/>
        <v>5.0364270464190349E-2</v>
      </c>
      <c r="H197" s="3">
        <f t="shared" si="133"/>
        <v>5.0364270464190349E-2</v>
      </c>
      <c r="I197" s="3">
        <f t="shared" si="133"/>
        <v>5.0364270464190349E-2</v>
      </c>
      <c r="J197" s="3">
        <f t="shared" si="133"/>
        <v>5.0364270464190349E-2</v>
      </c>
      <c r="K197" s="3">
        <f t="shared" si="133"/>
        <v>5.0364270464190349E-2</v>
      </c>
      <c r="L197" s="3">
        <f t="shared" si="133"/>
        <v>5.0364270464190349E-2</v>
      </c>
      <c r="M197" s="3">
        <f t="shared" si="133"/>
        <v>5.0364270464190349E-2</v>
      </c>
      <c r="N197" s="3">
        <f t="shared" si="133"/>
        <v>5.0364270464190349E-2</v>
      </c>
      <c r="O197" s="3">
        <f t="shared" si="133"/>
        <v>5.0364270464190349E-2</v>
      </c>
      <c r="P197" s="3">
        <f t="shared" si="133"/>
        <v>5.0364270464190349E-2</v>
      </c>
      <c r="Q197" s="3">
        <f t="shared" si="133"/>
        <v>5.0364270464190349E-2</v>
      </c>
      <c r="R197" s="3">
        <f t="shared" si="133"/>
        <v>5.0364270464190342E-2</v>
      </c>
      <c r="S197" s="3">
        <f t="shared" si="133"/>
        <v>5.0364270464190272E-2</v>
      </c>
      <c r="T197" s="3">
        <f t="shared" si="133"/>
        <v>5.0364270464189537E-2</v>
      </c>
      <c r="U197" s="3">
        <f t="shared" si="133"/>
        <v>5.0364270464182258E-2</v>
      </c>
      <c r="V197" s="3">
        <f t="shared" si="133"/>
        <v>5.0364270464109413E-2</v>
      </c>
      <c r="W197" s="3">
        <f t="shared" si="133"/>
        <v>5.0364270463381017E-2</v>
      </c>
      <c r="X197" s="3">
        <f t="shared" si="133"/>
        <v>5.0364270456097038E-2</v>
      </c>
      <c r="Y197" s="3">
        <f t="shared" si="133"/>
        <v>5.0364270383257234E-2</v>
      </c>
      <c r="Z197" s="3">
        <f t="shared" si="133"/>
        <v>5.0364269654859156E-2</v>
      </c>
      <c r="AA197" s="3">
        <f t="shared" si="133"/>
        <v>5.0364262370879043E-2</v>
      </c>
      <c r="AB197" s="3">
        <f t="shared" si="133"/>
        <v>5.0364189531135785E-2</v>
      </c>
      <c r="AC197" s="3">
        <f t="shared" si="133"/>
        <v>5.0363461139497176E-2</v>
      </c>
      <c r="AD197" s="3">
        <f t="shared" si="133"/>
        <v>5.0356177802475609E-2</v>
      </c>
      <c r="AE197" s="3">
        <f t="shared" si="133"/>
        <v>5.0283402337721862E-2</v>
      </c>
      <c r="AF197" s="3">
        <f t="shared" si="133"/>
        <v>4.9561407369743724E-2</v>
      </c>
      <c r="AG197" s="3"/>
      <c r="AH197" s="3"/>
    </row>
    <row r="198" spans="1:34" x14ac:dyDescent="0.25">
      <c r="B198" s="3">
        <f t="shared" ref="B198:AF198" si="134">$C45*EXP(-B$168/$A45/EXP(-$C$126))</f>
        <v>4.7472549330169547E-2</v>
      </c>
      <c r="C198" s="3">
        <f t="shared" si="134"/>
        <v>4.7472549330169547E-2</v>
      </c>
      <c r="D198" s="3">
        <f t="shared" si="134"/>
        <v>4.7472549330169547E-2</v>
      </c>
      <c r="E198" s="3">
        <f t="shared" si="134"/>
        <v>4.7472549330169547E-2</v>
      </c>
      <c r="F198" s="3">
        <f t="shared" si="134"/>
        <v>4.7472549330169547E-2</v>
      </c>
      <c r="G198" s="3">
        <f t="shared" si="134"/>
        <v>4.7472549330169547E-2</v>
      </c>
      <c r="H198" s="3">
        <f t="shared" si="134"/>
        <v>4.7472549330169547E-2</v>
      </c>
      <c r="I198" s="3">
        <f t="shared" si="134"/>
        <v>4.7472549330169547E-2</v>
      </c>
      <c r="J198" s="3">
        <f t="shared" si="134"/>
        <v>4.7472549330169547E-2</v>
      </c>
      <c r="K198" s="3">
        <f t="shared" si="134"/>
        <v>4.7472549330169547E-2</v>
      </c>
      <c r="L198" s="3">
        <f t="shared" si="134"/>
        <v>4.7472549330169547E-2</v>
      </c>
      <c r="M198" s="3">
        <f t="shared" si="134"/>
        <v>4.7472549330169547E-2</v>
      </c>
      <c r="N198" s="3">
        <f t="shared" si="134"/>
        <v>4.7472549330169547E-2</v>
      </c>
      <c r="O198" s="3">
        <f t="shared" si="134"/>
        <v>4.7472549330169547E-2</v>
      </c>
      <c r="P198" s="3">
        <f t="shared" si="134"/>
        <v>4.7472549330169547E-2</v>
      </c>
      <c r="Q198" s="3">
        <f t="shared" si="134"/>
        <v>4.7472549330169547E-2</v>
      </c>
      <c r="R198" s="3">
        <f t="shared" si="134"/>
        <v>4.7472549330169547E-2</v>
      </c>
      <c r="S198" s="3">
        <f t="shared" si="134"/>
        <v>4.747254933016954E-2</v>
      </c>
      <c r="T198" s="3">
        <f t="shared" si="134"/>
        <v>4.7472549330169471E-2</v>
      </c>
      <c r="U198" s="3">
        <f t="shared" si="134"/>
        <v>4.7472549330168784E-2</v>
      </c>
      <c r="V198" s="3">
        <f t="shared" si="134"/>
        <v>4.7472549330161921E-2</v>
      </c>
      <c r="W198" s="3">
        <f t="shared" si="134"/>
        <v>4.7472549330093261E-2</v>
      </c>
      <c r="X198" s="3">
        <f t="shared" si="134"/>
        <v>4.7472549329406685E-2</v>
      </c>
      <c r="Y198" s="3">
        <f t="shared" si="134"/>
        <v>4.7472549322540927E-2</v>
      </c>
      <c r="Z198" s="3">
        <f t="shared" si="134"/>
        <v>4.7472549253883299E-2</v>
      </c>
      <c r="AA198" s="3">
        <f t="shared" si="134"/>
        <v>4.7472548567307017E-2</v>
      </c>
      <c r="AB198" s="3">
        <f t="shared" si="134"/>
        <v>4.7472541701544795E-2</v>
      </c>
      <c r="AC198" s="3">
        <f t="shared" si="134"/>
        <v>4.7472473043977177E-2</v>
      </c>
      <c r="AD198" s="3">
        <f t="shared" si="134"/>
        <v>4.7471786473762281E-2</v>
      </c>
      <c r="AE198" s="3">
        <f t="shared" si="134"/>
        <v>4.7464921317713009E-2</v>
      </c>
      <c r="AF198" s="3">
        <f t="shared" si="134"/>
        <v>4.7396324337975068E-2</v>
      </c>
      <c r="AG198" s="3"/>
      <c r="AH198" s="3"/>
    </row>
    <row r="199" spans="1:34" x14ac:dyDescent="0.25">
      <c r="B199" s="3">
        <f t="shared" ref="B199:AF199" si="135">$C46*EXP(-B$168/$A46/EXP(-$C$126))</f>
        <v>3.4265272438938038E-2</v>
      </c>
      <c r="C199" s="3">
        <f t="shared" si="135"/>
        <v>3.4265272438938038E-2</v>
      </c>
      <c r="D199" s="3">
        <f t="shared" si="135"/>
        <v>3.4265272438938038E-2</v>
      </c>
      <c r="E199" s="3">
        <f t="shared" si="135"/>
        <v>3.4265272438938038E-2</v>
      </c>
      <c r="F199" s="3">
        <f t="shared" si="135"/>
        <v>3.4265272438938038E-2</v>
      </c>
      <c r="G199" s="3">
        <f t="shared" si="135"/>
        <v>3.4265272438938038E-2</v>
      </c>
      <c r="H199" s="3">
        <f t="shared" si="135"/>
        <v>3.4265272438938038E-2</v>
      </c>
      <c r="I199" s="3">
        <f t="shared" si="135"/>
        <v>3.4265272438938038E-2</v>
      </c>
      <c r="J199" s="3">
        <f t="shared" si="135"/>
        <v>3.4265272438938038E-2</v>
      </c>
      <c r="K199" s="3">
        <f t="shared" si="135"/>
        <v>3.4265272438938038E-2</v>
      </c>
      <c r="L199" s="3">
        <f t="shared" si="135"/>
        <v>3.4265272438938038E-2</v>
      </c>
      <c r="M199" s="3">
        <f t="shared" si="135"/>
        <v>3.4265272438938038E-2</v>
      </c>
      <c r="N199" s="3">
        <f t="shared" si="135"/>
        <v>3.4265272438938038E-2</v>
      </c>
      <c r="O199" s="3">
        <f t="shared" si="135"/>
        <v>3.4265272438938038E-2</v>
      </c>
      <c r="P199" s="3">
        <f t="shared" si="135"/>
        <v>3.4265272438938038E-2</v>
      </c>
      <c r="Q199" s="3">
        <f t="shared" si="135"/>
        <v>3.4265272438938038E-2</v>
      </c>
      <c r="R199" s="3">
        <f t="shared" si="135"/>
        <v>3.4265272438938038E-2</v>
      </c>
      <c r="S199" s="3">
        <f t="shared" si="135"/>
        <v>3.4265272438938038E-2</v>
      </c>
      <c r="T199" s="3">
        <f t="shared" si="135"/>
        <v>3.4265272438938031E-2</v>
      </c>
      <c r="U199" s="3">
        <f t="shared" si="135"/>
        <v>3.4265272438937983E-2</v>
      </c>
      <c r="V199" s="3">
        <f t="shared" si="135"/>
        <v>3.426527243893749E-2</v>
      </c>
      <c r="W199" s="3">
        <f t="shared" si="135"/>
        <v>3.4265272438932536E-2</v>
      </c>
      <c r="X199" s="3">
        <f t="shared" si="135"/>
        <v>3.4265272438882978E-2</v>
      </c>
      <c r="Y199" s="3">
        <f t="shared" si="135"/>
        <v>3.4265272438387409E-2</v>
      </c>
      <c r="Z199" s="3">
        <f t="shared" si="135"/>
        <v>3.4265272433431762E-2</v>
      </c>
      <c r="AA199" s="3">
        <f t="shared" si="135"/>
        <v>3.4265272383875285E-2</v>
      </c>
      <c r="AB199" s="3">
        <f t="shared" si="135"/>
        <v>3.4265271888310508E-2</v>
      </c>
      <c r="AC199" s="3">
        <f t="shared" si="135"/>
        <v>3.4265266932663165E-2</v>
      </c>
      <c r="AD199" s="3">
        <f t="shared" si="135"/>
        <v>3.4265217376229125E-2</v>
      </c>
      <c r="AE199" s="3">
        <f t="shared" si="135"/>
        <v>3.4264721815830672E-2</v>
      </c>
      <c r="AF199" s="3">
        <f t="shared" si="135"/>
        <v>3.4259766606016089E-2</v>
      </c>
      <c r="AG199" s="3"/>
      <c r="AH199" s="3"/>
    </row>
    <row r="200" spans="1:34" x14ac:dyDescent="0.25">
      <c r="B200" s="3">
        <f t="shared" ref="B200:AF200" si="136">$C47*EXP(-B$168/$A47/EXP(-$C$126))</f>
        <v>1.7817533491132281E-2</v>
      </c>
      <c r="C200" s="3">
        <f t="shared" si="136"/>
        <v>1.7817533491132281E-2</v>
      </c>
      <c r="D200" s="3">
        <f t="shared" si="136"/>
        <v>1.7817533491132281E-2</v>
      </c>
      <c r="E200" s="3">
        <f t="shared" si="136"/>
        <v>1.7817533491132281E-2</v>
      </c>
      <c r="F200" s="3">
        <f t="shared" si="136"/>
        <v>1.7817533491132281E-2</v>
      </c>
      <c r="G200" s="3">
        <f t="shared" si="136"/>
        <v>1.7817533491132281E-2</v>
      </c>
      <c r="H200" s="3">
        <f t="shared" si="136"/>
        <v>1.7817533491132281E-2</v>
      </c>
      <c r="I200" s="3">
        <f t="shared" si="136"/>
        <v>1.7817533491132281E-2</v>
      </c>
      <c r="J200" s="3">
        <f t="shared" si="136"/>
        <v>1.7817533491132281E-2</v>
      </c>
      <c r="K200" s="3">
        <f t="shared" si="136"/>
        <v>1.7817533491132281E-2</v>
      </c>
      <c r="L200" s="3">
        <f t="shared" si="136"/>
        <v>1.7817533491132281E-2</v>
      </c>
      <c r="M200" s="3">
        <f t="shared" si="136"/>
        <v>1.7817533491132281E-2</v>
      </c>
      <c r="N200" s="3">
        <f t="shared" si="136"/>
        <v>1.7817533491132281E-2</v>
      </c>
      <c r="O200" s="3">
        <f t="shared" si="136"/>
        <v>1.7817533491132281E-2</v>
      </c>
      <c r="P200" s="3">
        <f t="shared" si="136"/>
        <v>1.7817533491132281E-2</v>
      </c>
      <c r="Q200" s="3">
        <f t="shared" si="136"/>
        <v>1.7817533491132281E-2</v>
      </c>
      <c r="R200" s="3">
        <f t="shared" si="136"/>
        <v>1.7817533491132281E-2</v>
      </c>
      <c r="S200" s="3">
        <f t="shared" si="136"/>
        <v>1.7817533491132281E-2</v>
      </c>
      <c r="T200" s="3">
        <f t="shared" si="136"/>
        <v>1.7817533491132281E-2</v>
      </c>
      <c r="U200" s="3">
        <f t="shared" si="136"/>
        <v>1.7817533491132277E-2</v>
      </c>
      <c r="V200" s="3">
        <f t="shared" si="136"/>
        <v>1.7817533491132253E-2</v>
      </c>
      <c r="W200" s="3">
        <f t="shared" si="136"/>
        <v>1.7817533491131993E-2</v>
      </c>
      <c r="X200" s="3">
        <f t="shared" si="136"/>
        <v>1.7817533491129418E-2</v>
      </c>
      <c r="Y200" s="3">
        <f t="shared" si="136"/>
        <v>1.7817533491103647E-2</v>
      </c>
      <c r="Z200" s="3">
        <f t="shared" si="136"/>
        <v>1.7817533490845961E-2</v>
      </c>
      <c r="AA200" s="3">
        <f t="shared" si="136"/>
        <v>1.7817533488269085E-2</v>
      </c>
      <c r="AB200" s="3">
        <f t="shared" si="136"/>
        <v>1.7817533462500305E-2</v>
      </c>
      <c r="AC200" s="3">
        <f t="shared" si="136"/>
        <v>1.7817533204812525E-2</v>
      </c>
      <c r="AD200" s="3">
        <f t="shared" si="136"/>
        <v>1.7817530627934938E-2</v>
      </c>
      <c r="AE200" s="3">
        <f t="shared" si="136"/>
        <v>1.7817504859179569E-2</v>
      </c>
      <c r="AF200" s="3">
        <f t="shared" si="136"/>
        <v>1.781724717367562E-2</v>
      </c>
      <c r="AG200" s="3"/>
      <c r="AH200" s="3"/>
    </row>
    <row r="201" spans="1:34" x14ac:dyDescent="0.25">
      <c r="B201" s="3">
        <f t="shared" ref="B201:AF201" si="137">$C48*EXP(-B$168/$A48/EXP(-$C$126))</f>
        <v>3.0591851493341829E-2</v>
      </c>
      <c r="C201" s="3">
        <f t="shared" si="137"/>
        <v>3.0591851493341829E-2</v>
      </c>
      <c r="D201" s="3">
        <f t="shared" si="137"/>
        <v>3.0591851493341829E-2</v>
      </c>
      <c r="E201" s="3">
        <f t="shared" si="137"/>
        <v>3.0591851493341829E-2</v>
      </c>
      <c r="F201" s="3">
        <f t="shared" si="137"/>
        <v>3.0591851493341829E-2</v>
      </c>
      <c r="G201" s="3">
        <f t="shared" si="137"/>
        <v>3.0591851493341829E-2</v>
      </c>
      <c r="H201" s="3">
        <f t="shared" si="137"/>
        <v>3.0591851493341829E-2</v>
      </c>
      <c r="I201" s="3">
        <f t="shared" si="137"/>
        <v>3.0591851493341829E-2</v>
      </c>
      <c r="J201" s="3">
        <f t="shared" si="137"/>
        <v>3.0591851493341829E-2</v>
      </c>
      <c r="K201" s="3">
        <f t="shared" si="137"/>
        <v>3.0591851493341829E-2</v>
      </c>
      <c r="L201" s="3">
        <f t="shared" si="137"/>
        <v>3.0591851493341829E-2</v>
      </c>
      <c r="M201" s="3">
        <f t="shared" si="137"/>
        <v>3.0591851493341829E-2</v>
      </c>
      <c r="N201" s="3">
        <f t="shared" si="137"/>
        <v>3.0591851493341829E-2</v>
      </c>
      <c r="O201" s="3">
        <f t="shared" si="137"/>
        <v>3.0591851493341829E-2</v>
      </c>
      <c r="P201" s="3">
        <f t="shared" si="137"/>
        <v>3.0591851493341829E-2</v>
      </c>
      <c r="Q201" s="3">
        <f t="shared" si="137"/>
        <v>3.0591851493341829E-2</v>
      </c>
      <c r="R201" s="3">
        <f t="shared" si="137"/>
        <v>3.0591851493341829E-2</v>
      </c>
      <c r="S201" s="3">
        <f t="shared" si="137"/>
        <v>3.0591851493341829E-2</v>
      </c>
      <c r="T201" s="3">
        <f t="shared" si="137"/>
        <v>3.0591851493341829E-2</v>
      </c>
      <c r="U201" s="3">
        <f t="shared" si="137"/>
        <v>3.0591851493341829E-2</v>
      </c>
      <c r="V201" s="3">
        <f t="shared" si="137"/>
        <v>3.0591851493341825E-2</v>
      </c>
      <c r="W201" s="3">
        <f t="shared" si="137"/>
        <v>3.059185149334178E-2</v>
      </c>
      <c r="X201" s="3">
        <f t="shared" si="137"/>
        <v>3.0591851493341336E-2</v>
      </c>
      <c r="Y201" s="3">
        <f t="shared" si="137"/>
        <v>3.0591851493336913E-2</v>
      </c>
      <c r="Z201" s="3">
        <f t="shared" si="137"/>
        <v>3.059185149329267E-2</v>
      </c>
      <c r="AA201" s="3">
        <f t="shared" si="137"/>
        <v>3.0591851492850229E-2</v>
      </c>
      <c r="AB201" s="3">
        <f t="shared" si="137"/>
        <v>3.0591851488425859E-2</v>
      </c>
      <c r="AC201" s="3">
        <f t="shared" si="137"/>
        <v>3.0591851444182101E-2</v>
      </c>
      <c r="AD201" s="3">
        <f t="shared" si="137"/>
        <v>3.0591851001744524E-2</v>
      </c>
      <c r="AE201" s="3">
        <f t="shared" si="137"/>
        <v>3.0591846577369151E-2</v>
      </c>
      <c r="AF201" s="3">
        <f t="shared" si="137"/>
        <v>3.0591802333650577E-2</v>
      </c>
      <c r="AG201" s="3"/>
      <c r="AH201" s="3"/>
    </row>
    <row r="202" spans="1:34" x14ac:dyDescent="0.25">
      <c r="A202" s="79">
        <f>AVERAGE(B202:AF202)</f>
        <v>6.6150507893374452E-3</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1.0349795404114643E-2</v>
      </c>
      <c r="M202" s="80">
        <f t="shared" si="138"/>
        <v>1.1176584942878438E-2</v>
      </c>
      <c r="N202" s="80">
        <f t="shared" si="138"/>
        <v>1.1850857923473297E-2</v>
      </c>
      <c r="O202" s="80">
        <f t="shared" si="138"/>
        <v>1.2637271662325927E-2</v>
      </c>
      <c r="P202" s="80">
        <f t="shared" si="138"/>
        <v>1.3811619932525561E-2</v>
      </c>
      <c r="Q202" s="80">
        <f t="shared" si="138"/>
        <v>1.4485977662101076E-2</v>
      </c>
      <c r="R202" s="80">
        <f t="shared" si="138"/>
        <v>1.4496242323432364E-2</v>
      </c>
      <c r="S202" s="80">
        <f t="shared" si="138"/>
        <v>1.3576345666981095E-2</v>
      </c>
      <c r="T202" s="80">
        <f t="shared" si="138"/>
        <v>8.3872397948200218E-3</v>
      </c>
      <c r="U202" s="80">
        <f t="shared" si="138"/>
        <v>2.0372045145817586E-2</v>
      </c>
      <c r="V202" s="80">
        <f t="shared" si="138"/>
        <v>7.3922594010990758E-2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988.54913151664277</v>
      </c>
      <c r="C203" s="21">
        <f t="shared" ref="C203:AF203" si="139">(C170-C169)^2</f>
        <v>1216.1342099468893</v>
      </c>
      <c r="D203" s="21">
        <f t="shared" si="139"/>
        <v>1213.968275450143</v>
      </c>
      <c r="E203" s="21">
        <f t="shared" si="139"/>
        <v>1213.4308672059231</v>
      </c>
      <c r="F203" s="21">
        <f t="shared" si="139"/>
        <v>1214.3281978962705</v>
      </c>
      <c r="G203" s="21">
        <f t="shared" si="139"/>
        <v>1225.1834753859912</v>
      </c>
      <c r="H203" s="21">
        <f t="shared" si="139"/>
        <v>1335.1118963141055</v>
      </c>
      <c r="I203" s="21">
        <f t="shared" si="139"/>
        <v>2415.1490628430215</v>
      </c>
      <c r="J203" s="21">
        <f t="shared" si="139"/>
        <v>4794.2154812935632</v>
      </c>
      <c r="K203" s="21">
        <f t="shared" si="139"/>
        <v>4926.2859797931706</v>
      </c>
      <c r="L203" s="21">
        <f t="shared" si="139"/>
        <v>3643.6639044850608</v>
      </c>
      <c r="M203" s="21">
        <f t="shared" si="139"/>
        <v>4084.893467587623</v>
      </c>
      <c r="N203" s="21">
        <f t="shared" si="139"/>
        <v>4389.6358923005773</v>
      </c>
      <c r="O203" s="21">
        <f t="shared" si="139"/>
        <v>4753.1439357002555</v>
      </c>
      <c r="P203" s="21">
        <f t="shared" si="139"/>
        <v>5364.5956396010106</v>
      </c>
      <c r="Q203" s="21">
        <f t="shared" si="139"/>
        <v>5540.2785598455757</v>
      </c>
      <c r="R203" s="21">
        <f t="shared" si="139"/>
        <v>5187.9101005962129</v>
      </c>
      <c r="S203" s="21">
        <f t="shared" si="139"/>
        <v>4250.0404222972402</v>
      </c>
      <c r="T203" s="21">
        <f t="shared" si="139"/>
        <v>1483.148164118342</v>
      </c>
      <c r="U203" s="21">
        <f t="shared" si="139"/>
        <v>7476.265717144036</v>
      </c>
      <c r="V203" s="21">
        <f t="shared" si="139"/>
        <v>79839.440433603624</v>
      </c>
      <c r="W203" s="21">
        <f t="shared" si="139"/>
        <v>186324.37894059258</v>
      </c>
      <c r="X203" s="21">
        <f t="shared" si="139"/>
        <v>193285.22386381781</v>
      </c>
      <c r="Y203" s="21">
        <f t="shared" si="139"/>
        <v>122506.92523844888</v>
      </c>
      <c r="Z203" s="21">
        <f t="shared" si="139"/>
        <v>58511.188041723399</v>
      </c>
      <c r="AA203" s="21">
        <f t="shared" si="139"/>
        <v>22911.573252095746</v>
      </c>
      <c r="AB203" s="21">
        <f t="shared" si="139"/>
        <v>8291.3401581689814</v>
      </c>
      <c r="AC203" s="21">
        <f t="shared" si="139"/>
        <v>794.72857764497451</v>
      </c>
      <c r="AD203" s="21">
        <f t="shared" si="139"/>
        <v>22.878608662284019</v>
      </c>
      <c r="AE203" s="21">
        <f t="shared" si="139"/>
        <v>769.53589984760697</v>
      </c>
      <c r="AF203" s="21">
        <f t="shared" si="139"/>
        <v>2286.5616726483931</v>
      </c>
      <c r="AG203" s="3"/>
      <c r="AH203" s="3"/>
    </row>
    <row r="204" spans="1:34" x14ac:dyDescent="0.25">
      <c r="A204" s="71">
        <f>SUM(B204:AF204)</f>
        <v>126013.01623727957</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3643.6639044850608</v>
      </c>
      <c r="M204" s="60">
        <f t="shared" ref="M204" si="150">IF($A$64&lt;=M168,IF($B$64&gt;=M168,ABS(M203),0),0)</f>
        <v>4084.893467587623</v>
      </c>
      <c r="N204" s="60">
        <f t="shared" ref="N204" si="151">IF($A$64&lt;=N168,IF($B$64&gt;=N168,ABS(N203),0),0)</f>
        <v>4389.6358923005773</v>
      </c>
      <c r="O204" s="60">
        <f t="shared" ref="O204" si="152">IF($A$64&lt;=O168,IF($B$64&gt;=O168,ABS(O203),0),0)</f>
        <v>4753.1439357002555</v>
      </c>
      <c r="P204" s="60">
        <f t="shared" ref="P204" si="153">IF($A$64&lt;=P168,IF($B$64&gt;=P168,ABS(P203),0),0)</f>
        <v>5364.5956396010106</v>
      </c>
      <c r="Q204" s="60">
        <f t="shared" ref="Q204" si="154">IF($A$64&lt;=Q168,IF($B$64&gt;=Q168,ABS(Q203),0),0)</f>
        <v>5540.2785598455757</v>
      </c>
      <c r="R204" s="60">
        <f t="shared" ref="R204" si="155">IF($A$64&lt;=R168,IF($B$64&gt;=R168,ABS(R203),0),0)</f>
        <v>5187.9101005962129</v>
      </c>
      <c r="S204" s="60">
        <f t="shared" ref="S204" si="156">IF($A$64&lt;=S168,IF($B$64&gt;=S168,ABS(S203),0),0)</f>
        <v>4250.0404222972402</v>
      </c>
      <c r="T204" s="60">
        <f t="shared" ref="T204" si="157">IF($A$64&lt;=T168,IF($B$64&gt;=T168,ABS(T203),0),0)</f>
        <v>1483.148164118342</v>
      </c>
      <c r="U204" s="60">
        <f t="shared" ref="U204" si="158">IF($A$64&lt;=U168,IF($B$64&gt;=U168,ABS(U203),0),0)</f>
        <v>7476.265717144036</v>
      </c>
      <c r="V204" s="60">
        <f t="shared" ref="V204" si="159">IF($A$64&lt;=V168,IF($B$64&gt;=V168,ABS(V203),0),0)</f>
        <v>79839.440433603624</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6174.0789664317035</v>
      </c>
      <c r="C209" s="27">
        <f t="shared" ref="C209:AF209" si="170">($C$17+SUM(C210:C240))*$B$51</f>
        <v>6174.0610540320304</v>
      </c>
      <c r="D209" s="27">
        <f t="shared" si="170"/>
        <v>6173.8821046168441</v>
      </c>
      <c r="E209" s="27">
        <f t="shared" si="170"/>
        <v>6172.1099222441771</v>
      </c>
      <c r="F209" s="27">
        <f t="shared" si="170"/>
        <v>6155.9819495687379</v>
      </c>
      <c r="G209" s="27">
        <f t="shared" si="170"/>
        <v>6074.6367790375616</v>
      </c>
      <c r="H209" s="27">
        <f t="shared" si="170"/>
        <v>5900.7718414083256</v>
      </c>
      <c r="I209" s="27">
        <f t="shared" si="170"/>
        <v>5788.0463379267512</v>
      </c>
      <c r="J209" s="27">
        <f t="shared" si="170"/>
        <v>5673.4452275076919</v>
      </c>
      <c r="K209" s="27">
        <f t="shared" si="170"/>
        <v>5545.6719834586684</v>
      </c>
      <c r="L209" s="27">
        <f t="shared" si="170"/>
        <v>5410.1467450859973</v>
      </c>
      <c r="M209" s="27">
        <f t="shared" si="170"/>
        <v>5257.047304116184</v>
      </c>
      <c r="N209" s="27">
        <f t="shared" si="170"/>
        <v>5092.6807625231077</v>
      </c>
      <c r="O209" s="27">
        <f t="shared" si="170"/>
        <v>4925.5029564881052</v>
      </c>
      <c r="P209" s="27">
        <f t="shared" si="170"/>
        <v>4764.6320371087741</v>
      </c>
      <c r="Q209" s="27">
        <f t="shared" si="170"/>
        <v>4587.2732139653999</v>
      </c>
      <c r="R209" s="27">
        <f t="shared" si="170"/>
        <v>4370.9128599634414</v>
      </c>
      <c r="S209" s="27">
        <f t="shared" si="170"/>
        <v>4141.404458113544</v>
      </c>
      <c r="T209" s="27">
        <f t="shared" si="170"/>
        <v>3926.6024848992788</v>
      </c>
      <c r="U209" s="27">
        <f t="shared" si="170"/>
        <v>3672.027950948052</v>
      </c>
      <c r="V209" s="27">
        <f t="shared" si="170"/>
        <v>3346.8864856085079</v>
      </c>
      <c r="W209" s="27">
        <f t="shared" si="170"/>
        <v>3038.9699108365112</v>
      </c>
      <c r="X209" s="27">
        <f t="shared" si="170"/>
        <v>2770.5020089601849</v>
      </c>
      <c r="Y209" s="27">
        <f t="shared" si="170"/>
        <v>2539.1450433462619</v>
      </c>
      <c r="Z209" s="27">
        <f t="shared" si="170"/>
        <v>2311.875484219684</v>
      </c>
      <c r="AA209" s="27">
        <f t="shared" si="170"/>
        <v>2098.4063643701434</v>
      </c>
      <c r="AB209" s="27">
        <f t="shared" si="170"/>
        <v>1876.2023884660575</v>
      </c>
      <c r="AC209" s="27">
        <f t="shared" si="170"/>
        <v>1636.7646929819266</v>
      </c>
      <c r="AD209" s="27">
        <f t="shared" si="170"/>
        <v>1363.9157430554394</v>
      </c>
      <c r="AE209" s="27">
        <f t="shared" si="170"/>
        <v>1064.071327362328</v>
      </c>
      <c r="AF209" s="27">
        <f t="shared" si="170"/>
        <v>774.16996985876619</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9.0449514339536567E-3</v>
      </c>
      <c r="C212" s="3">
        <f t="shared" si="173"/>
        <v>9.042830308556668E-3</v>
      </c>
      <c r="D212" s="3">
        <f t="shared" si="173"/>
        <v>9.0216463936503982E-3</v>
      </c>
      <c r="E212" s="3">
        <f t="shared" si="173"/>
        <v>8.8125175745882439E-3</v>
      </c>
      <c r="F212" s="3">
        <f t="shared" si="173"/>
        <v>6.9701471904957211E-3</v>
      </c>
      <c r="G212" s="3">
        <f t="shared" si="173"/>
        <v>6.6782316789139003E-4</v>
      </c>
      <c r="H212" s="3">
        <f t="shared" si="173"/>
        <v>4.3536829797307453E-14</v>
      </c>
      <c r="I212" s="3">
        <f t="shared" si="173"/>
        <v>6.0368447677368269E-116</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3.4814152767768017E-2</v>
      </c>
      <c r="C213" s="3">
        <f t="shared" si="174"/>
        <v>3.4813416206529987E-2</v>
      </c>
      <c r="D213" s="3">
        <f t="shared" si="174"/>
        <v>3.4806051451181666E-2</v>
      </c>
      <c r="E213" s="3">
        <f t="shared" si="174"/>
        <v>3.4732489533841969E-2</v>
      </c>
      <c r="F213" s="3">
        <f t="shared" si="174"/>
        <v>3.400536731519721E-2</v>
      </c>
      <c r="G213" s="3">
        <f t="shared" si="174"/>
        <v>2.7520925731847848E-2</v>
      </c>
      <c r="H213" s="3">
        <f t="shared" si="174"/>
        <v>3.3175594840077526E-3</v>
      </c>
      <c r="I213" s="3">
        <f t="shared" si="174"/>
        <v>2.1496884370082203E-12</v>
      </c>
      <c r="J213" s="3">
        <f t="shared" si="174"/>
        <v>2.8050689406627661E-104</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1.6737343856220423E-2</v>
      </c>
      <c r="C214" s="3">
        <f t="shared" si="175"/>
        <v>1.673731191214382E-2</v>
      </c>
      <c r="D214" s="3">
        <f t="shared" si="175"/>
        <v>1.6736992474730993E-2</v>
      </c>
      <c r="E214" s="3">
        <f t="shared" si="175"/>
        <v>1.6733798435895078E-2</v>
      </c>
      <c r="F214" s="3">
        <f t="shared" si="175"/>
        <v>1.6701891553108094E-2</v>
      </c>
      <c r="G214" s="3">
        <f t="shared" si="175"/>
        <v>1.6386149742310608E-2</v>
      </c>
      <c r="H214" s="3">
        <f t="shared" si="175"/>
        <v>1.3539091321597477E-2</v>
      </c>
      <c r="I214" s="3">
        <f t="shared" si="175"/>
        <v>2.0077771190158107E-3</v>
      </c>
      <c r="J214" s="3">
        <f t="shared" si="175"/>
        <v>1.03270274427604E-11</v>
      </c>
      <c r="K214" s="3">
        <f t="shared" si="175"/>
        <v>1.3383621190631481E-94</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1.9251004801097978E-2</v>
      </c>
      <c r="C215" s="3">
        <f t="shared" si="176"/>
        <v>1.9251001486703702E-2</v>
      </c>
      <c r="D215" s="3">
        <f t="shared" si="176"/>
        <v>1.9250968342792316E-2</v>
      </c>
      <c r="E215" s="3">
        <f t="shared" si="176"/>
        <v>1.9250636906816894E-2</v>
      </c>
      <c r="F215" s="3">
        <f t="shared" si="176"/>
        <v>1.9247322860887262E-2</v>
      </c>
      <c r="G215" s="3">
        <f t="shared" si="176"/>
        <v>1.921421376406808E-2</v>
      </c>
      <c r="H215" s="3">
        <f t="shared" si="176"/>
        <v>1.8886239156761214E-2</v>
      </c>
      <c r="I215" s="3">
        <f t="shared" si="176"/>
        <v>1.589915901563875E-2</v>
      </c>
      <c r="J215" s="3">
        <f t="shared" si="176"/>
        <v>2.8422405683399977E-3</v>
      </c>
      <c r="K215" s="3">
        <f t="shared" si="176"/>
        <v>9.4738748704893903E-11</v>
      </c>
      <c r="L215" s="3">
        <f t="shared" si="176"/>
        <v>1.6039681774232813E-85</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2.1901222048619728E-2</v>
      </c>
      <c r="C216" s="3">
        <f t="shared" si="177"/>
        <v>2.1901221708473435E-2</v>
      </c>
      <c r="D216" s="3">
        <f t="shared" si="177"/>
        <v>2.1901218307010802E-2</v>
      </c>
      <c r="E216" s="3">
        <f t="shared" si="177"/>
        <v>2.1901184292413532E-2</v>
      </c>
      <c r="F216" s="3">
        <f t="shared" si="177"/>
        <v>2.1900844149346343E-2</v>
      </c>
      <c r="G216" s="3">
        <f t="shared" si="177"/>
        <v>2.1897443009209223E-2</v>
      </c>
      <c r="H216" s="3">
        <f t="shared" si="177"/>
        <v>2.1863460644625705E-2</v>
      </c>
      <c r="I216" s="3">
        <f t="shared" si="177"/>
        <v>2.1526524060828649E-2</v>
      </c>
      <c r="J216" s="3">
        <f t="shared" si="177"/>
        <v>1.8429941096063027E-2</v>
      </c>
      <c r="K216" s="3">
        <f t="shared" si="177"/>
        <v>3.8996383231608756E-3</v>
      </c>
      <c r="L216" s="3">
        <f t="shared" si="177"/>
        <v>7.0150077485085959E-10</v>
      </c>
      <c r="M216" s="3">
        <f t="shared" si="177"/>
        <v>2.4892379226214193E-77</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2.2497281453909029E-2</v>
      </c>
      <c r="C217" s="3">
        <f t="shared" si="178"/>
        <v>2.2497281422389916E-2</v>
      </c>
      <c r="D217" s="3">
        <f t="shared" si="178"/>
        <v>2.2497281107198758E-2</v>
      </c>
      <c r="E217" s="3">
        <f t="shared" si="178"/>
        <v>2.2497277955287425E-2</v>
      </c>
      <c r="F217" s="3">
        <f t="shared" si="178"/>
        <v>2.2497246436198378E-2</v>
      </c>
      <c r="G217" s="3">
        <f t="shared" si="178"/>
        <v>2.2496931247736624E-2</v>
      </c>
      <c r="H217" s="3">
        <f t="shared" si="178"/>
        <v>2.2493779605978929E-2</v>
      </c>
      <c r="I217" s="3">
        <f t="shared" si="178"/>
        <v>2.2462287461800685E-2</v>
      </c>
      <c r="J217" s="3">
        <f t="shared" si="178"/>
        <v>2.214978082413421E-2</v>
      </c>
      <c r="K217" s="3">
        <f t="shared" si="178"/>
        <v>1.9254132509895609E-2</v>
      </c>
      <c r="L217" s="3">
        <f t="shared" si="178"/>
        <v>4.7431754386318085E-3</v>
      </c>
      <c r="M217" s="3">
        <f t="shared" si="178"/>
        <v>3.9041051789096301E-9</v>
      </c>
      <c r="N217" s="3">
        <f t="shared" si="178"/>
        <v>5.5724312334949571E-70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2.6719174389301895E-2</v>
      </c>
      <c r="C218" s="3">
        <f t="shared" si="179"/>
        <v>2.671917438592503E-2</v>
      </c>
      <c r="D218" s="3">
        <f t="shared" si="179"/>
        <v>2.6719174352156389E-2</v>
      </c>
      <c r="E218" s="3">
        <f t="shared" si="179"/>
        <v>2.6719174014469955E-2</v>
      </c>
      <c r="F218" s="3">
        <f t="shared" si="179"/>
        <v>2.6719170637605885E-2</v>
      </c>
      <c r="G218" s="3">
        <f t="shared" si="179"/>
        <v>2.6719136868988656E-2</v>
      </c>
      <c r="H218" s="3">
        <f t="shared" si="179"/>
        <v>2.6718799185163639E-2</v>
      </c>
      <c r="I218" s="3">
        <f t="shared" si="179"/>
        <v>2.671542258163033E-2</v>
      </c>
      <c r="J218" s="3">
        <f t="shared" si="179"/>
        <v>2.6681680007012716E-2</v>
      </c>
      <c r="K218" s="3">
        <f t="shared" si="179"/>
        <v>2.6346589398693297E-2</v>
      </c>
      <c r="L218" s="3">
        <f t="shared" si="179"/>
        <v>2.3218636969650437E-2</v>
      </c>
      <c r="M218" s="3">
        <f t="shared" si="179"/>
        <v>6.5608468788968394E-3</v>
      </c>
      <c r="N218" s="3">
        <f t="shared" si="179"/>
        <v>2.1290786739928069E-8</v>
      </c>
      <c r="O218" s="3">
        <f t="shared" si="179"/>
        <v>2.7574635974613444E-63</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2.8269244352671762E-2</v>
      </c>
      <c r="C219" s="3">
        <f t="shared" si="180"/>
        <v>2.8269244352349468E-2</v>
      </c>
      <c r="D219" s="3">
        <f t="shared" si="180"/>
        <v>2.8269244349126536E-2</v>
      </c>
      <c r="E219" s="3">
        <f t="shared" si="180"/>
        <v>2.8269244316897198E-2</v>
      </c>
      <c r="F219" s="3">
        <f t="shared" si="180"/>
        <v>2.8269243994603833E-2</v>
      </c>
      <c r="G219" s="3">
        <f t="shared" si="180"/>
        <v>2.8269240771670378E-2</v>
      </c>
      <c r="H219" s="3">
        <f t="shared" si="180"/>
        <v>2.8269208542356025E-2</v>
      </c>
      <c r="I219" s="3">
        <f t="shared" si="180"/>
        <v>2.8268886251233433E-2</v>
      </c>
      <c r="J219" s="3">
        <f t="shared" si="180"/>
        <v>2.8265663542091021E-2</v>
      </c>
      <c r="K219" s="3">
        <f t="shared" si="180"/>
        <v>2.8233456650495758E-2</v>
      </c>
      <c r="L219" s="3">
        <f t="shared" si="180"/>
        <v>2.7913399222433414E-2</v>
      </c>
      <c r="M219" s="3">
        <f t="shared" si="180"/>
        <v>2.4905741241195097E-2</v>
      </c>
      <c r="N219" s="3">
        <f t="shared" si="180"/>
        <v>7.9646540849109704E-3</v>
      </c>
      <c r="O219" s="3">
        <f t="shared" si="180"/>
        <v>8.9092549637916283E-8</v>
      </c>
      <c r="P219" s="3">
        <f t="shared" si="180"/>
        <v>2.7326630140871875E-57</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2.8789242104313943E-2</v>
      </c>
      <c r="C220" s="3">
        <f t="shared" si="181"/>
        <v>2.8789242104284334E-2</v>
      </c>
      <c r="D220" s="3">
        <f t="shared" si="181"/>
        <v>2.8789242103988252E-2</v>
      </c>
      <c r="E220" s="3">
        <f t="shared" si="181"/>
        <v>2.8789242101027415E-2</v>
      </c>
      <c r="F220" s="3">
        <f t="shared" si="181"/>
        <v>2.8789242071419082E-2</v>
      </c>
      <c r="G220" s="3">
        <f t="shared" si="181"/>
        <v>2.878924177533573E-2</v>
      </c>
      <c r="H220" s="3">
        <f t="shared" si="181"/>
        <v>2.8789238814502374E-2</v>
      </c>
      <c r="I220" s="3">
        <f t="shared" si="181"/>
        <v>2.8789209206185561E-2</v>
      </c>
      <c r="J220" s="3">
        <f t="shared" si="181"/>
        <v>2.8788913124692228E-2</v>
      </c>
      <c r="K220" s="3">
        <f t="shared" si="181"/>
        <v>2.8785952477230842E-2</v>
      </c>
      <c r="L220" s="3">
        <f t="shared" si="181"/>
        <v>2.8756362743441052E-2</v>
      </c>
      <c r="M220" s="3">
        <f t="shared" si="181"/>
        <v>2.8462133135102836E-2</v>
      </c>
      <c r="N220" s="3">
        <f t="shared" si="181"/>
        <v>2.5680434670843435E-2</v>
      </c>
      <c r="O220" s="3">
        <f t="shared" si="181"/>
        <v>9.1823029327057042E-3</v>
      </c>
      <c r="P220" s="3">
        <f t="shared" si="181"/>
        <v>3.1364912259479574E-7</v>
      </c>
      <c r="Q220" s="3">
        <f t="shared" si="181"/>
        <v>6.782170168595014E-52</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2.5595411660203352E-2</v>
      </c>
      <c r="C221" s="3">
        <f t="shared" si="182"/>
        <v>2.5595411660200979E-2</v>
      </c>
      <c r="D221" s="3">
        <f t="shared" si="182"/>
        <v>2.5595411660177231E-2</v>
      </c>
      <c r="E221" s="3">
        <f t="shared" si="182"/>
        <v>2.5595411659939771E-2</v>
      </c>
      <c r="F221" s="3">
        <f t="shared" si="182"/>
        <v>2.5595411657565161E-2</v>
      </c>
      <c r="G221" s="3">
        <f t="shared" si="182"/>
        <v>2.5595411633819051E-2</v>
      </c>
      <c r="H221" s="3">
        <f t="shared" si="182"/>
        <v>2.5595411396357955E-2</v>
      </c>
      <c r="I221" s="3">
        <f t="shared" si="182"/>
        <v>2.5595409021747118E-2</v>
      </c>
      <c r="J221" s="3">
        <f t="shared" si="182"/>
        <v>2.5595385275650872E-2</v>
      </c>
      <c r="K221" s="3">
        <f t="shared" si="182"/>
        <v>2.559514781590011E-2</v>
      </c>
      <c r="L221" s="3">
        <f t="shared" si="182"/>
        <v>2.5592773339555168E-2</v>
      </c>
      <c r="M221" s="3">
        <f t="shared" si="182"/>
        <v>2.5569040688217751E-2</v>
      </c>
      <c r="N221" s="3">
        <f t="shared" si="182"/>
        <v>2.5332921238654511E-2</v>
      </c>
      <c r="O221" s="3">
        <f t="shared" si="182"/>
        <v>2.3088390497371353E-2</v>
      </c>
      <c r="P221" s="3">
        <f t="shared" si="182"/>
        <v>9.1301417720775387E-3</v>
      </c>
      <c r="Q221" s="3">
        <f t="shared" si="182"/>
        <v>8.5372135113455375E-7</v>
      </c>
      <c r="R221" s="3">
        <f t="shared" si="182"/>
        <v>4.3621677304540777E-47</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3.1571984224505495E-2</v>
      </c>
      <c r="C222" s="3">
        <f t="shared" si="183"/>
        <v>3.1571984224505231E-2</v>
      </c>
      <c r="D222" s="3">
        <f t="shared" si="183"/>
        <v>3.1571984224502588E-2</v>
      </c>
      <c r="E222" s="3">
        <f t="shared" si="183"/>
        <v>3.1571984224476164E-2</v>
      </c>
      <c r="F222" s="3">
        <f t="shared" si="183"/>
        <v>3.1571984224211938E-2</v>
      </c>
      <c r="G222" s="3">
        <f t="shared" si="183"/>
        <v>3.1571984221569656E-2</v>
      </c>
      <c r="H222" s="3">
        <f t="shared" si="183"/>
        <v>3.1571984195146854E-2</v>
      </c>
      <c r="I222" s="3">
        <f t="shared" si="183"/>
        <v>3.1571983930918875E-2</v>
      </c>
      <c r="J222" s="3">
        <f t="shared" si="183"/>
        <v>3.1571981288639119E-2</v>
      </c>
      <c r="K222" s="3">
        <f t="shared" si="183"/>
        <v>3.1571954865853749E-2</v>
      </c>
      <c r="L222" s="3">
        <f t="shared" si="183"/>
        <v>3.1571690639216318E-2</v>
      </c>
      <c r="M222" s="3">
        <f t="shared" si="183"/>
        <v>3.1569048494461592E-2</v>
      </c>
      <c r="N222" s="3">
        <f t="shared" si="183"/>
        <v>3.1542639205107394E-2</v>
      </c>
      <c r="O222" s="3">
        <f t="shared" si="183"/>
        <v>3.1279758374436417E-2</v>
      </c>
      <c r="P222" s="3">
        <f t="shared" si="183"/>
        <v>2.876848568130878E-2</v>
      </c>
      <c r="Q222" s="3">
        <f t="shared" si="183"/>
        <v>1.2458137686014044E-2</v>
      </c>
      <c r="R222" s="3">
        <f t="shared" si="183"/>
        <v>2.8894445812656669E-6</v>
      </c>
      <c r="S222" s="3">
        <f t="shared" si="183"/>
        <v>1.3014479336150087E-42</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4.0619048192840936E-2</v>
      </c>
      <c r="C223" s="3">
        <f t="shared" si="184"/>
        <v>4.0619048192840908E-2</v>
      </c>
      <c r="D223" s="3">
        <f t="shared" si="184"/>
        <v>4.0619048192840602E-2</v>
      </c>
      <c r="E223" s="3">
        <f t="shared" si="184"/>
        <v>4.0619048192837535E-2</v>
      </c>
      <c r="F223" s="3">
        <f t="shared" si="184"/>
        <v>4.0619048192806866E-2</v>
      </c>
      <c r="G223" s="3">
        <f t="shared" si="184"/>
        <v>4.0619048192500215E-2</v>
      </c>
      <c r="H223" s="3">
        <f t="shared" si="184"/>
        <v>4.061904818943364E-2</v>
      </c>
      <c r="I223" s="3">
        <f t="shared" si="184"/>
        <v>4.0619048158767913E-2</v>
      </c>
      <c r="J223" s="3">
        <f t="shared" si="184"/>
        <v>4.0619047852110637E-2</v>
      </c>
      <c r="K223" s="3">
        <f t="shared" si="184"/>
        <v>4.0619044785538003E-2</v>
      </c>
      <c r="L223" s="3">
        <f t="shared" si="184"/>
        <v>4.0619014119824416E-2</v>
      </c>
      <c r="M223" s="3">
        <f t="shared" si="184"/>
        <v>4.061870746396188E-2</v>
      </c>
      <c r="N223" s="3">
        <f t="shared" si="184"/>
        <v>4.0615641032665115E-2</v>
      </c>
      <c r="O223" s="3">
        <f t="shared" si="184"/>
        <v>4.0584989449003094E-2</v>
      </c>
      <c r="P223" s="3">
        <f t="shared" si="184"/>
        <v>4.0279742994371211E-2</v>
      </c>
      <c r="Q223" s="3">
        <f t="shared" si="184"/>
        <v>3.7350741288967773E-2</v>
      </c>
      <c r="R223" s="3">
        <f t="shared" si="184"/>
        <v>1.7555959584104757E-2</v>
      </c>
      <c r="S223" s="3">
        <f t="shared" si="184"/>
        <v>9.2401291334323014E-6</v>
      </c>
      <c r="T223" s="3">
        <f t="shared" si="184"/>
        <v>1.5073452037635801E-38</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3.7761220679273885E-2</v>
      </c>
      <c r="C224" s="3">
        <f t="shared" si="185"/>
        <v>3.7761220679273878E-2</v>
      </c>
      <c r="D224" s="3">
        <f t="shared" si="185"/>
        <v>3.7761220679273858E-2</v>
      </c>
      <c r="E224" s="3">
        <f t="shared" si="185"/>
        <v>3.7761220679273601E-2</v>
      </c>
      <c r="F224" s="3">
        <f t="shared" si="185"/>
        <v>3.7761220679271026E-2</v>
      </c>
      <c r="G224" s="3">
        <f t="shared" si="185"/>
        <v>3.7761220679245311E-2</v>
      </c>
      <c r="H224" s="3">
        <f t="shared" si="185"/>
        <v>3.7761220678988142E-2</v>
      </c>
      <c r="I224" s="3">
        <f t="shared" si="185"/>
        <v>3.776122067641647E-2</v>
      </c>
      <c r="J224" s="3">
        <f t="shared" si="185"/>
        <v>3.7761220650699714E-2</v>
      </c>
      <c r="K224" s="3">
        <f t="shared" si="185"/>
        <v>3.7761220393532177E-2</v>
      </c>
      <c r="L224" s="3">
        <f t="shared" si="185"/>
        <v>3.7761217821856895E-2</v>
      </c>
      <c r="M224" s="3">
        <f t="shared" si="185"/>
        <v>3.7761192105113701E-2</v>
      </c>
      <c r="N224" s="3">
        <f t="shared" si="185"/>
        <v>3.7760934938645026E-2</v>
      </c>
      <c r="O224" s="3">
        <f t="shared" si="185"/>
        <v>3.7758363370282801E-2</v>
      </c>
      <c r="P224" s="3">
        <f t="shared" si="185"/>
        <v>3.7732657316684598E-2</v>
      </c>
      <c r="Q224" s="3">
        <f t="shared" si="185"/>
        <v>3.7476557360921002E-2</v>
      </c>
      <c r="R224" s="3">
        <f t="shared" si="185"/>
        <v>3.5009238785324741E-2</v>
      </c>
      <c r="S224" s="3">
        <f t="shared" si="185"/>
        <v>1.7717908485571646E-2</v>
      </c>
      <c r="T224" s="3">
        <f t="shared" si="185"/>
        <v>1.9530363080197355E-5</v>
      </c>
      <c r="U224" s="3">
        <f t="shared" si="185"/>
        <v>5.1723624075004982E-35</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3.2047185254004913E-2</v>
      </c>
      <c r="C225" s="3">
        <f t="shared" si="186"/>
        <v>3.2047185254004913E-2</v>
      </c>
      <c r="D225" s="3">
        <f t="shared" si="186"/>
        <v>3.2047185254004906E-2</v>
      </c>
      <c r="E225" s="3">
        <f t="shared" si="186"/>
        <v>3.2047185254004892E-2</v>
      </c>
      <c r="F225" s="3">
        <f t="shared" si="186"/>
        <v>3.2047185254004698E-2</v>
      </c>
      <c r="G225" s="3">
        <f t="shared" si="186"/>
        <v>3.2047185254002727E-2</v>
      </c>
      <c r="H225" s="3">
        <f t="shared" si="186"/>
        <v>3.2047185253983042E-2</v>
      </c>
      <c r="I225" s="3">
        <f t="shared" si="186"/>
        <v>3.2047185253786158E-2</v>
      </c>
      <c r="J225" s="3">
        <f t="shared" si="186"/>
        <v>3.204718525181733E-2</v>
      </c>
      <c r="K225" s="3">
        <f t="shared" si="186"/>
        <v>3.2047185232129106E-2</v>
      </c>
      <c r="L225" s="3">
        <f t="shared" si="186"/>
        <v>3.2047185035246839E-2</v>
      </c>
      <c r="M225" s="3">
        <f t="shared" si="186"/>
        <v>3.204718306642422E-2</v>
      </c>
      <c r="N225" s="3">
        <f t="shared" si="186"/>
        <v>3.2047163378204721E-2</v>
      </c>
      <c r="O225" s="3">
        <f t="shared" si="186"/>
        <v>3.2046966496674968E-2</v>
      </c>
      <c r="P225" s="3">
        <f t="shared" si="186"/>
        <v>3.2044997747900955E-2</v>
      </c>
      <c r="Q225" s="3">
        <f t="shared" si="186"/>
        <v>3.2025316910998122E-2</v>
      </c>
      <c r="R225" s="3">
        <f t="shared" si="186"/>
        <v>3.1829172116383975E-2</v>
      </c>
      <c r="S225" s="3">
        <f t="shared" si="186"/>
        <v>2.9932597707745215E-2</v>
      </c>
      <c r="T225" s="3">
        <f t="shared" si="186"/>
        <v>1.6193289134113671E-2</v>
      </c>
      <c r="U225" s="3">
        <f t="shared" si="186"/>
        <v>3.4772961973320858E-5</v>
      </c>
      <c r="V225" s="3">
        <f t="shared" si="186"/>
        <v>7.2494963954556647E-32</v>
      </c>
      <c r="W225" s="3">
        <f t="shared" si="186"/>
        <v>1.1245256465806527E-298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5.5060207151423582E-2</v>
      </c>
      <c r="C226" s="3">
        <f t="shared" si="187"/>
        <v>5.5060207151423582E-2</v>
      </c>
      <c r="D226" s="3">
        <f t="shared" si="187"/>
        <v>5.5060207151423582E-2</v>
      </c>
      <c r="E226" s="3">
        <f t="shared" si="187"/>
        <v>5.5060207151423575E-2</v>
      </c>
      <c r="F226" s="3">
        <f t="shared" si="187"/>
        <v>5.5060207151423547E-2</v>
      </c>
      <c r="G226" s="3">
        <f t="shared" si="187"/>
        <v>5.5060207151423249E-2</v>
      </c>
      <c r="H226" s="3">
        <f t="shared" si="187"/>
        <v>5.5060207151420189E-2</v>
      </c>
      <c r="I226" s="3">
        <f t="shared" si="187"/>
        <v>5.5060207151389678E-2</v>
      </c>
      <c r="J226" s="3">
        <f t="shared" si="187"/>
        <v>5.5060207151084534E-2</v>
      </c>
      <c r="K226" s="3">
        <f t="shared" si="187"/>
        <v>5.506020714803312E-2</v>
      </c>
      <c r="L226" s="3">
        <f t="shared" si="187"/>
        <v>5.5060207117518981E-2</v>
      </c>
      <c r="M226" s="3">
        <f t="shared" si="187"/>
        <v>5.5060206812377568E-2</v>
      </c>
      <c r="N226" s="3">
        <f t="shared" si="187"/>
        <v>5.5060203760963593E-2</v>
      </c>
      <c r="O226" s="3">
        <f t="shared" si="187"/>
        <v>5.5060173246833065E-2</v>
      </c>
      <c r="P226" s="3">
        <f t="shared" si="187"/>
        <v>5.5059868106457924E-2</v>
      </c>
      <c r="Q226" s="3">
        <f t="shared" si="187"/>
        <v>5.5056816795713774E-2</v>
      </c>
      <c r="R226" s="3">
        <f t="shared" si="187"/>
        <v>5.5026312987099993E-2</v>
      </c>
      <c r="S226" s="3">
        <f t="shared" si="187"/>
        <v>5.4722202879802229E-2</v>
      </c>
      <c r="T226" s="3">
        <f t="shared" si="187"/>
        <v>5.1772024725777965E-2</v>
      </c>
      <c r="U226" s="3">
        <f t="shared" si="187"/>
        <v>2.9744791581243792E-2</v>
      </c>
      <c r="V226" s="3">
        <f t="shared" si="187"/>
        <v>1.165651516944916E-4</v>
      </c>
      <c r="W226" s="3">
        <f t="shared" si="187"/>
        <v>9.9574185582098228E-29</v>
      </c>
      <c r="X226" s="3">
        <f t="shared" si="187"/>
        <v>2.0602838633232385E-269</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5.5367146096233756E-2</v>
      </c>
      <c r="C227" s="3">
        <f t="shared" si="188"/>
        <v>5.5367146096233756E-2</v>
      </c>
      <c r="D227" s="3">
        <f t="shared" si="188"/>
        <v>5.5367146096233756E-2</v>
      </c>
      <c r="E227" s="3">
        <f t="shared" si="188"/>
        <v>5.5367146096233756E-2</v>
      </c>
      <c r="F227" s="3">
        <f t="shared" si="188"/>
        <v>5.5367146096233756E-2</v>
      </c>
      <c r="G227" s="3">
        <f t="shared" si="188"/>
        <v>5.5367146096233728E-2</v>
      </c>
      <c r="H227" s="3">
        <f t="shared" si="188"/>
        <v>5.5367146096233451E-2</v>
      </c>
      <c r="I227" s="3">
        <f t="shared" si="188"/>
        <v>5.5367146096230682E-2</v>
      </c>
      <c r="J227" s="3">
        <f t="shared" si="188"/>
        <v>5.5367146096203003E-2</v>
      </c>
      <c r="K227" s="3">
        <f t="shared" si="188"/>
        <v>5.5367146095926204E-2</v>
      </c>
      <c r="L227" s="3">
        <f t="shared" si="188"/>
        <v>5.536714609315823E-2</v>
      </c>
      <c r="M227" s="3">
        <f t="shared" si="188"/>
        <v>5.536714606547849E-2</v>
      </c>
      <c r="N227" s="3">
        <f t="shared" si="188"/>
        <v>5.5367145788681064E-2</v>
      </c>
      <c r="O227" s="3">
        <f t="shared" si="188"/>
        <v>5.5367143020706971E-2</v>
      </c>
      <c r="P227" s="3">
        <f t="shared" si="188"/>
        <v>5.5367115340973612E-2</v>
      </c>
      <c r="Q227" s="3">
        <f t="shared" si="188"/>
        <v>5.5366838544401061E-2</v>
      </c>
      <c r="R227" s="3">
        <f t="shared" si="188"/>
        <v>5.5364070654782813E-2</v>
      </c>
      <c r="S227" s="3">
        <f t="shared" si="188"/>
        <v>5.533639936791182E-2</v>
      </c>
      <c r="T227" s="3">
        <f t="shared" si="188"/>
        <v>5.5060446024707992E-2</v>
      </c>
      <c r="U227" s="3">
        <f t="shared" si="188"/>
        <v>5.2375478805060126E-2</v>
      </c>
      <c r="V227" s="3">
        <f t="shared" si="188"/>
        <v>3.1769531985838109E-2</v>
      </c>
      <c r="W227" s="3">
        <f t="shared" si="188"/>
        <v>2.1420959759054336E-4</v>
      </c>
      <c r="X227" s="3">
        <f t="shared" si="188"/>
        <v>4.1602555477841944E-26</v>
      </c>
      <c r="Y227" s="3">
        <f t="shared" si="188"/>
        <v>3.1763681965834882E-243</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4.7007838258753223E-2</v>
      </c>
      <c r="C228" s="3">
        <f t="shared" si="189"/>
        <v>4.7007838258753223E-2</v>
      </c>
      <c r="D228" s="3">
        <f t="shared" si="189"/>
        <v>4.7007838258753223E-2</v>
      </c>
      <c r="E228" s="3">
        <f t="shared" si="189"/>
        <v>4.7007838258753223E-2</v>
      </c>
      <c r="F228" s="3">
        <f t="shared" si="189"/>
        <v>4.7007838258753223E-2</v>
      </c>
      <c r="G228" s="3">
        <f t="shared" si="189"/>
        <v>4.7007838258753223E-2</v>
      </c>
      <c r="H228" s="3">
        <f t="shared" si="189"/>
        <v>4.7007838258753196E-2</v>
      </c>
      <c r="I228" s="3">
        <f t="shared" si="189"/>
        <v>4.7007838258752987E-2</v>
      </c>
      <c r="J228" s="3">
        <f t="shared" si="189"/>
        <v>4.7007838258750871E-2</v>
      </c>
      <c r="K228" s="3">
        <f t="shared" si="189"/>
        <v>4.7007838258729673E-2</v>
      </c>
      <c r="L228" s="3">
        <f t="shared" si="189"/>
        <v>4.7007838258517676E-2</v>
      </c>
      <c r="M228" s="3">
        <f t="shared" si="189"/>
        <v>4.7007838256397719E-2</v>
      </c>
      <c r="N228" s="3">
        <f t="shared" si="189"/>
        <v>4.7007838235198163E-2</v>
      </c>
      <c r="O228" s="3">
        <f t="shared" si="189"/>
        <v>4.7007838023202603E-2</v>
      </c>
      <c r="P228" s="3">
        <f t="shared" si="189"/>
        <v>4.7007835903247051E-2</v>
      </c>
      <c r="Q228" s="3">
        <f t="shared" si="189"/>
        <v>4.7007814703696783E-2</v>
      </c>
      <c r="R228" s="3">
        <f t="shared" si="189"/>
        <v>4.7007602708720002E-2</v>
      </c>
      <c r="S228" s="3">
        <f t="shared" si="189"/>
        <v>4.7005482811534251E-2</v>
      </c>
      <c r="T228" s="3">
        <f t="shared" si="189"/>
        <v>4.698428909700899E-2</v>
      </c>
      <c r="U228" s="3">
        <f t="shared" si="189"/>
        <v>4.6772876808792593E-2</v>
      </c>
      <c r="V228" s="3">
        <f t="shared" si="189"/>
        <v>4.4710374306056379E-2</v>
      </c>
      <c r="W228" s="3">
        <f t="shared" si="189"/>
        <v>2.8480692095072428E-2</v>
      </c>
      <c r="X228" s="3">
        <f t="shared" si="189"/>
        <v>3.1330899842059825E-4</v>
      </c>
      <c r="Y228" s="3">
        <f t="shared" si="189"/>
        <v>8.131977421716592E-24</v>
      </c>
      <c r="Z228" s="3">
        <f t="shared" si="189"/>
        <v>1.1283117820811123E-219</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4.3271313852142758E-2</v>
      </c>
      <c r="C229" s="3">
        <f t="shared" si="190"/>
        <v>4.3271313852142758E-2</v>
      </c>
      <c r="D229" s="3">
        <f t="shared" si="190"/>
        <v>4.3271313852142758E-2</v>
      </c>
      <c r="E229" s="3">
        <f t="shared" si="190"/>
        <v>4.3271313852142758E-2</v>
      </c>
      <c r="F229" s="3">
        <f t="shared" si="190"/>
        <v>4.3271313852142758E-2</v>
      </c>
      <c r="G229" s="3">
        <f t="shared" si="190"/>
        <v>4.3271313852142758E-2</v>
      </c>
      <c r="H229" s="3">
        <f t="shared" si="190"/>
        <v>4.3271313852142758E-2</v>
      </c>
      <c r="I229" s="3">
        <f t="shared" si="190"/>
        <v>4.3271313852142737E-2</v>
      </c>
      <c r="J229" s="3">
        <f t="shared" si="190"/>
        <v>4.3271313852142564E-2</v>
      </c>
      <c r="K229" s="3">
        <f t="shared" si="190"/>
        <v>4.3271313852140801E-2</v>
      </c>
      <c r="L229" s="3">
        <f t="shared" si="190"/>
        <v>4.3271313852123197E-2</v>
      </c>
      <c r="M229" s="3">
        <f t="shared" si="190"/>
        <v>4.3271313851947157E-2</v>
      </c>
      <c r="N229" s="3">
        <f t="shared" si="190"/>
        <v>4.3271313850186795E-2</v>
      </c>
      <c r="O229" s="3">
        <f t="shared" si="190"/>
        <v>4.3271313832583126E-2</v>
      </c>
      <c r="P229" s="3">
        <f t="shared" si="190"/>
        <v>4.3271313656546448E-2</v>
      </c>
      <c r="Q229" s="3">
        <f t="shared" si="190"/>
        <v>4.3271311896179734E-2</v>
      </c>
      <c r="R229" s="3">
        <f t="shared" si="190"/>
        <v>4.3271294292516471E-2</v>
      </c>
      <c r="S229" s="3">
        <f t="shared" si="190"/>
        <v>4.3271118256277726E-2</v>
      </c>
      <c r="T229" s="3">
        <f t="shared" si="190"/>
        <v>4.3269357933278074E-2</v>
      </c>
      <c r="U229" s="3">
        <f t="shared" si="190"/>
        <v>4.3251758641468241E-2</v>
      </c>
      <c r="V229" s="3">
        <f t="shared" si="190"/>
        <v>4.3076158949888935E-2</v>
      </c>
      <c r="W229" s="3">
        <f t="shared" si="190"/>
        <v>4.1358899172769574E-2</v>
      </c>
      <c r="X229" s="3">
        <f t="shared" si="190"/>
        <v>2.7535246657467545E-2</v>
      </c>
      <c r="Y229" s="3">
        <f t="shared" si="190"/>
        <v>4.710738260642698E-4</v>
      </c>
      <c r="Z229" s="3">
        <f t="shared" si="190"/>
        <v>1.0117867966255055E-21</v>
      </c>
      <c r="AA229" s="3">
        <f t="shared" si="190"/>
        <v>2.1139238573779538E-198</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2.2304524360839302E-2</v>
      </c>
      <c r="C230" s="3">
        <f t="shared" si="191"/>
        <v>2.2304524360839302E-2</v>
      </c>
      <c r="D230" s="3">
        <f t="shared" si="191"/>
        <v>2.2304524360839302E-2</v>
      </c>
      <c r="E230" s="3">
        <f t="shared" si="191"/>
        <v>2.2304524360839302E-2</v>
      </c>
      <c r="F230" s="3">
        <f t="shared" si="191"/>
        <v>2.2304524360839302E-2</v>
      </c>
      <c r="G230" s="3">
        <f t="shared" si="191"/>
        <v>2.2304524360839302E-2</v>
      </c>
      <c r="H230" s="3">
        <f t="shared" si="191"/>
        <v>2.2304524360839302E-2</v>
      </c>
      <c r="I230" s="3">
        <f t="shared" si="191"/>
        <v>2.2304524360839302E-2</v>
      </c>
      <c r="J230" s="3">
        <f t="shared" si="191"/>
        <v>2.2304524360839292E-2</v>
      </c>
      <c r="K230" s="3">
        <f t="shared" si="191"/>
        <v>2.2304524360839212E-2</v>
      </c>
      <c r="L230" s="3">
        <f t="shared" si="191"/>
        <v>2.2304524360838393E-2</v>
      </c>
      <c r="M230" s="3">
        <f t="shared" si="191"/>
        <v>2.2304524360830205E-2</v>
      </c>
      <c r="N230" s="3">
        <f t="shared" si="191"/>
        <v>2.2304524360748354E-2</v>
      </c>
      <c r="O230" s="3">
        <f t="shared" si="191"/>
        <v>2.2304524359929807E-2</v>
      </c>
      <c r="P230" s="3">
        <f t="shared" si="191"/>
        <v>2.2304524351744355E-2</v>
      </c>
      <c r="Q230" s="3">
        <f t="shared" si="191"/>
        <v>2.2304524269889842E-2</v>
      </c>
      <c r="R230" s="3">
        <f t="shared" si="191"/>
        <v>2.2304523451344718E-2</v>
      </c>
      <c r="S230" s="3">
        <f t="shared" si="191"/>
        <v>2.2304515265895122E-2</v>
      </c>
      <c r="T230" s="3">
        <f t="shared" si="191"/>
        <v>2.2304433411564406E-2</v>
      </c>
      <c r="U230" s="3">
        <f t="shared" si="191"/>
        <v>2.2303614884778677E-2</v>
      </c>
      <c r="V230" s="3">
        <f t="shared" si="191"/>
        <v>2.2295431268843164E-2</v>
      </c>
      <c r="W230" s="3">
        <f t="shared" si="191"/>
        <v>2.2213760077577919E-2</v>
      </c>
      <c r="X230" s="3">
        <f t="shared" si="191"/>
        <v>2.1413323154079907E-2</v>
      </c>
      <c r="Y230" s="3">
        <f t="shared" si="191"/>
        <v>1.4835562346873849E-2</v>
      </c>
      <c r="Z230" s="3">
        <f t="shared" si="191"/>
        <v>3.7801012488537637E-4</v>
      </c>
      <c r="AA230" s="3">
        <f t="shared" si="191"/>
        <v>4.360111810240679E-20</v>
      </c>
      <c r="AB230" s="3">
        <f t="shared" si="191"/>
        <v>1.8173541463020083E-179</v>
      </c>
      <c r="AC230" s="3">
        <f t="shared" si="191"/>
        <v>0</v>
      </c>
      <c r="AD230" s="3">
        <f t="shared" si="191"/>
        <v>0</v>
      </c>
      <c r="AE230" s="3">
        <f t="shared" si="191"/>
        <v>0</v>
      </c>
      <c r="AF230" s="3">
        <f t="shared" si="191"/>
        <v>0</v>
      </c>
      <c r="AG230" s="3"/>
      <c r="AH230" s="3"/>
    </row>
    <row r="231" spans="2:34" x14ac:dyDescent="0.25">
      <c r="B231" s="3">
        <f t="shared" ref="B231:AF231" si="192">$C39*EXP(-B$207/$A39/EXP(-$D$126))</f>
        <v>3.1643216322297517E-2</v>
      </c>
      <c r="C231" s="3">
        <f t="shared" si="192"/>
        <v>3.1643216322297517E-2</v>
      </c>
      <c r="D231" s="3">
        <f t="shared" si="192"/>
        <v>3.1643216322297517E-2</v>
      </c>
      <c r="E231" s="3">
        <f t="shared" si="192"/>
        <v>3.1643216322297517E-2</v>
      </c>
      <c r="F231" s="3">
        <f t="shared" si="192"/>
        <v>3.1643216322297517E-2</v>
      </c>
      <c r="G231" s="3">
        <f t="shared" si="192"/>
        <v>3.1643216322297517E-2</v>
      </c>
      <c r="H231" s="3">
        <f t="shared" si="192"/>
        <v>3.1643216322297517E-2</v>
      </c>
      <c r="I231" s="3">
        <f t="shared" si="192"/>
        <v>3.1643216322297517E-2</v>
      </c>
      <c r="J231" s="3">
        <f t="shared" si="192"/>
        <v>3.164321632229751E-2</v>
      </c>
      <c r="K231" s="3">
        <f t="shared" si="192"/>
        <v>3.1643216322297482E-2</v>
      </c>
      <c r="L231" s="3">
        <f t="shared" si="192"/>
        <v>3.1643216322297156E-2</v>
      </c>
      <c r="M231" s="3">
        <f t="shared" si="192"/>
        <v>3.164321632229395E-2</v>
      </c>
      <c r="N231" s="3">
        <f t="shared" si="192"/>
        <v>3.164321632226183E-2</v>
      </c>
      <c r="O231" s="3">
        <f t="shared" si="192"/>
        <v>3.1643216321940656E-2</v>
      </c>
      <c r="P231" s="3">
        <f t="shared" si="192"/>
        <v>3.1643216318728892E-2</v>
      </c>
      <c r="Q231" s="3">
        <f t="shared" si="192"/>
        <v>3.1643216286611292E-2</v>
      </c>
      <c r="R231" s="3">
        <f t="shared" si="192"/>
        <v>3.1643215965435241E-2</v>
      </c>
      <c r="S231" s="3">
        <f t="shared" si="192"/>
        <v>3.1643212753674953E-2</v>
      </c>
      <c r="T231" s="3">
        <f t="shared" si="192"/>
        <v>3.1643180636089965E-2</v>
      </c>
      <c r="U231" s="3">
        <f t="shared" si="192"/>
        <v>3.1642859462033032E-2</v>
      </c>
      <c r="V231" s="3">
        <f t="shared" si="192"/>
        <v>3.16396479007513E-2</v>
      </c>
      <c r="W231" s="3">
        <f t="shared" si="192"/>
        <v>3.1607550209962622E-2</v>
      </c>
      <c r="X231" s="3">
        <f t="shared" si="192"/>
        <v>3.1288358792606295E-2</v>
      </c>
      <c r="Y231" s="3">
        <f t="shared" si="192"/>
        <v>2.8268466498152164E-2</v>
      </c>
      <c r="Z231" s="3">
        <f t="shared" si="192"/>
        <v>1.0244645011720824E-2</v>
      </c>
      <c r="AA231" s="3">
        <f t="shared" si="192"/>
        <v>4.0035343606674305E-7</v>
      </c>
      <c r="AB231" s="3">
        <f t="shared" si="192"/>
        <v>3.3259063811052134E-51</v>
      </c>
      <c r="AC231" s="3">
        <f t="shared" si="192"/>
        <v>0</v>
      </c>
      <c r="AD231" s="3">
        <f t="shared" si="192"/>
        <v>0</v>
      </c>
      <c r="AE231" s="3">
        <f t="shared" si="192"/>
        <v>0</v>
      </c>
      <c r="AF231" s="3">
        <f t="shared" si="192"/>
        <v>0</v>
      </c>
      <c r="AG231" s="3"/>
      <c r="AH231" s="3"/>
    </row>
    <row r="232" spans="2:34" x14ac:dyDescent="0.25">
      <c r="B232" s="3">
        <f t="shared" ref="B232:AF232" si="193">$C40*EXP(-B$207/$A40/EXP(-$D$126))</f>
        <v>3.5141037946940686E-2</v>
      </c>
      <c r="C232" s="3">
        <f t="shared" si="193"/>
        <v>3.5141037946940686E-2</v>
      </c>
      <c r="D232" s="3">
        <f t="shared" si="193"/>
        <v>3.5141037946940686E-2</v>
      </c>
      <c r="E232" s="3">
        <f t="shared" si="193"/>
        <v>3.5141037946940686E-2</v>
      </c>
      <c r="F232" s="3">
        <f t="shared" si="193"/>
        <v>3.5141037946940686E-2</v>
      </c>
      <c r="G232" s="3">
        <f t="shared" si="193"/>
        <v>3.5141037946940686E-2</v>
      </c>
      <c r="H232" s="3">
        <f t="shared" si="193"/>
        <v>3.5141037946940686E-2</v>
      </c>
      <c r="I232" s="3">
        <f t="shared" si="193"/>
        <v>3.5141037946940686E-2</v>
      </c>
      <c r="J232" s="3">
        <f t="shared" si="193"/>
        <v>3.5141037946940686E-2</v>
      </c>
      <c r="K232" s="3">
        <f t="shared" si="193"/>
        <v>3.5141037946940679E-2</v>
      </c>
      <c r="L232" s="3">
        <f t="shared" si="193"/>
        <v>3.5141037946940644E-2</v>
      </c>
      <c r="M232" s="3">
        <f t="shared" si="193"/>
        <v>3.514103794694029E-2</v>
      </c>
      <c r="N232" s="3">
        <f t="shared" si="193"/>
        <v>3.5141037946936723E-2</v>
      </c>
      <c r="O232" s="3">
        <f t="shared" si="193"/>
        <v>3.5141037946901058E-2</v>
      </c>
      <c r="P232" s="3">
        <f t="shared" si="193"/>
        <v>3.5141037946544378E-2</v>
      </c>
      <c r="Q232" s="3">
        <f t="shared" si="193"/>
        <v>3.5141037942977585E-2</v>
      </c>
      <c r="R232" s="3">
        <f t="shared" si="193"/>
        <v>3.5141037907309727E-2</v>
      </c>
      <c r="S232" s="3">
        <f t="shared" si="193"/>
        <v>3.5141037550631075E-2</v>
      </c>
      <c r="T232" s="3">
        <f t="shared" si="193"/>
        <v>3.5141033983844779E-2</v>
      </c>
      <c r="U232" s="3">
        <f t="shared" si="193"/>
        <v>3.5140998316001745E-2</v>
      </c>
      <c r="V232" s="3">
        <f t="shared" si="193"/>
        <v>3.5140641639562563E-2</v>
      </c>
      <c r="W232" s="3">
        <f t="shared" si="193"/>
        <v>3.5137075074276637E-2</v>
      </c>
      <c r="X232" s="3">
        <f t="shared" si="193"/>
        <v>3.5101429324535971E-2</v>
      </c>
      <c r="Y232" s="3">
        <f t="shared" si="193"/>
        <v>3.4746954684682363E-2</v>
      </c>
      <c r="Z232" s="3">
        <f t="shared" si="193"/>
        <v>3.1393245357722858E-2</v>
      </c>
      <c r="AA232" s="3">
        <f t="shared" si="193"/>
        <v>1.1377081755628533E-2</v>
      </c>
      <c r="AB232" s="3">
        <f t="shared" si="193"/>
        <v>4.4460825807697204E-7</v>
      </c>
      <c r="AC232" s="3">
        <f t="shared" si="193"/>
        <v>3.6935500220953669E-51</v>
      </c>
      <c r="AD232" s="3">
        <f t="shared" si="193"/>
        <v>0</v>
      </c>
      <c r="AE232" s="3">
        <f t="shared" si="193"/>
        <v>0</v>
      </c>
      <c r="AF232" s="3">
        <f t="shared" si="193"/>
        <v>0</v>
      </c>
      <c r="AG232" s="3"/>
      <c r="AH232" s="3"/>
    </row>
    <row r="233" spans="2:34" x14ac:dyDescent="0.25">
      <c r="B233" s="3">
        <f t="shared" ref="B233:AF233" si="194">$C41*EXP(-B$207/$A41/EXP(-$D$126))</f>
        <v>3.5593088100758001E-2</v>
      </c>
      <c r="C233" s="3">
        <f t="shared" si="194"/>
        <v>3.5593088100758001E-2</v>
      </c>
      <c r="D233" s="3">
        <f t="shared" si="194"/>
        <v>3.5593088100758001E-2</v>
      </c>
      <c r="E233" s="3">
        <f t="shared" si="194"/>
        <v>3.5593088100758001E-2</v>
      </c>
      <c r="F233" s="3">
        <f t="shared" si="194"/>
        <v>3.5593088100758001E-2</v>
      </c>
      <c r="G233" s="3">
        <f t="shared" si="194"/>
        <v>3.5593088100758001E-2</v>
      </c>
      <c r="H233" s="3">
        <f t="shared" si="194"/>
        <v>3.5593088100758001E-2</v>
      </c>
      <c r="I233" s="3">
        <f t="shared" si="194"/>
        <v>3.5593088100758001E-2</v>
      </c>
      <c r="J233" s="3">
        <f t="shared" si="194"/>
        <v>3.5593088100758001E-2</v>
      </c>
      <c r="K233" s="3">
        <f t="shared" si="194"/>
        <v>3.5593088100758001E-2</v>
      </c>
      <c r="L233" s="3">
        <f t="shared" si="194"/>
        <v>3.5593088100757994E-2</v>
      </c>
      <c r="M233" s="3">
        <f t="shared" si="194"/>
        <v>3.5593088100757959E-2</v>
      </c>
      <c r="N233" s="3">
        <f t="shared" si="194"/>
        <v>3.5593088100757599E-2</v>
      </c>
      <c r="O233" s="3">
        <f t="shared" si="194"/>
        <v>3.5593088100753983E-2</v>
      </c>
      <c r="P233" s="3">
        <f t="shared" si="194"/>
        <v>3.559308810071786E-2</v>
      </c>
      <c r="Q233" s="3">
        <f t="shared" si="194"/>
        <v>3.5593088100356593E-2</v>
      </c>
      <c r="R233" s="3">
        <f t="shared" si="194"/>
        <v>3.559308809674392E-2</v>
      </c>
      <c r="S233" s="3">
        <f t="shared" si="194"/>
        <v>3.5593088060617235E-2</v>
      </c>
      <c r="T233" s="3">
        <f t="shared" si="194"/>
        <v>3.5593087699350309E-2</v>
      </c>
      <c r="U233" s="3">
        <f t="shared" si="194"/>
        <v>3.5593084086681298E-2</v>
      </c>
      <c r="V233" s="3">
        <f t="shared" si="194"/>
        <v>3.5593047960011358E-2</v>
      </c>
      <c r="W233" s="3">
        <f t="shared" si="194"/>
        <v>3.5592686695328661E-2</v>
      </c>
      <c r="X233" s="3">
        <f t="shared" si="194"/>
        <v>3.5589074250168939E-2</v>
      </c>
      <c r="Y233" s="3">
        <f t="shared" si="194"/>
        <v>3.555296995772167E-2</v>
      </c>
      <c r="Z233" s="3">
        <f t="shared" si="194"/>
        <v>3.5193935398046904E-2</v>
      </c>
      <c r="AA233" s="3">
        <f t="shared" si="194"/>
        <v>3.1797084351158703E-2</v>
      </c>
      <c r="AB233" s="3">
        <f t="shared" si="194"/>
        <v>1.152343518905271E-2</v>
      </c>
      <c r="AC233" s="3">
        <f t="shared" si="194"/>
        <v>4.5032764609720102E-7</v>
      </c>
      <c r="AD233" s="3">
        <f t="shared" si="194"/>
        <v>3.741063412512041E-51</v>
      </c>
      <c r="AE233" s="3">
        <f t="shared" si="194"/>
        <v>0</v>
      </c>
      <c r="AF233" s="3">
        <f t="shared" si="194"/>
        <v>0</v>
      </c>
      <c r="AG233" s="3"/>
      <c r="AH233" s="3"/>
    </row>
    <row r="234" spans="2:34" x14ac:dyDescent="0.25">
      <c r="B234" s="3">
        <f t="shared" ref="B234:AF234" si="195">$C42*EXP(-B$207/$A42/EXP(-$D$126))</f>
        <v>3.9001792876272805E-2</v>
      </c>
      <c r="C234" s="3">
        <f t="shared" si="195"/>
        <v>3.9001792876272805E-2</v>
      </c>
      <c r="D234" s="3">
        <f t="shared" si="195"/>
        <v>3.9001792876272805E-2</v>
      </c>
      <c r="E234" s="3">
        <f t="shared" si="195"/>
        <v>3.9001792876272805E-2</v>
      </c>
      <c r="F234" s="3">
        <f t="shared" si="195"/>
        <v>3.9001792876272805E-2</v>
      </c>
      <c r="G234" s="3">
        <f t="shared" si="195"/>
        <v>3.9001792876272805E-2</v>
      </c>
      <c r="H234" s="3">
        <f t="shared" si="195"/>
        <v>3.9001792876272805E-2</v>
      </c>
      <c r="I234" s="3">
        <f t="shared" si="195"/>
        <v>3.9001792876272805E-2</v>
      </c>
      <c r="J234" s="3">
        <f t="shared" si="195"/>
        <v>3.9001792876272805E-2</v>
      </c>
      <c r="K234" s="3">
        <f t="shared" si="195"/>
        <v>3.9001792876272805E-2</v>
      </c>
      <c r="L234" s="3">
        <f t="shared" si="195"/>
        <v>3.9001792876272805E-2</v>
      </c>
      <c r="M234" s="3">
        <f t="shared" si="195"/>
        <v>3.9001792876272798E-2</v>
      </c>
      <c r="N234" s="3">
        <f t="shared" si="195"/>
        <v>3.9001792876272763E-2</v>
      </c>
      <c r="O234" s="3">
        <f t="shared" si="195"/>
        <v>3.9001792876272361E-2</v>
      </c>
      <c r="P234" s="3">
        <f t="shared" si="195"/>
        <v>3.9001792876268405E-2</v>
      </c>
      <c r="Q234" s="3">
        <f t="shared" si="195"/>
        <v>3.9001792876228819E-2</v>
      </c>
      <c r="R234" s="3">
        <f t="shared" si="195"/>
        <v>3.9001792875832955E-2</v>
      </c>
      <c r="S234" s="3">
        <f t="shared" si="195"/>
        <v>3.9001792871874302E-2</v>
      </c>
      <c r="T234" s="3">
        <f t="shared" si="195"/>
        <v>3.9001792832287809E-2</v>
      </c>
      <c r="U234" s="3">
        <f t="shared" si="195"/>
        <v>3.9001792436422808E-2</v>
      </c>
      <c r="V234" s="3">
        <f t="shared" si="195"/>
        <v>3.9001788477773087E-2</v>
      </c>
      <c r="W234" s="3">
        <f t="shared" si="195"/>
        <v>3.9001748891297906E-2</v>
      </c>
      <c r="X234" s="3">
        <f t="shared" si="195"/>
        <v>3.9001353028756056E-2</v>
      </c>
      <c r="Y234" s="3">
        <f t="shared" si="195"/>
        <v>3.8997394624318164E-2</v>
      </c>
      <c r="Z234" s="3">
        <f t="shared" si="195"/>
        <v>3.8957832669705331E-2</v>
      </c>
      <c r="AA234" s="3">
        <f t="shared" si="195"/>
        <v>3.8564413826917117E-2</v>
      </c>
      <c r="AB234" s="3">
        <f t="shared" si="195"/>
        <v>3.4842250675823111E-2</v>
      </c>
      <c r="AC234" s="3">
        <f t="shared" si="195"/>
        <v>1.2627019920112413E-2</v>
      </c>
      <c r="AD234" s="3">
        <f t="shared" si="195"/>
        <v>4.9345495197896233E-7</v>
      </c>
      <c r="AE234" s="3">
        <f t="shared" si="195"/>
        <v>4.0993402971598202E-51</v>
      </c>
      <c r="AF234" s="3">
        <f t="shared" si="195"/>
        <v>0</v>
      </c>
      <c r="AG234" s="3"/>
      <c r="AH234" s="3"/>
    </row>
    <row r="235" spans="2:34" x14ac:dyDescent="0.25">
      <c r="B235" s="3">
        <f t="shared" ref="B235:AF235" si="196">$C43*EXP(-B$207/$A43/EXP(-$D$126))</f>
        <v>4.5862342503385417E-2</v>
      </c>
      <c r="C235" s="3">
        <f t="shared" si="196"/>
        <v>4.5862342503385417E-2</v>
      </c>
      <c r="D235" s="3">
        <f t="shared" si="196"/>
        <v>4.5862342503385417E-2</v>
      </c>
      <c r="E235" s="3">
        <f t="shared" si="196"/>
        <v>4.5862342503385417E-2</v>
      </c>
      <c r="F235" s="3">
        <f t="shared" si="196"/>
        <v>4.5862342503385417E-2</v>
      </c>
      <c r="G235" s="3">
        <f t="shared" si="196"/>
        <v>4.5862342503385417E-2</v>
      </c>
      <c r="H235" s="3">
        <f t="shared" si="196"/>
        <v>4.5862342503385417E-2</v>
      </c>
      <c r="I235" s="3">
        <f t="shared" si="196"/>
        <v>4.5862342503385417E-2</v>
      </c>
      <c r="J235" s="3">
        <f t="shared" si="196"/>
        <v>4.5862342503385417E-2</v>
      </c>
      <c r="K235" s="3">
        <f t="shared" si="196"/>
        <v>4.5862342503385417E-2</v>
      </c>
      <c r="L235" s="3">
        <f t="shared" si="196"/>
        <v>4.5862342503385417E-2</v>
      </c>
      <c r="M235" s="3">
        <f t="shared" si="196"/>
        <v>4.5862342503385417E-2</v>
      </c>
      <c r="N235" s="3">
        <f t="shared" si="196"/>
        <v>4.586234250338541E-2</v>
      </c>
      <c r="O235" s="3">
        <f t="shared" si="196"/>
        <v>4.5862342503385368E-2</v>
      </c>
      <c r="P235" s="3">
        <f t="shared" si="196"/>
        <v>4.5862342503384897E-2</v>
      </c>
      <c r="Q235" s="3">
        <f t="shared" si="196"/>
        <v>4.5862342503380241E-2</v>
      </c>
      <c r="R235" s="3">
        <f t="shared" si="196"/>
        <v>4.5862342503333695E-2</v>
      </c>
      <c r="S235" s="3">
        <f t="shared" si="196"/>
        <v>4.5862342502868199E-2</v>
      </c>
      <c r="T235" s="3">
        <f t="shared" si="196"/>
        <v>4.5862342498213207E-2</v>
      </c>
      <c r="U235" s="3">
        <f t="shared" si="196"/>
        <v>4.5862342451663304E-2</v>
      </c>
      <c r="V235" s="3">
        <f t="shared" si="196"/>
        <v>4.586234198616429E-2</v>
      </c>
      <c r="W235" s="3">
        <f t="shared" si="196"/>
        <v>4.5862337331174452E-2</v>
      </c>
      <c r="X235" s="3">
        <f t="shared" si="196"/>
        <v>4.5862290781302023E-2</v>
      </c>
      <c r="Y235" s="3">
        <f t="shared" si="196"/>
        <v>4.5861825285176336E-2</v>
      </c>
      <c r="Z235" s="3">
        <f t="shared" si="196"/>
        <v>4.5857170583771367E-2</v>
      </c>
      <c r="AA235" s="3">
        <f t="shared" si="196"/>
        <v>4.5810649545153646E-2</v>
      </c>
      <c r="AB235" s="3">
        <f t="shared" si="196"/>
        <v>4.5348026973609894E-2</v>
      </c>
      <c r="AC235" s="3">
        <f t="shared" si="196"/>
        <v>4.0971122511025422E-2</v>
      </c>
      <c r="AD235" s="3">
        <f t="shared" si="196"/>
        <v>1.4848156191444495E-2</v>
      </c>
      <c r="AE235" s="3">
        <f t="shared" si="196"/>
        <v>5.8025537670650541E-7</v>
      </c>
      <c r="AF235" s="3">
        <f t="shared" si="196"/>
        <v>4.8204283670417792E-51</v>
      </c>
      <c r="AG235" s="3"/>
      <c r="AH235" s="3"/>
    </row>
    <row r="236" spans="2:34" x14ac:dyDescent="0.25">
      <c r="B236" s="3">
        <f t="shared" ref="B236:AF236" si="197">$C44*EXP(-B$207/$A44/EXP(-$D$126))</f>
        <v>5.0364270464190349E-2</v>
      </c>
      <c r="C236" s="3">
        <f t="shared" si="197"/>
        <v>5.0364270464190349E-2</v>
      </c>
      <c r="D236" s="3">
        <f t="shared" si="197"/>
        <v>5.0364270464190349E-2</v>
      </c>
      <c r="E236" s="3">
        <f t="shared" si="197"/>
        <v>5.0364270464190349E-2</v>
      </c>
      <c r="F236" s="3">
        <f t="shared" si="197"/>
        <v>5.0364270464190349E-2</v>
      </c>
      <c r="G236" s="3">
        <f t="shared" si="197"/>
        <v>5.0364270464190349E-2</v>
      </c>
      <c r="H236" s="3">
        <f t="shared" si="197"/>
        <v>5.0364270464190349E-2</v>
      </c>
      <c r="I236" s="3">
        <f t="shared" si="197"/>
        <v>5.0364270464190349E-2</v>
      </c>
      <c r="J236" s="3">
        <f t="shared" si="197"/>
        <v>5.0364270464190349E-2</v>
      </c>
      <c r="K236" s="3">
        <f t="shared" si="197"/>
        <v>5.0364270464190349E-2</v>
      </c>
      <c r="L236" s="3">
        <f t="shared" si="197"/>
        <v>5.0364270464190349E-2</v>
      </c>
      <c r="M236" s="3">
        <f t="shared" si="197"/>
        <v>5.0364270464190349E-2</v>
      </c>
      <c r="N236" s="3">
        <f t="shared" si="197"/>
        <v>5.0364270464190349E-2</v>
      </c>
      <c r="O236" s="3">
        <f t="shared" si="197"/>
        <v>5.0364270464190342E-2</v>
      </c>
      <c r="P236" s="3">
        <f t="shared" si="197"/>
        <v>5.0364270464190293E-2</v>
      </c>
      <c r="Q236" s="3">
        <f t="shared" si="197"/>
        <v>5.036427046418978E-2</v>
      </c>
      <c r="R236" s="3">
        <f t="shared" si="197"/>
        <v>5.0364270464184666E-2</v>
      </c>
      <c r="S236" s="3">
        <f t="shared" si="197"/>
        <v>5.0364270464133547E-2</v>
      </c>
      <c r="T236" s="3">
        <f t="shared" si="197"/>
        <v>5.0364270463622358E-2</v>
      </c>
      <c r="U236" s="3">
        <f t="shared" si="197"/>
        <v>5.036427045851042E-2</v>
      </c>
      <c r="V236" s="3">
        <f t="shared" si="197"/>
        <v>5.0364270407391103E-2</v>
      </c>
      <c r="W236" s="3">
        <f t="shared" si="197"/>
        <v>5.036426989619789E-2</v>
      </c>
      <c r="X236" s="3">
        <f t="shared" si="197"/>
        <v>5.0364264784266088E-2</v>
      </c>
      <c r="Y236" s="3">
        <f t="shared" si="197"/>
        <v>5.0364213664976551E-2</v>
      </c>
      <c r="Z236" s="3">
        <f t="shared" si="197"/>
        <v>5.0363702474934914E-2</v>
      </c>
      <c r="AA236" s="3">
        <f t="shared" si="197"/>
        <v>5.03585908598779E-2</v>
      </c>
      <c r="AB236" s="3">
        <f t="shared" si="197"/>
        <v>5.0307503234533757E-2</v>
      </c>
      <c r="AC236" s="3">
        <f t="shared" si="197"/>
        <v>4.9799468820147942E-2</v>
      </c>
      <c r="AD236" s="3">
        <f t="shared" si="197"/>
        <v>4.4992919740513518E-2</v>
      </c>
      <c r="AE236" s="3">
        <f t="shared" si="197"/>
        <v>1.6305677239780141E-2</v>
      </c>
      <c r="AF236" s="3">
        <f t="shared" si="197"/>
        <v>6.3721426197516751E-7</v>
      </c>
      <c r="AG236" s="3"/>
      <c r="AH236" s="3"/>
    </row>
    <row r="237" spans="2:34" x14ac:dyDescent="0.25">
      <c r="B237" s="3">
        <f t="shared" ref="B237:AF237" si="198">$C45*EXP(-B$207/$A45/EXP(-$D$126))</f>
        <v>4.7472549330169547E-2</v>
      </c>
      <c r="C237" s="3">
        <f t="shared" si="198"/>
        <v>4.7472549330169547E-2</v>
      </c>
      <c r="D237" s="3">
        <f t="shared" si="198"/>
        <v>4.7472549330169547E-2</v>
      </c>
      <c r="E237" s="3">
        <f t="shared" si="198"/>
        <v>4.7472549330169547E-2</v>
      </c>
      <c r="F237" s="3">
        <f t="shared" si="198"/>
        <v>4.7472549330169547E-2</v>
      </c>
      <c r="G237" s="3">
        <f t="shared" si="198"/>
        <v>4.7472549330169547E-2</v>
      </c>
      <c r="H237" s="3">
        <f t="shared" si="198"/>
        <v>4.7472549330169547E-2</v>
      </c>
      <c r="I237" s="3">
        <f t="shared" si="198"/>
        <v>4.7472549330169547E-2</v>
      </c>
      <c r="J237" s="3">
        <f t="shared" si="198"/>
        <v>4.7472549330169547E-2</v>
      </c>
      <c r="K237" s="3">
        <f t="shared" si="198"/>
        <v>4.7472549330169547E-2</v>
      </c>
      <c r="L237" s="3">
        <f t="shared" si="198"/>
        <v>4.7472549330169547E-2</v>
      </c>
      <c r="M237" s="3">
        <f t="shared" si="198"/>
        <v>4.7472549330169547E-2</v>
      </c>
      <c r="N237" s="3">
        <f t="shared" si="198"/>
        <v>4.7472549330169547E-2</v>
      </c>
      <c r="O237" s="3">
        <f t="shared" si="198"/>
        <v>4.7472549330169547E-2</v>
      </c>
      <c r="P237" s="3">
        <f t="shared" si="198"/>
        <v>4.747254933016954E-2</v>
      </c>
      <c r="Q237" s="3">
        <f t="shared" si="198"/>
        <v>4.7472549330169492E-2</v>
      </c>
      <c r="R237" s="3">
        <f t="shared" si="198"/>
        <v>4.7472549330169013E-2</v>
      </c>
      <c r="S237" s="3">
        <f t="shared" si="198"/>
        <v>4.747254933016419E-2</v>
      </c>
      <c r="T237" s="3">
        <f t="shared" si="198"/>
        <v>4.7472549330116007E-2</v>
      </c>
      <c r="U237" s="3">
        <f t="shared" si="198"/>
        <v>4.747254932963417E-2</v>
      </c>
      <c r="V237" s="3">
        <f t="shared" si="198"/>
        <v>4.747254932481574E-2</v>
      </c>
      <c r="W237" s="3">
        <f t="shared" si="198"/>
        <v>4.7472549276631491E-2</v>
      </c>
      <c r="X237" s="3">
        <f t="shared" si="198"/>
        <v>4.7472548794789016E-2</v>
      </c>
      <c r="Y237" s="3">
        <f t="shared" si="198"/>
        <v>4.7472543976364516E-2</v>
      </c>
      <c r="Z237" s="3">
        <f t="shared" si="198"/>
        <v>4.747249579214638E-2</v>
      </c>
      <c r="AA237" s="3">
        <f t="shared" si="198"/>
        <v>4.7472013952654907E-2</v>
      </c>
      <c r="AB237" s="3">
        <f t="shared" si="198"/>
        <v>4.7467195826715346E-2</v>
      </c>
      <c r="AC237" s="3">
        <f t="shared" si="198"/>
        <v>4.7419041454737784E-2</v>
      </c>
      <c r="AD237" s="3">
        <f t="shared" si="198"/>
        <v>4.6940176406637814E-2</v>
      </c>
      <c r="AE237" s="3">
        <f t="shared" si="198"/>
        <v>4.240960073885236E-2</v>
      </c>
      <c r="AF237" s="3">
        <f t="shared" si="198"/>
        <v>1.5369468474236331E-2</v>
      </c>
      <c r="AG237" s="3"/>
      <c r="AH237" s="3"/>
    </row>
    <row r="238" spans="2:34" x14ac:dyDescent="0.25">
      <c r="B238" s="3">
        <f t="shared" ref="B238:AF238" si="199">$C46*EXP(-B$207/$A46/EXP(-$D$126))</f>
        <v>3.4265272438938038E-2</v>
      </c>
      <c r="C238" s="3">
        <f t="shared" si="199"/>
        <v>3.4265272438938038E-2</v>
      </c>
      <c r="D238" s="3">
        <f t="shared" si="199"/>
        <v>3.4265272438938038E-2</v>
      </c>
      <c r="E238" s="3">
        <f t="shared" si="199"/>
        <v>3.4265272438938038E-2</v>
      </c>
      <c r="F238" s="3">
        <f t="shared" si="199"/>
        <v>3.4265272438938038E-2</v>
      </c>
      <c r="G238" s="3">
        <f t="shared" si="199"/>
        <v>3.4265272438938038E-2</v>
      </c>
      <c r="H238" s="3">
        <f t="shared" si="199"/>
        <v>3.4265272438938038E-2</v>
      </c>
      <c r="I238" s="3">
        <f t="shared" si="199"/>
        <v>3.4265272438938038E-2</v>
      </c>
      <c r="J238" s="3">
        <f t="shared" si="199"/>
        <v>3.4265272438938038E-2</v>
      </c>
      <c r="K238" s="3">
        <f t="shared" si="199"/>
        <v>3.4265272438938038E-2</v>
      </c>
      <c r="L238" s="3">
        <f t="shared" si="199"/>
        <v>3.4265272438938038E-2</v>
      </c>
      <c r="M238" s="3">
        <f t="shared" si="199"/>
        <v>3.4265272438938038E-2</v>
      </c>
      <c r="N238" s="3">
        <f t="shared" si="199"/>
        <v>3.4265272438938038E-2</v>
      </c>
      <c r="O238" s="3">
        <f t="shared" si="199"/>
        <v>3.4265272438938038E-2</v>
      </c>
      <c r="P238" s="3">
        <f t="shared" si="199"/>
        <v>3.4265272438938038E-2</v>
      </c>
      <c r="Q238" s="3">
        <f t="shared" si="199"/>
        <v>3.4265272438938031E-2</v>
      </c>
      <c r="R238" s="3">
        <f t="shared" si="199"/>
        <v>3.4265272438938003E-2</v>
      </c>
      <c r="S238" s="3">
        <f t="shared" si="199"/>
        <v>3.426527243893765E-2</v>
      </c>
      <c r="T238" s="3">
        <f t="shared" si="199"/>
        <v>3.4265272438934173E-2</v>
      </c>
      <c r="U238" s="3">
        <f t="shared" si="199"/>
        <v>3.4265272438899395E-2</v>
      </c>
      <c r="V238" s="3">
        <f t="shared" si="199"/>
        <v>3.4265272438551604E-2</v>
      </c>
      <c r="W238" s="3">
        <f t="shared" si="199"/>
        <v>3.4265272435073706E-2</v>
      </c>
      <c r="X238" s="3">
        <f t="shared" si="199"/>
        <v>3.4265272400294741E-2</v>
      </c>
      <c r="Y238" s="3">
        <f t="shared" si="199"/>
        <v>3.4265272052505034E-2</v>
      </c>
      <c r="Z238" s="3">
        <f t="shared" si="199"/>
        <v>3.4265268574608217E-2</v>
      </c>
      <c r="AA238" s="3">
        <f t="shared" si="199"/>
        <v>3.426523379565944E-2</v>
      </c>
      <c r="AB238" s="3">
        <f t="shared" si="199"/>
        <v>3.4264886008113157E-2</v>
      </c>
      <c r="AC238" s="3">
        <f t="shared" si="199"/>
        <v>3.4261408326794293E-2</v>
      </c>
      <c r="AD238" s="3">
        <f t="shared" si="199"/>
        <v>3.4226650920709756E-2</v>
      </c>
      <c r="AE238" s="3">
        <f t="shared" si="199"/>
        <v>3.3881010301738346E-2</v>
      </c>
      <c r="AF238" s="3">
        <f t="shared" si="199"/>
        <v>3.0610880263383024E-2</v>
      </c>
      <c r="AG238" s="3"/>
      <c r="AH238" s="3"/>
    </row>
    <row r="239" spans="2:34" x14ac:dyDescent="0.25">
      <c r="B239" s="3">
        <f t="shared" ref="B239:AF239" si="200">$C47*EXP(-B$207/$A47/EXP(-$D$126))</f>
        <v>1.7817533491132281E-2</v>
      </c>
      <c r="C239" s="3">
        <f t="shared" si="200"/>
        <v>1.7817533491132281E-2</v>
      </c>
      <c r="D239" s="3">
        <f t="shared" si="200"/>
        <v>1.7817533491132281E-2</v>
      </c>
      <c r="E239" s="3">
        <f t="shared" si="200"/>
        <v>1.7817533491132281E-2</v>
      </c>
      <c r="F239" s="3">
        <f t="shared" si="200"/>
        <v>1.7817533491132281E-2</v>
      </c>
      <c r="G239" s="3">
        <f t="shared" si="200"/>
        <v>1.7817533491132281E-2</v>
      </c>
      <c r="H239" s="3">
        <f t="shared" si="200"/>
        <v>1.7817533491132281E-2</v>
      </c>
      <c r="I239" s="3">
        <f t="shared" si="200"/>
        <v>1.7817533491132281E-2</v>
      </c>
      <c r="J239" s="3">
        <f t="shared" si="200"/>
        <v>1.7817533491132281E-2</v>
      </c>
      <c r="K239" s="3">
        <f t="shared" si="200"/>
        <v>1.7817533491132281E-2</v>
      </c>
      <c r="L239" s="3">
        <f t="shared" si="200"/>
        <v>1.7817533491132281E-2</v>
      </c>
      <c r="M239" s="3">
        <f t="shared" si="200"/>
        <v>1.7817533491132281E-2</v>
      </c>
      <c r="N239" s="3">
        <f t="shared" si="200"/>
        <v>1.7817533491132281E-2</v>
      </c>
      <c r="O239" s="3">
        <f t="shared" si="200"/>
        <v>1.7817533491132281E-2</v>
      </c>
      <c r="P239" s="3">
        <f t="shared" si="200"/>
        <v>1.7817533491132281E-2</v>
      </c>
      <c r="Q239" s="3">
        <f t="shared" si="200"/>
        <v>1.7817533491132281E-2</v>
      </c>
      <c r="R239" s="3">
        <f t="shared" si="200"/>
        <v>1.7817533491132277E-2</v>
      </c>
      <c r="S239" s="3">
        <f t="shared" si="200"/>
        <v>1.781753349113226E-2</v>
      </c>
      <c r="T239" s="3">
        <f t="shared" si="200"/>
        <v>1.7817533491132079E-2</v>
      </c>
      <c r="U239" s="3">
        <f t="shared" si="200"/>
        <v>1.7817533491130272E-2</v>
      </c>
      <c r="V239" s="3">
        <f t="shared" si="200"/>
        <v>1.7817533491112186E-2</v>
      </c>
      <c r="W239" s="3">
        <f t="shared" si="200"/>
        <v>1.7817533490931341E-2</v>
      </c>
      <c r="X239" s="3">
        <f t="shared" si="200"/>
        <v>1.7817533489122874E-2</v>
      </c>
      <c r="Y239" s="3">
        <f t="shared" si="200"/>
        <v>1.7817533471038226E-2</v>
      </c>
      <c r="Z239" s="3">
        <f t="shared" si="200"/>
        <v>1.7817533290191721E-2</v>
      </c>
      <c r="AA239" s="3">
        <f t="shared" si="200"/>
        <v>1.7817531481726809E-2</v>
      </c>
      <c r="AB239" s="3">
        <f t="shared" si="200"/>
        <v>1.7817513397087738E-2</v>
      </c>
      <c r="AC239" s="3">
        <f t="shared" si="200"/>
        <v>1.7817332551706613E-2</v>
      </c>
      <c r="AD239" s="3">
        <f t="shared" si="200"/>
        <v>1.7815524198847875E-2</v>
      </c>
      <c r="AE239" s="3">
        <f t="shared" si="200"/>
        <v>1.7797450761723458E-2</v>
      </c>
      <c r="AF239" s="3">
        <f t="shared" si="200"/>
        <v>1.761772175722208E-2</v>
      </c>
      <c r="AG239" s="3"/>
      <c r="AH239" s="3"/>
    </row>
    <row r="240" spans="2:34" x14ac:dyDescent="0.25">
      <c r="B240" s="3">
        <f t="shared" ref="B240:AF240" si="201">$C48*EXP(-B$207/$A48/EXP(-$D$126))</f>
        <v>3.0591851493341829E-2</v>
      </c>
      <c r="C240" s="3">
        <f t="shared" si="201"/>
        <v>3.0591851493341829E-2</v>
      </c>
      <c r="D240" s="3">
        <f t="shared" si="201"/>
        <v>3.0591851493341829E-2</v>
      </c>
      <c r="E240" s="3">
        <f t="shared" si="201"/>
        <v>3.0591851493341829E-2</v>
      </c>
      <c r="F240" s="3">
        <f t="shared" si="201"/>
        <v>3.0591851493341829E-2</v>
      </c>
      <c r="G240" s="3">
        <f t="shared" si="201"/>
        <v>3.0591851493341829E-2</v>
      </c>
      <c r="H240" s="3">
        <f t="shared" si="201"/>
        <v>3.0591851493341829E-2</v>
      </c>
      <c r="I240" s="3">
        <f t="shared" si="201"/>
        <v>3.0591851493341829E-2</v>
      </c>
      <c r="J240" s="3">
        <f t="shared" si="201"/>
        <v>3.0591851493341829E-2</v>
      </c>
      <c r="K240" s="3">
        <f t="shared" si="201"/>
        <v>3.0591851493341829E-2</v>
      </c>
      <c r="L240" s="3">
        <f t="shared" si="201"/>
        <v>3.0591851493341829E-2</v>
      </c>
      <c r="M240" s="3">
        <f t="shared" si="201"/>
        <v>3.0591851493341829E-2</v>
      </c>
      <c r="N240" s="3">
        <f t="shared" si="201"/>
        <v>3.0591851493341829E-2</v>
      </c>
      <c r="O240" s="3">
        <f t="shared" si="201"/>
        <v>3.0591851493341829E-2</v>
      </c>
      <c r="P240" s="3">
        <f t="shared" si="201"/>
        <v>3.0591851493341829E-2</v>
      </c>
      <c r="Q240" s="3">
        <f t="shared" si="201"/>
        <v>3.0591851493341829E-2</v>
      </c>
      <c r="R240" s="3">
        <f t="shared" si="201"/>
        <v>3.0591851493341829E-2</v>
      </c>
      <c r="S240" s="3">
        <f t="shared" si="201"/>
        <v>3.0591851493341825E-2</v>
      </c>
      <c r="T240" s="3">
        <f t="shared" si="201"/>
        <v>3.0591851493341794E-2</v>
      </c>
      <c r="U240" s="3">
        <f t="shared" si="201"/>
        <v>3.0591851493341482E-2</v>
      </c>
      <c r="V240" s="3">
        <f t="shared" si="201"/>
        <v>3.0591851493338377E-2</v>
      </c>
      <c r="W240" s="3">
        <f t="shared" si="201"/>
        <v>3.0591851493307329E-2</v>
      </c>
      <c r="X240" s="3">
        <f t="shared" si="201"/>
        <v>3.0591851492996824E-2</v>
      </c>
      <c r="Y240" s="3">
        <f t="shared" si="201"/>
        <v>3.0591851489891776E-2</v>
      </c>
      <c r="Z240" s="3">
        <f t="shared" si="201"/>
        <v>3.0591851458841298E-2</v>
      </c>
      <c r="AA240" s="3">
        <f t="shared" si="201"/>
        <v>3.0591851148336516E-2</v>
      </c>
      <c r="AB240" s="3">
        <f t="shared" si="201"/>
        <v>3.0591848043288888E-2</v>
      </c>
      <c r="AC240" s="3">
        <f t="shared" si="201"/>
        <v>3.0591816992829909E-2</v>
      </c>
      <c r="AD240" s="3">
        <f t="shared" si="201"/>
        <v>3.0591506489973528E-2</v>
      </c>
      <c r="AE240" s="3">
        <f t="shared" si="201"/>
        <v>3.0588401634740366E-2</v>
      </c>
      <c r="AF240" s="3">
        <f t="shared" si="201"/>
        <v>3.055737040896719E-2</v>
      </c>
      <c r="AG240" s="3"/>
      <c r="AH240" s="3"/>
    </row>
    <row r="241" spans="1:34" x14ac:dyDescent="0.25">
      <c r="A241" s="79">
        <f>AVERAGE(B241:AF241)</f>
        <v>6.6638310201733737E-3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1.0711800749729725E-2</v>
      </c>
      <c r="M241" s="80">
        <f t="shared" si="202"/>
        <v>1.1775765763909518E-2</v>
      </c>
      <c r="N241" s="80">
        <f t="shared" si="202"/>
        <v>1.2627934131289913E-2</v>
      </c>
      <c r="O241" s="80">
        <f t="shared" si="202"/>
        <v>1.2613693873256608E-2</v>
      </c>
      <c r="P241" s="80">
        <f t="shared" si="202"/>
        <v>1.2752450559167522E-2</v>
      </c>
      <c r="Q241" s="80">
        <f t="shared" si="202"/>
        <v>1.5024837149736783E-2</v>
      </c>
      <c r="R241" s="80">
        <f t="shared" si="202"/>
        <v>1.728703727829654E-2</v>
      </c>
      <c r="S241" s="80">
        <f t="shared" si="202"/>
        <v>1.1511409088180215E-2</v>
      </c>
      <c r="T241" s="80">
        <f t="shared" si="202"/>
        <v>1.4655487690948639E-2</v>
      </c>
      <c r="U241" s="80">
        <f t="shared" si="202"/>
        <v>4.1630026292068641E-2</v>
      </c>
      <c r="V241" s="80">
        <f t="shared" si="202"/>
        <v>4.5988319048790464E-2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284.55825757483512</v>
      </c>
      <c r="C242" s="21">
        <f t="shared" ref="C242:AF242" si="203">(C209-C208)^2</f>
        <v>286.62123130735267</v>
      </c>
      <c r="D242" s="21">
        <f t="shared" si="203"/>
        <v>289.64489295829861</v>
      </c>
      <c r="E242" s="21">
        <f t="shared" si="203"/>
        <v>330.92495838000764</v>
      </c>
      <c r="F242" s="21">
        <f t="shared" si="203"/>
        <v>815.94686140511067</v>
      </c>
      <c r="G242" s="21">
        <f t="shared" si="203"/>
        <v>3638.5188558624072</v>
      </c>
      <c r="H242" s="21">
        <f t="shared" si="203"/>
        <v>3524.602414750249</v>
      </c>
      <c r="I242" s="21">
        <f t="shared" si="203"/>
        <v>2447.6916727484158</v>
      </c>
      <c r="J242" s="21">
        <f t="shared" si="203"/>
        <v>2804.6832445617101</v>
      </c>
      <c r="K242" s="21">
        <f t="shared" si="203"/>
        <v>2995.2973660454054</v>
      </c>
      <c r="L242" s="21">
        <f t="shared" si="203"/>
        <v>3431.6058892437927</v>
      </c>
      <c r="M242" s="21">
        <f t="shared" si="203"/>
        <v>3924.1995784365618</v>
      </c>
      <c r="N242" s="21">
        <f t="shared" si="203"/>
        <v>4242.2460050112841</v>
      </c>
      <c r="O242" s="21">
        <f t="shared" si="203"/>
        <v>3959.2373888516818</v>
      </c>
      <c r="P242" s="21">
        <f t="shared" si="203"/>
        <v>3787.8598453776553</v>
      </c>
      <c r="Q242" s="21">
        <f t="shared" si="203"/>
        <v>4896.414803418651</v>
      </c>
      <c r="R242" s="21">
        <f t="shared" si="203"/>
        <v>5911.9678573508336</v>
      </c>
      <c r="S242" s="21">
        <f t="shared" si="203"/>
        <v>2325.9959123331432</v>
      </c>
      <c r="T242" s="21">
        <f t="shared" si="203"/>
        <v>3216.6011074217449</v>
      </c>
      <c r="U242" s="21">
        <f t="shared" si="203"/>
        <v>21537.651532148109</v>
      </c>
      <c r="V242" s="21">
        <f t="shared" si="203"/>
        <v>21653.263848027334</v>
      </c>
      <c r="W242" s="21">
        <f t="shared" si="203"/>
        <v>10806.764513574872</v>
      </c>
      <c r="X242" s="21">
        <f t="shared" si="203"/>
        <v>3634.0983360217333</v>
      </c>
      <c r="Y242" s="21">
        <f t="shared" si="203"/>
        <v>526.75163970258586</v>
      </c>
      <c r="Z242" s="21">
        <f t="shared" si="203"/>
        <v>78.234776480748721</v>
      </c>
      <c r="AA242" s="21">
        <f t="shared" si="203"/>
        <v>871.09872401985251</v>
      </c>
      <c r="AB242" s="21">
        <f t="shared" si="203"/>
        <v>2124.2108842726989</v>
      </c>
      <c r="AC242" s="21">
        <f t="shared" si="203"/>
        <v>3902.6337872093923</v>
      </c>
      <c r="AD242" s="21">
        <f t="shared" si="203"/>
        <v>6164.7800494534777</v>
      </c>
      <c r="AE242" s="21">
        <f t="shared" si="203"/>
        <v>7850.4759177617962</v>
      </c>
      <c r="AF242" s="21">
        <f t="shared" si="203"/>
        <v>6794.8406314843978</v>
      </c>
      <c r="AG242" s="3"/>
      <c r="AH242" s="3"/>
    </row>
    <row r="243" spans="1:34" x14ac:dyDescent="0.25">
      <c r="A243" s="71">
        <f>SUM(B243:AF243)</f>
        <v>78887.043767620795</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3431.6058892437927</v>
      </c>
      <c r="M243" s="60">
        <f t="shared" ref="M243" si="214">IF($A$64&lt;=M207,IF($B$64&gt;=M207,ABS(M242),0),0)</f>
        <v>3924.1995784365618</v>
      </c>
      <c r="N243" s="60">
        <f t="shared" ref="N243" si="215">IF($A$64&lt;=N207,IF($B$64&gt;=N207,ABS(N242),0),0)</f>
        <v>4242.2460050112841</v>
      </c>
      <c r="O243" s="60">
        <f t="shared" ref="O243" si="216">IF($A$64&lt;=O207,IF($B$64&gt;=O207,ABS(O242),0),0)</f>
        <v>3959.2373888516818</v>
      </c>
      <c r="P243" s="60">
        <f t="shared" ref="P243" si="217">IF($A$64&lt;=P207,IF($B$64&gt;=P207,ABS(P242),0),0)</f>
        <v>3787.8598453776553</v>
      </c>
      <c r="Q243" s="60">
        <f t="shared" ref="Q243" si="218">IF($A$64&lt;=Q207,IF($B$64&gt;=Q207,ABS(Q242),0),0)</f>
        <v>4896.414803418651</v>
      </c>
      <c r="R243" s="60">
        <f t="shared" ref="R243" si="219">IF($A$64&lt;=R207,IF($B$64&gt;=R207,ABS(R242),0),0)</f>
        <v>5911.9678573508336</v>
      </c>
      <c r="S243" s="60">
        <f t="shared" ref="S243" si="220">IF($A$64&lt;=S207,IF($B$64&gt;=S207,ABS(S242),0),0)</f>
        <v>2325.9959123331432</v>
      </c>
      <c r="T243" s="60">
        <f t="shared" ref="T243" si="221">IF($A$64&lt;=T207,IF($B$64&gt;=T207,ABS(T242),0),0)</f>
        <v>3216.6011074217449</v>
      </c>
      <c r="U243" s="60">
        <f t="shared" ref="U243" si="222">IF($A$64&lt;=U207,IF($B$64&gt;=U207,ABS(U242),0),0)</f>
        <v>21537.651532148109</v>
      </c>
      <c r="V243" s="60">
        <f t="shared" ref="V243" si="223">IF($A$64&lt;=V207,IF($B$64&gt;=V207,ABS(V242),0),0)</f>
        <v>21653.263848027334</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6173.904624519012</v>
      </c>
      <c r="C248" s="27">
        <f t="shared" ref="C248:AF248" si="234">($C$17+SUM(C249:C279))*$B$51</f>
        <v>6172.3313958823146</v>
      </c>
      <c r="D248" s="27">
        <f t="shared" si="234"/>
        <v>6157.8650337809786</v>
      </c>
      <c r="E248" s="27">
        <f t="shared" si="234"/>
        <v>6080.9313729060159</v>
      </c>
      <c r="F248" s="27">
        <f t="shared" si="234"/>
        <v>5909.3652502899658</v>
      </c>
      <c r="G248" s="27">
        <f t="shared" si="234"/>
        <v>5793.8697810975555</v>
      </c>
      <c r="H248" s="27">
        <f t="shared" si="234"/>
        <v>5680.2308673230182</v>
      </c>
      <c r="I248" s="27">
        <f t="shared" si="234"/>
        <v>5553.2971488164967</v>
      </c>
      <c r="J248" s="27">
        <f t="shared" si="234"/>
        <v>5418.393124763028</v>
      </c>
      <c r="K248" s="27">
        <f t="shared" si="234"/>
        <v>5266.5346690063097</v>
      </c>
      <c r="L248" s="27">
        <f t="shared" si="234"/>
        <v>5102.5740398820253</v>
      </c>
      <c r="M248" s="27">
        <f t="shared" si="234"/>
        <v>4935.2762725287312</v>
      </c>
      <c r="N248" s="27">
        <f t="shared" si="234"/>
        <v>4773.7892124256705</v>
      </c>
      <c r="O248" s="27">
        <f t="shared" si="234"/>
        <v>4598.2844092501491</v>
      </c>
      <c r="P248" s="27">
        <f t="shared" si="234"/>
        <v>4383.8334222074891</v>
      </c>
      <c r="Q248" s="27">
        <f t="shared" si="234"/>
        <v>4153.0181725358652</v>
      </c>
      <c r="R248" s="27">
        <f t="shared" si="234"/>
        <v>3937.3090335939974</v>
      </c>
      <c r="S248" s="27">
        <f t="shared" si="234"/>
        <v>3687.818703244337</v>
      </c>
      <c r="T248" s="27">
        <f t="shared" si="234"/>
        <v>3362.1194784112276</v>
      </c>
      <c r="U248" s="27">
        <f t="shared" si="234"/>
        <v>3051.8443380254462</v>
      </c>
      <c r="V248" s="27">
        <f t="shared" si="234"/>
        <v>2781.839923854227</v>
      </c>
      <c r="W248" s="27">
        <f t="shared" si="234"/>
        <v>2547.9997629880104</v>
      </c>
      <c r="X248" s="27">
        <f t="shared" si="234"/>
        <v>2324.7130312133118</v>
      </c>
      <c r="Y248" s="27">
        <f t="shared" si="234"/>
        <v>2110.8959291011579</v>
      </c>
      <c r="Z248" s="27">
        <f t="shared" si="234"/>
        <v>1889.115687012335</v>
      </c>
      <c r="AA248" s="27">
        <f t="shared" si="234"/>
        <v>1651.1296771240904</v>
      </c>
      <c r="AB248" s="27">
        <f t="shared" si="234"/>
        <v>1380.4425231373737</v>
      </c>
      <c r="AC248" s="27">
        <f t="shared" si="234"/>
        <v>1081.5085373966858</v>
      </c>
      <c r="AD248" s="27">
        <f t="shared" si="234"/>
        <v>789.756896643819</v>
      </c>
      <c r="AE248" s="27">
        <f t="shared" si="234"/>
        <v>556.63177027998438</v>
      </c>
      <c r="AF248" s="27">
        <f t="shared" si="234"/>
        <v>403.21705616921719</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9.0243116178011645E-3</v>
      </c>
      <c r="C251" s="3">
        <f t="shared" si="237"/>
        <v>8.8385866341149141E-3</v>
      </c>
      <c r="D251" s="3">
        <f t="shared" si="237"/>
        <v>7.1791035865123708E-3</v>
      </c>
      <c r="E251" s="3">
        <f t="shared" si="237"/>
        <v>8.9731346740211588E-4</v>
      </c>
      <c r="F251" s="3">
        <f t="shared" si="237"/>
        <v>8.3499494771761026E-13</v>
      </c>
      <c r="G251" s="3">
        <f t="shared" si="237"/>
        <v>4.0651864137001087E-103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3.4806978902090425E-2</v>
      </c>
      <c r="C252" s="3">
        <f t="shared" si="238"/>
        <v>3.474174555125141E-2</v>
      </c>
      <c r="D252" s="3">
        <f t="shared" si="238"/>
        <v>3.4096098502552734E-2</v>
      </c>
      <c r="E252" s="3">
        <f t="shared" si="238"/>
        <v>2.8264102896808353E-2</v>
      </c>
      <c r="F252" s="3">
        <f t="shared" si="238"/>
        <v>4.3305234048680212E-3</v>
      </c>
      <c r="G252" s="3">
        <f t="shared" si="238"/>
        <v>3.0873952850019644E-11</v>
      </c>
      <c r="H252" s="3">
        <f t="shared" si="238"/>
        <v>1.0473954933683479E-92</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1.6737032705183817E-2</v>
      </c>
      <c r="C253" s="3">
        <f t="shared" si="239"/>
        <v>1.6734200667999449E-2</v>
      </c>
      <c r="D253" s="3">
        <f t="shared" si="239"/>
        <v>1.6705906638940806E-2</v>
      </c>
      <c r="E253" s="3">
        <f t="shared" si="239"/>
        <v>1.6425584207454064E-2</v>
      </c>
      <c r="F253" s="3">
        <f t="shared" si="239"/>
        <v>1.3868470755982843E-2</v>
      </c>
      <c r="G253" s="3">
        <f t="shared" si="239"/>
        <v>2.5533248708867078E-3</v>
      </c>
      <c r="H253" s="3">
        <f t="shared" si="239"/>
        <v>1.1425654313751176E-10</v>
      </c>
      <c r="I253" s="3">
        <f t="shared" si="239"/>
        <v>3.678164319087372E-84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1.9250972517020595E-2</v>
      </c>
      <c r="C254" s="3">
        <f t="shared" si="240"/>
        <v>1.9250678648421751E-2</v>
      </c>
      <c r="D254" s="3">
        <f t="shared" si="240"/>
        <v>1.9247740209148857E-2</v>
      </c>
      <c r="E254" s="3">
        <f t="shared" si="240"/>
        <v>1.9218380474043957E-2</v>
      </c>
      <c r="F254" s="3">
        <f t="shared" si="240"/>
        <v>1.8927235015111128E-2</v>
      </c>
      <c r="G254" s="3">
        <f t="shared" si="240"/>
        <v>1.6247668562147811E-2</v>
      </c>
      <c r="H254" s="3">
        <f t="shared" si="240"/>
        <v>3.5304479827612369E-3</v>
      </c>
      <c r="I254" s="3">
        <f t="shared" si="240"/>
        <v>8.2835686276187355E-10</v>
      </c>
      <c r="J254" s="3">
        <f t="shared" si="240"/>
        <v>4.1888426874361903E-76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2.1901218735399929E-2</v>
      </c>
      <c r="C255" s="3">
        <f t="shared" si="241"/>
        <v>2.1901188576298514E-2</v>
      </c>
      <c r="D255" s="3">
        <f t="shared" si="241"/>
        <v>2.190088698756856E-2</v>
      </c>
      <c r="E255" s="3">
        <f t="shared" si="241"/>
        <v>2.189787132867491E-2</v>
      </c>
      <c r="F255" s="3">
        <f t="shared" si="241"/>
        <v>2.1867737568693191E-2</v>
      </c>
      <c r="G255" s="3">
        <f t="shared" si="241"/>
        <v>2.1568671275512909E-2</v>
      </c>
      <c r="H255" s="3">
        <f t="shared" si="241"/>
        <v>1.8793980540771988E-2</v>
      </c>
      <c r="I255" s="3">
        <f t="shared" si="241"/>
        <v>4.7421205114921974E-3</v>
      </c>
      <c r="J255" s="3">
        <f t="shared" si="241"/>
        <v>4.9603317466629517E-9</v>
      </c>
      <c r="K255" s="3">
        <f t="shared" si="241"/>
        <v>7.7784325203776597E-69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2.2497281146894761E-2</v>
      </c>
      <c r="C256" s="3">
        <f t="shared" si="242"/>
        <v>2.2497278352247407E-2</v>
      </c>
      <c r="D256" s="3">
        <f t="shared" si="242"/>
        <v>2.2497250405792965E-2</v>
      </c>
      <c r="E256" s="3">
        <f t="shared" si="242"/>
        <v>2.249697094315788E-2</v>
      </c>
      <c r="F256" s="3">
        <f t="shared" si="242"/>
        <v>2.2494176507732791E-2</v>
      </c>
      <c r="G256" s="3">
        <f t="shared" si="242"/>
        <v>2.2466251237287023E-2</v>
      </c>
      <c r="H256" s="3">
        <f t="shared" si="242"/>
        <v>2.2188898171113428E-2</v>
      </c>
      <c r="I256" s="3">
        <f t="shared" si="242"/>
        <v>1.959688282350314E-2</v>
      </c>
      <c r="J256" s="3">
        <f t="shared" si="242"/>
        <v>5.658477366770341E-3</v>
      </c>
      <c r="K256" s="3">
        <f t="shared" si="242"/>
        <v>2.2794257799119547E-8</v>
      </c>
      <c r="L256" s="3">
        <f t="shared" si="242"/>
        <v>2.5649811767445773E-62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2.6719174356409296E-2</v>
      </c>
      <c r="C257" s="3">
        <f t="shared" si="243"/>
        <v>2.6719174056999074E-2</v>
      </c>
      <c r="D257" s="3">
        <f t="shared" si="243"/>
        <v>2.6719171062897007E-2</v>
      </c>
      <c r="E257" s="3">
        <f t="shared" si="243"/>
        <v>2.6719141121894822E-2</v>
      </c>
      <c r="F257" s="3">
        <f t="shared" si="243"/>
        <v>2.6718841713718293E-2</v>
      </c>
      <c r="G257" s="3">
        <f t="shared" si="243"/>
        <v>2.6715847816476963E-2</v>
      </c>
      <c r="H257" s="3">
        <f t="shared" si="243"/>
        <v>2.6685927288817395E-2</v>
      </c>
      <c r="I257" s="3">
        <f t="shared" si="243"/>
        <v>2.6388558862983077E-2</v>
      </c>
      <c r="J257" s="3">
        <f t="shared" si="243"/>
        <v>2.3591166750723275E-2</v>
      </c>
      <c r="K257" s="3">
        <f t="shared" si="243"/>
        <v>7.6928434225176055E-3</v>
      </c>
      <c r="L257" s="3">
        <f t="shared" si="243"/>
        <v>1.0458312626518592E-7</v>
      </c>
      <c r="M257" s="3">
        <f t="shared" si="243"/>
        <v>2.2553237241801284E-56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2.826924434953244E-2</v>
      </c>
      <c r="C258" s="3">
        <f t="shared" si="244"/>
        <v>2.8269244320956247E-2</v>
      </c>
      <c r="D258" s="3">
        <f t="shared" si="244"/>
        <v>2.8269244035194308E-2</v>
      </c>
      <c r="E258" s="3">
        <f t="shared" si="244"/>
        <v>2.8269241177575077E-2</v>
      </c>
      <c r="F258" s="3">
        <f t="shared" si="244"/>
        <v>2.8269212601398665E-2</v>
      </c>
      <c r="G258" s="3">
        <f t="shared" si="244"/>
        <v>2.8268926841223296E-2</v>
      </c>
      <c r="H258" s="3">
        <f t="shared" si="244"/>
        <v>2.826606939833861E-2</v>
      </c>
      <c r="I258" s="3">
        <f t="shared" si="244"/>
        <v>2.8237510850453344E-2</v>
      </c>
      <c r="J258" s="3">
        <f t="shared" si="244"/>
        <v>2.7953507544026257E-2</v>
      </c>
      <c r="K258" s="3">
        <f t="shared" si="244"/>
        <v>2.5265930742476201E-2</v>
      </c>
      <c r="L258" s="3">
        <f t="shared" si="244"/>
        <v>9.1944385646964052E-3</v>
      </c>
      <c r="M258" s="3">
        <f t="shared" si="244"/>
        <v>3.7447631514661031E-7</v>
      </c>
      <c r="N258" s="3">
        <f t="shared" si="244"/>
        <v>4.7034415199373677E-51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2.8789242104025538E-2</v>
      </c>
      <c r="C259" s="3">
        <f t="shared" si="245"/>
        <v>2.8789242101400311E-2</v>
      </c>
      <c r="D259" s="3">
        <f t="shared" si="245"/>
        <v>2.8789242075148033E-2</v>
      </c>
      <c r="E259" s="3">
        <f t="shared" si="245"/>
        <v>2.8789241812625245E-2</v>
      </c>
      <c r="F259" s="3">
        <f t="shared" si="245"/>
        <v>2.8789239187397501E-2</v>
      </c>
      <c r="G259" s="3">
        <f t="shared" si="245"/>
        <v>2.8789212935133222E-2</v>
      </c>
      <c r="H259" s="3">
        <f t="shared" si="245"/>
        <v>2.8788950413807048E-2</v>
      </c>
      <c r="I259" s="3">
        <f t="shared" si="245"/>
        <v>2.8786325332204217E-2</v>
      </c>
      <c r="J259" s="3">
        <f t="shared" si="245"/>
        <v>2.8760087677624089E-2</v>
      </c>
      <c r="K259" s="3">
        <f t="shared" si="245"/>
        <v>2.8499022846846501E-2</v>
      </c>
      <c r="L259" s="3">
        <f t="shared" si="245"/>
        <v>2.6015226267449187E-2</v>
      </c>
      <c r="M259" s="3">
        <f t="shared" si="245"/>
        <v>1.0452110387477816E-2</v>
      </c>
      <c r="N259" s="3">
        <f t="shared" si="245"/>
        <v>1.1454279869717062E-6</v>
      </c>
      <c r="O259" s="3">
        <f t="shared" si="245"/>
        <v>2.8615794974532287E-46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2.5595411660180225E-2</v>
      </c>
      <c r="C260" s="3">
        <f t="shared" si="246"/>
        <v>2.5595411659969675E-2</v>
      </c>
      <c r="D260" s="3">
        <f t="shared" si="246"/>
        <v>2.5595411657864223E-2</v>
      </c>
      <c r="E260" s="3">
        <f t="shared" si="246"/>
        <v>2.5595411636809697E-2</v>
      </c>
      <c r="F260" s="3">
        <f t="shared" si="246"/>
        <v>2.5595411426264428E-2</v>
      </c>
      <c r="G260" s="3">
        <f t="shared" si="246"/>
        <v>2.5595409320811845E-2</v>
      </c>
      <c r="H260" s="3">
        <f t="shared" si="246"/>
        <v>2.559538826629551E-2</v>
      </c>
      <c r="I260" s="3">
        <f t="shared" si="246"/>
        <v>2.5595177722084753E-2</v>
      </c>
      <c r="J260" s="3">
        <f t="shared" si="246"/>
        <v>2.5593072375229748E-2</v>
      </c>
      <c r="K260" s="3">
        <f t="shared" si="246"/>
        <v>2.5572028429041702E-2</v>
      </c>
      <c r="L260" s="3">
        <f t="shared" si="246"/>
        <v>2.5362538311516278E-2</v>
      </c>
      <c r="M260" s="3">
        <f t="shared" si="246"/>
        <v>2.3359744642475706E-2</v>
      </c>
      <c r="N260" s="3">
        <f t="shared" si="246"/>
        <v>1.0261759686170508E-2</v>
      </c>
      <c r="O260" s="3">
        <f t="shared" si="246"/>
        <v>2.7463717927926334E-6</v>
      </c>
      <c r="P260" s="3">
        <f t="shared" si="246"/>
        <v>5.1776683597420941E-42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3.1571984224502921E-2</v>
      </c>
      <c r="C261" s="3">
        <f t="shared" si="247"/>
        <v>3.1571984224479495E-2</v>
      </c>
      <c r="D261" s="3">
        <f t="shared" si="247"/>
        <v>3.157198422424521E-2</v>
      </c>
      <c r="E261" s="3">
        <f t="shared" si="247"/>
        <v>3.1571984221902431E-2</v>
      </c>
      <c r="F261" s="3">
        <f t="shared" si="247"/>
        <v>3.1571984198474616E-2</v>
      </c>
      <c r="G261" s="3">
        <f t="shared" si="247"/>
        <v>3.1571983964196436E-2</v>
      </c>
      <c r="H261" s="3">
        <f t="shared" si="247"/>
        <v>3.1571981621414773E-2</v>
      </c>
      <c r="I261" s="3">
        <f t="shared" si="247"/>
        <v>3.1571958193607655E-2</v>
      </c>
      <c r="J261" s="3">
        <f t="shared" si="247"/>
        <v>3.1571723916492649E-2</v>
      </c>
      <c r="K261" s="3">
        <f t="shared" si="247"/>
        <v>3.1569381240954326E-2</v>
      </c>
      <c r="L261" s="3">
        <f t="shared" si="247"/>
        <v>3.1545964044120876E-2</v>
      </c>
      <c r="M261" s="3">
        <f t="shared" si="247"/>
        <v>3.1312745311603281E-2</v>
      </c>
      <c r="N261" s="3">
        <f t="shared" si="247"/>
        <v>2.9073315535092643E-2</v>
      </c>
      <c r="O261" s="3">
        <f t="shared" si="247"/>
        <v>1.3842952329009032E-2</v>
      </c>
      <c r="P261" s="3">
        <f t="shared" si="247"/>
        <v>8.2903017642246146E-6</v>
      </c>
      <c r="Q261" s="3">
        <f t="shared" si="247"/>
        <v>4.9202423633251052E-38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4.0619048192840637E-2</v>
      </c>
      <c r="C262" s="3">
        <f t="shared" si="248"/>
        <v>4.0619048192837924E-2</v>
      </c>
      <c r="D262" s="3">
        <f t="shared" si="248"/>
        <v>4.0619048192810731E-2</v>
      </c>
      <c r="E262" s="3">
        <f t="shared" si="248"/>
        <v>4.0619048192538837E-2</v>
      </c>
      <c r="F262" s="3">
        <f t="shared" si="248"/>
        <v>4.0619048189819852E-2</v>
      </c>
      <c r="G262" s="3">
        <f t="shared" si="248"/>
        <v>4.0619048162630039E-2</v>
      </c>
      <c r="H262" s="3">
        <f t="shared" si="248"/>
        <v>4.0619047890731855E-2</v>
      </c>
      <c r="I262" s="3">
        <f t="shared" si="248"/>
        <v>4.0619045171750218E-2</v>
      </c>
      <c r="J262" s="3">
        <f t="shared" si="248"/>
        <v>4.0619017981943811E-2</v>
      </c>
      <c r="K262" s="3">
        <f t="shared" si="248"/>
        <v>4.0618746084880759E-2</v>
      </c>
      <c r="L262" s="3">
        <f t="shared" si="248"/>
        <v>4.0616027214350141E-2</v>
      </c>
      <c r="M262" s="3">
        <f t="shared" si="248"/>
        <v>4.0588848516553776E-2</v>
      </c>
      <c r="N262" s="3">
        <f t="shared" si="248"/>
        <v>4.0318059815415613E-2</v>
      </c>
      <c r="O262" s="3">
        <f t="shared" si="248"/>
        <v>3.7707571673324711E-2</v>
      </c>
      <c r="P262" s="3">
        <f t="shared" si="248"/>
        <v>1.9307141034121244E-2</v>
      </c>
      <c r="Q262" s="3">
        <f t="shared" si="248"/>
        <v>2.3911785543806495E-5</v>
      </c>
      <c r="R262" s="3">
        <f t="shared" si="248"/>
        <v>2.0302634069689776E-34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3.7761220679273858E-2</v>
      </c>
      <c r="C263" s="3">
        <f t="shared" si="249"/>
        <v>3.7761220679273635E-2</v>
      </c>
      <c r="D263" s="3">
        <f t="shared" si="249"/>
        <v>3.7761220679271353E-2</v>
      </c>
      <c r="E263" s="3">
        <f t="shared" si="249"/>
        <v>3.7761220679248551E-2</v>
      </c>
      <c r="F263" s="3">
        <f t="shared" si="249"/>
        <v>3.7761220679020532E-2</v>
      </c>
      <c r="G263" s="3">
        <f t="shared" si="249"/>
        <v>3.7761220676740349E-2</v>
      </c>
      <c r="H263" s="3">
        <f t="shared" si="249"/>
        <v>3.7761220653938547E-2</v>
      </c>
      <c r="I263" s="3">
        <f t="shared" si="249"/>
        <v>3.7761220425920533E-2</v>
      </c>
      <c r="J263" s="3">
        <f t="shared" si="249"/>
        <v>3.776121814574044E-2</v>
      </c>
      <c r="K263" s="3">
        <f t="shared" si="249"/>
        <v>3.7761195343947049E-2</v>
      </c>
      <c r="L263" s="3">
        <f t="shared" si="249"/>
        <v>3.7760967326770437E-2</v>
      </c>
      <c r="M263" s="3">
        <f t="shared" si="249"/>
        <v>3.7758687230730191E-2</v>
      </c>
      <c r="N263" s="3">
        <f t="shared" si="249"/>
        <v>3.7735893841222133E-2</v>
      </c>
      <c r="O263" s="3">
        <f t="shared" si="249"/>
        <v>3.7508715346812993E-2</v>
      </c>
      <c r="P263" s="3">
        <f t="shared" si="249"/>
        <v>3.5310809656417669E-2</v>
      </c>
      <c r="Q263" s="3">
        <f t="shared" si="249"/>
        <v>1.9304676719829928E-2</v>
      </c>
      <c r="R263" s="3">
        <f t="shared" si="249"/>
        <v>4.6048035555834708E-5</v>
      </c>
      <c r="S263" s="3">
        <f t="shared" si="249"/>
        <v>2.7459767211315308E-31</v>
      </c>
      <c r="T263" s="3">
        <f t="shared" si="249"/>
        <v>1.5615442206904227E-293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3.2047185254004906E-2</v>
      </c>
      <c r="C264" s="3">
        <f t="shared" si="250"/>
        <v>3.2047185254004892E-2</v>
      </c>
      <c r="D264" s="3">
        <f t="shared" si="250"/>
        <v>3.2047185254004719E-2</v>
      </c>
      <c r="E264" s="3">
        <f t="shared" si="250"/>
        <v>3.2047185254002977E-2</v>
      </c>
      <c r="F264" s="3">
        <f t="shared" si="250"/>
        <v>3.2047185253985512E-2</v>
      </c>
      <c r="G264" s="3">
        <f t="shared" si="250"/>
        <v>3.204718525381095E-2</v>
      </c>
      <c r="H264" s="3">
        <f t="shared" si="250"/>
        <v>3.2047185252065291E-2</v>
      </c>
      <c r="I264" s="3">
        <f t="shared" si="250"/>
        <v>3.2047185234608692E-2</v>
      </c>
      <c r="J264" s="3">
        <f t="shared" si="250"/>
        <v>3.2047185060042713E-2</v>
      </c>
      <c r="K264" s="3">
        <f t="shared" si="250"/>
        <v>3.2047183314382915E-2</v>
      </c>
      <c r="L264" s="3">
        <f t="shared" si="250"/>
        <v>3.204716585779023E-2</v>
      </c>
      <c r="M264" s="3">
        <f t="shared" si="250"/>
        <v>3.2046991292386355E-2</v>
      </c>
      <c r="N264" s="3">
        <f t="shared" si="250"/>
        <v>3.2045245690645284E-2</v>
      </c>
      <c r="O264" s="3">
        <f t="shared" si="250"/>
        <v>3.2027794901947383E-2</v>
      </c>
      <c r="P264" s="3">
        <f t="shared" si="250"/>
        <v>3.1853808833969821E-2</v>
      </c>
      <c r="Q264" s="3">
        <f t="shared" si="250"/>
        <v>3.0165093503521836E-2</v>
      </c>
      <c r="R264" s="3">
        <f t="shared" si="250"/>
        <v>1.749595852686861E-2</v>
      </c>
      <c r="S264" s="3">
        <f t="shared" si="250"/>
        <v>7.5382127043421021E-5</v>
      </c>
      <c r="T264" s="3">
        <f t="shared" si="250"/>
        <v>1.6617850937031196E-28</v>
      </c>
      <c r="U264" s="3">
        <f t="shared" si="250"/>
        <v>4.5044271984188561E-265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5.5060207151423582E-2</v>
      </c>
      <c r="C265" s="3">
        <f t="shared" si="251"/>
        <v>5.5060207151423582E-2</v>
      </c>
      <c r="D265" s="3">
        <f t="shared" si="251"/>
        <v>5.5060207151423554E-2</v>
      </c>
      <c r="E265" s="3">
        <f t="shared" si="251"/>
        <v>5.5060207151423284E-2</v>
      </c>
      <c r="F265" s="3">
        <f t="shared" si="251"/>
        <v>5.5060207151420577E-2</v>
      </c>
      <c r="G265" s="3">
        <f t="shared" si="251"/>
        <v>5.5060207151393516E-2</v>
      </c>
      <c r="H265" s="3">
        <f t="shared" si="251"/>
        <v>5.5060207151122968E-2</v>
      </c>
      <c r="I265" s="3">
        <f t="shared" si="251"/>
        <v>5.5060207148417424E-2</v>
      </c>
      <c r="J265" s="3">
        <f t="shared" si="251"/>
        <v>5.5060207121362011E-2</v>
      </c>
      <c r="K265" s="3">
        <f t="shared" si="251"/>
        <v>5.5060206850807883E-2</v>
      </c>
      <c r="L265" s="3">
        <f t="shared" si="251"/>
        <v>5.5060204145266689E-2</v>
      </c>
      <c r="M265" s="3">
        <f t="shared" si="251"/>
        <v>5.5060177089862036E-2</v>
      </c>
      <c r="N265" s="3">
        <f t="shared" si="251"/>
        <v>5.5059906536546674E-2</v>
      </c>
      <c r="O265" s="3">
        <f t="shared" si="251"/>
        <v>5.5057201076511124E-2</v>
      </c>
      <c r="P265" s="3">
        <f t="shared" si="251"/>
        <v>5.5030153786628101E-2</v>
      </c>
      <c r="Q265" s="3">
        <f t="shared" si="251"/>
        <v>5.4760410607675489E-2</v>
      </c>
      <c r="R265" s="3">
        <f t="shared" si="251"/>
        <v>5.2134641358657842E-2</v>
      </c>
      <c r="S265" s="3">
        <f t="shared" si="251"/>
        <v>3.1895053445047582E-2</v>
      </c>
      <c r="T265" s="3">
        <f t="shared" si="251"/>
        <v>2.3425710571029241E-4</v>
      </c>
      <c r="U265" s="3">
        <f t="shared" si="251"/>
        <v>1.0700083406593105E-25</v>
      </c>
      <c r="V265" s="3">
        <f t="shared" si="251"/>
        <v>4.2299093581391377E-239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5.5367146096233756E-2</v>
      </c>
      <c r="C266" s="3">
        <f t="shared" si="252"/>
        <v>5.5367146096233756E-2</v>
      </c>
      <c r="D266" s="3">
        <f t="shared" si="252"/>
        <v>5.5367146096233756E-2</v>
      </c>
      <c r="E266" s="3">
        <f t="shared" si="252"/>
        <v>5.5367146096233728E-2</v>
      </c>
      <c r="F266" s="3">
        <f t="shared" si="252"/>
        <v>5.5367146096233485E-2</v>
      </c>
      <c r="G266" s="3">
        <f t="shared" si="252"/>
        <v>5.5367146096231029E-2</v>
      </c>
      <c r="H266" s="3">
        <f t="shared" si="252"/>
        <v>5.5367146096206486E-2</v>
      </c>
      <c r="I266" s="3">
        <f t="shared" si="252"/>
        <v>5.5367146095961065E-2</v>
      </c>
      <c r="J266" s="3">
        <f t="shared" si="252"/>
        <v>5.5367146093506833E-2</v>
      </c>
      <c r="K266" s="3">
        <f t="shared" si="252"/>
        <v>5.5367146068964548E-2</v>
      </c>
      <c r="L266" s="3">
        <f t="shared" si="252"/>
        <v>5.5367145823541665E-2</v>
      </c>
      <c r="M266" s="3">
        <f t="shared" si="252"/>
        <v>5.5367143369312907E-2</v>
      </c>
      <c r="N266" s="3">
        <f t="shared" si="252"/>
        <v>5.5367118827031304E-2</v>
      </c>
      <c r="O266" s="3">
        <f t="shared" si="252"/>
        <v>5.5366873404813652E-2</v>
      </c>
      <c r="P266" s="3">
        <f t="shared" si="252"/>
        <v>5.5364419242468946E-2</v>
      </c>
      <c r="Q266" s="3">
        <f t="shared" si="252"/>
        <v>5.5339883601230044E-2</v>
      </c>
      <c r="R266" s="3">
        <f t="shared" si="252"/>
        <v>5.5095124429684852E-2</v>
      </c>
      <c r="S266" s="3">
        <f t="shared" si="252"/>
        <v>5.2706288782170173E-2</v>
      </c>
      <c r="T266" s="3">
        <f t="shared" si="252"/>
        <v>3.3834138846286603E-2</v>
      </c>
      <c r="U266" s="3">
        <f t="shared" si="252"/>
        <v>4.0205181491973163E-4</v>
      </c>
      <c r="V266" s="3">
        <f t="shared" si="252"/>
        <v>2.2571011608327468E-23</v>
      </c>
      <c r="W266" s="3">
        <f t="shared" si="252"/>
        <v>7.0184465383862518E-216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4.7007838258753223E-2</v>
      </c>
      <c r="C267" s="3">
        <f t="shared" si="253"/>
        <v>4.7007838258753223E-2</v>
      </c>
      <c r="D267" s="3">
        <f t="shared" si="253"/>
        <v>4.7007838258753223E-2</v>
      </c>
      <c r="E267" s="3">
        <f t="shared" si="253"/>
        <v>4.7007838258753223E-2</v>
      </c>
      <c r="F267" s="3">
        <f t="shared" si="253"/>
        <v>4.7007838258753203E-2</v>
      </c>
      <c r="G267" s="3">
        <f t="shared" si="253"/>
        <v>4.7007838258753015E-2</v>
      </c>
      <c r="H267" s="3">
        <f t="shared" si="253"/>
        <v>4.7007838258751135E-2</v>
      </c>
      <c r="I267" s="3">
        <f t="shared" si="253"/>
        <v>4.7007838258732337E-2</v>
      </c>
      <c r="J267" s="3">
        <f t="shared" si="253"/>
        <v>4.700783825854437E-2</v>
      </c>
      <c r="K267" s="3">
        <f t="shared" si="253"/>
        <v>4.7007838256664713E-2</v>
      </c>
      <c r="L267" s="3">
        <f t="shared" si="253"/>
        <v>4.700783823786809E-2</v>
      </c>
      <c r="M267" s="3">
        <f t="shared" si="253"/>
        <v>4.7007838049901877E-2</v>
      </c>
      <c r="N267" s="3">
        <f t="shared" si="253"/>
        <v>4.7007836170239826E-2</v>
      </c>
      <c r="O267" s="3">
        <f t="shared" si="253"/>
        <v>4.700781737362341E-2</v>
      </c>
      <c r="P267" s="3">
        <f t="shared" si="253"/>
        <v>4.7007629407872627E-2</v>
      </c>
      <c r="Q267" s="3">
        <f t="shared" si="253"/>
        <v>4.7005749791702411E-2</v>
      </c>
      <c r="R267" s="3">
        <f t="shared" si="253"/>
        <v>4.6986957763144731E-2</v>
      </c>
      <c r="S267" s="3">
        <f t="shared" si="253"/>
        <v>4.6799450181178086E-2</v>
      </c>
      <c r="T267" s="3">
        <f t="shared" si="253"/>
        <v>4.4965040608469876E-2</v>
      </c>
      <c r="U267" s="3">
        <f t="shared" si="253"/>
        <v>3.0145145282226039E-2</v>
      </c>
      <c r="V267" s="3">
        <f t="shared" si="253"/>
        <v>5.5289325797399649E-4</v>
      </c>
      <c r="W267" s="3">
        <f t="shared" si="253"/>
        <v>2.3816636212369996E-21</v>
      </c>
      <c r="X267" s="3">
        <f t="shared" si="253"/>
        <v>5.2392812488581909E-195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4.3271313852142758E-2</v>
      </c>
      <c r="C268" s="3">
        <f t="shared" si="254"/>
        <v>4.3271313852142758E-2</v>
      </c>
      <c r="D268" s="3">
        <f t="shared" si="254"/>
        <v>4.3271313852142758E-2</v>
      </c>
      <c r="E268" s="3">
        <f t="shared" si="254"/>
        <v>4.3271313852142758E-2</v>
      </c>
      <c r="F268" s="3">
        <f t="shared" si="254"/>
        <v>4.3271313852142758E-2</v>
      </c>
      <c r="G268" s="3">
        <f t="shared" si="254"/>
        <v>4.3271313852142737E-2</v>
      </c>
      <c r="H268" s="3">
        <f t="shared" si="254"/>
        <v>4.3271313852142584E-2</v>
      </c>
      <c r="I268" s="3">
        <f t="shared" si="254"/>
        <v>4.3271313852141023E-2</v>
      </c>
      <c r="J268" s="3">
        <f t="shared" si="254"/>
        <v>4.3271313852125418E-2</v>
      </c>
      <c r="K268" s="3">
        <f t="shared" si="254"/>
        <v>4.3271313851969327E-2</v>
      </c>
      <c r="L268" s="3">
        <f t="shared" si="254"/>
        <v>4.3271313850408499E-2</v>
      </c>
      <c r="M268" s="3">
        <f t="shared" si="254"/>
        <v>4.3271313834800179E-2</v>
      </c>
      <c r="N268" s="3">
        <f t="shared" si="254"/>
        <v>4.3271313678716977E-2</v>
      </c>
      <c r="O268" s="3">
        <f t="shared" si="254"/>
        <v>4.3271312117884944E-2</v>
      </c>
      <c r="P268" s="3">
        <f t="shared" si="254"/>
        <v>4.327129650956775E-2</v>
      </c>
      <c r="Q268" s="3">
        <f t="shared" si="254"/>
        <v>4.3271140426705462E-2</v>
      </c>
      <c r="R268" s="3">
        <f t="shared" si="254"/>
        <v>4.3269579629047386E-2</v>
      </c>
      <c r="S268" s="3">
        <f t="shared" si="254"/>
        <v>4.3253974748535144E-2</v>
      </c>
      <c r="T268" s="3">
        <f t="shared" si="254"/>
        <v>4.3098235137455192E-2</v>
      </c>
      <c r="U268" s="3">
        <f t="shared" si="254"/>
        <v>4.1571349725395695E-2</v>
      </c>
      <c r="V268" s="3">
        <f t="shared" si="254"/>
        <v>2.898281170301327E-2</v>
      </c>
      <c r="W268" s="3">
        <f t="shared" si="254"/>
        <v>7.863292220917804E-4</v>
      </c>
      <c r="X268" s="3">
        <f t="shared" si="254"/>
        <v>1.6991957676511626E-19</v>
      </c>
      <c r="Y268" s="3">
        <f t="shared" si="254"/>
        <v>3.7725364033887564E-176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2.2304524360839302E-2</v>
      </c>
      <c r="C269" s="3">
        <f t="shared" si="255"/>
        <v>2.2304524360839302E-2</v>
      </c>
      <c r="D269" s="3">
        <f t="shared" si="255"/>
        <v>2.2304524360839302E-2</v>
      </c>
      <c r="E269" s="3">
        <f t="shared" si="255"/>
        <v>2.2304524360839302E-2</v>
      </c>
      <c r="F269" s="3">
        <f t="shared" si="255"/>
        <v>2.2304524360839302E-2</v>
      </c>
      <c r="G269" s="3">
        <f t="shared" si="255"/>
        <v>2.2304524360839302E-2</v>
      </c>
      <c r="H269" s="3">
        <f t="shared" si="255"/>
        <v>2.2304524360839295E-2</v>
      </c>
      <c r="I269" s="3">
        <f t="shared" si="255"/>
        <v>2.2304524360839219E-2</v>
      </c>
      <c r="J269" s="3">
        <f t="shared" si="255"/>
        <v>2.2304524360838494E-2</v>
      </c>
      <c r="K269" s="3">
        <f t="shared" si="255"/>
        <v>2.2304524360831239E-2</v>
      </c>
      <c r="L269" s="3">
        <f t="shared" si="255"/>
        <v>2.2304524360758662E-2</v>
      </c>
      <c r="M269" s="3">
        <f t="shared" si="255"/>
        <v>2.2304524360032899E-2</v>
      </c>
      <c r="N269" s="3">
        <f t="shared" si="255"/>
        <v>2.2304524352775256E-2</v>
      </c>
      <c r="O269" s="3">
        <f t="shared" si="255"/>
        <v>2.2304524280198815E-2</v>
      </c>
      <c r="P269" s="3">
        <f t="shared" si="255"/>
        <v>2.2304523554434443E-2</v>
      </c>
      <c r="Q269" s="3">
        <f t="shared" si="255"/>
        <v>2.2304516296792021E-2</v>
      </c>
      <c r="R269" s="3">
        <f t="shared" si="255"/>
        <v>2.2304443720497686E-2</v>
      </c>
      <c r="S269" s="3">
        <f t="shared" si="255"/>
        <v>2.2303717970542716E-2</v>
      </c>
      <c r="T269" s="3">
        <f t="shared" si="255"/>
        <v>2.2296461769675369E-2</v>
      </c>
      <c r="U269" s="3">
        <f t="shared" si="255"/>
        <v>2.222402947301861E-2</v>
      </c>
      <c r="V269" s="3">
        <f t="shared" si="255"/>
        <v>2.1512522892690837E-2</v>
      </c>
      <c r="W269" s="3">
        <f t="shared" si="255"/>
        <v>1.5537343132583764E-2</v>
      </c>
      <c r="X269" s="3">
        <f t="shared" si="255"/>
        <v>6.0011001101541769E-4</v>
      </c>
      <c r="Y269" s="3">
        <f t="shared" si="255"/>
        <v>4.433758347811333E-18</v>
      </c>
      <c r="Z269" s="3">
        <f t="shared" si="255"/>
        <v>2.148738145281886E-159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3.1643216322297517E-2</v>
      </c>
      <c r="C270" s="3">
        <f t="shared" si="256"/>
        <v>3.1643216322297517E-2</v>
      </c>
      <c r="D270" s="3">
        <f t="shared" si="256"/>
        <v>3.1643216322297517E-2</v>
      </c>
      <c r="E270" s="3">
        <f t="shared" si="256"/>
        <v>3.1643216322297517E-2</v>
      </c>
      <c r="F270" s="3">
        <f t="shared" si="256"/>
        <v>3.1643216322297517E-2</v>
      </c>
      <c r="G270" s="3">
        <f t="shared" si="256"/>
        <v>3.1643216322297517E-2</v>
      </c>
      <c r="H270" s="3">
        <f t="shared" si="256"/>
        <v>3.164321632229751E-2</v>
      </c>
      <c r="I270" s="3">
        <f t="shared" si="256"/>
        <v>3.1643216322297482E-2</v>
      </c>
      <c r="J270" s="3">
        <f t="shared" si="256"/>
        <v>3.1643216322297198E-2</v>
      </c>
      <c r="K270" s="3">
        <f t="shared" si="256"/>
        <v>3.1643216322294353E-2</v>
      </c>
      <c r="L270" s="3">
        <f t="shared" si="256"/>
        <v>3.1643216322265875E-2</v>
      </c>
      <c r="M270" s="3">
        <f t="shared" si="256"/>
        <v>3.1643216321981103E-2</v>
      </c>
      <c r="N270" s="3">
        <f t="shared" si="256"/>
        <v>3.1643216319133395E-2</v>
      </c>
      <c r="O270" s="3">
        <f t="shared" si="256"/>
        <v>3.1643216290656265E-2</v>
      </c>
      <c r="P270" s="3">
        <f t="shared" si="256"/>
        <v>3.1643216005884996E-2</v>
      </c>
      <c r="Q270" s="3">
        <f t="shared" si="256"/>
        <v>3.1643213158172478E-2</v>
      </c>
      <c r="R270" s="3">
        <f t="shared" si="256"/>
        <v>3.1643184681061337E-2</v>
      </c>
      <c r="S270" s="3">
        <f t="shared" si="256"/>
        <v>3.1642899911359518E-2</v>
      </c>
      <c r="T270" s="3">
        <f t="shared" si="256"/>
        <v>3.1640052355289099E-2</v>
      </c>
      <c r="U270" s="3">
        <f t="shared" si="256"/>
        <v>3.1611590884674003E-2</v>
      </c>
      <c r="V270" s="3">
        <f t="shared" si="256"/>
        <v>3.1328380506996469E-2</v>
      </c>
      <c r="W270" s="3">
        <f t="shared" si="256"/>
        <v>2.8632143895580595E-2</v>
      </c>
      <c r="X270" s="3">
        <f t="shared" si="256"/>
        <v>1.1641611395263006E-2</v>
      </c>
      <c r="Y270" s="3">
        <f t="shared" si="256"/>
        <v>1.4374918781838925E-6</v>
      </c>
      <c r="Z270" s="3">
        <f t="shared" si="256"/>
        <v>1.1844818604419445E-45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3.5141037946940686E-2</v>
      </c>
      <c r="C271" s="3">
        <f t="shared" si="257"/>
        <v>3.5141037946940686E-2</v>
      </c>
      <c r="D271" s="3">
        <f t="shared" si="257"/>
        <v>3.5141037946940686E-2</v>
      </c>
      <c r="E271" s="3">
        <f t="shared" si="257"/>
        <v>3.5141037946940686E-2</v>
      </c>
      <c r="F271" s="3">
        <f t="shared" si="257"/>
        <v>3.5141037946940686E-2</v>
      </c>
      <c r="G271" s="3">
        <f t="shared" si="257"/>
        <v>3.5141037946940686E-2</v>
      </c>
      <c r="H271" s="3">
        <f t="shared" si="257"/>
        <v>3.5141037946940686E-2</v>
      </c>
      <c r="I271" s="3">
        <f t="shared" si="257"/>
        <v>3.5141037946940679E-2</v>
      </c>
      <c r="J271" s="3">
        <f t="shared" si="257"/>
        <v>3.5141037946940651E-2</v>
      </c>
      <c r="K271" s="3">
        <f t="shared" si="257"/>
        <v>3.5141037946940332E-2</v>
      </c>
      <c r="L271" s="3">
        <f t="shared" si="257"/>
        <v>3.5141037946937168E-2</v>
      </c>
      <c r="M271" s="3">
        <f t="shared" si="257"/>
        <v>3.5141037946905547E-2</v>
      </c>
      <c r="N271" s="3">
        <f t="shared" si="257"/>
        <v>3.51410379465893E-2</v>
      </c>
      <c r="O271" s="3">
        <f t="shared" si="257"/>
        <v>3.5141037943426802E-2</v>
      </c>
      <c r="P271" s="3">
        <f t="shared" si="257"/>
        <v>3.5141037911801828E-2</v>
      </c>
      <c r="Q271" s="3">
        <f t="shared" si="257"/>
        <v>3.5141037595552121E-2</v>
      </c>
      <c r="R271" s="3">
        <f t="shared" si="257"/>
        <v>3.5141034433055211E-2</v>
      </c>
      <c r="S271" s="3">
        <f t="shared" si="257"/>
        <v>3.5141002808101771E-2</v>
      </c>
      <c r="T271" s="3">
        <f t="shared" si="257"/>
        <v>3.514068656013266E-2</v>
      </c>
      <c r="U271" s="3">
        <f t="shared" si="257"/>
        <v>3.5137524236969697E-2</v>
      </c>
      <c r="V271" s="3">
        <f t="shared" si="257"/>
        <v>3.5105916652938926E-2</v>
      </c>
      <c r="W271" s="3">
        <f t="shared" si="257"/>
        <v>3.4791400374708369E-2</v>
      </c>
      <c r="X271" s="3">
        <f t="shared" si="257"/>
        <v>3.1797123430460726E-2</v>
      </c>
      <c r="Y271" s="3">
        <f t="shared" si="257"/>
        <v>1.2928467941996202E-2</v>
      </c>
      <c r="Z271" s="3">
        <f t="shared" si="257"/>
        <v>1.5963913442036435E-6</v>
      </c>
      <c r="AA271" s="3">
        <f t="shared" si="257"/>
        <v>1.3154137550778242E-45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3.5593088100758001E-2</v>
      </c>
      <c r="C272" s="3">
        <f t="shared" si="258"/>
        <v>3.5593088100758001E-2</v>
      </c>
      <c r="D272" s="3">
        <f t="shared" si="258"/>
        <v>3.5593088100758001E-2</v>
      </c>
      <c r="E272" s="3">
        <f t="shared" si="258"/>
        <v>3.5593088100758001E-2</v>
      </c>
      <c r="F272" s="3">
        <f t="shared" si="258"/>
        <v>3.5593088100758001E-2</v>
      </c>
      <c r="G272" s="3">
        <f t="shared" si="258"/>
        <v>3.5593088100758001E-2</v>
      </c>
      <c r="H272" s="3">
        <f t="shared" si="258"/>
        <v>3.5593088100758001E-2</v>
      </c>
      <c r="I272" s="3">
        <f t="shared" si="258"/>
        <v>3.5593088100758001E-2</v>
      </c>
      <c r="J272" s="3">
        <f t="shared" si="258"/>
        <v>3.5593088100757994E-2</v>
      </c>
      <c r="K272" s="3">
        <f t="shared" si="258"/>
        <v>3.5593088100757966E-2</v>
      </c>
      <c r="L272" s="3">
        <f t="shared" si="258"/>
        <v>3.5593088100757647E-2</v>
      </c>
      <c r="M272" s="3">
        <f t="shared" si="258"/>
        <v>3.5593088100754441E-2</v>
      </c>
      <c r="N272" s="3">
        <f t="shared" si="258"/>
        <v>3.5593088100722411E-2</v>
      </c>
      <c r="O272" s="3">
        <f t="shared" si="258"/>
        <v>3.5593088100402091E-2</v>
      </c>
      <c r="P272" s="3">
        <f t="shared" si="258"/>
        <v>3.5593088097198911E-2</v>
      </c>
      <c r="Q272" s="3">
        <f t="shared" si="258"/>
        <v>3.5593088065167124E-2</v>
      </c>
      <c r="R272" s="3">
        <f t="shared" si="258"/>
        <v>3.5593087744849213E-2</v>
      </c>
      <c r="S272" s="3">
        <f t="shared" si="258"/>
        <v>3.5593084541670324E-2</v>
      </c>
      <c r="T272" s="3">
        <f t="shared" si="258"/>
        <v>3.5593052509897215E-2</v>
      </c>
      <c r="U272" s="3">
        <f t="shared" si="258"/>
        <v>3.5592732193751662E-2</v>
      </c>
      <c r="V272" s="3">
        <f t="shared" si="258"/>
        <v>3.5589529190837736E-2</v>
      </c>
      <c r="W272" s="3">
        <f t="shared" si="258"/>
        <v>3.5557515010586203E-2</v>
      </c>
      <c r="X272" s="3">
        <f t="shared" si="258"/>
        <v>3.5238952832170024E-2</v>
      </c>
      <c r="Y272" s="3">
        <f t="shared" si="258"/>
        <v>3.2206157863632311E-2</v>
      </c>
      <c r="Z272" s="3">
        <f t="shared" si="258"/>
        <v>1.3094778223742175E-2</v>
      </c>
      <c r="AA272" s="3">
        <f t="shared" si="258"/>
        <v>1.6169271335502616E-6</v>
      </c>
      <c r="AB272" s="3">
        <f t="shared" si="258"/>
        <v>1.3323350819667503E-45</v>
      </c>
      <c r="AC272" s="3">
        <f t="shared" si="258"/>
        <v>0</v>
      </c>
      <c r="AD272" s="3">
        <f t="shared" si="258"/>
        <v>0</v>
      </c>
      <c r="AE272" s="3">
        <f t="shared" si="258"/>
        <v>0</v>
      </c>
      <c r="AF272" s="3">
        <f t="shared" si="258"/>
        <v>0</v>
      </c>
      <c r="AG272" s="3"/>
      <c r="AH272" s="3"/>
    </row>
    <row r="273" spans="1:34" x14ac:dyDescent="0.25">
      <c r="B273" s="3">
        <f t="shared" ref="B273:AF273" si="259">$C42*EXP(-B$246/$A42/EXP(-$E$126))</f>
        <v>3.9001792876272805E-2</v>
      </c>
      <c r="C273" s="3">
        <f t="shared" si="259"/>
        <v>3.9001792876272805E-2</v>
      </c>
      <c r="D273" s="3">
        <f t="shared" si="259"/>
        <v>3.9001792876272805E-2</v>
      </c>
      <c r="E273" s="3">
        <f t="shared" si="259"/>
        <v>3.9001792876272805E-2</v>
      </c>
      <c r="F273" s="3">
        <f t="shared" si="259"/>
        <v>3.9001792876272805E-2</v>
      </c>
      <c r="G273" s="3">
        <f t="shared" si="259"/>
        <v>3.9001792876272805E-2</v>
      </c>
      <c r="H273" s="3">
        <f t="shared" si="259"/>
        <v>3.9001792876272805E-2</v>
      </c>
      <c r="I273" s="3">
        <f t="shared" si="259"/>
        <v>3.9001792876272805E-2</v>
      </c>
      <c r="J273" s="3">
        <f t="shared" si="259"/>
        <v>3.9001792876272805E-2</v>
      </c>
      <c r="K273" s="3">
        <f t="shared" si="259"/>
        <v>3.9001792876272798E-2</v>
      </c>
      <c r="L273" s="3">
        <f t="shared" si="259"/>
        <v>3.9001792876272763E-2</v>
      </c>
      <c r="M273" s="3">
        <f t="shared" si="259"/>
        <v>3.9001792876272416E-2</v>
      </c>
      <c r="N273" s="3">
        <f t="shared" si="259"/>
        <v>3.9001792876268905E-2</v>
      </c>
      <c r="O273" s="3">
        <f t="shared" si="259"/>
        <v>3.9001792876233801E-2</v>
      </c>
      <c r="P273" s="3">
        <f t="shared" si="259"/>
        <v>3.9001792875882811E-2</v>
      </c>
      <c r="Q273" s="3">
        <f t="shared" si="259"/>
        <v>3.9001792872372869E-2</v>
      </c>
      <c r="R273" s="3">
        <f t="shared" si="259"/>
        <v>3.9001792837273432E-2</v>
      </c>
      <c r="S273" s="3">
        <f t="shared" si="259"/>
        <v>3.9001792486279087E-2</v>
      </c>
      <c r="T273" s="3">
        <f t="shared" si="259"/>
        <v>3.9001788976335827E-2</v>
      </c>
      <c r="U273" s="3">
        <f t="shared" si="259"/>
        <v>3.900175387692055E-2</v>
      </c>
      <c r="V273" s="3">
        <f t="shared" si="259"/>
        <v>3.9001402884505154E-2</v>
      </c>
      <c r="W273" s="3">
        <f t="shared" si="259"/>
        <v>3.8997893134076159E-2</v>
      </c>
      <c r="X273" s="3">
        <f t="shared" si="259"/>
        <v>3.8962812996501714E-2</v>
      </c>
      <c r="Y273" s="3">
        <f t="shared" si="259"/>
        <v>3.8613742523447216E-2</v>
      </c>
      <c r="Z273" s="3">
        <f t="shared" si="259"/>
        <v>3.5290500638273693E-2</v>
      </c>
      <c r="AA273" s="3">
        <f t="shared" si="259"/>
        <v>1.4348848478596701E-2</v>
      </c>
      <c r="AB273" s="3">
        <f t="shared" si="259"/>
        <v>1.7717781885132295E-6</v>
      </c>
      <c r="AC273" s="3">
        <f t="shared" si="259"/>
        <v>1.4599311181305597E-45</v>
      </c>
      <c r="AD273" s="3">
        <f t="shared" si="259"/>
        <v>0</v>
      </c>
      <c r="AE273" s="3">
        <f t="shared" si="259"/>
        <v>0</v>
      </c>
      <c r="AF273" s="3">
        <f t="shared" si="259"/>
        <v>0</v>
      </c>
      <c r="AG273" s="3"/>
      <c r="AH273" s="3"/>
    </row>
    <row r="274" spans="1:34" x14ac:dyDescent="0.25">
      <c r="B274" s="3">
        <f t="shared" ref="B274:AF274" si="260">$C43*EXP(-B$246/$A43/EXP(-$E$126))</f>
        <v>4.5862342503385417E-2</v>
      </c>
      <c r="C274" s="3">
        <f t="shared" si="260"/>
        <v>4.5862342503385417E-2</v>
      </c>
      <c r="D274" s="3">
        <f t="shared" si="260"/>
        <v>4.5862342503385417E-2</v>
      </c>
      <c r="E274" s="3">
        <f t="shared" si="260"/>
        <v>4.5862342503385417E-2</v>
      </c>
      <c r="F274" s="3">
        <f t="shared" si="260"/>
        <v>4.5862342503385417E-2</v>
      </c>
      <c r="G274" s="3">
        <f t="shared" si="260"/>
        <v>4.5862342503385417E-2</v>
      </c>
      <c r="H274" s="3">
        <f t="shared" si="260"/>
        <v>4.5862342503385417E-2</v>
      </c>
      <c r="I274" s="3">
        <f t="shared" si="260"/>
        <v>4.5862342503385417E-2</v>
      </c>
      <c r="J274" s="3">
        <f t="shared" si="260"/>
        <v>4.5862342503385417E-2</v>
      </c>
      <c r="K274" s="3">
        <f t="shared" si="260"/>
        <v>4.5862342503385417E-2</v>
      </c>
      <c r="L274" s="3">
        <f t="shared" si="260"/>
        <v>4.586234250338541E-2</v>
      </c>
      <c r="M274" s="3">
        <f t="shared" si="260"/>
        <v>4.5862342503385368E-2</v>
      </c>
      <c r="N274" s="3">
        <f t="shared" si="260"/>
        <v>4.5862342503384959E-2</v>
      </c>
      <c r="O274" s="3">
        <f t="shared" si="260"/>
        <v>4.586234250338083E-2</v>
      </c>
      <c r="P274" s="3">
        <f t="shared" si="260"/>
        <v>4.5862342503339558E-2</v>
      </c>
      <c r="Q274" s="3">
        <f t="shared" si="260"/>
        <v>4.5862342502926826E-2</v>
      </c>
      <c r="R274" s="3">
        <f t="shared" si="260"/>
        <v>4.5862342498799467E-2</v>
      </c>
      <c r="S274" s="3">
        <f t="shared" si="260"/>
        <v>4.586234245752592E-2</v>
      </c>
      <c r="T274" s="3">
        <f t="shared" si="260"/>
        <v>4.5862342044790463E-2</v>
      </c>
      <c r="U274" s="3">
        <f t="shared" si="260"/>
        <v>4.5862337917436095E-2</v>
      </c>
      <c r="V274" s="3">
        <f t="shared" si="260"/>
        <v>4.586229664391285E-2</v>
      </c>
      <c r="W274" s="3">
        <f t="shared" si="260"/>
        <v>4.5861883910723329E-2</v>
      </c>
      <c r="X274" s="3">
        <f t="shared" si="260"/>
        <v>4.5857756783111867E-2</v>
      </c>
      <c r="Y274" s="3">
        <f t="shared" si="260"/>
        <v>4.5816505928577847E-2</v>
      </c>
      <c r="Z274" s="3">
        <f t="shared" si="260"/>
        <v>4.5406032757669246E-2</v>
      </c>
      <c r="AA274" s="3">
        <f t="shared" si="260"/>
        <v>4.1498221184931378E-2</v>
      </c>
      <c r="AB274" s="3">
        <f t="shared" si="260"/>
        <v>1.6872860320606656E-2</v>
      </c>
      <c r="AC274" s="3">
        <f t="shared" si="260"/>
        <v>2.0834400710603151E-6</v>
      </c>
      <c r="AD274" s="3">
        <f t="shared" si="260"/>
        <v>1.7167380274917451E-45</v>
      </c>
      <c r="AE274" s="3">
        <f t="shared" si="260"/>
        <v>0</v>
      </c>
      <c r="AF274" s="3">
        <f t="shared" si="260"/>
        <v>0</v>
      </c>
      <c r="AG274" s="3"/>
      <c r="AH274" s="3"/>
    </row>
    <row r="275" spans="1:34" x14ac:dyDescent="0.25">
      <c r="B275" s="3">
        <f t="shared" ref="B275:AF275" si="261">$C44*EXP(-B$246/$A44/EXP(-$E$126))</f>
        <v>5.0364270464190349E-2</v>
      </c>
      <c r="C275" s="3">
        <f t="shared" si="261"/>
        <v>5.0364270464190349E-2</v>
      </c>
      <c r="D275" s="3">
        <f t="shared" si="261"/>
        <v>5.0364270464190349E-2</v>
      </c>
      <c r="E275" s="3">
        <f t="shared" si="261"/>
        <v>5.0364270464190349E-2</v>
      </c>
      <c r="F275" s="3">
        <f t="shared" si="261"/>
        <v>5.0364270464190349E-2</v>
      </c>
      <c r="G275" s="3">
        <f t="shared" si="261"/>
        <v>5.0364270464190349E-2</v>
      </c>
      <c r="H275" s="3">
        <f t="shared" si="261"/>
        <v>5.0364270464190349E-2</v>
      </c>
      <c r="I275" s="3">
        <f t="shared" si="261"/>
        <v>5.0364270464190349E-2</v>
      </c>
      <c r="J275" s="3">
        <f t="shared" si="261"/>
        <v>5.0364270464190349E-2</v>
      </c>
      <c r="K275" s="3">
        <f t="shared" si="261"/>
        <v>5.0364270464190349E-2</v>
      </c>
      <c r="L275" s="3">
        <f t="shared" si="261"/>
        <v>5.0364270464190349E-2</v>
      </c>
      <c r="M275" s="3">
        <f t="shared" si="261"/>
        <v>5.0364270464190342E-2</v>
      </c>
      <c r="N275" s="3">
        <f t="shared" si="261"/>
        <v>5.03642704641903E-2</v>
      </c>
      <c r="O275" s="3">
        <f t="shared" si="261"/>
        <v>5.0364270464189842E-2</v>
      </c>
      <c r="P275" s="3">
        <f t="shared" si="261"/>
        <v>5.0364270464185311E-2</v>
      </c>
      <c r="Q275" s="3">
        <f t="shared" si="261"/>
        <v>5.0364270464139986E-2</v>
      </c>
      <c r="R275" s="3">
        <f t="shared" si="261"/>
        <v>5.0364270463686737E-2</v>
      </c>
      <c r="S275" s="3">
        <f t="shared" si="261"/>
        <v>5.0364270459154231E-2</v>
      </c>
      <c r="T275" s="3">
        <f t="shared" si="261"/>
        <v>5.0364270413829203E-2</v>
      </c>
      <c r="U275" s="3">
        <f t="shared" si="261"/>
        <v>5.0364269960578911E-2</v>
      </c>
      <c r="V275" s="3">
        <f t="shared" si="261"/>
        <v>5.0364265428076205E-2</v>
      </c>
      <c r="W275" s="3">
        <f t="shared" si="261"/>
        <v>5.0364220103071539E-2</v>
      </c>
      <c r="X275" s="3">
        <f t="shared" si="261"/>
        <v>5.0363766855268395E-2</v>
      </c>
      <c r="Y275" s="3">
        <f t="shared" si="261"/>
        <v>5.0359234601573578E-2</v>
      </c>
      <c r="Z275" s="3">
        <f t="shared" si="261"/>
        <v>5.0313934490824178E-2</v>
      </c>
      <c r="AA275" s="3">
        <f t="shared" si="261"/>
        <v>4.9863168553685042E-2</v>
      </c>
      <c r="AB275" s="3">
        <f t="shared" si="261"/>
        <v>4.5571759344529734E-2</v>
      </c>
      <c r="AC275" s="3">
        <f t="shared" si="261"/>
        <v>1.8529129876626128E-2</v>
      </c>
      <c r="AD275" s="3">
        <f t="shared" si="261"/>
        <v>2.2879542017956889E-6</v>
      </c>
      <c r="AE275" s="3">
        <f t="shared" si="261"/>
        <v>1.8852560426099586E-45</v>
      </c>
      <c r="AF275" s="3">
        <f t="shared" si="261"/>
        <v>0</v>
      </c>
      <c r="AG275" s="3"/>
      <c r="AH275" s="3"/>
    </row>
    <row r="276" spans="1:34" x14ac:dyDescent="0.25">
      <c r="B276" s="3">
        <f t="shared" ref="B276:AF276" si="262">$C45*EXP(-B$246/$A45/EXP(-$E$126))</f>
        <v>4.7472549330169547E-2</v>
      </c>
      <c r="C276" s="3">
        <f t="shared" si="262"/>
        <v>4.7472549330169547E-2</v>
      </c>
      <c r="D276" s="3">
        <f t="shared" si="262"/>
        <v>4.7472549330169547E-2</v>
      </c>
      <c r="E276" s="3">
        <f t="shared" si="262"/>
        <v>4.7472549330169547E-2</v>
      </c>
      <c r="F276" s="3">
        <f t="shared" si="262"/>
        <v>4.7472549330169547E-2</v>
      </c>
      <c r="G276" s="3">
        <f t="shared" si="262"/>
        <v>4.7472549330169547E-2</v>
      </c>
      <c r="H276" s="3">
        <f t="shared" si="262"/>
        <v>4.7472549330169547E-2</v>
      </c>
      <c r="I276" s="3">
        <f t="shared" si="262"/>
        <v>4.7472549330169547E-2</v>
      </c>
      <c r="J276" s="3">
        <f t="shared" si="262"/>
        <v>4.7472549330169547E-2</v>
      </c>
      <c r="K276" s="3">
        <f t="shared" si="262"/>
        <v>4.7472549330169547E-2</v>
      </c>
      <c r="L276" s="3">
        <f t="shared" si="262"/>
        <v>4.7472549330169547E-2</v>
      </c>
      <c r="M276" s="3">
        <f t="shared" si="262"/>
        <v>4.7472549330169547E-2</v>
      </c>
      <c r="N276" s="3">
        <f t="shared" si="262"/>
        <v>4.747254933016954E-2</v>
      </c>
      <c r="O276" s="3">
        <f t="shared" si="262"/>
        <v>4.7472549330169499E-2</v>
      </c>
      <c r="P276" s="3">
        <f t="shared" si="262"/>
        <v>4.7472549330169075E-2</v>
      </c>
      <c r="Q276" s="3">
        <f t="shared" si="262"/>
        <v>4.7472549330164801E-2</v>
      </c>
      <c r="R276" s="3">
        <f t="shared" si="262"/>
        <v>4.7472549330122078E-2</v>
      </c>
      <c r="S276" s="3">
        <f t="shared" si="262"/>
        <v>4.7472549329694851E-2</v>
      </c>
      <c r="T276" s="3">
        <f t="shared" si="262"/>
        <v>4.7472549325422587E-2</v>
      </c>
      <c r="U276" s="3">
        <f t="shared" si="262"/>
        <v>4.7472549282699943E-2</v>
      </c>
      <c r="V276" s="3">
        <f t="shared" si="262"/>
        <v>4.7472548855473522E-2</v>
      </c>
      <c r="W276" s="3">
        <f t="shared" si="262"/>
        <v>4.7472544583209549E-2</v>
      </c>
      <c r="X276" s="3">
        <f t="shared" si="262"/>
        <v>4.7472501860590918E-2</v>
      </c>
      <c r="Y276" s="3">
        <f t="shared" si="262"/>
        <v>4.7472074636519264E-2</v>
      </c>
      <c r="Z276" s="3">
        <f t="shared" si="262"/>
        <v>4.7467802607258816E-2</v>
      </c>
      <c r="AA276" s="3">
        <f t="shared" si="262"/>
        <v>4.7425103453227743E-2</v>
      </c>
      <c r="AB276" s="3">
        <f t="shared" si="262"/>
        <v>4.7000218748456481E-2</v>
      </c>
      <c r="AC276" s="3">
        <f t="shared" si="262"/>
        <v>4.2955205617125215E-2</v>
      </c>
      <c r="AD276" s="3">
        <f t="shared" si="262"/>
        <v>1.7465259081607804E-2</v>
      </c>
      <c r="AE276" s="3">
        <f t="shared" si="262"/>
        <v>2.156588742551949E-6</v>
      </c>
      <c r="AF276" s="3">
        <f t="shared" si="262"/>
        <v>1.7770119502959077E-45</v>
      </c>
      <c r="AG276" s="3"/>
      <c r="AH276" s="3"/>
    </row>
    <row r="277" spans="1:34" x14ac:dyDescent="0.25">
      <c r="B277" s="3">
        <f t="shared" ref="B277:AF277" si="263">$C46*EXP(-B$246/$A46/EXP(-$E$126))</f>
        <v>3.4265272438938038E-2</v>
      </c>
      <c r="C277" s="3">
        <f t="shared" si="263"/>
        <v>3.4265272438938038E-2</v>
      </c>
      <c r="D277" s="3">
        <f t="shared" si="263"/>
        <v>3.4265272438938038E-2</v>
      </c>
      <c r="E277" s="3">
        <f t="shared" si="263"/>
        <v>3.4265272438938038E-2</v>
      </c>
      <c r="F277" s="3">
        <f t="shared" si="263"/>
        <v>3.4265272438938038E-2</v>
      </c>
      <c r="G277" s="3">
        <f t="shared" si="263"/>
        <v>3.4265272438938038E-2</v>
      </c>
      <c r="H277" s="3">
        <f t="shared" si="263"/>
        <v>3.4265272438938038E-2</v>
      </c>
      <c r="I277" s="3">
        <f t="shared" si="263"/>
        <v>3.4265272438938038E-2</v>
      </c>
      <c r="J277" s="3">
        <f t="shared" si="263"/>
        <v>3.4265272438938038E-2</v>
      </c>
      <c r="K277" s="3">
        <f t="shared" si="263"/>
        <v>3.4265272438938038E-2</v>
      </c>
      <c r="L277" s="3">
        <f t="shared" si="263"/>
        <v>3.4265272438938038E-2</v>
      </c>
      <c r="M277" s="3">
        <f t="shared" si="263"/>
        <v>3.4265272438938038E-2</v>
      </c>
      <c r="N277" s="3">
        <f t="shared" si="263"/>
        <v>3.4265272438938038E-2</v>
      </c>
      <c r="O277" s="3">
        <f t="shared" si="263"/>
        <v>3.4265272438938031E-2</v>
      </c>
      <c r="P277" s="3">
        <f t="shared" si="263"/>
        <v>3.4265272438938003E-2</v>
      </c>
      <c r="Q277" s="3">
        <f t="shared" si="263"/>
        <v>3.4265272438937698E-2</v>
      </c>
      <c r="R277" s="3">
        <f t="shared" si="263"/>
        <v>3.426527243893461E-2</v>
      </c>
      <c r="S277" s="3">
        <f t="shared" si="263"/>
        <v>3.4265272438903774E-2</v>
      </c>
      <c r="T277" s="3">
        <f t="shared" si="263"/>
        <v>3.4265272438595409E-2</v>
      </c>
      <c r="U277" s="3">
        <f t="shared" si="263"/>
        <v>3.4265272435511723E-2</v>
      </c>
      <c r="V277" s="3">
        <f t="shared" si="263"/>
        <v>3.426527240467489E-2</v>
      </c>
      <c r="W277" s="3">
        <f t="shared" si="263"/>
        <v>3.4265272096306587E-2</v>
      </c>
      <c r="X277" s="3">
        <f t="shared" si="263"/>
        <v>3.4265269012623674E-2</v>
      </c>
      <c r="Y277" s="3">
        <f t="shared" si="263"/>
        <v>3.4265238175809828E-2</v>
      </c>
      <c r="Z277" s="3">
        <f t="shared" si="263"/>
        <v>3.426492980919766E-2</v>
      </c>
      <c r="AA277" s="3">
        <f t="shared" si="263"/>
        <v>3.4261846295703197E-2</v>
      </c>
      <c r="AB277" s="3">
        <f t="shared" si="263"/>
        <v>3.4231026418396607E-2</v>
      </c>
      <c r="AC277" s="3">
        <f t="shared" si="263"/>
        <v>3.3924348340864482E-2</v>
      </c>
      <c r="AD277" s="3">
        <f t="shared" si="263"/>
        <v>3.1004693110213897E-2</v>
      </c>
      <c r="AE277" s="3">
        <f t="shared" si="263"/>
        <v>1.2606271815859754E-2</v>
      </c>
      <c r="AF277" s="3">
        <f t="shared" si="263"/>
        <v>1.5566069622329553E-6</v>
      </c>
      <c r="AG277" s="3"/>
      <c r="AH277" s="3"/>
    </row>
    <row r="278" spans="1:34" x14ac:dyDescent="0.25">
      <c r="B278" s="3">
        <f t="shared" ref="B278:AF278" si="264">$C47*EXP(-B$246/$A47/EXP(-$E$126))</f>
        <v>1.7817533491132281E-2</v>
      </c>
      <c r="C278" s="3">
        <f t="shared" si="264"/>
        <v>1.7817533491132281E-2</v>
      </c>
      <c r="D278" s="3">
        <f t="shared" si="264"/>
        <v>1.7817533491132281E-2</v>
      </c>
      <c r="E278" s="3">
        <f t="shared" si="264"/>
        <v>1.7817533491132281E-2</v>
      </c>
      <c r="F278" s="3">
        <f t="shared" si="264"/>
        <v>1.7817533491132281E-2</v>
      </c>
      <c r="G278" s="3">
        <f t="shared" si="264"/>
        <v>1.7817533491132281E-2</v>
      </c>
      <c r="H278" s="3">
        <f t="shared" si="264"/>
        <v>1.7817533491132281E-2</v>
      </c>
      <c r="I278" s="3">
        <f t="shared" si="264"/>
        <v>1.7817533491132281E-2</v>
      </c>
      <c r="J278" s="3">
        <f t="shared" si="264"/>
        <v>1.7817533491132281E-2</v>
      </c>
      <c r="K278" s="3">
        <f t="shared" si="264"/>
        <v>1.7817533491132281E-2</v>
      </c>
      <c r="L278" s="3">
        <f t="shared" si="264"/>
        <v>1.7817533491132281E-2</v>
      </c>
      <c r="M278" s="3">
        <f t="shared" si="264"/>
        <v>1.7817533491132281E-2</v>
      </c>
      <c r="N278" s="3">
        <f t="shared" si="264"/>
        <v>1.7817533491132281E-2</v>
      </c>
      <c r="O278" s="3">
        <f t="shared" si="264"/>
        <v>1.7817533491132281E-2</v>
      </c>
      <c r="P278" s="3">
        <f t="shared" si="264"/>
        <v>1.7817533491132277E-2</v>
      </c>
      <c r="Q278" s="3">
        <f t="shared" si="264"/>
        <v>1.7817533491132263E-2</v>
      </c>
      <c r="R278" s="3">
        <f t="shared" si="264"/>
        <v>1.7817533491132104E-2</v>
      </c>
      <c r="S278" s="3">
        <f t="shared" si="264"/>
        <v>1.7817533491130497E-2</v>
      </c>
      <c r="T278" s="3">
        <f t="shared" si="264"/>
        <v>1.7817533491114465E-2</v>
      </c>
      <c r="U278" s="3">
        <f t="shared" si="264"/>
        <v>1.7817533490954118E-2</v>
      </c>
      <c r="V278" s="3">
        <f t="shared" si="264"/>
        <v>1.7817533489350636E-2</v>
      </c>
      <c r="W278" s="3">
        <f t="shared" si="264"/>
        <v>1.7817533473315852E-2</v>
      </c>
      <c r="X278" s="3">
        <f t="shared" si="264"/>
        <v>1.7817533312968006E-2</v>
      </c>
      <c r="Y278" s="3">
        <f t="shared" si="264"/>
        <v>1.7817531709489628E-2</v>
      </c>
      <c r="Z278" s="3">
        <f t="shared" si="264"/>
        <v>1.7817515674713763E-2</v>
      </c>
      <c r="AA278" s="3">
        <f t="shared" si="264"/>
        <v>1.7817355327748783E-2</v>
      </c>
      <c r="AB278" s="3">
        <f t="shared" si="264"/>
        <v>1.7815751937463299E-2</v>
      </c>
      <c r="AC278" s="3">
        <f t="shared" si="264"/>
        <v>1.7799725968398517E-2</v>
      </c>
      <c r="AD278" s="3">
        <f t="shared" si="264"/>
        <v>1.7640257021313329E-2</v>
      </c>
      <c r="AE278" s="3">
        <f t="shared" si="264"/>
        <v>1.6122071081091201E-2</v>
      </c>
      <c r="AF278" s="3">
        <f t="shared" si="264"/>
        <v>6.5551111749561032E-3</v>
      </c>
      <c r="AG278" s="3"/>
      <c r="AH278" s="3"/>
    </row>
    <row r="279" spans="1:34" x14ac:dyDescent="0.25">
      <c r="B279" s="3">
        <f t="shared" ref="B279:AF279" si="265">$C48*EXP(-B$246/$A48/EXP(-$E$126))</f>
        <v>3.0591851493341829E-2</v>
      </c>
      <c r="C279" s="3">
        <f t="shared" si="265"/>
        <v>3.0591851493341829E-2</v>
      </c>
      <c r="D279" s="3">
        <f t="shared" si="265"/>
        <v>3.0591851493341829E-2</v>
      </c>
      <c r="E279" s="3">
        <f t="shared" si="265"/>
        <v>3.0591851493341829E-2</v>
      </c>
      <c r="F279" s="3">
        <f t="shared" si="265"/>
        <v>3.0591851493341829E-2</v>
      </c>
      <c r="G279" s="3">
        <f t="shared" si="265"/>
        <v>3.0591851493341829E-2</v>
      </c>
      <c r="H279" s="3">
        <f t="shared" si="265"/>
        <v>3.0591851493341829E-2</v>
      </c>
      <c r="I279" s="3">
        <f t="shared" si="265"/>
        <v>3.0591851493341829E-2</v>
      </c>
      <c r="J279" s="3">
        <f t="shared" si="265"/>
        <v>3.0591851493341829E-2</v>
      </c>
      <c r="K279" s="3">
        <f t="shared" si="265"/>
        <v>3.0591851493341829E-2</v>
      </c>
      <c r="L279" s="3">
        <f t="shared" si="265"/>
        <v>3.0591851493341829E-2</v>
      </c>
      <c r="M279" s="3">
        <f t="shared" si="265"/>
        <v>3.0591851493341829E-2</v>
      </c>
      <c r="N279" s="3">
        <f t="shared" si="265"/>
        <v>3.0591851493341829E-2</v>
      </c>
      <c r="O279" s="3">
        <f t="shared" si="265"/>
        <v>3.0591851493341829E-2</v>
      </c>
      <c r="P279" s="3">
        <f t="shared" si="265"/>
        <v>3.0591851493341829E-2</v>
      </c>
      <c r="Q279" s="3">
        <f t="shared" si="265"/>
        <v>3.0591851493341825E-2</v>
      </c>
      <c r="R279" s="3">
        <f t="shared" si="265"/>
        <v>3.0591851493341798E-2</v>
      </c>
      <c r="S279" s="3">
        <f t="shared" si="265"/>
        <v>3.0591851493341524E-2</v>
      </c>
      <c r="T279" s="3">
        <f t="shared" si="265"/>
        <v>3.0591851493338769E-2</v>
      </c>
      <c r="U279" s="3">
        <f t="shared" si="265"/>
        <v>3.0591851493311239E-2</v>
      </c>
      <c r="V279" s="3">
        <f t="shared" si="265"/>
        <v>3.0591851493035931E-2</v>
      </c>
      <c r="W279" s="3">
        <f t="shared" si="265"/>
        <v>3.0591851490282835E-2</v>
      </c>
      <c r="X279" s="3">
        <f t="shared" si="265"/>
        <v>3.0591851462751878E-2</v>
      </c>
      <c r="Y279" s="3">
        <f t="shared" si="265"/>
        <v>3.0591851187442304E-2</v>
      </c>
      <c r="Z279" s="3">
        <f t="shared" si="265"/>
        <v>3.059184843434674E-2</v>
      </c>
      <c r="AA279" s="3">
        <f t="shared" si="265"/>
        <v>3.059182090340469E-2</v>
      </c>
      <c r="AB279" s="3">
        <f t="shared" si="265"/>
        <v>3.0591545595346898E-2</v>
      </c>
      <c r="AC279" s="3">
        <f t="shared" si="265"/>
        <v>3.0588792651033717E-2</v>
      </c>
      <c r="AD279" s="3">
        <f t="shared" si="265"/>
        <v>3.0561276829839345E-2</v>
      </c>
      <c r="AE279" s="3">
        <f t="shared" si="265"/>
        <v>3.0287476286713796E-2</v>
      </c>
      <c r="AF279" s="3">
        <f t="shared" si="265"/>
        <v>2.7680823752811171E-2</v>
      </c>
      <c r="AG279" s="3"/>
      <c r="AH279" s="3"/>
    </row>
    <row r="280" spans="1:34" x14ac:dyDescent="0.25">
      <c r="A280" s="79">
        <f>AVERAGE(B280:AF280)</f>
        <v>3.9807110585952058E-5</v>
      </c>
      <c r="B280" s="80">
        <f>IF($D$61&lt;=B246,IF($E$61&gt;=B246,ABS((B248-B247)/B247),0),0)</f>
        <v>2.3432349778008678E-4</v>
      </c>
      <c r="C280" s="80">
        <f t="shared" ref="C280:AF280" si="266">IF($D$61&lt;=C246,IF($E$61&gt;=C246,ABS((C248-C247)/C247),0),0)</f>
        <v>1.4801285130383934E-4</v>
      </c>
      <c r="D280" s="80">
        <f t="shared" si="266"/>
        <v>4.930971887184808E-4</v>
      </c>
      <c r="E280" s="80">
        <f t="shared" si="266"/>
        <v>1.2860419101199636E-4</v>
      </c>
      <c r="F280" s="80">
        <f t="shared" si="266"/>
        <v>1.8198365733772681E-5</v>
      </c>
      <c r="G280" s="80">
        <f t="shared" si="266"/>
        <v>3.1520793474141242E-6</v>
      </c>
      <c r="H280" s="80">
        <f t="shared" si="266"/>
        <v>2.1483955884805581E-7</v>
      </c>
      <c r="I280" s="80">
        <f t="shared" si="266"/>
        <v>1.7874065390507338E-6</v>
      </c>
      <c r="J280" s="80">
        <f t="shared" si="266"/>
        <v>1.4315256449915169E-6</v>
      </c>
      <c r="K280" s="80">
        <f t="shared" si="266"/>
        <v>6.3798317006612393E-6</v>
      </c>
      <c r="L280" s="80">
        <f t="shared" si="266"/>
        <v>1.0987133333140086E-5</v>
      </c>
      <c r="M280" s="80">
        <f t="shared" si="266"/>
        <v>2.146614314230729E-5</v>
      </c>
      <c r="N280" s="80">
        <f t="shared" si="266"/>
        <v>2.6162755749124653E-5</v>
      </c>
      <c r="O280" s="80">
        <f t="shared" si="266"/>
        <v>3.0662902066026611E-5</v>
      </c>
      <c r="P280" s="80">
        <f t="shared" si="266"/>
        <v>2.6278438801474043E-5</v>
      </c>
      <c r="Q280" s="80">
        <f t="shared" si="266"/>
        <v>2.5370104398608207E-5</v>
      </c>
      <c r="R280" s="80">
        <f t="shared" si="266"/>
        <v>1.7708398116837816E-5</v>
      </c>
      <c r="S280" s="80">
        <f t="shared" si="266"/>
        <v>1.618835688872614E-5</v>
      </c>
      <c r="T280" s="80">
        <f t="shared" si="266"/>
        <v>6.3597171643819257E-6</v>
      </c>
      <c r="U280" s="80">
        <f t="shared" si="266"/>
        <v>5.9434271818701577E-6</v>
      </c>
      <c r="V280" s="80">
        <f t="shared" si="266"/>
        <v>2.033797323590864E-6</v>
      </c>
      <c r="W280" s="80">
        <f t="shared" si="266"/>
        <v>1.9029882501339077E-7</v>
      </c>
      <c r="X280" s="80">
        <f t="shared" si="266"/>
        <v>7.0061780772647723E-6</v>
      </c>
      <c r="Y280" s="80">
        <f t="shared" si="266"/>
        <v>2.4609997570061169E-6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2.0919341435288104</v>
      </c>
      <c r="C281" s="21">
        <f t="shared" ref="C281:AF281" si="267">(C248-C247)^2</f>
        <v>0.83438938047566047</v>
      </c>
      <c r="D281" s="21">
        <f t="shared" si="267"/>
        <v>9.2289817948295898</v>
      </c>
      <c r="E281" s="21">
        <f t="shared" si="267"/>
        <v>0.61141874731324231</v>
      </c>
      <c r="F281" s="21">
        <f t="shared" si="267"/>
        <v>1.1565442471337395E-2</v>
      </c>
      <c r="G281" s="21">
        <f t="shared" si="267"/>
        <v>3.3352547030651941E-4</v>
      </c>
      <c r="H281" s="21">
        <f t="shared" si="267"/>
        <v>1.4892261909374679E-6</v>
      </c>
      <c r="I281" s="21">
        <f t="shared" si="267"/>
        <v>9.8525116586249331E-5</v>
      </c>
      <c r="J281" s="21">
        <f t="shared" si="267"/>
        <v>6.0164530449532249E-5</v>
      </c>
      <c r="K281" s="21">
        <f t="shared" si="267"/>
        <v>1.1289190403252158E-3</v>
      </c>
      <c r="L281" s="21">
        <f t="shared" si="267"/>
        <v>3.1430910608436706E-3</v>
      </c>
      <c r="M281" s="21">
        <f t="shared" si="267"/>
        <v>1.1223087147764769E-2</v>
      </c>
      <c r="N281" s="21">
        <f t="shared" si="267"/>
        <v>1.5599697466283442E-2</v>
      </c>
      <c r="O281" s="21">
        <f t="shared" si="267"/>
        <v>1.987886285720384E-2</v>
      </c>
      <c r="P281" s="21">
        <f t="shared" si="267"/>
        <v>1.3271806244248221E-2</v>
      </c>
      <c r="Q281" s="21">
        <f t="shared" si="267"/>
        <v>1.1100694118283454E-2</v>
      </c>
      <c r="R281" s="21">
        <f t="shared" si="267"/>
        <v>4.8615296886232147E-3</v>
      </c>
      <c r="S281" s="21">
        <f t="shared" si="267"/>
        <v>3.5639418123167062E-3</v>
      </c>
      <c r="T281" s="21">
        <f t="shared" si="267"/>
        <v>4.5720125399480361E-4</v>
      </c>
      <c r="U281" s="21">
        <f t="shared" si="267"/>
        <v>3.2899817319914057E-4</v>
      </c>
      <c r="V281" s="21">
        <f t="shared" si="267"/>
        <v>3.2009423154085134E-5</v>
      </c>
      <c r="W281" s="21">
        <f t="shared" si="267"/>
        <v>2.3511002375760503E-7</v>
      </c>
      <c r="X281" s="21">
        <f t="shared" si="267"/>
        <v>2.652741660975949E-4</v>
      </c>
      <c r="Y281" s="21">
        <f t="shared" si="267"/>
        <v>2.6987268128068838E-5</v>
      </c>
      <c r="Z281" s="21">
        <f t="shared" si="267"/>
        <v>1.6924118345225289E-4</v>
      </c>
      <c r="AA281" s="21">
        <f t="shared" si="267"/>
        <v>1.1022924437917697E-4</v>
      </c>
      <c r="AB281" s="21">
        <f t="shared" si="267"/>
        <v>1.0769384743874907E-6</v>
      </c>
      <c r="AC281" s="21">
        <f t="shared" si="267"/>
        <v>2.6499948546789633E-4</v>
      </c>
      <c r="AD281" s="21">
        <f t="shared" si="267"/>
        <v>2.5903290388015982E-6</v>
      </c>
      <c r="AE281" s="21">
        <f t="shared" si="267"/>
        <v>1.0959379056331687E-4</v>
      </c>
      <c r="AF281" s="21">
        <f t="shared" si="267"/>
        <v>3.527810734666477E-6</v>
      </c>
      <c r="AG281" s="3"/>
      <c r="AH281" s="3"/>
    </row>
    <row r="282" spans="1:34" s="3" customFormat="1" x14ac:dyDescent="0.25">
      <c r="A282" s="71">
        <f>SUM(B282:AF282)</f>
        <v>12.863665547792669</v>
      </c>
      <c r="B282" s="21">
        <f>IF($D$61&lt;=B246,IF($E$61&gt;=B246,ABS(B281),0),0)</f>
        <v>2.0919341435288104</v>
      </c>
      <c r="C282" s="21">
        <f t="shared" ref="C282:AF282" si="268">IF($D$61&lt;=C246,IF($E$61&gt;=C246,ABS(C281),0),0)</f>
        <v>0.83438938047566047</v>
      </c>
      <c r="D282" s="21">
        <f t="shared" si="268"/>
        <v>9.2289817948295898</v>
      </c>
      <c r="E282" s="21">
        <f t="shared" si="268"/>
        <v>0.61141874731324231</v>
      </c>
      <c r="F282" s="21">
        <f t="shared" si="268"/>
        <v>1.1565442471337395E-2</v>
      </c>
      <c r="G282" s="21">
        <f t="shared" si="268"/>
        <v>3.3352547030651941E-4</v>
      </c>
      <c r="H282" s="21">
        <f t="shared" si="268"/>
        <v>1.4892261909374679E-6</v>
      </c>
      <c r="I282" s="21">
        <f t="shared" si="268"/>
        <v>9.8525116586249331E-5</v>
      </c>
      <c r="J282" s="21">
        <f t="shared" si="268"/>
        <v>6.0164530449532249E-5</v>
      </c>
      <c r="K282" s="21">
        <f t="shared" si="268"/>
        <v>1.1289190403252158E-3</v>
      </c>
      <c r="L282" s="21">
        <f t="shared" si="268"/>
        <v>3.1430910608436706E-3</v>
      </c>
      <c r="M282" s="21">
        <f t="shared" si="268"/>
        <v>1.1223087147764769E-2</v>
      </c>
      <c r="N282" s="21">
        <f t="shared" si="268"/>
        <v>1.5599697466283442E-2</v>
      </c>
      <c r="O282" s="21">
        <f t="shared" si="268"/>
        <v>1.987886285720384E-2</v>
      </c>
      <c r="P282" s="21">
        <f t="shared" si="268"/>
        <v>1.3271806244248221E-2</v>
      </c>
      <c r="Q282" s="21">
        <f t="shared" si="268"/>
        <v>1.1100694118283454E-2</v>
      </c>
      <c r="R282" s="21">
        <f t="shared" si="268"/>
        <v>4.8615296886232147E-3</v>
      </c>
      <c r="S282" s="21">
        <f t="shared" si="268"/>
        <v>3.5639418123167062E-3</v>
      </c>
      <c r="T282" s="21">
        <f t="shared" si="268"/>
        <v>4.5720125399480361E-4</v>
      </c>
      <c r="U282" s="21">
        <f t="shared" si="268"/>
        <v>3.2899817319914057E-4</v>
      </c>
      <c r="V282" s="21">
        <f t="shared" si="268"/>
        <v>3.2009423154085134E-5</v>
      </c>
      <c r="W282" s="21">
        <f t="shared" si="268"/>
        <v>2.3511002375760503E-7</v>
      </c>
      <c r="X282" s="21">
        <f t="shared" si="268"/>
        <v>2.652741660975949E-4</v>
      </c>
      <c r="Y282" s="21">
        <f t="shared" si="268"/>
        <v>2.6987268128068838E-5</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6134.031131411567</v>
      </c>
      <c r="C287" s="27">
        <f t="shared" ref="C287:AF287" si="269">($C$17+SUM(C288:C318))*$B$51</f>
        <v>6015.6021079340153</v>
      </c>
      <c r="D287" s="27">
        <f t="shared" si="269"/>
        <v>5853.870175085548</v>
      </c>
      <c r="E287" s="27">
        <f t="shared" si="269"/>
        <v>5747.3512059112945</v>
      </c>
      <c r="F287" s="27">
        <f t="shared" si="269"/>
        <v>5626.7719448725111</v>
      </c>
      <c r="G287" s="27">
        <f t="shared" si="269"/>
        <v>5494.2286511545517</v>
      </c>
      <c r="H287" s="27">
        <f t="shared" si="269"/>
        <v>5352.1372351637601</v>
      </c>
      <c r="I287" s="27">
        <f t="shared" si="269"/>
        <v>5190.7643741932588</v>
      </c>
      <c r="J287" s="27">
        <f t="shared" si="269"/>
        <v>5022.3040666898814</v>
      </c>
      <c r="K287" s="27">
        <f t="shared" si="269"/>
        <v>4854.7084204770936</v>
      </c>
      <c r="L287" s="27">
        <f t="shared" si="269"/>
        <v>4692.800067552158</v>
      </c>
      <c r="M287" s="27">
        <f t="shared" si="269"/>
        <v>4498.109714430856</v>
      </c>
      <c r="N287" s="27">
        <f t="shared" si="269"/>
        <v>4266.3909695472703</v>
      </c>
      <c r="O287" s="27">
        <f t="shared" si="269"/>
        <v>4044.4070426985622</v>
      </c>
      <c r="P287" s="27">
        <f t="shared" si="269"/>
        <v>3829.7365766404218</v>
      </c>
      <c r="Q287" s="27">
        <f t="shared" si="269"/>
        <v>3530.8614478120198</v>
      </c>
      <c r="R287" s="27">
        <f t="shared" si="269"/>
        <v>3211.4059111512311</v>
      </c>
      <c r="S287" s="27">
        <f t="shared" si="269"/>
        <v>2925.0967719628602</v>
      </c>
      <c r="T287" s="27">
        <f t="shared" si="269"/>
        <v>2671.8933695958776</v>
      </c>
      <c r="U287" s="27">
        <f t="shared" si="269"/>
        <v>2461.9147750657885</v>
      </c>
      <c r="V287" s="27">
        <f t="shared" si="269"/>
        <v>2222.5445033178553</v>
      </c>
      <c r="W287" s="27">
        <f t="shared" si="269"/>
        <v>2004.8231041332963</v>
      </c>
      <c r="X287" s="27">
        <f t="shared" si="269"/>
        <v>1778.1342868343665</v>
      </c>
      <c r="Y287" s="27">
        <f t="shared" si="269"/>
        <v>1526.6634590315846</v>
      </c>
      <c r="Z287" s="27">
        <f t="shared" si="269"/>
        <v>1239.0452986743981</v>
      </c>
      <c r="AA287" s="27">
        <f t="shared" si="269"/>
        <v>935.86376901906192</v>
      </c>
      <c r="AB287" s="27">
        <f t="shared" si="269"/>
        <v>663.88520309822752</v>
      </c>
      <c r="AC287" s="27">
        <f t="shared" si="269"/>
        <v>470.57559418839372</v>
      </c>
      <c r="AD287" s="27">
        <f t="shared" si="269"/>
        <v>340.08543089916606</v>
      </c>
      <c r="AE287" s="27">
        <f t="shared" si="269"/>
        <v>202.22271807936309</v>
      </c>
      <c r="AF287" s="27">
        <f t="shared" si="269"/>
        <v>191.25449218985548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4.6830452669275827E-3</v>
      </c>
      <c r="C290" s="3">
        <f t="shared" si="272"/>
        <v>1.2517729017978867E-5</v>
      </c>
      <c r="D290" s="3">
        <f t="shared" si="272"/>
        <v>2.3307594085883792E-31</v>
      </c>
      <c r="E290" s="3">
        <f t="shared" si="272"/>
        <v>1.167391289326115E-288</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3.2807056559048448E-2</v>
      </c>
      <c r="C291" s="3">
        <f t="shared" si="273"/>
        <v>1.9224763618436502E-2</v>
      </c>
      <c r="D291" s="3">
        <f t="shared" si="273"/>
        <v>9.1790644821033076E-5</v>
      </c>
      <c r="E291" s="3">
        <f t="shared" si="273"/>
        <v>5.6516146551869115E-28</v>
      </c>
      <c r="F291" s="3">
        <f t="shared" si="273"/>
        <v>4.4250049556607471E-260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1.664792825212931E-2</v>
      </c>
      <c r="C292" s="3">
        <f t="shared" si="274"/>
        <v>1.5864349901869253E-2</v>
      </c>
      <c r="D292" s="3">
        <f t="shared" si="274"/>
        <v>9.7958725313680231E-3</v>
      </c>
      <c r="E292" s="3">
        <f t="shared" si="274"/>
        <v>7.8931721928898559E-5</v>
      </c>
      <c r="F292" s="3">
        <f t="shared" si="274"/>
        <v>9.1061771993116331E-26</v>
      </c>
      <c r="G292" s="3">
        <f t="shared" si="274"/>
        <v>3.803481391303715E-235</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1.9241704767907385E-2</v>
      </c>
      <c r="C293" s="3">
        <f t="shared" si="275"/>
        <v>1.915820308584822E-2</v>
      </c>
      <c r="D293" s="3">
        <f t="shared" si="275"/>
        <v>1.834285914155805E-2</v>
      </c>
      <c r="E293" s="3">
        <f t="shared" si="275"/>
        <v>1.1873796863047551E-2</v>
      </c>
      <c r="F293" s="3">
        <f t="shared" si="275"/>
        <v>1.5339650042126772E-4</v>
      </c>
      <c r="G293" s="3">
        <f t="shared" si="275"/>
        <v>1.9864325448922327E-23</v>
      </c>
      <c r="H293" s="3">
        <f t="shared" si="275"/>
        <v>2.6342532431334826E-212</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2.1900267404517882E-2</v>
      </c>
      <c r="C294" s="3">
        <f t="shared" si="276"/>
        <v>2.1891677139908548E-2</v>
      </c>
      <c r="D294" s="3">
        <f t="shared" si="276"/>
        <v>2.1805959597645905E-2</v>
      </c>
      <c r="E294" s="3">
        <f t="shared" si="276"/>
        <v>2.0967028659562723E-2</v>
      </c>
      <c r="F294" s="3">
        <f t="shared" si="276"/>
        <v>1.416295079211409E-2</v>
      </c>
      <c r="G294" s="3">
        <f t="shared" si="276"/>
        <v>2.8010594107487677E-4</v>
      </c>
      <c r="H294" s="3">
        <f t="shared" si="276"/>
        <v>2.5645316395756651E-21</v>
      </c>
      <c r="I294" s="3">
        <f t="shared" si="276"/>
        <v>1.0613667370841759E-191</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2.2497192991575914E-2</v>
      </c>
      <c r="C295" s="3">
        <f t="shared" si="277"/>
        <v>2.2496396814712879E-2</v>
      </c>
      <c r="D295" s="3">
        <f t="shared" si="277"/>
        <v>2.248843659563881E-2</v>
      </c>
      <c r="E295" s="3">
        <f t="shared" si="277"/>
        <v>2.2408989157810033E-2</v>
      </c>
      <c r="F295" s="3">
        <f t="shared" si="277"/>
        <v>2.1629789332724057E-2</v>
      </c>
      <c r="G295" s="3">
        <f t="shared" si="277"/>
        <v>1.5182822697630365E-2</v>
      </c>
      <c r="H295" s="3">
        <f t="shared" si="277"/>
        <v>4.4091495464510113E-4</v>
      </c>
      <c r="I295" s="3">
        <f t="shared" si="277"/>
        <v>1.8809528815458469E-19</v>
      </c>
      <c r="J295" s="3">
        <f t="shared" si="277"/>
        <v>3.7549900409424792E-173</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2.6719164911693721E-2</v>
      </c>
      <c r="C296" s="3">
        <f t="shared" si="278"/>
        <v>2.6719079609994593E-2</v>
      </c>
      <c r="D296" s="3">
        <f t="shared" si="278"/>
        <v>2.6718226607981233E-2</v>
      </c>
      <c r="E296" s="3">
        <f t="shared" si="278"/>
        <v>2.6709698085460983E-2</v>
      </c>
      <c r="F296" s="3">
        <f t="shared" si="278"/>
        <v>2.6624562444844752E-2</v>
      </c>
      <c r="G296" s="3">
        <f t="shared" si="278"/>
        <v>2.578798930113883E-2</v>
      </c>
      <c r="H296" s="3">
        <f t="shared" si="278"/>
        <v>1.8739910094826149E-2</v>
      </c>
      <c r="I296" s="3">
        <f t="shared" si="278"/>
        <v>7.6960471473433683E-4</v>
      </c>
      <c r="J296" s="3">
        <f t="shared" si="278"/>
        <v>1.0501948529101707E-17</v>
      </c>
      <c r="K296" s="3">
        <f t="shared" si="278"/>
        <v>2.351210669577185E-156</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2.8269243448113435E-2</v>
      </c>
      <c r="C297" s="3">
        <f t="shared" si="279"/>
        <v>2.8269235306767497E-2</v>
      </c>
      <c r="D297" s="3">
        <f t="shared" si="279"/>
        <v>2.8269153893437052E-2</v>
      </c>
      <c r="E297" s="3">
        <f t="shared" si="279"/>
        <v>2.8268339773028051E-2</v>
      </c>
      <c r="F297" s="3">
        <f t="shared" si="279"/>
        <v>2.8260199858343913E-2</v>
      </c>
      <c r="G297" s="3">
        <f t="shared" si="279"/>
        <v>2.8178929514799379E-2</v>
      </c>
      <c r="H297" s="3">
        <f t="shared" si="279"/>
        <v>2.7378970210409373E-2</v>
      </c>
      <c r="I297" s="3">
        <f t="shared" si="279"/>
        <v>2.0527841899085415E-2</v>
      </c>
      <c r="J297" s="3">
        <f t="shared" si="279"/>
        <v>1.1524050264896245E-3</v>
      </c>
      <c r="K297" s="3">
        <f t="shared" si="279"/>
        <v>3.5828088703493175E-16</v>
      </c>
      <c r="L297" s="3">
        <f t="shared" si="279"/>
        <v>3.0227944043119269E-141</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2.878924202121429E-2</v>
      </c>
      <c r="C298" s="3">
        <f t="shared" si="280"/>
        <v>2.8789241273287823E-2</v>
      </c>
      <c r="D298" s="3">
        <f t="shared" si="280"/>
        <v>2.8789233794024226E-2</v>
      </c>
      <c r="E298" s="3">
        <f t="shared" si="280"/>
        <v>2.8789159001495129E-2</v>
      </c>
      <c r="F298" s="3">
        <f t="shared" si="280"/>
        <v>2.8788411086890901E-2</v>
      </c>
      <c r="G298" s="3">
        <f t="shared" si="280"/>
        <v>2.8780933009420868E-2</v>
      </c>
      <c r="H298" s="3">
        <f t="shared" si="280"/>
        <v>2.8706258989301649E-2</v>
      </c>
      <c r="I298" s="3">
        <f t="shared" si="280"/>
        <v>2.7970092338979121E-2</v>
      </c>
      <c r="J298" s="3">
        <f t="shared" si="280"/>
        <v>2.1570832864620366E-2</v>
      </c>
      <c r="K298" s="3">
        <f t="shared" si="280"/>
        <v>1.6054509847203565E-3</v>
      </c>
      <c r="L298" s="3">
        <f t="shared" si="280"/>
        <v>8.3733341198920783E-15</v>
      </c>
      <c r="M298" s="3">
        <f t="shared" si="280"/>
        <v>1.2471311415734945E-127</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2.5595411653538697E-2</v>
      </c>
      <c r="C299" s="3">
        <f t="shared" si="281"/>
        <v>2.5595411593554426E-2</v>
      </c>
      <c r="D299" s="3">
        <f t="shared" si="281"/>
        <v>2.5595410993711723E-2</v>
      </c>
      <c r="E299" s="3">
        <f t="shared" si="281"/>
        <v>2.5595404995285464E-2</v>
      </c>
      <c r="F299" s="3">
        <f t="shared" si="281"/>
        <v>2.5595345011100199E-2</v>
      </c>
      <c r="G299" s="3">
        <f t="shared" si="281"/>
        <v>2.5594745176979176E-2</v>
      </c>
      <c r="H299" s="3">
        <f t="shared" si="281"/>
        <v>2.5588747608865082E-2</v>
      </c>
      <c r="I299" s="3">
        <f t="shared" si="281"/>
        <v>2.5528849170343176E-2</v>
      </c>
      <c r="J299" s="3">
        <f t="shared" si="281"/>
        <v>2.4937522486545124E-2</v>
      </c>
      <c r="K299" s="3">
        <f t="shared" si="281"/>
        <v>1.9727587425775808E-2</v>
      </c>
      <c r="L299" s="3">
        <f t="shared" si="281"/>
        <v>1.8935670912856362E-3</v>
      </c>
      <c r="M299" s="3">
        <f t="shared" si="281"/>
        <v>1.2570365431044049E-13</v>
      </c>
      <c r="N299" s="3">
        <f t="shared" si="281"/>
        <v>2.0893921660173414E-115</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3.1571984223763908E-2</v>
      </c>
      <c r="C300" s="3">
        <f t="shared" si="282"/>
        <v>3.157198421708933E-2</v>
      </c>
      <c r="D300" s="3">
        <f t="shared" si="282"/>
        <v>3.1571984150343561E-2</v>
      </c>
      <c r="E300" s="3">
        <f t="shared" si="282"/>
        <v>3.1571983482885889E-2</v>
      </c>
      <c r="F300" s="3">
        <f t="shared" si="282"/>
        <v>3.1571976808309934E-2</v>
      </c>
      <c r="G300" s="3">
        <f t="shared" si="282"/>
        <v>3.1571910062628002E-2</v>
      </c>
      <c r="H300" s="3">
        <f t="shared" si="282"/>
        <v>3.1571242613569472E-2</v>
      </c>
      <c r="I300" s="3">
        <f t="shared" si="282"/>
        <v>3.156456889899991E-2</v>
      </c>
      <c r="J300" s="3">
        <f t="shared" si="282"/>
        <v>3.1497909294213346E-2</v>
      </c>
      <c r="K300" s="3">
        <f t="shared" si="282"/>
        <v>3.0839007025411834E-2</v>
      </c>
      <c r="L300" s="3">
        <f t="shared" si="282"/>
        <v>2.4962436026708511E-2</v>
      </c>
      <c r="M300" s="3">
        <f t="shared" si="282"/>
        <v>3.0140659766243597E-3</v>
      </c>
      <c r="N300" s="3">
        <f t="shared" si="282"/>
        <v>1.9852291882106895E-12</v>
      </c>
      <c r="O300" s="3">
        <f t="shared" si="282"/>
        <v>3.0506306161001872E-104</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4.0619048192754872E-2</v>
      </c>
      <c r="C301" s="3">
        <f t="shared" si="283"/>
        <v>4.0619048191980235E-2</v>
      </c>
      <c r="D301" s="3">
        <f t="shared" si="283"/>
        <v>4.0619048184233869E-2</v>
      </c>
      <c r="E301" s="3">
        <f t="shared" si="283"/>
        <v>4.0619048106770174E-2</v>
      </c>
      <c r="F301" s="3">
        <f t="shared" si="283"/>
        <v>4.0619047332133264E-2</v>
      </c>
      <c r="G301" s="3">
        <f t="shared" si="283"/>
        <v>4.0619039585764967E-2</v>
      </c>
      <c r="H301" s="3">
        <f t="shared" si="283"/>
        <v>4.061896212216326E-2</v>
      </c>
      <c r="I301" s="3">
        <f t="shared" si="283"/>
        <v>4.0618187494271256E-2</v>
      </c>
      <c r="J301" s="3">
        <f t="shared" si="283"/>
        <v>4.0610442027798635E-2</v>
      </c>
      <c r="K301" s="3">
        <f t="shared" si="283"/>
        <v>4.0533068550519177E-2</v>
      </c>
      <c r="L301" s="3">
        <f t="shared" si="283"/>
        <v>3.976739552606956E-2</v>
      </c>
      <c r="M301" s="3">
        <f t="shared" si="283"/>
        <v>3.2862742578041337E-2</v>
      </c>
      <c r="N301" s="3">
        <f t="shared" si="283"/>
        <v>4.8805679744607505E-3</v>
      </c>
      <c r="O301" s="3">
        <f t="shared" si="283"/>
        <v>2.5476277751145869E-11</v>
      </c>
      <c r="P301" s="3">
        <f t="shared" si="283"/>
        <v>3.8264149753579039E-94</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3.7761220679266669E-2</v>
      </c>
      <c r="C302" s="3">
        <f t="shared" si="284"/>
        <v>3.7761220679201707E-2</v>
      </c>
      <c r="D302" s="3">
        <f t="shared" si="284"/>
        <v>3.7761220678552081E-2</v>
      </c>
      <c r="E302" s="3">
        <f t="shared" si="284"/>
        <v>3.776122067205586E-2</v>
      </c>
      <c r="F302" s="3">
        <f t="shared" si="284"/>
        <v>3.776122060709361E-2</v>
      </c>
      <c r="G302" s="3">
        <f t="shared" si="284"/>
        <v>3.7761219957471101E-2</v>
      </c>
      <c r="H302" s="3">
        <f t="shared" si="284"/>
        <v>3.7761213461246688E-2</v>
      </c>
      <c r="I302" s="3">
        <f t="shared" si="284"/>
        <v>3.7761148499063958E-2</v>
      </c>
      <c r="J302" s="3">
        <f t="shared" si="284"/>
        <v>3.7760498883383342E-2</v>
      </c>
      <c r="K302" s="3">
        <f t="shared" si="284"/>
        <v>3.7754003341199112E-2</v>
      </c>
      <c r="L302" s="3">
        <f t="shared" si="284"/>
        <v>3.768910934244938E-2</v>
      </c>
      <c r="M302" s="3">
        <f t="shared" si="284"/>
        <v>3.704627274602651E-2</v>
      </c>
      <c r="N302" s="3">
        <f t="shared" si="284"/>
        <v>3.119112027541129E-2</v>
      </c>
      <c r="O302" s="3">
        <f t="shared" si="284"/>
        <v>5.5833584321604273E-3</v>
      </c>
      <c r="P302" s="3">
        <f t="shared" si="284"/>
        <v>1.8859964226466348E-10</v>
      </c>
      <c r="Q302" s="3">
        <f t="shared" si="284"/>
        <v>3.6474926177392168E-85</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3.2047185254004365E-2</v>
      </c>
      <c r="C303" s="3">
        <f t="shared" si="285"/>
        <v>3.204718525399939E-2</v>
      </c>
      <c r="D303" s="3">
        <f t="shared" si="285"/>
        <v>3.2047185253949652E-2</v>
      </c>
      <c r="E303" s="3">
        <f t="shared" si="285"/>
        <v>3.2047185253452314E-2</v>
      </c>
      <c r="F303" s="3">
        <f t="shared" si="285"/>
        <v>3.2047185248478938E-2</v>
      </c>
      <c r="G303" s="3">
        <f t="shared" si="285"/>
        <v>3.2047185198745151E-2</v>
      </c>
      <c r="H303" s="3">
        <f t="shared" si="285"/>
        <v>3.2047184701407293E-2</v>
      </c>
      <c r="I303" s="3">
        <f t="shared" si="285"/>
        <v>3.2047179728029153E-2</v>
      </c>
      <c r="J303" s="3">
        <f t="shared" si="285"/>
        <v>3.2047129994290227E-2</v>
      </c>
      <c r="K303" s="3">
        <f t="shared" si="285"/>
        <v>3.2046632661145866E-2</v>
      </c>
      <c r="L303" s="3">
        <f t="shared" si="285"/>
        <v>3.2041659754173349E-2</v>
      </c>
      <c r="M303" s="3">
        <f t="shared" si="285"/>
        <v>3.1991973107196051E-2</v>
      </c>
      <c r="N303" s="3">
        <f t="shared" si="285"/>
        <v>3.1499324653840352E-2</v>
      </c>
      <c r="O303" s="3">
        <f t="shared" si="285"/>
        <v>2.6971394923446058E-2</v>
      </c>
      <c r="P303" s="3">
        <f t="shared" si="285"/>
        <v>5.7138003793516462E-3</v>
      </c>
      <c r="Q303" s="3">
        <f t="shared" si="285"/>
        <v>1.04025932501609E-9</v>
      </c>
      <c r="R303" s="3">
        <f t="shared" si="285"/>
        <v>4.16204870035666E-77</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5.5060207151423499E-2</v>
      </c>
      <c r="C304" s="3">
        <f t="shared" si="286"/>
        <v>5.5060207151422728E-2</v>
      </c>
      <c r="D304" s="3">
        <f t="shared" si="286"/>
        <v>5.5060207151415019E-2</v>
      </c>
      <c r="E304" s="3">
        <f t="shared" si="286"/>
        <v>5.5060207151337935E-2</v>
      </c>
      <c r="F304" s="3">
        <f t="shared" si="286"/>
        <v>5.5060207150567128E-2</v>
      </c>
      <c r="G304" s="3">
        <f t="shared" si="286"/>
        <v>5.5060207142859051E-2</v>
      </c>
      <c r="H304" s="3">
        <f t="shared" si="286"/>
        <v>5.5060207065778279E-2</v>
      </c>
      <c r="I304" s="3">
        <f t="shared" si="286"/>
        <v>5.5060206294970555E-2</v>
      </c>
      <c r="J304" s="3">
        <f t="shared" si="286"/>
        <v>5.5060198586893878E-2</v>
      </c>
      <c r="K304" s="3">
        <f t="shared" si="286"/>
        <v>5.5060121506186485E-2</v>
      </c>
      <c r="L304" s="3">
        <f t="shared" si="286"/>
        <v>5.5059350705047479E-2</v>
      </c>
      <c r="M304" s="3">
        <f t="shared" si="286"/>
        <v>5.5051643287118181E-2</v>
      </c>
      <c r="N304" s="3">
        <f t="shared" si="286"/>
        <v>5.4974628423168942E-2</v>
      </c>
      <c r="O304" s="3">
        <f t="shared" si="286"/>
        <v>5.4210380708822392E-2</v>
      </c>
      <c r="P304" s="3">
        <f t="shared" si="286"/>
        <v>4.712854192073012E-2</v>
      </c>
      <c r="Q304" s="3">
        <f t="shared" si="286"/>
        <v>1.1622497653858564E-2</v>
      </c>
      <c r="R304" s="3">
        <f t="shared" si="286"/>
        <v>9.670615203416887E-9</v>
      </c>
      <c r="S304" s="3">
        <f t="shared" si="286"/>
        <v>1.5381562707567116E-69</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5.5367146096233749E-2</v>
      </c>
      <c r="C305" s="3">
        <f t="shared" si="287"/>
        <v>5.5367146096233673E-2</v>
      </c>
      <c r="D305" s="3">
        <f t="shared" si="287"/>
        <v>5.5367146096232979E-2</v>
      </c>
      <c r="E305" s="3">
        <f t="shared" si="287"/>
        <v>5.5367146096225985E-2</v>
      </c>
      <c r="F305" s="3">
        <f t="shared" si="287"/>
        <v>5.5367146096156061E-2</v>
      </c>
      <c r="G305" s="3">
        <f t="shared" si="287"/>
        <v>5.5367146095456857E-2</v>
      </c>
      <c r="H305" s="3">
        <f t="shared" si="287"/>
        <v>5.5367146088464769E-2</v>
      </c>
      <c r="I305" s="3">
        <f t="shared" si="287"/>
        <v>5.5367146018543881E-2</v>
      </c>
      <c r="J305" s="3">
        <f t="shared" si="287"/>
        <v>5.5367145319334975E-2</v>
      </c>
      <c r="K305" s="3">
        <f t="shared" si="287"/>
        <v>5.5367138327246455E-2</v>
      </c>
      <c r="L305" s="3">
        <f t="shared" si="287"/>
        <v>5.53670684064098E-2</v>
      </c>
      <c r="M305" s="3">
        <f t="shared" si="287"/>
        <v>5.5366369202899751E-2</v>
      </c>
      <c r="N305" s="3">
        <f t="shared" si="287"/>
        <v>5.5359377653425204E-2</v>
      </c>
      <c r="O305" s="3">
        <f t="shared" si="287"/>
        <v>5.5289510698593509E-2</v>
      </c>
      <c r="P305" s="3">
        <f t="shared" si="287"/>
        <v>5.4595672537413813E-2</v>
      </c>
      <c r="Q305" s="3">
        <f t="shared" si="287"/>
        <v>4.8118597112791525E-2</v>
      </c>
      <c r="R305" s="3">
        <f t="shared" si="287"/>
        <v>1.3610068962698231E-2</v>
      </c>
      <c r="S305" s="3">
        <f t="shared" si="287"/>
        <v>4.4599913131271113E-8</v>
      </c>
      <c r="T305" s="3">
        <f t="shared" si="287"/>
        <v>6.3689946358719036E-63</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4.7007838258753223E-2</v>
      </c>
      <c r="C306" s="3">
        <f t="shared" si="288"/>
        <v>4.7007838258753216E-2</v>
      </c>
      <c r="D306" s="3">
        <f t="shared" si="288"/>
        <v>4.7007838258753168E-2</v>
      </c>
      <c r="E306" s="3">
        <f t="shared" si="288"/>
        <v>4.7007838258752627E-2</v>
      </c>
      <c r="F306" s="3">
        <f t="shared" si="288"/>
        <v>4.7007838258747277E-2</v>
      </c>
      <c r="G306" s="3">
        <f t="shared" si="288"/>
        <v>4.7007838258693722E-2</v>
      </c>
      <c r="H306" s="3">
        <f t="shared" si="288"/>
        <v>4.7007838258158206E-2</v>
      </c>
      <c r="I306" s="3">
        <f t="shared" si="288"/>
        <v>4.7007838252803059E-2</v>
      </c>
      <c r="J306" s="3">
        <f t="shared" si="288"/>
        <v>4.7007838199251549E-2</v>
      </c>
      <c r="K306" s="3">
        <f t="shared" si="288"/>
        <v>4.70078376637365E-2</v>
      </c>
      <c r="L306" s="3">
        <f t="shared" si="288"/>
        <v>4.7007832308586329E-2</v>
      </c>
      <c r="M306" s="3">
        <f t="shared" si="288"/>
        <v>4.7007778757118215E-2</v>
      </c>
      <c r="N306" s="3">
        <f t="shared" si="288"/>
        <v>4.7007243245792384E-2</v>
      </c>
      <c r="O306" s="3">
        <f t="shared" si="288"/>
        <v>4.7001888468051714E-2</v>
      </c>
      <c r="P306" s="3">
        <f t="shared" si="288"/>
        <v>4.6948374228277225E-2</v>
      </c>
      <c r="Q306" s="3">
        <f t="shared" si="288"/>
        <v>4.6416571500433851E-2</v>
      </c>
      <c r="R306" s="3">
        <f t="shared" si="288"/>
        <v>4.1418853070902262E-2</v>
      </c>
      <c r="S306" s="3">
        <f t="shared" si="288"/>
        <v>1.3257088893340412E-2</v>
      </c>
      <c r="T306" s="3">
        <f t="shared" si="288"/>
        <v>1.4960605306446752E-7</v>
      </c>
      <c r="U306" s="3">
        <f t="shared" si="288"/>
        <v>5.0114007781298173E-57</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4.3271313852142758E-2</v>
      </c>
      <c r="C307" s="3">
        <f t="shared" si="289"/>
        <v>4.3271313852142758E-2</v>
      </c>
      <c r="D307" s="3">
        <f t="shared" si="289"/>
        <v>4.3271313852142751E-2</v>
      </c>
      <c r="E307" s="3">
        <f t="shared" si="289"/>
        <v>4.3271313852142709E-2</v>
      </c>
      <c r="F307" s="3">
        <f t="shared" si="289"/>
        <v>4.3271313852142265E-2</v>
      </c>
      <c r="G307" s="3">
        <f t="shared" si="289"/>
        <v>4.3271313852137817E-2</v>
      </c>
      <c r="H307" s="3">
        <f t="shared" si="289"/>
        <v>4.3271313852093346E-2</v>
      </c>
      <c r="I307" s="3">
        <f t="shared" si="289"/>
        <v>4.3271313851648667E-2</v>
      </c>
      <c r="J307" s="3">
        <f t="shared" si="289"/>
        <v>4.3271313847201863E-2</v>
      </c>
      <c r="K307" s="3">
        <f t="shared" si="289"/>
        <v>4.3271313802733816E-2</v>
      </c>
      <c r="L307" s="3">
        <f t="shared" si="289"/>
        <v>4.3271313358053322E-2</v>
      </c>
      <c r="M307" s="3">
        <f t="shared" si="289"/>
        <v>4.3271308911248689E-2</v>
      </c>
      <c r="N307" s="3">
        <f t="shared" si="289"/>
        <v>4.3271264443227479E-2</v>
      </c>
      <c r="O307" s="3">
        <f t="shared" si="289"/>
        <v>4.3270819765528712E-2</v>
      </c>
      <c r="P307" s="3">
        <f t="shared" si="289"/>
        <v>4.3266373239868754E-2</v>
      </c>
      <c r="Q307" s="3">
        <f t="shared" si="289"/>
        <v>4.3221933106488801E-2</v>
      </c>
      <c r="R307" s="3">
        <f t="shared" si="289"/>
        <v>4.2780034568175834E-2</v>
      </c>
      <c r="S307" s="3">
        <f t="shared" si="289"/>
        <v>3.8602068249247126E-2</v>
      </c>
      <c r="T307" s="3">
        <f t="shared" si="289"/>
        <v>1.3813540487474612E-2</v>
      </c>
      <c r="U307" s="3">
        <f t="shared" si="289"/>
        <v>4.7560817624574375E-7</v>
      </c>
      <c r="V307" s="3">
        <f t="shared" si="289"/>
        <v>1.1135055419136951E-51</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2.2304524360839302E-2</v>
      </c>
      <c r="C308" s="3">
        <f t="shared" si="290"/>
        <v>2.2304524360839302E-2</v>
      </c>
      <c r="D308" s="3">
        <f t="shared" si="290"/>
        <v>2.2304524360839302E-2</v>
      </c>
      <c r="E308" s="3">
        <f t="shared" si="290"/>
        <v>2.2304524360839299E-2</v>
      </c>
      <c r="F308" s="3">
        <f t="shared" si="290"/>
        <v>2.2304524360839281E-2</v>
      </c>
      <c r="G308" s="3">
        <f t="shared" si="290"/>
        <v>2.2304524360839073E-2</v>
      </c>
      <c r="H308" s="3">
        <f t="shared" si="290"/>
        <v>2.2304524360837005E-2</v>
      </c>
      <c r="I308" s="3">
        <f t="shared" si="290"/>
        <v>2.2304524360816327E-2</v>
      </c>
      <c r="J308" s="3">
        <f t="shared" si="290"/>
        <v>2.2304524360609559E-2</v>
      </c>
      <c r="K308" s="3">
        <f t="shared" si="290"/>
        <v>2.2304524358541859E-2</v>
      </c>
      <c r="L308" s="3">
        <f t="shared" si="290"/>
        <v>2.2304524337864857E-2</v>
      </c>
      <c r="M308" s="3">
        <f t="shared" si="290"/>
        <v>2.2304524131094846E-2</v>
      </c>
      <c r="N308" s="3">
        <f t="shared" si="290"/>
        <v>2.2304522063394845E-2</v>
      </c>
      <c r="O308" s="3">
        <f t="shared" si="290"/>
        <v>2.2304501386405388E-2</v>
      </c>
      <c r="P308" s="3">
        <f t="shared" si="290"/>
        <v>2.2304294617565064E-2</v>
      </c>
      <c r="Q308" s="3">
        <f t="shared" si="290"/>
        <v>2.2302227034583094E-2</v>
      </c>
      <c r="R308" s="3">
        <f t="shared" si="290"/>
        <v>2.2281561743276126E-2</v>
      </c>
      <c r="S308" s="3">
        <f t="shared" si="290"/>
        <v>2.2075959075696289E-2</v>
      </c>
      <c r="T308" s="3">
        <f t="shared" si="290"/>
        <v>2.012144218072914E-2</v>
      </c>
      <c r="U308" s="3">
        <f t="shared" si="290"/>
        <v>7.9625899699262061E-3</v>
      </c>
      <c r="V308" s="3">
        <f t="shared" si="290"/>
        <v>7.4990599760841472E-7</v>
      </c>
      <c r="W308" s="3">
        <f t="shared" si="290"/>
        <v>4.1165327248838704E-47</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3.1643216322297517E-2</v>
      </c>
      <c r="C309" s="3">
        <f t="shared" si="291"/>
        <v>3.1643216322297517E-2</v>
      </c>
      <c r="D309" s="3">
        <f t="shared" si="291"/>
        <v>3.1643216322297517E-2</v>
      </c>
      <c r="E309" s="3">
        <f t="shared" si="291"/>
        <v>3.1643216322297517E-2</v>
      </c>
      <c r="F309" s="3">
        <f t="shared" si="291"/>
        <v>3.1643216322297503E-2</v>
      </c>
      <c r="G309" s="3">
        <f t="shared" si="291"/>
        <v>3.1643216322297427E-2</v>
      </c>
      <c r="H309" s="3">
        <f t="shared" si="291"/>
        <v>3.1643216322296615E-2</v>
      </c>
      <c r="I309" s="3">
        <f t="shared" si="291"/>
        <v>3.1643216322288503E-2</v>
      </c>
      <c r="J309" s="3">
        <f t="shared" si="291"/>
        <v>3.1643216322207374E-2</v>
      </c>
      <c r="K309" s="3">
        <f t="shared" si="291"/>
        <v>3.1643216321396057E-2</v>
      </c>
      <c r="L309" s="3">
        <f t="shared" si="291"/>
        <v>3.1643216313282936E-2</v>
      </c>
      <c r="M309" s="3">
        <f t="shared" si="291"/>
        <v>3.1643216232151702E-2</v>
      </c>
      <c r="N309" s="3">
        <f t="shared" si="291"/>
        <v>3.16432154208394E-2</v>
      </c>
      <c r="O309" s="3">
        <f t="shared" si="291"/>
        <v>3.1643207307717532E-2</v>
      </c>
      <c r="P309" s="3">
        <f t="shared" si="291"/>
        <v>3.1643126176613211E-2</v>
      </c>
      <c r="Q309" s="3">
        <f t="shared" si="291"/>
        <v>3.1642314877010774E-2</v>
      </c>
      <c r="R309" s="3">
        <f t="shared" si="291"/>
        <v>3.1634203024950576E-2</v>
      </c>
      <c r="S309" s="3">
        <f t="shared" si="291"/>
        <v>3.1553198792318736E-2</v>
      </c>
      <c r="T309" s="3">
        <f t="shared" si="291"/>
        <v>3.0754477582490537E-2</v>
      </c>
      <c r="U309" s="3">
        <f t="shared" si="291"/>
        <v>2.3798958952505184E-2</v>
      </c>
      <c r="V309" s="3">
        <f t="shared" si="291"/>
        <v>1.8325423401020381E-3</v>
      </c>
      <c r="W309" s="3">
        <f t="shared" si="291"/>
        <v>1.3428100848473996E-14</v>
      </c>
      <c r="X309" s="3">
        <f t="shared" si="291"/>
        <v>5.9926699676668417E-126</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3.5141037946940686E-2</v>
      </c>
      <c r="C310" s="3">
        <f t="shared" si="292"/>
        <v>3.5141037946940686E-2</v>
      </c>
      <c r="D310" s="3">
        <f t="shared" si="292"/>
        <v>3.5141037946940686E-2</v>
      </c>
      <c r="E310" s="3">
        <f t="shared" si="292"/>
        <v>3.5141037946940686E-2</v>
      </c>
      <c r="F310" s="3">
        <f t="shared" si="292"/>
        <v>3.5141037946940686E-2</v>
      </c>
      <c r="G310" s="3">
        <f t="shared" si="292"/>
        <v>3.5141037946940672E-2</v>
      </c>
      <c r="H310" s="3">
        <f t="shared" si="292"/>
        <v>3.5141037946940581E-2</v>
      </c>
      <c r="I310" s="3">
        <f t="shared" si="292"/>
        <v>3.5141037946939679E-2</v>
      </c>
      <c r="J310" s="3">
        <f t="shared" si="292"/>
        <v>3.5141037946930673E-2</v>
      </c>
      <c r="K310" s="3">
        <f t="shared" si="292"/>
        <v>3.5141037946840571E-2</v>
      </c>
      <c r="L310" s="3">
        <f t="shared" si="292"/>
        <v>3.5141037945939584E-2</v>
      </c>
      <c r="M310" s="3">
        <f t="shared" si="292"/>
        <v>3.5141037936929638E-2</v>
      </c>
      <c r="N310" s="3">
        <f t="shared" si="292"/>
        <v>3.514103784683021E-2</v>
      </c>
      <c r="O310" s="3">
        <f t="shared" si="292"/>
        <v>3.5141036945835945E-2</v>
      </c>
      <c r="P310" s="3">
        <f t="shared" si="292"/>
        <v>3.5141027935894582E-2</v>
      </c>
      <c r="Q310" s="3">
        <f t="shared" si="292"/>
        <v>3.5140937836608009E-2</v>
      </c>
      <c r="R310" s="3">
        <f t="shared" si="292"/>
        <v>3.5140036856447676E-2</v>
      </c>
      <c r="S310" s="3">
        <f t="shared" si="292"/>
        <v>3.5131028325261597E-2</v>
      </c>
      <c r="T310" s="3">
        <f t="shared" si="292"/>
        <v>3.5041069934692665E-2</v>
      </c>
      <c r="U310" s="3">
        <f t="shared" si="292"/>
        <v>3.4154058574731097E-2</v>
      </c>
      <c r="V310" s="3">
        <f t="shared" si="292"/>
        <v>2.6429681203372246E-2</v>
      </c>
      <c r="W310" s="3">
        <f t="shared" si="292"/>
        <v>2.0351104406388454E-3</v>
      </c>
      <c r="X310" s="3">
        <f t="shared" si="292"/>
        <v>1.4912434838018056E-14</v>
      </c>
      <c r="Y310" s="3">
        <f t="shared" si="292"/>
        <v>6.655096011491101E-126</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3.5593088100758001E-2</v>
      </c>
      <c r="C311" s="3">
        <f t="shared" si="293"/>
        <v>3.5593088100758001E-2</v>
      </c>
      <c r="D311" s="3">
        <f t="shared" si="293"/>
        <v>3.5593088100758001E-2</v>
      </c>
      <c r="E311" s="3">
        <f t="shared" si="293"/>
        <v>3.5593088100758001E-2</v>
      </c>
      <c r="F311" s="3">
        <f t="shared" si="293"/>
        <v>3.5593088100758001E-2</v>
      </c>
      <c r="G311" s="3">
        <f t="shared" si="293"/>
        <v>3.5593088100758001E-2</v>
      </c>
      <c r="H311" s="3">
        <f t="shared" si="293"/>
        <v>3.5593088100757987E-2</v>
      </c>
      <c r="I311" s="3">
        <f t="shared" si="293"/>
        <v>3.5593088100757897E-2</v>
      </c>
      <c r="J311" s="3">
        <f t="shared" si="293"/>
        <v>3.5593088100756988E-2</v>
      </c>
      <c r="K311" s="3">
        <f t="shared" si="293"/>
        <v>3.5593088100747863E-2</v>
      </c>
      <c r="L311" s="3">
        <f t="shared" si="293"/>
        <v>3.5593088100656603E-2</v>
      </c>
      <c r="M311" s="3">
        <f t="shared" si="293"/>
        <v>3.559308809974402E-2</v>
      </c>
      <c r="N311" s="3">
        <f t="shared" si="293"/>
        <v>3.5593088090618168E-2</v>
      </c>
      <c r="O311" s="3">
        <f t="shared" si="293"/>
        <v>3.5593087999359715E-2</v>
      </c>
      <c r="P311" s="3">
        <f t="shared" si="293"/>
        <v>3.5593087086775173E-2</v>
      </c>
      <c r="Q311" s="3">
        <f t="shared" si="293"/>
        <v>3.5593077960930988E-2</v>
      </c>
      <c r="R311" s="3">
        <f t="shared" si="293"/>
        <v>3.5592986702617853E-2</v>
      </c>
      <c r="S311" s="3">
        <f t="shared" si="293"/>
        <v>3.559207413235535E-2</v>
      </c>
      <c r="T311" s="3">
        <f t="shared" si="293"/>
        <v>3.5582949716490092E-2</v>
      </c>
      <c r="U311" s="3">
        <f t="shared" si="293"/>
        <v>3.5491834111829899E-2</v>
      </c>
      <c r="V311" s="3">
        <f t="shared" si="293"/>
        <v>3.4593412342696195E-2</v>
      </c>
      <c r="W311" s="3">
        <f t="shared" si="293"/>
        <v>2.6769669494878221E-2</v>
      </c>
      <c r="X311" s="3">
        <f t="shared" si="293"/>
        <v>2.0612898605272129E-3</v>
      </c>
      <c r="Y311" s="3">
        <f t="shared" si="293"/>
        <v>1.5104266635146396E-14</v>
      </c>
      <c r="Z311" s="3">
        <f t="shared" si="293"/>
        <v>6.7407063790677773E-126</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3.9001792876272805E-2</v>
      </c>
      <c r="C312" s="3">
        <f t="shared" si="294"/>
        <v>3.9001792876272805E-2</v>
      </c>
      <c r="D312" s="3">
        <f t="shared" si="294"/>
        <v>3.9001792876272805E-2</v>
      </c>
      <c r="E312" s="3">
        <f t="shared" si="294"/>
        <v>3.9001792876272805E-2</v>
      </c>
      <c r="F312" s="3">
        <f t="shared" si="294"/>
        <v>3.9001792876272805E-2</v>
      </c>
      <c r="G312" s="3">
        <f t="shared" si="294"/>
        <v>3.9001792876272805E-2</v>
      </c>
      <c r="H312" s="3">
        <f t="shared" si="294"/>
        <v>3.9001792876272805E-2</v>
      </c>
      <c r="I312" s="3">
        <f t="shared" si="294"/>
        <v>3.9001792876272791E-2</v>
      </c>
      <c r="J312" s="3">
        <f t="shared" si="294"/>
        <v>3.9001792876272694E-2</v>
      </c>
      <c r="K312" s="3">
        <f t="shared" si="294"/>
        <v>3.9001792876271694E-2</v>
      </c>
      <c r="L312" s="3">
        <f t="shared" si="294"/>
        <v>3.9001792876261696E-2</v>
      </c>
      <c r="M312" s="3">
        <f t="shared" si="294"/>
        <v>3.9001792876161692E-2</v>
      </c>
      <c r="N312" s="3">
        <f t="shared" si="294"/>
        <v>3.9001792875161714E-2</v>
      </c>
      <c r="O312" s="3">
        <f t="shared" si="294"/>
        <v>3.9001792865161894E-2</v>
      </c>
      <c r="P312" s="3">
        <f t="shared" si="294"/>
        <v>3.9001792765163738E-2</v>
      </c>
      <c r="Q312" s="3">
        <f t="shared" si="294"/>
        <v>3.9001791765182127E-2</v>
      </c>
      <c r="R312" s="3">
        <f t="shared" si="294"/>
        <v>3.9001781765367456E-2</v>
      </c>
      <c r="S312" s="3">
        <f t="shared" si="294"/>
        <v>3.9001681767361747E-2</v>
      </c>
      <c r="T312" s="3">
        <f t="shared" si="294"/>
        <v>3.900068180140593E-2</v>
      </c>
      <c r="U312" s="3">
        <f t="shared" si="294"/>
        <v>3.8990683551838871E-2</v>
      </c>
      <c r="V312" s="3">
        <f t="shared" si="294"/>
        <v>3.8890841921612983E-2</v>
      </c>
      <c r="W312" s="3">
        <f t="shared" si="294"/>
        <v>3.7906379442378395E-2</v>
      </c>
      <c r="X312" s="3">
        <f t="shared" si="294"/>
        <v>2.9333366693273352E-2</v>
      </c>
      <c r="Y312" s="3">
        <f t="shared" si="294"/>
        <v>2.2586969686547516E-3</v>
      </c>
      <c r="Z312" s="3">
        <f t="shared" si="294"/>
        <v>1.6550783039233736E-14</v>
      </c>
      <c r="AA312" s="3">
        <f t="shared" si="294"/>
        <v>7.3862552552885543E-126</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4.5862342503385417E-2</v>
      </c>
      <c r="C313" s="3">
        <f t="shared" si="295"/>
        <v>4.5862342503385417E-2</v>
      </c>
      <c r="D313" s="3">
        <f t="shared" si="295"/>
        <v>4.5862342503385417E-2</v>
      </c>
      <c r="E313" s="3">
        <f t="shared" si="295"/>
        <v>4.5862342503385417E-2</v>
      </c>
      <c r="F313" s="3">
        <f t="shared" si="295"/>
        <v>4.5862342503385417E-2</v>
      </c>
      <c r="G313" s="3">
        <f t="shared" si="295"/>
        <v>4.5862342503385417E-2</v>
      </c>
      <c r="H313" s="3">
        <f t="shared" si="295"/>
        <v>4.5862342503385417E-2</v>
      </c>
      <c r="I313" s="3">
        <f t="shared" si="295"/>
        <v>4.5862342503385417E-2</v>
      </c>
      <c r="J313" s="3">
        <f t="shared" si="295"/>
        <v>4.5862342503385403E-2</v>
      </c>
      <c r="K313" s="3">
        <f t="shared" si="295"/>
        <v>4.5862342503385285E-2</v>
      </c>
      <c r="L313" s="3">
        <f t="shared" si="295"/>
        <v>4.5862342503384106E-2</v>
      </c>
      <c r="M313" s="3">
        <f t="shared" si="295"/>
        <v>4.5862342503372351E-2</v>
      </c>
      <c r="N313" s="3">
        <f t="shared" si="295"/>
        <v>4.5862342503254765E-2</v>
      </c>
      <c r="O313" s="3">
        <f t="shared" si="295"/>
        <v>4.5862342502078879E-2</v>
      </c>
      <c r="P313" s="3">
        <f t="shared" si="295"/>
        <v>4.5862342490320063E-2</v>
      </c>
      <c r="Q313" s="3">
        <f t="shared" si="295"/>
        <v>4.586234237273188E-2</v>
      </c>
      <c r="R313" s="3">
        <f t="shared" si="295"/>
        <v>4.5862341196850065E-2</v>
      </c>
      <c r="S313" s="3">
        <f t="shared" si="295"/>
        <v>4.5862329438033568E-2</v>
      </c>
      <c r="T313" s="3">
        <f t="shared" si="295"/>
        <v>4.5862211850034418E-2</v>
      </c>
      <c r="U313" s="3">
        <f t="shared" si="295"/>
        <v>4.5861035986624686E-2</v>
      </c>
      <c r="V313" s="3">
        <f t="shared" si="295"/>
        <v>4.58492790105407E-2</v>
      </c>
      <c r="W313" s="3">
        <f t="shared" si="295"/>
        <v>4.5731874893862219E-2</v>
      </c>
      <c r="X313" s="3">
        <f t="shared" si="295"/>
        <v>4.4574242075606417E-2</v>
      </c>
      <c r="Y313" s="3">
        <f t="shared" si="295"/>
        <v>3.449320687210581E-2</v>
      </c>
      <c r="Z313" s="3">
        <f t="shared" si="295"/>
        <v>2.6560095408029887E-3</v>
      </c>
      <c r="AA313" s="3">
        <f t="shared" si="295"/>
        <v>1.9462122750422108E-14</v>
      </c>
      <c r="AB313" s="3">
        <f t="shared" si="295"/>
        <v>8.6855229812154945E-126</v>
      </c>
      <c r="AC313" s="3">
        <f t="shared" si="295"/>
        <v>0</v>
      </c>
      <c r="AD313" s="3">
        <f t="shared" si="295"/>
        <v>0</v>
      </c>
      <c r="AE313" s="3">
        <f t="shared" si="295"/>
        <v>0</v>
      </c>
      <c r="AF313" s="3">
        <f t="shared" si="295"/>
        <v>0</v>
      </c>
      <c r="AG313" s="3"/>
      <c r="AH313" s="3"/>
    </row>
    <row r="314" spans="1:34" x14ac:dyDescent="0.25">
      <c r="B314" s="3">
        <f t="shared" ref="B314:AF314" si="296">$C44*EXP(-B$285/$A44/EXP(-$F$126))</f>
        <v>5.0364270464190349E-2</v>
      </c>
      <c r="C314" s="3">
        <f t="shared" si="296"/>
        <v>5.0364270464190349E-2</v>
      </c>
      <c r="D314" s="3">
        <f t="shared" si="296"/>
        <v>5.0364270464190349E-2</v>
      </c>
      <c r="E314" s="3">
        <f t="shared" si="296"/>
        <v>5.0364270464190349E-2</v>
      </c>
      <c r="F314" s="3">
        <f t="shared" si="296"/>
        <v>5.0364270464190349E-2</v>
      </c>
      <c r="G314" s="3">
        <f t="shared" si="296"/>
        <v>5.0364270464190349E-2</v>
      </c>
      <c r="H314" s="3">
        <f t="shared" si="296"/>
        <v>5.0364270464190349E-2</v>
      </c>
      <c r="I314" s="3">
        <f t="shared" si="296"/>
        <v>5.0364270464190349E-2</v>
      </c>
      <c r="J314" s="3">
        <f t="shared" si="296"/>
        <v>5.0364270464190349E-2</v>
      </c>
      <c r="K314" s="3">
        <f t="shared" si="296"/>
        <v>5.0364270464190335E-2</v>
      </c>
      <c r="L314" s="3">
        <f t="shared" si="296"/>
        <v>5.0364270464190203E-2</v>
      </c>
      <c r="M314" s="3">
        <f t="shared" si="296"/>
        <v>5.0364270464188912E-2</v>
      </c>
      <c r="N314" s="3">
        <f t="shared" si="296"/>
        <v>5.0364270464175999E-2</v>
      </c>
      <c r="O314" s="3">
        <f t="shared" si="296"/>
        <v>5.0364270464046866E-2</v>
      </c>
      <c r="P314" s="3">
        <f t="shared" si="296"/>
        <v>5.0364270462755559E-2</v>
      </c>
      <c r="Q314" s="3">
        <f t="shared" si="296"/>
        <v>5.0364270449842471E-2</v>
      </c>
      <c r="R314" s="3">
        <f t="shared" si="296"/>
        <v>5.0364270320711634E-2</v>
      </c>
      <c r="S314" s="3">
        <f t="shared" si="296"/>
        <v>5.0364269029403191E-2</v>
      </c>
      <c r="T314" s="3">
        <f t="shared" si="296"/>
        <v>5.0364256116320651E-2</v>
      </c>
      <c r="U314" s="3">
        <f t="shared" si="296"/>
        <v>5.0364126985677313E-2</v>
      </c>
      <c r="V314" s="3">
        <f t="shared" si="296"/>
        <v>5.0362835697453374E-2</v>
      </c>
      <c r="W314" s="3">
        <f t="shared" si="296"/>
        <v>5.0349924635980862E-2</v>
      </c>
      <c r="X314" s="3">
        <f t="shared" si="296"/>
        <v>5.0220995925338401E-2</v>
      </c>
      <c r="Y314" s="3">
        <f t="shared" si="296"/>
        <v>4.894972783970683E-2</v>
      </c>
      <c r="Z314" s="3">
        <f t="shared" si="296"/>
        <v>3.7879120543303467E-2</v>
      </c>
      <c r="AA314" s="3">
        <f t="shared" si="296"/>
        <v>2.91672809470204E-3</v>
      </c>
      <c r="AB314" s="3">
        <f t="shared" si="296"/>
        <v>2.1372558846883501E-14</v>
      </c>
      <c r="AC314" s="3">
        <f t="shared" si="296"/>
        <v>9.5381091473159606E-126</v>
      </c>
      <c r="AD314" s="3">
        <f t="shared" si="296"/>
        <v>0</v>
      </c>
      <c r="AE314" s="3">
        <f t="shared" si="296"/>
        <v>0</v>
      </c>
      <c r="AF314" s="3">
        <f t="shared" si="296"/>
        <v>0</v>
      </c>
      <c r="AG314" s="3"/>
      <c r="AH314" s="3"/>
    </row>
    <row r="315" spans="1:34" x14ac:dyDescent="0.25">
      <c r="B315" s="3">
        <f t="shared" ref="B315:AF315" si="297">$C45*EXP(-B$285/$A45/EXP(-$F$126))</f>
        <v>4.7472549330169547E-2</v>
      </c>
      <c r="C315" s="3">
        <f t="shared" si="297"/>
        <v>4.7472549330169547E-2</v>
      </c>
      <c r="D315" s="3">
        <f t="shared" si="297"/>
        <v>4.7472549330169547E-2</v>
      </c>
      <c r="E315" s="3">
        <f t="shared" si="297"/>
        <v>4.7472549330169547E-2</v>
      </c>
      <c r="F315" s="3">
        <f t="shared" si="297"/>
        <v>4.7472549330169547E-2</v>
      </c>
      <c r="G315" s="3">
        <f t="shared" si="297"/>
        <v>4.7472549330169547E-2</v>
      </c>
      <c r="H315" s="3">
        <f t="shared" si="297"/>
        <v>4.7472549330169547E-2</v>
      </c>
      <c r="I315" s="3">
        <f t="shared" si="297"/>
        <v>4.7472549330169547E-2</v>
      </c>
      <c r="J315" s="3">
        <f t="shared" si="297"/>
        <v>4.7472549330169547E-2</v>
      </c>
      <c r="K315" s="3">
        <f t="shared" si="297"/>
        <v>4.7472549330169547E-2</v>
      </c>
      <c r="L315" s="3">
        <f t="shared" si="297"/>
        <v>4.7472549330169533E-2</v>
      </c>
      <c r="M315" s="3">
        <f t="shared" si="297"/>
        <v>4.7472549330169408E-2</v>
      </c>
      <c r="N315" s="3">
        <f t="shared" si="297"/>
        <v>4.7472549330168194E-2</v>
      </c>
      <c r="O315" s="3">
        <f t="shared" si="297"/>
        <v>4.7472549330156023E-2</v>
      </c>
      <c r="P315" s="3">
        <f t="shared" si="297"/>
        <v>4.7472549330034308E-2</v>
      </c>
      <c r="Q315" s="3">
        <f t="shared" si="297"/>
        <v>4.7472549328817136E-2</v>
      </c>
      <c r="R315" s="3">
        <f t="shared" si="297"/>
        <v>4.747254931664547E-2</v>
      </c>
      <c r="S315" s="3">
        <f t="shared" si="297"/>
        <v>4.7472549194928819E-2</v>
      </c>
      <c r="T315" s="3">
        <f t="shared" si="297"/>
        <v>4.7472547977762306E-2</v>
      </c>
      <c r="U315" s="3">
        <f t="shared" si="297"/>
        <v>4.7472535806098899E-2</v>
      </c>
      <c r="V315" s="3">
        <f t="shared" si="297"/>
        <v>4.7472414089636428E-2</v>
      </c>
      <c r="W315" s="3">
        <f t="shared" si="297"/>
        <v>4.7471196942175629E-2</v>
      </c>
      <c r="X315" s="3">
        <f t="shared" si="297"/>
        <v>4.7459027183793155E-2</v>
      </c>
      <c r="Y315" s="3">
        <f t="shared" si="297"/>
        <v>4.7337501059823955E-2</v>
      </c>
      <c r="Z315" s="3">
        <f t="shared" si="297"/>
        <v>4.6139224258615753E-2</v>
      </c>
      <c r="AA315" s="3">
        <f t="shared" si="297"/>
        <v>3.5704248309403573E-2</v>
      </c>
      <c r="AB315" s="3">
        <f t="shared" si="297"/>
        <v>2.7492608764557429E-3</v>
      </c>
      <c r="AC315" s="3">
        <f t="shared" si="297"/>
        <v>2.0145429385143768E-14</v>
      </c>
      <c r="AD315" s="3">
        <f t="shared" si="297"/>
        <v>8.9904679019314659E-126</v>
      </c>
      <c r="AE315" s="3">
        <f t="shared" si="297"/>
        <v>0</v>
      </c>
      <c r="AF315" s="3">
        <f t="shared" si="297"/>
        <v>0</v>
      </c>
      <c r="AG315" s="3"/>
      <c r="AH315" s="3"/>
    </row>
    <row r="316" spans="1:34" x14ac:dyDescent="0.25">
      <c r="B316" s="3">
        <f t="shared" ref="B316:AF316" si="298">$C46*EXP(-B$285/$A46/EXP(-$F$126))</f>
        <v>3.4265272438938038E-2</v>
      </c>
      <c r="C316" s="3">
        <f t="shared" si="298"/>
        <v>3.4265272438938038E-2</v>
      </c>
      <c r="D316" s="3">
        <f t="shared" si="298"/>
        <v>3.4265272438938038E-2</v>
      </c>
      <c r="E316" s="3">
        <f t="shared" si="298"/>
        <v>3.4265272438938038E-2</v>
      </c>
      <c r="F316" s="3">
        <f t="shared" si="298"/>
        <v>3.4265272438938038E-2</v>
      </c>
      <c r="G316" s="3">
        <f t="shared" si="298"/>
        <v>3.4265272438938038E-2</v>
      </c>
      <c r="H316" s="3">
        <f t="shared" si="298"/>
        <v>3.4265272438938038E-2</v>
      </c>
      <c r="I316" s="3">
        <f t="shared" si="298"/>
        <v>3.4265272438938038E-2</v>
      </c>
      <c r="J316" s="3">
        <f t="shared" si="298"/>
        <v>3.4265272438938038E-2</v>
      </c>
      <c r="K316" s="3">
        <f t="shared" si="298"/>
        <v>3.4265272438938038E-2</v>
      </c>
      <c r="L316" s="3">
        <f t="shared" si="298"/>
        <v>3.4265272438938038E-2</v>
      </c>
      <c r="M316" s="3">
        <f t="shared" si="298"/>
        <v>3.4265272438938024E-2</v>
      </c>
      <c r="N316" s="3">
        <f t="shared" si="298"/>
        <v>3.4265272438937941E-2</v>
      </c>
      <c r="O316" s="3">
        <f t="shared" si="298"/>
        <v>3.426527243893706E-2</v>
      </c>
      <c r="P316" s="3">
        <f t="shared" si="298"/>
        <v>3.4265272438928275E-2</v>
      </c>
      <c r="Q316" s="3">
        <f t="shared" si="298"/>
        <v>3.4265272438840422E-2</v>
      </c>
      <c r="R316" s="3">
        <f t="shared" si="298"/>
        <v>3.4265272437961881E-2</v>
      </c>
      <c r="S316" s="3">
        <f t="shared" si="298"/>
        <v>3.4265272429176478E-2</v>
      </c>
      <c r="T316" s="3">
        <f t="shared" si="298"/>
        <v>3.4265272341322463E-2</v>
      </c>
      <c r="U316" s="3">
        <f t="shared" si="298"/>
        <v>3.4265271462782278E-2</v>
      </c>
      <c r="V316" s="3">
        <f t="shared" si="298"/>
        <v>3.426526267738169E-2</v>
      </c>
      <c r="W316" s="3">
        <f t="shared" si="298"/>
        <v>3.4265174823499694E-2</v>
      </c>
      <c r="X316" s="3">
        <f t="shared" si="298"/>
        <v>3.4264296297068501E-2</v>
      </c>
      <c r="Y316" s="3">
        <f t="shared" si="298"/>
        <v>3.4255512271513203E-2</v>
      </c>
      <c r="Z316" s="3">
        <f t="shared" si="298"/>
        <v>3.4167795774189845E-2</v>
      </c>
      <c r="AA316" s="3">
        <f t="shared" si="298"/>
        <v>3.330289002065441E-2</v>
      </c>
      <c r="AB316" s="3">
        <f t="shared" si="298"/>
        <v>2.5771015309087399E-2</v>
      </c>
      <c r="AC316" s="3">
        <f t="shared" si="298"/>
        <v>1.9843925440423183E-3</v>
      </c>
      <c r="AD316" s="3">
        <f t="shared" si="298"/>
        <v>1.454079538641187E-14</v>
      </c>
      <c r="AE316" s="3">
        <f t="shared" si="298"/>
        <v>6.4892413902329008E-126</v>
      </c>
      <c r="AF316" s="3">
        <f t="shared" si="298"/>
        <v>0</v>
      </c>
      <c r="AG316" s="3"/>
      <c r="AH316" s="3"/>
    </row>
    <row r="317" spans="1:34" x14ac:dyDescent="0.25">
      <c r="B317" s="3">
        <f t="shared" ref="B317:AF317" si="299">$C47*EXP(-B$285/$A47/EXP(-$F$126))</f>
        <v>1.7817533491132281E-2</v>
      </c>
      <c r="C317" s="3">
        <f t="shared" si="299"/>
        <v>1.7817533491132281E-2</v>
      </c>
      <c r="D317" s="3">
        <f t="shared" si="299"/>
        <v>1.7817533491132281E-2</v>
      </c>
      <c r="E317" s="3">
        <f t="shared" si="299"/>
        <v>1.7817533491132281E-2</v>
      </c>
      <c r="F317" s="3">
        <f t="shared" si="299"/>
        <v>1.7817533491132281E-2</v>
      </c>
      <c r="G317" s="3">
        <f t="shared" si="299"/>
        <v>1.7817533491132281E-2</v>
      </c>
      <c r="H317" s="3">
        <f t="shared" si="299"/>
        <v>1.7817533491132281E-2</v>
      </c>
      <c r="I317" s="3">
        <f t="shared" si="299"/>
        <v>1.7817533491132281E-2</v>
      </c>
      <c r="J317" s="3">
        <f t="shared" si="299"/>
        <v>1.7817533491132281E-2</v>
      </c>
      <c r="K317" s="3">
        <f t="shared" si="299"/>
        <v>1.7817533491132281E-2</v>
      </c>
      <c r="L317" s="3">
        <f t="shared" si="299"/>
        <v>1.7817533491132281E-2</v>
      </c>
      <c r="M317" s="3">
        <f t="shared" si="299"/>
        <v>1.7817533491132281E-2</v>
      </c>
      <c r="N317" s="3">
        <f t="shared" si="299"/>
        <v>1.7817533491132274E-2</v>
      </c>
      <c r="O317" s="3">
        <f t="shared" si="299"/>
        <v>1.7817533491132229E-2</v>
      </c>
      <c r="P317" s="3">
        <f t="shared" si="299"/>
        <v>1.7817533491131771E-2</v>
      </c>
      <c r="Q317" s="3">
        <f t="shared" si="299"/>
        <v>1.7817533491127205E-2</v>
      </c>
      <c r="R317" s="3">
        <f t="shared" si="299"/>
        <v>1.7817533491081523E-2</v>
      </c>
      <c r="S317" s="3">
        <f t="shared" si="299"/>
        <v>1.781753349062469E-2</v>
      </c>
      <c r="T317" s="3">
        <f t="shared" si="299"/>
        <v>1.7817533486056386E-2</v>
      </c>
      <c r="U317" s="3">
        <f t="shared" si="299"/>
        <v>1.7817533440373342E-2</v>
      </c>
      <c r="V317" s="3">
        <f t="shared" si="299"/>
        <v>1.7817532983542914E-2</v>
      </c>
      <c r="W317" s="3">
        <f t="shared" si="299"/>
        <v>1.7817528415239262E-2</v>
      </c>
      <c r="X317" s="3">
        <f t="shared" si="299"/>
        <v>1.7817482732267163E-2</v>
      </c>
      <c r="Y317" s="3">
        <f t="shared" si="299"/>
        <v>1.7817025908988187E-2</v>
      </c>
      <c r="Z317" s="3">
        <f t="shared" si="299"/>
        <v>1.7812458320337097E-2</v>
      </c>
      <c r="AA317" s="3">
        <f t="shared" si="299"/>
        <v>1.7766846786631395E-2</v>
      </c>
      <c r="AB317" s="3">
        <f t="shared" si="299"/>
        <v>1.7317106097782281E-2</v>
      </c>
      <c r="AC317" s="3">
        <f t="shared" si="299"/>
        <v>1.3400620969479105E-2</v>
      </c>
      <c r="AD317" s="3">
        <f t="shared" si="299"/>
        <v>1.0318604842857917E-3</v>
      </c>
      <c r="AE317" s="3">
        <f t="shared" si="299"/>
        <v>7.5610403870795772E-15</v>
      </c>
      <c r="AF317" s="3">
        <f t="shared" si="299"/>
        <v>3.374328221337204E-126</v>
      </c>
      <c r="AG317" s="3"/>
      <c r="AH317" s="3"/>
    </row>
    <row r="318" spans="1:34" x14ac:dyDescent="0.25">
      <c r="B318" s="3">
        <f t="shared" ref="B318:AF318" si="300">$C48*EXP(-B$285/$A48/EXP(-$F$126))</f>
        <v>3.0591851493341829E-2</v>
      </c>
      <c r="C318" s="3">
        <f t="shared" si="300"/>
        <v>3.0591851493341829E-2</v>
      </c>
      <c r="D318" s="3">
        <f t="shared" si="300"/>
        <v>3.0591851493341829E-2</v>
      </c>
      <c r="E318" s="3">
        <f t="shared" si="300"/>
        <v>3.0591851493341829E-2</v>
      </c>
      <c r="F318" s="3">
        <f t="shared" si="300"/>
        <v>3.0591851493341829E-2</v>
      </c>
      <c r="G318" s="3">
        <f t="shared" si="300"/>
        <v>3.0591851493341829E-2</v>
      </c>
      <c r="H318" s="3">
        <f t="shared" si="300"/>
        <v>3.0591851493341829E-2</v>
      </c>
      <c r="I318" s="3">
        <f t="shared" si="300"/>
        <v>3.0591851493341829E-2</v>
      </c>
      <c r="J318" s="3">
        <f t="shared" si="300"/>
        <v>3.0591851493341829E-2</v>
      </c>
      <c r="K318" s="3">
        <f t="shared" si="300"/>
        <v>3.0591851493341829E-2</v>
      </c>
      <c r="L318" s="3">
        <f t="shared" si="300"/>
        <v>3.0591851493341829E-2</v>
      </c>
      <c r="M318" s="3">
        <f t="shared" si="300"/>
        <v>3.0591851493341829E-2</v>
      </c>
      <c r="N318" s="3">
        <f t="shared" si="300"/>
        <v>3.0591851493341829E-2</v>
      </c>
      <c r="O318" s="3">
        <f t="shared" si="300"/>
        <v>3.0591851493341819E-2</v>
      </c>
      <c r="P318" s="3">
        <f t="shared" si="300"/>
        <v>3.0591851493341742E-2</v>
      </c>
      <c r="Q318" s="3">
        <f t="shared" si="300"/>
        <v>3.0591851493340955E-2</v>
      </c>
      <c r="R318" s="3">
        <f t="shared" si="300"/>
        <v>3.0591851493333114E-2</v>
      </c>
      <c r="S318" s="3">
        <f t="shared" si="300"/>
        <v>3.0591851493254676E-2</v>
      </c>
      <c r="T318" s="3">
        <f t="shared" si="300"/>
        <v>3.0591851492470321E-2</v>
      </c>
      <c r="U318" s="3">
        <f t="shared" si="300"/>
        <v>3.0591851484626762E-2</v>
      </c>
      <c r="V318" s="3">
        <f t="shared" si="300"/>
        <v>3.0591851406191164E-2</v>
      </c>
      <c r="W318" s="3">
        <f t="shared" si="300"/>
        <v>3.0591850621835202E-2</v>
      </c>
      <c r="X318" s="3">
        <f t="shared" si="300"/>
        <v>3.0591842778276666E-2</v>
      </c>
      <c r="Y318" s="3">
        <f t="shared" si="300"/>
        <v>3.0591764342801916E-2</v>
      </c>
      <c r="Z318" s="3">
        <f t="shared" si="300"/>
        <v>3.0590979999115059E-2</v>
      </c>
      <c r="AA318" s="3">
        <f t="shared" si="300"/>
        <v>3.058313766820173E-2</v>
      </c>
      <c r="AB318" s="3">
        <f t="shared" si="300"/>
        <v>3.0504824849752258E-2</v>
      </c>
      <c r="AC318" s="3">
        <f t="shared" si="300"/>
        <v>2.973264163086661E-2</v>
      </c>
      <c r="AD318" s="3">
        <f t="shared" si="300"/>
        <v>2.3008224276435212E-2</v>
      </c>
      <c r="AE318" s="3">
        <f t="shared" si="300"/>
        <v>1.7716550224434408E-3</v>
      </c>
      <c r="AF318" s="3">
        <f t="shared" si="300"/>
        <v>1.2981944149105626E-14</v>
      </c>
      <c r="AG318" s="3"/>
      <c r="AH318" s="3"/>
    </row>
    <row r="319" spans="1:34" x14ac:dyDescent="0.25">
      <c r="A319" s="79">
        <f>AVERAGE(B319:AF319)</f>
        <v>9.2492519816091481E-3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2.6731130043641731E-2</v>
      </c>
      <c r="M319" s="80">
        <f t="shared" si="301"/>
        <v>3.2715842935879563E-2</v>
      </c>
      <c r="N319" s="80">
        <f t="shared" si="301"/>
        <v>3.3424577869053153E-2</v>
      </c>
      <c r="O319" s="80">
        <f t="shared" si="301"/>
        <v>2.8824467890232752E-2</v>
      </c>
      <c r="P319" s="80">
        <f t="shared" si="301"/>
        <v>1.9618145944450445E-2</v>
      </c>
      <c r="Q319" s="80">
        <f t="shared" si="301"/>
        <v>1.1768495598687341E-2</v>
      </c>
      <c r="R319" s="80">
        <f t="shared" si="301"/>
        <v>4.314068875684083E-2</v>
      </c>
      <c r="S319" s="80">
        <f t="shared" si="301"/>
        <v>4.6039393228138492E-2</v>
      </c>
      <c r="T319" s="80">
        <f t="shared" si="301"/>
        <v>3.1545040681490499E-2</v>
      </c>
      <c r="U319" s="80">
        <f t="shared" si="301"/>
        <v>1.3601310417721431E-3</v>
      </c>
      <c r="V319" s="80">
        <f t="shared" si="301"/>
        <v>1.1558897439696679E-2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2144.1348219947035</v>
      </c>
      <c r="C320" s="21">
        <f t="shared" ref="C320:AF320" si="302">(C287-C286)^2</f>
        <v>17529.688824929894</v>
      </c>
      <c r="D320" s="21">
        <f t="shared" si="302"/>
        <v>7613.9694602161053</v>
      </c>
      <c r="E320" s="21">
        <f t="shared" si="302"/>
        <v>9045.6360850014735</v>
      </c>
      <c r="F320" s="21">
        <f t="shared" si="302"/>
        <v>10217.201713075428</v>
      </c>
      <c r="G320" s="21">
        <f t="shared" si="302"/>
        <v>10798.567070526449</v>
      </c>
      <c r="H320" s="21">
        <f t="shared" si="302"/>
        <v>12948.980436187705</v>
      </c>
      <c r="I320" s="21">
        <f t="shared" si="302"/>
        <v>13481.782212282224</v>
      </c>
      <c r="J320" s="21">
        <f t="shared" si="302"/>
        <v>12938.375258725457</v>
      </c>
      <c r="K320" s="21">
        <f t="shared" si="302"/>
        <v>11389.896596787332</v>
      </c>
      <c r="L320" s="21">
        <f t="shared" si="302"/>
        <v>14927.438187239817</v>
      </c>
      <c r="M320" s="21">
        <f t="shared" si="302"/>
        <v>20305.544432159906</v>
      </c>
      <c r="N320" s="21">
        <f t="shared" si="302"/>
        <v>19041.256038125506</v>
      </c>
      <c r="O320" s="21">
        <f t="shared" si="302"/>
        <v>12839.548290912653</v>
      </c>
      <c r="P320" s="21">
        <f t="shared" si="302"/>
        <v>5429.7347657872469</v>
      </c>
      <c r="Q320" s="21">
        <f t="shared" si="302"/>
        <v>1768.0146559921857</v>
      </c>
      <c r="R320" s="21">
        <f t="shared" si="302"/>
        <v>20963.721383288266</v>
      </c>
      <c r="S320" s="21">
        <f t="shared" si="302"/>
        <v>19928.691183182498</v>
      </c>
      <c r="T320" s="21">
        <f t="shared" si="302"/>
        <v>7574.2837930841242</v>
      </c>
      <c r="U320" s="21">
        <f t="shared" si="302"/>
        <v>11.243194749566403</v>
      </c>
      <c r="V320" s="21">
        <f t="shared" si="302"/>
        <v>644.98765682277281</v>
      </c>
      <c r="W320" s="21">
        <f t="shared" si="302"/>
        <v>4573.9972687349118</v>
      </c>
      <c r="X320" s="21">
        <f t="shared" si="302"/>
        <v>11204.196106917245</v>
      </c>
      <c r="Y320" s="21">
        <f t="shared" si="302"/>
        <v>20195.389829533604</v>
      </c>
      <c r="Z320" s="21">
        <f t="shared" si="302"/>
        <v>26771.297212496855</v>
      </c>
      <c r="AA320" s="21">
        <f t="shared" si="302"/>
        <v>24110.035036372647</v>
      </c>
      <c r="AB320" s="21">
        <f t="shared" si="302"/>
        <v>13260.953267568355</v>
      </c>
      <c r="AC320" s="21">
        <f t="shared" si="302"/>
        <v>5161.1540927961987</v>
      </c>
      <c r="AD320" s="21">
        <f t="shared" si="302"/>
        <v>376.17822707089914</v>
      </c>
      <c r="AE320" s="21">
        <f t="shared" si="302"/>
        <v>6320.2529748720717</v>
      </c>
      <c r="AF320" s="21">
        <f t="shared" si="302"/>
        <v>5050.4893338478478</v>
      </c>
      <c r="AG320" s="3"/>
      <c r="AH320" s="3"/>
    </row>
    <row r="321" spans="1:34" x14ac:dyDescent="0.25">
      <c r="A321" s="71">
        <f>SUM(B321:AF321)</f>
        <v>123434.46358134455</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14927.438187239817</v>
      </c>
      <c r="M321" s="60">
        <f t="shared" ref="M321" si="313">IF($A$64&lt;=M285,IF($B$64&gt;=M285,ABS(M320),0),0)</f>
        <v>20305.544432159906</v>
      </c>
      <c r="N321" s="60">
        <f t="shared" ref="N321" si="314">IF($A$64&lt;=N285,IF($B$64&gt;=N285,ABS(N320),0),0)</f>
        <v>19041.256038125506</v>
      </c>
      <c r="O321" s="60">
        <f t="shared" ref="O321" si="315">IF($A$64&lt;=O285,IF($B$64&gt;=O285,ABS(O320),0),0)</f>
        <v>12839.548290912653</v>
      </c>
      <c r="P321" s="60">
        <f t="shared" ref="P321" si="316">IF($A$64&lt;=P285,IF($B$64&gt;=P285,ABS(P320),0),0)</f>
        <v>5429.7347657872469</v>
      </c>
      <c r="Q321" s="60">
        <f t="shared" ref="Q321" si="317">IF($A$64&lt;=Q285,IF($B$64&gt;=Q285,ABS(Q320),0),0)</f>
        <v>1768.0146559921857</v>
      </c>
      <c r="R321" s="60">
        <f t="shared" ref="R321" si="318">IF($A$64&lt;=R285,IF($B$64&gt;=R285,ABS(R320),0),0)</f>
        <v>20963.721383288266</v>
      </c>
      <c r="S321" s="60">
        <f t="shared" ref="S321" si="319">IF($A$64&lt;=S285,IF($B$64&gt;=S285,ABS(S320),0),0)</f>
        <v>19928.691183182498</v>
      </c>
      <c r="T321" s="60">
        <f t="shared" ref="T321" si="320">IF($A$64&lt;=T285,IF($B$64&gt;=T285,ABS(T320),0),0)</f>
        <v>7574.2837930841242</v>
      </c>
      <c r="U321" s="60">
        <f t="shared" ref="U321" si="321">IF($A$64&lt;=U285,IF($B$64&gt;=U285,ABS(U320),0),0)</f>
        <v>11.243194749566403</v>
      </c>
      <c r="V321" s="60">
        <f t="shared" ref="V321" si="322">IF($A$64&lt;=V285,IF($B$64&gt;=V285,ABS(V320),0),0)</f>
        <v>644.98765682277281</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5248.5746949134991</v>
      </c>
      <c r="C326" s="27">
        <f t="shared" ref="C326:AF326" si="333">($C$17+SUM(C327:C357))*$B$51</f>
        <v>5083.78183119406</v>
      </c>
      <c r="D326" s="27">
        <f t="shared" si="333"/>
        <v>4916.6546247397409</v>
      </c>
      <c r="E326" s="27">
        <f t="shared" si="333"/>
        <v>4756.2222109284849</v>
      </c>
      <c r="F326" s="27">
        <f t="shared" si="333"/>
        <v>4577.0893185376026</v>
      </c>
      <c r="G326" s="27">
        <f t="shared" si="333"/>
        <v>4358.9434837234812</v>
      </c>
      <c r="H326" s="27">
        <f t="shared" si="333"/>
        <v>4130.6018566933662</v>
      </c>
      <c r="I326" s="27">
        <f t="shared" si="333"/>
        <v>3916.5474005979877</v>
      </c>
      <c r="J326" s="27">
        <f t="shared" si="333"/>
        <v>3657.1956096476752</v>
      </c>
      <c r="K326" s="27">
        <f t="shared" si="333"/>
        <v>3332.72527623012</v>
      </c>
      <c r="L326" s="27">
        <f t="shared" si="333"/>
        <v>3027.1452740764089</v>
      </c>
      <c r="M326" s="27">
        <f t="shared" si="333"/>
        <v>2760.1974806974677</v>
      </c>
      <c r="N326" s="27">
        <f t="shared" si="333"/>
        <v>2531.2522791205229</v>
      </c>
      <c r="O326" s="27">
        <f t="shared" si="333"/>
        <v>2300.5519277282078</v>
      </c>
      <c r="P326" s="27">
        <f t="shared" si="333"/>
        <v>2087.040636572226</v>
      </c>
      <c r="Q326" s="27">
        <f t="shared" si="333"/>
        <v>1864.4289834015192</v>
      </c>
      <c r="R326" s="27">
        <f t="shared" si="333"/>
        <v>1623.6498721831222</v>
      </c>
      <c r="S326" s="27">
        <f t="shared" si="333"/>
        <v>1348.8574780623187</v>
      </c>
      <c r="T326" s="27">
        <f t="shared" si="333"/>
        <v>1048.2442650420419</v>
      </c>
      <c r="U326" s="27">
        <f t="shared" si="333"/>
        <v>760.09729330412335</v>
      </c>
      <c r="V326" s="27">
        <f t="shared" si="333"/>
        <v>535.95823744598465</v>
      </c>
      <c r="W326" s="27">
        <f t="shared" si="333"/>
        <v>389.68949901669106</v>
      </c>
      <c r="X326" s="27">
        <f t="shared" si="333"/>
        <v>245.17152666127285</v>
      </c>
      <c r="Y326" s="27">
        <f t="shared" si="333"/>
        <v>191.25515434835313</v>
      </c>
      <c r="Z326" s="27">
        <f t="shared" si="333"/>
        <v>191.25449218977511</v>
      </c>
      <c r="AA326" s="27">
        <f t="shared" si="333"/>
        <v>191.25449218977511</v>
      </c>
      <c r="AB326" s="27">
        <f t="shared" si="333"/>
        <v>191.25449218977511</v>
      </c>
      <c r="AC326" s="27">
        <f t="shared" si="333"/>
        <v>191.25449218977511</v>
      </c>
      <c r="AD326" s="27">
        <f t="shared" si="333"/>
        <v>191.25449218977511</v>
      </c>
      <c r="AE326" s="27">
        <f t="shared" si="333"/>
        <v>191.25449218977511</v>
      </c>
      <c r="AF326" s="27">
        <f t="shared" si="333"/>
        <v>191.25449218977511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7.0661638196428096E-86</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6.6148741485863806E-10</v>
      </c>
      <c r="C334" s="3">
        <f t="shared" si="341"/>
        <v>1.0865394117548728E-77</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5.5899676536951557E-3</v>
      </c>
      <c r="C335" s="3">
        <f t="shared" si="342"/>
        <v>4.2922562130070787E-9</v>
      </c>
      <c r="D335" s="3">
        <f t="shared" si="342"/>
        <v>3.0580815938028296E-70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2.4548526451159715E-2</v>
      </c>
      <c r="C336" s="3">
        <f t="shared" si="343"/>
        <v>6.8932889721340252E-3</v>
      </c>
      <c r="D336" s="3">
        <f t="shared" si="343"/>
        <v>2.1010532055448711E-8</v>
      </c>
      <c r="E336" s="3">
        <f t="shared" si="343"/>
        <v>1.4539273456419079E-63</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2.8425065550501984E-2</v>
      </c>
      <c r="C337" s="3">
        <f t="shared" si="344"/>
        <v>2.5347939466739987E-2</v>
      </c>
      <c r="D337" s="3">
        <f t="shared" si="344"/>
        <v>8.0603616067261834E-3</v>
      </c>
      <c r="E337" s="3">
        <f t="shared" si="344"/>
        <v>8.5206586981385856E-8</v>
      </c>
      <c r="F337" s="3">
        <f t="shared" si="344"/>
        <v>1.4847714527725778E-57</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2.5566034990551153E-2</v>
      </c>
      <c r="C338" s="3">
        <f t="shared" si="345"/>
        <v>2.5303157573585405E-2</v>
      </c>
      <c r="D338" s="3">
        <f t="shared" si="345"/>
        <v>2.2818554564039226E-2</v>
      </c>
      <c r="E338" s="3">
        <f t="shared" si="345"/>
        <v>8.1174988731213781E-3</v>
      </c>
      <c r="F338" s="3">
        <f t="shared" si="345"/>
        <v>2.6348949212945543E-7</v>
      </c>
      <c r="G338" s="3">
        <f t="shared" si="345"/>
        <v>3.4211643203325902E-52</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3.1568713712409054E-2</v>
      </c>
      <c r="C339" s="3">
        <f t="shared" si="346"/>
        <v>3.1539294344847195E-2</v>
      </c>
      <c r="D339" s="3">
        <f t="shared" si="346"/>
        <v>3.1246604361115135E-2</v>
      </c>
      <c r="E339" s="3">
        <f t="shared" si="346"/>
        <v>2.8465013274062423E-2</v>
      </c>
      <c r="F339" s="3">
        <f t="shared" si="346"/>
        <v>1.120461691275396E-2</v>
      </c>
      <c r="G339" s="3">
        <f t="shared" si="346"/>
        <v>1.0005832565307496E-6</v>
      </c>
      <c r="H339" s="3">
        <f t="shared" si="346"/>
        <v>3.2271222548405396E-47</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4.0618668606407726E-2</v>
      </c>
      <c r="C340" s="3">
        <f t="shared" si="347"/>
        <v>4.0615252488130978E-2</v>
      </c>
      <c r="D340" s="3">
        <f t="shared" si="347"/>
        <v>4.0581107103040602E-2</v>
      </c>
      <c r="E340" s="3">
        <f t="shared" si="347"/>
        <v>4.0241228114789841E-2</v>
      </c>
      <c r="F340" s="3">
        <f t="shared" si="347"/>
        <v>3.6995131974064011E-2</v>
      </c>
      <c r="G340" s="3">
        <f t="shared" si="347"/>
        <v>1.5954313669237826E-2</v>
      </c>
      <c r="H340" s="3">
        <f t="shared" si="347"/>
        <v>3.5498792378856577E-6</v>
      </c>
      <c r="I340" s="3">
        <f t="shared" si="347"/>
        <v>1.0557670623051815E-42</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3.7761188846432779E-2</v>
      </c>
      <c r="C341" s="3">
        <f t="shared" si="348"/>
        <v>3.7760902352070413E-2</v>
      </c>
      <c r="D341" s="3">
        <f t="shared" si="348"/>
        <v>3.7758037527993921E-2</v>
      </c>
      <c r="E341" s="3">
        <f t="shared" si="348"/>
        <v>3.7729401238590907E-2</v>
      </c>
      <c r="F341" s="3">
        <f t="shared" si="348"/>
        <v>3.744423013256256E-2</v>
      </c>
      <c r="G341" s="3">
        <f t="shared" si="348"/>
        <v>3.4708419096237252E-2</v>
      </c>
      <c r="H341" s="3">
        <f t="shared" si="348"/>
        <v>1.6253021259636954E-2</v>
      </c>
      <c r="I341" s="3">
        <f t="shared" si="348"/>
        <v>8.2399923706426616E-6</v>
      </c>
      <c r="J341" s="3">
        <f t="shared" si="348"/>
        <v>9.2438708921562886E-39</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3.2047182816946018E-2</v>
      </c>
      <c r="C342" s="3">
        <f t="shared" si="349"/>
        <v>3.2047160883424297E-2</v>
      </c>
      <c r="D342" s="3">
        <f t="shared" si="349"/>
        <v>3.2046941549032683E-2</v>
      </c>
      <c r="E342" s="3">
        <f t="shared" si="349"/>
        <v>3.2044748287678095E-2</v>
      </c>
      <c r="F342" s="3">
        <f t="shared" si="349"/>
        <v>3.2022823928193916E-2</v>
      </c>
      <c r="G342" s="3">
        <f t="shared" si="349"/>
        <v>3.1804403653138365E-2</v>
      </c>
      <c r="H342" s="3">
        <f t="shared" si="349"/>
        <v>2.9700485583082279E-2</v>
      </c>
      <c r="I342" s="3">
        <f t="shared" si="349"/>
        <v>1.4980505903372774E-2</v>
      </c>
      <c r="J342" s="3">
        <f t="shared" si="349"/>
        <v>1.5964516968882479E-5</v>
      </c>
      <c r="K342" s="3">
        <f t="shared" si="349"/>
        <v>3.0161213462084762E-35</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5.5060206773711762E-2</v>
      </c>
      <c r="C343" s="3">
        <f t="shared" si="350"/>
        <v>5.5060203374305457E-2</v>
      </c>
      <c r="D343" s="3">
        <f t="shared" si="350"/>
        <v>5.5060169380253959E-2</v>
      </c>
      <c r="E343" s="3">
        <f t="shared" si="350"/>
        <v>5.5059829440893319E-2</v>
      </c>
      <c r="F343" s="3">
        <f t="shared" si="350"/>
        <v>5.5056430162717294E-2</v>
      </c>
      <c r="G343" s="3">
        <f t="shared" si="350"/>
        <v>5.50224489213555E-2</v>
      </c>
      <c r="H343" s="3">
        <f t="shared" si="350"/>
        <v>5.4683787915676789E-2</v>
      </c>
      <c r="I343" s="3">
        <f t="shared" si="350"/>
        <v>5.1409731280939057E-2</v>
      </c>
      <c r="J343" s="3">
        <f t="shared" si="350"/>
        <v>2.772763121526161E-2</v>
      </c>
      <c r="K343" s="3">
        <f t="shared" si="350"/>
        <v>5.775467214386501E-5</v>
      </c>
      <c r="L343" s="3">
        <f t="shared" si="350"/>
        <v>8.8783172449807464E-32</v>
      </c>
      <c r="M343" s="3">
        <f t="shared" si="350"/>
        <v>6.5428358592200906E-300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5.5367146061971066E-2</v>
      </c>
      <c r="C344" s="3">
        <f t="shared" si="351"/>
        <v>5.5367145753606843E-2</v>
      </c>
      <c r="D344" s="3">
        <f t="shared" si="351"/>
        <v>5.5367142669964758E-2</v>
      </c>
      <c r="E344" s="3">
        <f t="shared" si="351"/>
        <v>5.5367111833553272E-2</v>
      </c>
      <c r="F344" s="3">
        <f t="shared" si="351"/>
        <v>5.5366803470383009E-2</v>
      </c>
      <c r="G344" s="3">
        <f t="shared" si="351"/>
        <v>5.5363719933136164E-2</v>
      </c>
      <c r="H344" s="3">
        <f t="shared" si="351"/>
        <v>5.5332894004300234E-2</v>
      </c>
      <c r="I344" s="3">
        <f t="shared" si="351"/>
        <v>5.5025577136040074E-2</v>
      </c>
      <c r="J344" s="3">
        <f t="shared" si="351"/>
        <v>5.2044737015941901E-2</v>
      </c>
      <c r="K344" s="3">
        <f t="shared" si="351"/>
        <v>2.9819402600969946E-2</v>
      </c>
      <c r="L344" s="3">
        <f t="shared" si="351"/>
        <v>1.1368944353391923E-4</v>
      </c>
      <c r="M344" s="3">
        <f t="shared" si="351"/>
        <v>7.3778897767766164E-29</v>
      </c>
      <c r="N344" s="3">
        <f t="shared" si="351"/>
        <v>9.7735509683424909E-271</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4.7007838256129086E-2</v>
      </c>
      <c r="C345" s="3">
        <f t="shared" si="352"/>
        <v>4.7007838232511867E-2</v>
      </c>
      <c r="D345" s="3">
        <f t="shared" si="352"/>
        <v>4.7007837996339702E-2</v>
      </c>
      <c r="E345" s="3">
        <f t="shared" si="352"/>
        <v>4.700783563461812E-2</v>
      </c>
      <c r="F345" s="3">
        <f t="shared" si="352"/>
        <v>4.7007812017408779E-2</v>
      </c>
      <c r="G345" s="3">
        <f t="shared" si="352"/>
        <v>4.7007575845967958E-2</v>
      </c>
      <c r="H345" s="3">
        <f t="shared" si="352"/>
        <v>4.7005214196818842E-2</v>
      </c>
      <c r="I345" s="3">
        <f t="shared" si="352"/>
        <v>4.6981604230021505E-2</v>
      </c>
      <c r="J345" s="3">
        <f t="shared" si="352"/>
        <v>4.6746155820170769E-2</v>
      </c>
      <c r="K345" s="3">
        <f t="shared" si="352"/>
        <v>4.4455602995988754E-2</v>
      </c>
      <c r="L345" s="3">
        <f t="shared" si="352"/>
        <v>2.6898777064306382E-2</v>
      </c>
      <c r="M345" s="3">
        <f t="shared" si="352"/>
        <v>1.769264798806085E-4</v>
      </c>
      <c r="N345" s="3">
        <f t="shared" si="352"/>
        <v>2.6816114453842654E-26</v>
      </c>
      <c r="O345" s="3">
        <f t="shared" si="352"/>
        <v>1.7156393048510112E-244</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4.3271313851924856E-2</v>
      </c>
      <c r="C346" s="3">
        <f t="shared" si="353"/>
        <v>4.327131384996373E-2</v>
      </c>
      <c r="D346" s="3">
        <f t="shared" si="353"/>
        <v>4.3271313830352487E-2</v>
      </c>
      <c r="E346" s="3">
        <f t="shared" si="353"/>
        <v>4.3271313634240069E-2</v>
      </c>
      <c r="F346" s="3">
        <f t="shared" si="353"/>
        <v>4.3271311673115889E-2</v>
      </c>
      <c r="G346" s="3">
        <f t="shared" si="353"/>
        <v>4.3271292061879019E-2</v>
      </c>
      <c r="H346" s="3">
        <f t="shared" si="353"/>
        <v>4.3271095949999151E-2</v>
      </c>
      <c r="I346" s="3">
        <f t="shared" si="353"/>
        <v>4.3269134880084242E-2</v>
      </c>
      <c r="J346" s="3">
        <f t="shared" si="353"/>
        <v>4.3249529068492908E-2</v>
      </c>
      <c r="K346" s="3">
        <f t="shared" si="353"/>
        <v>4.3053958889754454E-2</v>
      </c>
      <c r="L346" s="3">
        <f t="shared" si="353"/>
        <v>4.1146242423282117E-2</v>
      </c>
      <c r="M346" s="3">
        <f t="shared" si="353"/>
        <v>2.6151768774975378E-2</v>
      </c>
      <c r="N346" s="3">
        <f t="shared" si="353"/>
        <v>2.8132604427897777E-4</v>
      </c>
      <c r="O346" s="3">
        <f t="shared" si="353"/>
        <v>5.8384647032355749E-24</v>
      </c>
      <c r="P346" s="3">
        <f t="shared" si="353"/>
        <v>8.6533815357828343E-221</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2.2304524360829168E-2</v>
      </c>
      <c r="C347" s="3">
        <f t="shared" si="354"/>
        <v>2.230452436073798E-2</v>
      </c>
      <c r="D347" s="3">
        <f t="shared" si="354"/>
        <v>2.2304524359826088E-2</v>
      </c>
      <c r="E347" s="3">
        <f t="shared" si="354"/>
        <v>2.230452435070714E-2</v>
      </c>
      <c r="F347" s="3">
        <f t="shared" si="354"/>
        <v>2.2304524259517695E-2</v>
      </c>
      <c r="G347" s="3">
        <f t="shared" si="354"/>
        <v>2.2304523347623249E-2</v>
      </c>
      <c r="H347" s="3">
        <f t="shared" si="354"/>
        <v>2.230451422868085E-2</v>
      </c>
      <c r="I347" s="3">
        <f t="shared" si="354"/>
        <v>2.2304423039461896E-2</v>
      </c>
      <c r="J347" s="3">
        <f t="shared" si="354"/>
        <v>2.2303511167776995E-2</v>
      </c>
      <c r="K347" s="3">
        <f t="shared" si="354"/>
        <v>2.2294394501079166E-2</v>
      </c>
      <c r="L347" s="3">
        <f t="shared" si="354"/>
        <v>2.2203432539433104E-2</v>
      </c>
      <c r="M347" s="3">
        <f t="shared" si="354"/>
        <v>2.1313977155260171E-2</v>
      </c>
      <c r="N347" s="3">
        <f t="shared" si="354"/>
        <v>1.4161467552137822E-2</v>
      </c>
      <c r="O347" s="3">
        <f t="shared" si="354"/>
        <v>2.3743564506238524E-4</v>
      </c>
      <c r="P347" s="3">
        <f t="shared" si="354"/>
        <v>4.1679498274966746E-22</v>
      </c>
      <c r="Q347" s="3">
        <f t="shared" si="354"/>
        <v>1.1579455184214793E-199</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3.1643216322293541E-2</v>
      </c>
      <c r="C348" s="3">
        <f t="shared" si="355"/>
        <v>3.1643216322257764E-2</v>
      </c>
      <c r="D348" s="3">
        <f t="shared" si="355"/>
        <v>3.164321632189996E-2</v>
      </c>
      <c r="E348" s="3">
        <f t="shared" si="355"/>
        <v>3.1643216318321919E-2</v>
      </c>
      <c r="F348" s="3">
        <f t="shared" si="355"/>
        <v>3.1643216282541527E-2</v>
      </c>
      <c r="G348" s="3">
        <f t="shared" si="355"/>
        <v>3.1643215924737608E-2</v>
      </c>
      <c r="H348" s="3">
        <f t="shared" si="355"/>
        <v>3.1643212346698632E-2</v>
      </c>
      <c r="I348" s="3">
        <f t="shared" si="355"/>
        <v>3.1643176566331171E-2</v>
      </c>
      <c r="J348" s="3">
        <f t="shared" si="355"/>
        <v>3.1642818764881751E-2</v>
      </c>
      <c r="K348" s="3">
        <f t="shared" si="355"/>
        <v>3.1639240972898844E-2</v>
      </c>
      <c r="L348" s="3">
        <f t="shared" si="355"/>
        <v>3.160348529489343E-2</v>
      </c>
      <c r="M348" s="3">
        <f t="shared" si="355"/>
        <v>3.1248143419847978E-2</v>
      </c>
      <c r="N348" s="3">
        <f t="shared" si="355"/>
        <v>2.7907222208494478E-2</v>
      </c>
      <c r="O348" s="3">
        <f t="shared" si="355"/>
        <v>9.0082519068962422E-3</v>
      </c>
      <c r="P348" s="3">
        <f t="shared" si="355"/>
        <v>1.106317140345872E-7</v>
      </c>
      <c r="Q348" s="3">
        <f t="shared" si="355"/>
        <v>8.6351687382146121E-57</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3.5141037946940241E-2</v>
      </c>
      <c r="C349" s="3">
        <f t="shared" si="356"/>
        <v>3.5141037946936272E-2</v>
      </c>
      <c r="D349" s="3">
        <f t="shared" si="356"/>
        <v>3.514103794689654E-2</v>
      </c>
      <c r="E349" s="3">
        <f t="shared" si="356"/>
        <v>3.5141037946499178E-2</v>
      </c>
      <c r="F349" s="3">
        <f t="shared" si="356"/>
        <v>3.5141037942525627E-2</v>
      </c>
      <c r="G349" s="3">
        <f t="shared" si="356"/>
        <v>3.5141037902790093E-2</v>
      </c>
      <c r="H349" s="3">
        <f t="shared" si="356"/>
        <v>3.514103750543475E-2</v>
      </c>
      <c r="I349" s="3">
        <f t="shared" si="356"/>
        <v>3.5141033531881555E-2</v>
      </c>
      <c r="J349" s="3">
        <f t="shared" si="356"/>
        <v>3.514099379637433E-2</v>
      </c>
      <c r="K349" s="3">
        <f t="shared" si="356"/>
        <v>3.5140596443773271E-2</v>
      </c>
      <c r="L349" s="3">
        <f t="shared" si="356"/>
        <v>3.5136623164870234E-2</v>
      </c>
      <c r="M349" s="3">
        <f t="shared" si="356"/>
        <v>3.5096915076261004E-2</v>
      </c>
      <c r="N349" s="3">
        <f t="shared" si="356"/>
        <v>3.4702293929411585E-2</v>
      </c>
      <c r="O349" s="3">
        <f t="shared" si="356"/>
        <v>3.0992069346988727E-2</v>
      </c>
      <c r="P349" s="3">
        <f t="shared" si="356"/>
        <v>1.0004018519216611E-2</v>
      </c>
      <c r="Q349" s="3">
        <f t="shared" si="356"/>
        <v>1.2286087550098463E-7</v>
      </c>
      <c r="R349" s="3">
        <f t="shared" si="356"/>
        <v>9.5896949670697416E-57</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3.5593088100757959E-2</v>
      </c>
      <c r="C350" s="3">
        <f t="shared" si="357"/>
        <v>3.5593088100757557E-2</v>
      </c>
      <c r="D350" s="3">
        <f t="shared" si="357"/>
        <v>3.5593088100753525E-2</v>
      </c>
      <c r="E350" s="3">
        <f t="shared" si="357"/>
        <v>3.5593088100713287E-2</v>
      </c>
      <c r="F350" s="3">
        <f t="shared" si="357"/>
        <v>3.5593088100310817E-2</v>
      </c>
      <c r="G350" s="3">
        <f t="shared" si="357"/>
        <v>3.5593088096286148E-2</v>
      </c>
      <c r="H350" s="3">
        <f t="shared" si="357"/>
        <v>3.559308805603946E-2</v>
      </c>
      <c r="I350" s="3">
        <f t="shared" si="357"/>
        <v>3.5593087653572587E-2</v>
      </c>
      <c r="J350" s="3">
        <f t="shared" si="357"/>
        <v>3.5593083628904072E-2</v>
      </c>
      <c r="K350" s="3">
        <f t="shared" si="357"/>
        <v>3.5593043382243984E-2</v>
      </c>
      <c r="L350" s="3">
        <f t="shared" si="357"/>
        <v>3.5592640918146089E-2</v>
      </c>
      <c r="M350" s="3">
        <f t="shared" si="357"/>
        <v>3.5588616527453411E-2</v>
      </c>
      <c r="N350" s="3">
        <f t="shared" si="357"/>
        <v>3.5548397638691075E-2</v>
      </c>
      <c r="O350" s="3">
        <f t="shared" si="357"/>
        <v>3.5148700132105151E-2</v>
      </c>
      <c r="P350" s="3">
        <f t="shared" si="357"/>
        <v>3.1390747659694712E-2</v>
      </c>
      <c r="Q350" s="3">
        <f t="shared" si="357"/>
        <v>1.0132709029645795E-2</v>
      </c>
      <c r="R350" s="3">
        <f t="shared" si="357"/>
        <v>1.2444134326497636E-7</v>
      </c>
      <c r="S350" s="3">
        <f t="shared" si="357"/>
        <v>9.7130556683521125E-57</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3.9001792876272798E-2</v>
      </c>
      <c r="C351" s="3">
        <f t="shared" si="358"/>
        <v>3.9001792876272756E-2</v>
      </c>
      <c r="D351" s="3">
        <f t="shared" si="358"/>
        <v>3.9001792876272312E-2</v>
      </c>
      <c r="E351" s="3">
        <f t="shared" si="358"/>
        <v>3.9001792876267906E-2</v>
      </c>
      <c r="F351" s="3">
        <f t="shared" si="358"/>
        <v>3.9001792876223802E-2</v>
      </c>
      <c r="G351" s="3">
        <f t="shared" si="358"/>
        <v>3.9001792875782794E-2</v>
      </c>
      <c r="H351" s="3">
        <f t="shared" si="358"/>
        <v>3.900179287137269E-2</v>
      </c>
      <c r="I351" s="3">
        <f t="shared" si="358"/>
        <v>3.9001792827271627E-2</v>
      </c>
      <c r="J351" s="3">
        <f t="shared" si="358"/>
        <v>3.900179238626101E-2</v>
      </c>
      <c r="K351" s="3">
        <f t="shared" si="358"/>
        <v>3.9001787976155111E-2</v>
      </c>
      <c r="L351" s="3">
        <f t="shared" si="358"/>
        <v>3.9001743875123576E-2</v>
      </c>
      <c r="M351" s="3">
        <f t="shared" si="358"/>
        <v>3.9001302867550929E-2</v>
      </c>
      <c r="N351" s="3">
        <f t="shared" si="358"/>
        <v>3.8996893066080361E-2</v>
      </c>
      <c r="O351" s="3">
        <f t="shared" si="358"/>
        <v>3.8952822465496841E-2</v>
      </c>
      <c r="P351" s="3">
        <f t="shared" si="358"/>
        <v>3.8514846437092187E-2</v>
      </c>
      <c r="Q351" s="3">
        <f t="shared" si="358"/>
        <v>3.439699963624919E-2</v>
      </c>
      <c r="R351" s="3">
        <f t="shared" si="358"/>
        <v>1.110310568532457E-2</v>
      </c>
      <c r="S351" s="3">
        <f t="shared" si="358"/>
        <v>1.3635893242886147E-7</v>
      </c>
      <c r="T351" s="3">
        <f t="shared" si="358"/>
        <v>1.0643262655389236E-56</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4.5862342503385417E-2</v>
      </c>
      <c r="C352" s="3">
        <f t="shared" si="359"/>
        <v>4.586234250338541E-2</v>
      </c>
      <c r="D352" s="3">
        <f t="shared" si="359"/>
        <v>4.5862342503385362E-2</v>
      </c>
      <c r="E352" s="3">
        <f t="shared" si="359"/>
        <v>4.5862342503384841E-2</v>
      </c>
      <c r="F352" s="3">
        <f t="shared" si="359"/>
        <v>4.5862342503379651E-2</v>
      </c>
      <c r="G352" s="3">
        <f t="shared" si="359"/>
        <v>4.5862342503327796E-2</v>
      </c>
      <c r="H352" s="3">
        <f t="shared" si="359"/>
        <v>4.5862342502809211E-2</v>
      </c>
      <c r="I352" s="3">
        <f t="shared" si="359"/>
        <v>4.5862342497623353E-2</v>
      </c>
      <c r="J352" s="3">
        <f t="shared" si="359"/>
        <v>4.5862342445764759E-2</v>
      </c>
      <c r="K352" s="3">
        <f t="shared" si="359"/>
        <v>4.5862341927178862E-2</v>
      </c>
      <c r="L352" s="3">
        <f t="shared" si="359"/>
        <v>4.5862336741320155E-2</v>
      </c>
      <c r="M352" s="3">
        <f t="shared" si="359"/>
        <v>4.5862284882765364E-2</v>
      </c>
      <c r="N352" s="3">
        <f t="shared" si="359"/>
        <v>4.5861766300442558E-2</v>
      </c>
      <c r="O352" s="3">
        <f t="shared" si="359"/>
        <v>4.5856580799712963E-2</v>
      </c>
      <c r="P352" s="3">
        <f t="shared" si="359"/>
        <v>4.580475802877771E-2</v>
      </c>
      <c r="Q352" s="3">
        <f t="shared" si="359"/>
        <v>4.5289740509283458E-2</v>
      </c>
      <c r="R352" s="3">
        <f t="shared" si="359"/>
        <v>4.0447550280853652E-2</v>
      </c>
      <c r="S352" s="3">
        <f t="shared" si="359"/>
        <v>1.3056180196819306E-2</v>
      </c>
      <c r="T352" s="3">
        <f t="shared" si="359"/>
        <v>1.6034493804650117E-7</v>
      </c>
      <c r="U352" s="3">
        <f t="shared" si="359"/>
        <v>1.2515449194949932E-56</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5.0364270464190349E-2</v>
      </c>
      <c r="C353" s="3">
        <f t="shared" si="360"/>
        <v>5.0364270464190349E-2</v>
      </c>
      <c r="D353" s="3">
        <f t="shared" si="360"/>
        <v>5.0364270464190342E-2</v>
      </c>
      <c r="E353" s="3">
        <f t="shared" si="360"/>
        <v>5.0364270464190286E-2</v>
      </c>
      <c r="F353" s="3">
        <f t="shared" si="360"/>
        <v>5.0364270464189717E-2</v>
      </c>
      <c r="G353" s="3">
        <f t="shared" si="360"/>
        <v>5.036427046418402E-2</v>
      </c>
      <c r="H353" s="3">
        <f t="shared" si="360"/>
        <v>5.0364270464127073E-2</v>
      </c>
      <c r="I353" s="3">
        <f t="shared" si="360"/>
        <v>5.0364270463557577E-2</v>
      </c>
      <c r="J353" s="3">
        <f t="shared" si="360"/>
        <v>5.0364270457862667E-2</v>
      </c>
      <c r="K353" s="3">
        <f t="shared" si="360"/>
        <v>5.0364270400913548E-2</v>
      </c>
      <c r="L353" s="3">
        <f t="shared" si="360"/>
        <v>5.0364269831422344E-2</v>
      </c>
      <c r="M353" s="3">
        <f t="shared" si="360"/>
        <v>5.0364264136510656E-2</v>
      </c>
      <c r="N353" s="3">
        <f t="shared" si="360"/>
        <v>5.0364207187429191E-2</v>
      </c>
      <c r="O353" s="3">
        <f t="shared" si="360"/>
        <v>5.0363637700156227E-2</v>
      </c>
      <c r="P353" s="3">
        <f t="shared" si="360"/>
        <v>5.0357943181582127E-2</v>
      </c>
      <c r="Q353" s="3">
        <f t="shared" si="360"/>
        <v>5.0301033396579452E-2</v>
      </c>
      <c r="R353" s="3">
        <f t="shared" si="360"/>
        <v>4.9735460854276568E-2</v>
      </c>
      <c r="S353" s="3">
        <f t="shared" si="360"/>
        <v>4.4417952742132137E-2</v>
      </c>
      <c r="T353" s="3">
        <f t="shared" si="360"/>
        <v>1.4337797739251416E-2</v>
      </c>
      <c r="U353" s="3">
        <f t="shared" si="360"/>
        <v>1.7608467833368323E-7</v>
      </c>
      <c r="V353" s="3">
        <f t="shared" si="360"/>
        <v>1.3743987634054292E-56</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4.7472549330169547E-2</v>
      </c>
      <c r="C354" s="3">
        <f t="shared" si="361"/>
        <v>4.7472549330169547E-2</v>
      </c>
      <c r="D354" s="3">
        <f t="shared" si="361"/>
        <v>4.7472549330169547E-2</v>
      </c>
      <c r="E354" s="3">
        <f t="shared" si="361"/>
        <v>4.747254933016954E-2</v>
      </c>
      <c r="F354" s="3">
        <f t="shared" si="361"/>
        <v>4.7472549330169492E-2</v>
      </c>
      <c r="G354" s="3">
        <f t="shared" si="361"/>
        <v>4.7472549330168951E-2</v>
      </c>
      <c r="H354" s="3">
        <f t="shared" si="361"/>
        <v>4.747254933016358E-2</v>
      </c>
      <c r="I354" s="3">
        <f t="shared" si="361"/>
        <v>4.7472549330109907E-2</v>
      </c>
      <c r="J354" s="3">
        <f t="shared" si="361"/>
        <v>4.7472549329573108E-2</v>
      </c>
      <c r="K354" s="3">
        <f t="shared" si="361"/>
        <v>4.7472549324205179E-2</v>
      </c>
      <c r="L354" s="3">
        <f t="shared" si="361"/>
        <v>4.7472549270525854E-2</v>
      </c>
      <c r="M354" s="3">
        <f t="shared" si="361"/>
        <v>4.7472548733732634E-2</v>
      </c>
      <c r="N354" s="3">
        <f t="shared" si="361"/>
        <v>4.7472543365800687E-2</v>
      </c>
      <c r="O354" s="3">
        <f t="shared" si="361"/>
        <v>4.7472489686514671E-2</v>
      </c>
      <c r="P354" s="3">
        <f t="shared" si="361"/>
        <v>4.7471952896992867E-2</v>
      </c>
      <c r="Q354" s="3">
        <f t="shared" si="361"/>
        <v>4.7466585335596084E-2</v>
      </c>
      <c r="R354" s="3">
        <f t="shared" si="361"/>
        <v>4.7412943089793484E-2</v>
      </c>
      <c r="S354" s="3">
        <f t="shared" si="361"/>
        <v>4.687984352999041E-2</v>
      </c>
      <c r="T354" s="3">
        <f t="shared" si="361"/>
        <v>4.1867646116213943E-2</v>
      </c>
      <c r="U354" s="3">
        <f t="shared" si="361"/>
        <v>1.3514576984621638E-2</v>
      </c>
      <c r="V354" s="3">
        <f t="shared" si="361"/>
        <v>1.6597457883215654E-7</v>
      </c>
      <c r="W354" s="3">
        <f t="shared" si="361"/>
        <v>1.2954861153300965E-56</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3.4265272438938038E-2</v>
      </c>
      <c r="C355" s="3">
        <f t="shared" si="362"/>
        <v>3.4265272438938038E-2</v>
      </c>
      <c r="D355" s="3">
        <f t="shared" si="362"/>
        <v>3.4265272438938038E-2</v>
      </c>
      <c r="E355" s="3">
        <f t="shared" si="362"/>
        <v>3.4265272438938038E-2</v>
      </c>
      <c r="F355" s="3">
        <f t="shared" si="362"/>
        <v>3.4265272438938031E-2</v>
      </c>
      <c r="G355" s="3">
        <f t="shared" si="362"/>
        <v>3.4265272438937996E-2</v>
      </c>
      <c r="H355" s="3">
        <f t="shared" si="362"/>
        <v>3.4265272438937608E-2</v>
      </c>
      <c r="I355" s="3">
        <f t="shared" si="362"/>
        <v>3.4265272438933729E-2</v>
      </c>
      <c r="J355" s="3">
        <f t="shared" si="362"/>
        <v>3.4265272438894989E-2</v>
      </c>
      <c r="K355" s="3">
        <f t="shared" si="362"/>
        <v>3.4265272438507535E-2</v>
      </c>
      <c r="L355" s="3">
        <f t="shared" si="362"/>
        <v>3.426527243463301E-2</v>
      </c>
      <c r="M355" s="3">
        <f t="shared" si="362"/>
        <v>3.4265272395887739E-2</v>
      </c>
      <c r="N355" s="3">
        <f t="shared" si="362"/>
        <v>3.4265272008435071E-2</v>
      </c>
      <c r="O355" s="3">
        <f t="shared" si="362"/>
        <v>3.4265268133908566E-2</v>
      </c>
      <c r="P355" s="3">
        <f t="shared" si="362"/>
        <v>3.4265229388667676E-2</v>
      </c>
      <c r="Q355" s="3">
        <f t="shared" si="362"/>
        <v>3.4264841938668328E-2</v>
      </c>
      <c r="R355" s="3">
        <f t="shared" si="362"/>
        <v>3.4260967679624131E-2</v>
      </c>
      <c r="S355" s="3">
        <f t="shared" si="362"/>
        <v>3.4222249174033055E-2</v>
      </c>
      <c r="T355" s="3">
        <f t="shared" si="362"/>
        <v>3.3837462557104493E-2</v>
      </c>
      <c r="U355" s="3">
        <f t="shared" si="362"/>
        <v>3.0219702139261395E-2</v>
      </c>
      <c r="V355" s="3">
        <f t="shared" si="362"/>
        <v>9.7547039038151494E-3</v>
      </c>
      <c r="W355" s="3">
        <f t="shared" si="362"/>
        <v>1.1979900472729744E-7</v>
      </c>
      <c r="X355" s="3">
        <f t="shared" si="362"/>
        <v>9.3507058940347658E-57</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1.7817533491132281E-2</v>
      </c>
      <c r="C356" s="3">
        <f t="shared" si="363"/>
        <v>1.7817533491132281E-2</v>
      </c>
      <c r="D356" s="3">
        <f t="shared" si="363"/>
        <v>1.7817533491132281E-2</v>
      </c>
      <c r="E356" s="3">
        <f t="shared" si="363"/>
        <v>1.7817533491132281E-2</v>
      </c>
      <c r="F356" s="3">
        <f t="shared" si="363"/>
        <v>1.7817533491132281E-2</v>
      </c>
      <c r="G356" s="3">
        <f t="shared" si="363"/>
        <v>1.7817533491132277E-2</v>
      </c>
      <c r="H356" s="3">
        <f t="shared" si="363"/>
        <v>1.781753349113226E-2</v>
      </c>
      <c r="I356" s="3">
        <f t="shared" si="363"/>
        <v>1.7817533491132059E-2</v>
      </c>
      <c r="J356" s="3">
        <f t="shared" si="363"/>
        <v>1.7817533491130043E-2</v>
      </c>
      <c r="K356" s="3">
        <f t="shared" si="363"/>
        <v>1.7817533491109896E-2</v>
      </c>
      <c r="L356" s="3">
        <f t="shared" si="363"/>
        <v>1.7817533490908425E-2</v>
      </c>
      <c r="M356" s="3">
        <f t="shared" si="363"/>
        <v>1.7817533488893717E-2</v>
      </c>
      <c r="N356" s="3">
        <f t="shared" si="363"/>
        <v>1.7817533468746639E-2</v>
      </c>
      <c r="O356" s="3">
        <f t="shared" si="363"/>
        <v>1.7817533267275865E-2</v>
      </c>
      <c r="P356" s="3">
        <f t="shared" si="363"/>
        <v>1.7817531252568238E-2</v>
      </c>
      <c r="Q356" s="3">
        <f t="shared" si="363"/>
        <v>1.7817511105504516E-2</v>
      </c>
      <c r="R356" s="3">
        <f t="shared" si="363"/>
        <v>1.7817309636120264E-2</v>
      </c>
      <c r="S356" s="3">
        <f t="shared" si="363"/>
        <v>1.7815295067568498E-2</v>
      </c>
      <c r="T356" s="3">
        <f t="shared" si="363"/>
        <v>1.7795161905886359E-2</v>
      </c>
      <c r="U356" s="3">
        <f t="shared" si="363"/>
        <v>1.759507744876489E-2</v>
      </c>
      <c r="V356" s="3">
        <f t="shared" si="363"/>
        <v>1.5713885127218889E-2</v>
      </c>
      <c r="W356" s="3">
        <f t="shared" si="363"/>
        <v>5.0723298293346899E-3</v>
      </c>
      <c r="X356" s="3">
        <f t="shared" si="363"/>
        <v>6.2294055380319358E-8</v>
      </c>
      <c r="Y356" s="3">
        <f t="shared" si="363"/>
        <v>4.862255676781538E-57</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3.0591851493341829E-2</v>
      </c>
      <c r="C357" s="3">
        <f t="shared" si="364"/>
        <v>3.0591851493341829E-2</v>
      </c>
      <c r="D357" s="3">
        <f t="shared" si="364"/>
        <v>3.0591851493341829E-2</v>
      </c>
      <c r="E357" s="3">
        <f t="shared" si="364"/>
        <v>3.0591851493341829E-2</v>
      </c>
      <c r="F357" s="3">
        <f t="shared" si="364"/>
        <v>3.0591851493341829E-2</v>
      </c>
      <c r="G357" s="3">
        <f t="shared" si="364"/>
        <v>3.0591851493341829E-2</v>
      </c>
      <c r="H357" s="3">
        <f t="shared" si="364"/>
        <v>3.0591851493341825E-2</v>
      </c>
      <c r="I357" s="3">
        <f t="shared" si="364"/>
        <v>3.0591851493341791E-2</v>
      </c>
      <c r="J357" s="3">
        <f t="shared" si="364"/>
        <v>3.0591851493341444E-2</v>
      </c>
      <c r="K357" s="3">
        <f t="shared" si="364"/>
        <v>3.0591851493337985E-2</v>
      </c>
      <c r="L357" s="3">
        <f t="shared" si="364"/>
        <v>3.0591851493303394E-2</v>
      </c>
      <c r="M357" s="3">
        <f t="shared" si="364"/>
        <v>3.0591851492957477E-2</v>
      </c>
      <c r="N357" s="3">
        <f t="shared" si="364"/>
        <v>3.059185148949832E-2</v>
      </c>
      <c r="O357" s="3">
        <f t="shared" si="364"/>
        <v>3.0591851454906754E-2</v>
      </c>
      <c r="P357" s="3">
        <f t="shared" si="364"/>
        <v>3.0591851108991087E-2</v>
      </c>
      <c r="Q357" s="3">
        <f t="shared" si="364"/>
        <v>3.0591847649834601E-2</v>
      </c>
      <c r="R357" s="3">
        <f t="shared" si="364"/>
        <v>3.0591813058291294E-2</v>
      </c>
      <c r="S357" s="3">
        <f t="shared" si="364"/>
        <v>3.0591467145009495E-2</v>
      </c>
      <c r="T357" s="3">
        <f t="shared" si="364"/>
        <v>3.0588008227309716E-2</v>
      </c>
      <c r="U357" s="3">
        <f t="shared" si="364"/>
        <v>3.0553440553137651E-2</v>
      </c>
      <c r="V357" s="3">
        <f t="shared" si="364"/>
        <v>3.0209905124879175E-2</v>
      </c>
      <c r="W357" s="3">
        <f t="shared" si="364"/>
        <v>2.6979988023289759E-2</v>
      </c>
      <c r="X357" s="3">
        <f t="shared" si="364"/>
        <v>8.7089473378278333E-3</v>
      </c>
      <c r="Y357" s="3">
        <f t="shared" si="364"/>
        <v>1.0695590902417532E-7</v>
      </c>
      <c r="Z357" s="3">
        <f t="shared" si="364"/>
        <v>8.3482600810482051E-57</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5.4865349880726048E-2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5.0176830760482759E-2</v>
      </c>
      <c r="M358" s="80">
        <f t="shared" si="365"/>
        <v>7.9002903500932684E-2</v>
      </c>
      <c r="N358" s="80">
        <f t="shared" si="365"/>
        <v>9.1141097205990812E-2</v>
      </c>
      <c r="O358" s="80">
        <f t="shared" si="365"/>
        <v>9.7349727121768564E-2</v>
      </c>
      <c r="P358" s="80">
        <f t="shared" si="365"/>
        <v>8.373563689692462E-2</v>
      </c>
      <c r="Q358" s="80">
        <f t="shared" si="365"/>
        <v>4.1617768092604257E-2</v>
      </c>
      <c r="R358" s="80">
        <f t="shared" si="365"/>
        <v>4.9510317196505477E-2</v>
      </c>
      <c r="S358" s="80">
        <f t="shared" si="365"/>
        <v>0.17838823024097034</v>
      </c>
      <c r="T358" s="80">
        <f t="shared" si="365"/>
        <v>0.31025383555428621</v>
      </c>
      <c r="U358" s="80">
        <f t="shared" si="365"/>
        <v>0.38105738717673365</v>
      </c>
      <c r="V358" s="80">
        <f t="shared" si="365"/>
        <v>0.33859211255530797</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36684.357680735593</v>
      </c>
      <c r="C359" s="21">
        <f t="shared" ref="C359:AF359" si="366">(C326-C325)^2</f>
        <v>55205.345398920646</v>
      </c>
      <c r="D359" s="21">
        <f t="shared" si="366"/>
        <v>53849.842384937583</v>
      </c>
      <c r="E359" s="21">
        <f t="shared" si="366"/>
        <v>66591.35305473108</v>
      </c>
      <c r="F359" s="21">
        <f t="shared" si="366"/>
        <v>89758.739248232974</v>
      </c>
      <c r="G359" s="21">
        <f t="shared" si="366"/>
        <v>91124.169374668883</v>
      </c>
      <c r="H359" s="21">
        <f t="shared" si="366"/>
        <v>67279.41631402247</v>
      </c>
      <c r="I359" s="21">
        <f t="shared" si="366"/>
        <v>48749.570666389991</v>
      </c>
      <c r="J359" s="21">
        <f t="shared" si="366"/>
        <v>17301.737991334146</v>
      </c>
      <c r="K359" s="21">
        <f t="shared" si="366"/>
        <v>596.54090869228924</v>
      </c>
      <c r="L359" s="21">
        <f t="shared" si="366"/>
        <v>25573.340600086474</v>
      </c>
      <c r="M359" s="21">
        <f t="shared" si="366"/>
        <v>56059.586955898732</v>
      </c>
      <c r="N359" s="21">
        <f t="shared" si="366"/>
        <v>64432.715775536832</v>
      </c>
      <c r="O359" s="21">
        <f t="shared" si="366"/>
        <v>61559.420451121114</v>
      </c>
      <c r="P359" s="21">
        <f t="shared" si="366"/>
        <v>36378.172267626578</v>
      </c>
      <c r="Q359" s="21">
        <f t="shared" si="366"/>
        <v>6554.9858124585444</v>
      </c>
      <c r="R359" s="21">
        <f t="shared" si="366"/>
        <v>5866.8199250773687</v>
      </c>
      <c r="S359" s="21">
        <f t="shared" si="366"/>
        <v>41695.360171408502</v>
      </c>
      <c r="T359" s="21">
        <f t="shared" si="366"/>
        <v>61609.605674992337</v>
      </c>
      <c r="U359" s="21">
        <f t="shared" si="366"/>
        <v>43984.098202369161</v>
      </c>
      <c r="V359" s="21">
        <f t="shared" si="366"/>
        <v>18378.88038591879</v>
      </c>
      <c r="W359" s="21">
        <f t="shared" si="366"/>
        <v>4390.1533880274856</v>
      </c>
      <c r="X359" s="21">
        <f t="shared" si="366"/>
        <v>1636.1529756087473</v>
      </c>
      <c r="Y359" s="21">
        <f t="shared" si="366"/>
        <v>5398.2811873176734</v>
      </c>
      <c r="Z359" s="21">
        <f t="shared" si="366"/>
        <v>3619.0923832971139</v>
      </c>
      <c r="AA359" s="21">
        <f t="shared" si="366"/>
        <v>2880.8545861267353</v>
      </c>
      <c r="AB359" s="21">
        <f t="shared" si="366"/>
        <v>1768.411121787143</v>
      </c>
      <c r="AC359" s="21">
        <f t="shared" si="366"/>
        <v>1134.5026954171717</v>
      </c>
      <c r="AD359" s="21">
        <f t="shared" si="366"/>
        <v>1060.6684540020458</v>
      </c>
      <c r="AE359" s="21">
        <f t="shared" si="366"/>
        <v>1016.4936907059982</v>
      </c>
      <c r="AF359" s="21">
        <f t="shared" si="366"/>
        <v>1009.4095276866893</v>
      </c>
      <c r="AG359" s="3"/>
      <c r="AH359" s="3"/>
    </row>
    <row r="360" spans="1:34" x14ac:dyDescent="0.25">
      <c r="A360" s="71">
        <f>SUM(B360:AF360)</f>
        <v>422092.98622249445</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25573.340600086474</v>
      </c>
      <c r="M360" s="60">
        <f t="shared" si="367"/>
        <v>56059.586955898732</v>
      </c>
      <c r="N360" s="60">
        <f t="shared" si="367"/>
        <v>64432.715775536832</v>
      </c>
      <c r="O360" s="60">
        <f t="shared" si="367"/>
        <v>61559.420451121114</v>
      </c>
      <c r="P360" s="60">
        <f t="shared" si="367"/>
        <v>36378.172267626578</v>
      </c>
      <c r="Q360" s="60">
        <f t="shared" si="367"/>
        <v>6554.9858124585444</v>
      </c>
      <c r="R360" s="60">
        <f t="shared" si="367"/>
        <v>5866.8199250773687</v>
      </c>
      <c r="S360" s="60">
        <f t="shared" si="367"/>
        <v>41695.360171408502</v>
      </c>
      <c r="T360" s="60">
        <f t="shared" si="367"/>
        <v>61609.605674992337</v>
      </c>
      <c r="U360" s="60">
        <f t="shared" si="367"/>
        <v>43984.098202369161</v>
      </c>
      <c r="V360" s="60">
        <f t="shared" si="367"/>
        <v>18378.88038591879</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3977.7644646648791</v>
      </c>
      <c r="C365" s="27">
        <f t="shared" ref="C365:AF365" si="368">($C$17+SUM(C366:C396))*$B$51</f>
        <v>3746.5117518542502</v>
      </c>
      <c r="D365" s="27">
        <f t="shared" si="368"/>
        <v>3423.0812264697233</v>
      </c>
      <c r="E365" s="27">
        <f t="shared" si="368"/>
        <v>3106.5054762827194</v>
      </c>
      <c r="F365" s="27">
        <f t="shared" si="368"/>
        <v>2831.3504091871091</v>
      </c>
      <c r="G365" s="27">
        <f t="shared" si="368"/>
        <v>2589.3334923879493</v>
      </c>
      <c r="H365" s="27">
        <f t="shared" si="368"/>
        <v>2379.868951619701</v>
      </c>
      <c r="I365" s="27">
        <f t="shared" si="368"/>
        <v>2158.8771677821719</v>
      </c>
      <c r="J365" s="27">
        <f t="shared" si="368"/>
        <v>1938.5809083343838</v>
      </c>
      <c r="K365" s="27">
        <f t="shared" si="368"/>
        <v>1705.9716081921308</v>
      </c>
      <c r="L365" s="27">
        <f t="shared" si="368"/>
        <v>1443.7506218668464</v>
      </c>
      <c r="M365" s="27">
        <f t="shared" si="368"/>
        <v>1148.8386857389842</v>
      </c>
      <c r="N365" s="27">
        <f t="shared" si="368"/>
        <v>850.64706662620165</v>
      </c>
      <c r="O365" s="27">
        <f t="shared" si="368"/>
        <v>599.56003988666305</v>
      </c>
      <c r="P365" s="27">
        <f t="shared" si="368"/>
        <v>430.07373915082553</v>
      </c>
      <c r="Q365" s="27">
        <f t="shared" si="368"/>
        <v>294.69311023646628</v>
      </c>
      <c r="R365" s="27">
        <f t="shared" si="368"/>
        <v>191.690883125764</v>
      </c>
      <c r="S365" s="27">
        <f t="shared" si="368"/>
        <v>191.25449218977511</v>
      </c>
      <c r="T365" s="27">
        <f t="shared" si="368"/>
        <v>191.25449218977511</v>
      </c>
      <c r="U365" s="27">
        <f t="shared" si="368"/>
        <v>191.25449218977511</v>
      </c>
      <c r="V365" s="27">
        <f t="shared" si="368"/>
        <v>191.25449218977511</v>
      </c>
      <c r="W365" s="27">
        <f t="shared" si="368"/>
        <v>191.25449218977511</v>
      </c>
      <c r="X365" s="27">
        <f t="shared" si="368"/>
        <v>191.25449218977511</v>
      </c>
      <c r="Y365" s="27">
        <f t="shared" si="368"/>
        <v>191.25449218977511</v>
      </c>
      <c r="Z365" s="27">
        <f t="shared" si="368"/>
        <v>191.25449218977511</v>
      </c>
      <c r="AA365" s="27">
        <f t="shared" si="368"/>
        <v>191.25449218977511</v>
      </c>
      <c r="AB365" s="27">
        <f t="shared" si="368"/>
        <v>191.25449218977511</v>
      </c>
      <c r="AC365" s="27">
        <f t="shared" si="368"/>
        <v>191.25449218977511</v>
      </c>
      <c r="AD365" s="27">
        <f t="shared" si="368"/>
        <v>191.25449218977511</v>
      </c>
      <c r="AE365" s="27">
        <f t="shared" si="368"/>
        <v>191.25449218977511</v>
      </c>
      <c r="AF365" s="27">
        <f t="shared" si="368"/>
        <v>191.25449218977511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1.0631237304596657E-219</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9.7922247860541429E-22</v>
      </c>
      <c r="C379" s="3">
        <f t="shared" si="382"/>
        <v>2.6930601948155491E-198</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6.4173082001075024E-4</v>
      </c>
      <c r="C380" s="3">
        <f t="shared" si="383"/>
        <v>7.5877803256268111E-20</v>
      </c>
      <c r="D380" s="3">
        <f t="shared" si="383"/>
        <v>4.0525955791054986E-179</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2.2189568058145995E-2</v>
      </c>
      <c r="C381" s="3">
        <f t="shared" si="384"/>
        <v>8.1166994605064114E-4</v>
      </c>
      <c r="D381" s="3">
        <f t="shared" si="384"/>
        <v>3.4808526330853096E-18</v>
      </c>
      <c r="E381" s="3">
        <f t="shared" si="384"/>
        <v>7.3239834453890784E-162</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5.3264381802152518E-2</v>
      </c>
      <c r="C382" s="3">
        <f t="shared" si="385"/>
        <v>3.9521037743450622E-2</v>
      </c>
      <c r="D382" s="3">
        <f t="shared" si="385"/>
        <v>1.9986779846465482E-3</v>
      </c>
      <c r="E382" s="3">
        <f t="shared" si="385"/>
        <v>2.1871960788240997E-16</v>
      </c>
      <c r="F382" s="3">
        <f t="shared" si="385"/>
        <v>5.3868715178981051E-146</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5.520177630301689E-2</v>
      </c>
      <c r="C383" s="3">
        <f t="shared" si="386"/>
        <v>5.373549864168968E-2</v>
      </c>
      <c r="D383" s="3">
        <f t="shared" si="386"/>
        <v>4.1052876033464879E-2</v>
      </c>
      <c r="E383" s="3">
        <f t="shared" si="386"/>
        <v>2.7807800109461104E-3</v>
      </c>
      <c r="F383" s="3">
        <f t="shared" si="386"/>
        <v>5.6545374445674883E-15</v>
      </c>
      <c r="G383" s="3">
        <f t="shared" si="386"/>
        <v>6.8344189600831032E-132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4.6995155559217752E-2</v>
      </c>
      <c r="C384" s="3">
        <f t="shared" si="387"/>
        <v>4.6881165133137274E-2</v>
      </c>
      <c r="D384" s="3">
        <f t="shared" si="387"/>
        <v>4.575635784756895E-2</v>
      </c>
      <c r="E384" s="3">
        <f t="shared" si="387"/>
        <v>3.5890702573270046E-2</v>
      </c>
      <c r="F384" s="3">
        <f t="shared" si="387"/>
        <v>3.1643687026267735E-3</v>
      </c>
      <c r="G384" s="3">
        <f t="shared" si="387"/>
        <v>8.9812810323691412E-14</v>
      </c>
      <c r="H384" s="3">
        <f t="shared" si="387"/>
        <v>3.0468448669637927E-119</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4.3270260578045325E-2</v>
      </c>
      <c r="C385" s="3">
        <f t="shared" si="388"/>
        <v>4.3260782264799756E-2</v>
      </c>
      <c r="D385" s="3">
        <f t="shared" si="388"/>
        <v>4.3166113249234674E-2</v>
      </c>
      <c r="E385" s="3">
        <f t="shared" si="388"/>
        <v>4.2230742822387514E-2</v>
      </c>
      <c r="F385" s="3">
        <f t="shared" si="388"/>
        <v>3.3922391981412205E-2</v>
      </c>
      <c r="G385" s="3">
        <f t="shared" si="388"/>
        <v>3.7937083880182081E-3</v>
      </c>
      <c r="H385" s="3">
        <f t="shared" si="388"/>
        <v>1.1610173523158728E-12</v>
      </c>
      <c r="I385" s="3">
        <f t="shared" si="388"/>
        <v>8.3673198209079783E-108</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2.2304475384571355E-2</v>
      </c>
      <c r="C386" s="3">
        <f t="shared" si="389"/>
        <v>2.230403460299921E-2</v>
      </c>
      <c r="D386" s="3">
        <f t="shared" si="389"/>
        <v>2.2299627266339831E-2</v>
      </c>
      <c r="E386" s="3">
        <f t="shared" si="389"/>
        <v>2.2255601770942608E-2</v>
      </c>
      <c r="F386" s="3">
        <f t="shared" si="389"/>
        <v>2.1820099117373377E-2</v>
      </c>
      <c r="G386" s="3">
        <f t="shared" si="389"/>
        <v>1.7907315790730412E-2</v>
      </c>
      <c r="H386" s="3">
        <f t="shared" si="389"/>
        <v>2.4818082590909599E-3</v>
      </c>
      <c r="I386" s="3">
        <f t="shared" si="389"/>
        <v>6.4885186460175158E-12</v>
      </c>
      <c r="J386" s="3">
        <f t="shared" si="389"/>
        <v>9.6809699497570603E-98</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3.1643197105255101E-2</v>
      </c>
      <c r="C387" s="3">
        <f t="shared" si="390"/>
        <v>3.1643024152398523E-2</v>
      </c>
      <c r="D387" s="3">
        <f t="shared" si="390"/>
        <v>3.1641294675824085E-2</v>
      </c>
      <c r="E387" s="3">
        <f t="shared" si="390"/>
        <v>3.1624005108158583E-2</v>
      </c>
      <c r="F387" s="3">
        <f t="shared" si="390"/>
        <v>3.1451628189708765E-2</v>
      </c>
      <c r="G387" s="3">
        <f t="shared" si="390"/>
        <v>2.9778700890999831E-2</v>
      </c>
      <c r="H387" s="3">
        <f t="shared" si="390"/>
        <v>1.7239786910371601E-2</v>
      </c>
      <c r="I387" s="3">
        <f t="shared" si="390"/>
        <v>7.2911050072278416E-5</v>
      </c>
      <c r="J387" s="3">
        <f t="shared" si="390"/>
        <v>1.3347746452914227E-28</v>
      </c>
      <c r="K387" s="3">
        <f t="shared" si="390"/>
        <v>5.6435698196103003E-266</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3.5141035812811861E-2</v>
      </c>
      <c r="C388" s="3">
        <f t="shared" si="391"/>
        <v>3.514101660565825E-2</v>
      </c>
      <c r="D388" s="3">
        <f t="shared" si="391"/>
        <v>3.5140824534699529E-2</v>
      </c>
      <c r="E388" s="3">
        <f t="shared" si="391"/>
        <v>3.513890388285075E-2</v>
      </c>
      <c r="F388" s="3">
        <f t="shared" si="391"/>
        <v>3.5119703137034296E-2</v>
      </c>
      <c r="G388" s="3">
        <f t="shared" si="391"/>
        <v>3.4928271780287116E-2</v>
      </c>
      <c r="H388" s="3">
        <f t="shared" si="391"/>
        <v>3.3070420129316415E-2</v>
      </c>
      <c r="I388" s="3">
        <f t="shared" si="391"/>
        <v>1.9145462327343869E-2</v>
      </c>
      <c r="J388" s="3">
        <f t="shared" si="391"/>
        <v>8.097059259857189E-5</v>
      </c>
      <c r="K388" s="3">
        <f t="shared" si="391"/>
        <v>1.4823198117110529E-28</v>
      </c>
      <c r="L388" s="3">
        <f t="shared" si="391"/>
        <v>6.267406548283292E-266</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3.5593087884599792E-2</v>
      </c>
      <c r="C389" s="3">
        <f t="shared" si="392"/>
        <v>3.559308593917599E-2</v>
      </c>
      <c r="D389" s="3">
        <f t="shared" si="392"/>
        <v>3.5593066484943835E-2</v>
      </c>
      <c r="E389" s="3">
        <f t="shared" si="392"/>
        <v>3.5592871943207031E-2</v>
      </c>
      <c r="F389" s="3">
        <f t="shared" si="392"/>
        <v>3.5590926584320143E-2</v>
      </c>
      <c r="G389" s="3">
        <f t="shared" si="392"/>
        <v>3.5571478842381578E-2</v>
      </c>
      <c r="H389" s="3">
        <f t="shared" si="392"/>
        <v>3.5377584935313781E-2</v>
      </c>
      <c r="I389" s="3">
        <f t="shared" si="392"/>
        <v>3.3495834100549501E-2</v>
      </c>
      <c r="J389" s="3">
        <f t="shared" si="392"/>
        <v>1.9391747289189534E-2</v>
      </c>
      <c r="K389" s="3">
        <f t="shared" si="392"/>
        <v>8.2012188720295169E-5</v>
      </c>
      <c r="L389" s="3">
        <f t="shared" si="392"/>
        <v>1.5013881983620624E-28</v>
      </c>
      <c r="M389" s="3">
        <f t="shared" si="392"/>
        <v>6.3480297244815864E-266</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3.9001792852586863E-2</v>
      </c>
      <c r="C390" s="3">
        <f t="shared" si="393"/>
        <v>3.9001792639413405E-2</v>
      </c>
      <c r="D390" s="3">
        <f t="shared" si="393"/>
        <v>3.9001790507678838E-2</v>
      </c>
      <c r="E390" s="3">
        <f t="shared" si="393"/>
        <v>3.9001769190339604E-2</v>
      </c>
      <c r="F390" s="3">
        <f t="shared" si="393"/>
        <v>3.9001556017588111E-2</v>
      </c>
      <c r="G390" s="3">
        <f t="shared" si="393"/>
        <v>3.8999424354154995E-2</v>
      </c>
      <c r="H390" s="3">
        <f t="shared" si="393"/>
        <v>3.8978114126707125E-2</v>
      </c>
      <c r="I390" s="3">
        <f t="shared" si="393"/>
        <v>3.8765651246778804E-2</v>
      </c>
      <c r="J390" s="3">
        <f t="shared" si="393"/>
        <v>3.6703687528023339E-2</v>
      </c>
      <c r="K390" s="3">
        <f t="shared" si="393"/>
        <v>2.124887026214194E-2</v>
      </c>
      <c r="L390" s="3">
        <f t="shared" si="393"/>
        <v>8.9866391720324617E-5</v>
      </c>
      <c r="M390" s="3">
        <f t="shared" si="393"/>
        <v>1.6451742364594355E-28</v>
      </c>
      <c r="N390" s="3">
        <f t="shared" si="393"/>
        <v>6.9559724569496206E-266</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4.586234250060018E-2</v>
      </c>
      <c r="C391" s="3">
        <f t="shared" si="394"/>
        <v>4.5862342475533037E-2</v>
      </c>
      <c r="D391" s="3">
        <f t="shared" si="394"/>
        <v>4.586234222486163E-2</v>
      </c>
      <c r="E391" s="3">
        <f t="shared" si="394"/>
        <v>4.5862339718147613E-2</v>
      </c>
      <c r="F391" s="3">
        <f t="shared" si="394"/>
        <v>4.5862314651015035E-2</v>
      </c>
      <c r="G391" s="3">
        <f t="shared" si="394"/>
        <v>4.5862063980442722E-2</v>
      </c>
      <c r="H391" s="3">
        <f t="shared" si="394"/>
        <v>4.5859557350073653E-2</v>
      </c>
      <c r="I391" s="3">
        <f t="shared" si="394"/>
        <v>4.5834498580259155E-2</v>
      </c>
      <c r="J391" s="3">
        <f t="shared" si="394"/>
        <v>4.5584662748367026E-2</v>
      </c>
      <c r="K391" s="3">
        <f t="shared" si="394"/>
        <v>4.3159992513357184E-2</v>
      </c>
      <c r="L391" s="3">
        <f t="shared" si="394"/>
        <v>2.4986619688584039E-2</v>
      </c>
      <c r="M391" s="3">
        <f t="shared" si="394"/>
        <v>1.0567419938092844E-4</v>
      </c>
      <c r="N391" s="3">
        <f t="shared" si="394"/>
        <v>1.9345660480175015E-28</v>
      </c>
      <c r="O391" s="3">
        <f t="shared" si="394"/>
        <v>8.1795519574387748E-266</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5.0364270463884482E-2</v>
      </c>
      <c r="C392" s="3">
        <f t="shared" si="395"/>
        <v>5.0364270461131705E-2</v>
      </c>
      <c r="D392" s="3">
        <f t="shared" si="395"/>
        <v>5.0364270433603933E-2</v>
      </c>
      <c r="E392" s="3">
        <f t="shared" si="395"/>
        <v>5.0364270158326174E-2</v>
      </c>
      <c r="F392" s="3">
        <f t="shared" si="395"/>
        <v>5.0364267405548724E-2</v>
      </c>
      <c r="G392" s="3">
        <f t="shared" si="395"/>
        <v>5.0364239877782449E-2</v>
      </c>
      <c r="H392" s="3">
        <f t="shared" si="395"/>
        <v>5.0363964600947206E-2</v>
      </c>
      <c r="I392" s="3">
        <f t="shared" si="395"/>
        <v>5.0361211915345677E-2</v>
      </c>
      <c r="J392" s="3">
        <f t="shared" si="395"/>
        <v>5.0333693332745053E-2</v>
      </c>
      <c r="K392" s="3">
        <f t="shared" si="395"/>
        <v>5.0059333177501518E-2</v>
      </c>
      <c r="L392" s="3">
        <f t="shared" si="395"/>
        <v>4.7396653060508075E-2</v>
      </c>
      <c r="M392" s="3">
        <f t="shared" si="395"/>
        <v>2.7439350091827876E-2</v>
      </c>
      <c r="N392" s="3">
        <f t="shared" si="395"/>
        <v>1.1604736409429997E-4</v>
      </c>
      <c r="O392" s="3">
        <f t="shared" si="395"/>
        <v>2.1244664435969683E-28</v>
      </c>
      <c r="P392" s="3">
        <f t="shared" si="395"/>
        <v>8.9824711206134875E-266</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4.7472549330140716E-2</v>
      </c>
      <c r="C393" s="3">
        <f t="shared" si="396"/>
        <v>4.7472549329881243E-2</v>
      </c>
      <c r="D393" s="3">
        <f t="shared" si="396"/>
        <v>4.747254932728652E-2</v>
      </c>
      <c r="E393" s="3">
        <f t="shared" si="396"/>
        <v>4.7472549301339283E-2</v>
      </c>
      <c r="F393" s="3">
        <f t="shared" si="396"/>
        <v>4.7472549041866909E-2</v>
      </c>
      <c r="G393" s="3">
        <f t="shared" si="396"/>
        <v>4.7472546447143264E-2</v>
      </c>
      <c r="H393" s="3">
        <f t="shared" si="396"/>
        <v>4.7472520499914593E-2</v>
      </c>
      <c r="I393" s="3">
        <f t="shared" si="396"/>
        <v>4.747226102840791E-2</v>
      </c>
      <c r="J393" s="3">
        <f t="shared" si="396"/>
        <v>4.7469666391340704E-2</v>
      </c>
      <c r="K393" s="3">
        <f t="shared" si="396"/>
        <v>4.7443727819055953E-2</v>
      </c>
      <c r="L393" s="3">
        <f t="shared" si="396"/>
        <v>4.7185120360157234E-2</v>
      </c>
      <c r="M393" s="3">
        <f t="shared" si="396"/>
        <v>4.4675321011543465E-2</v>
      </c>
      <c r="N393" s="3">
        <f t="shared" si="396"/>
        <v>2.5863888999410167E-2</v>
      </c>
      <c r="O393" s="3">
        <f t="shared" si="396"/>
        <v>1.0938437439533286E-4</v>
      </c>
      <c r="P393" s="3">
        <f t="shared" si="396"/>
        <v>2.0024878175423057E-28</v>
      </c>
      <c r="Q393" s="3">
        <f t="shared" si="396"/>
        <v>8.4667324563618549E-266</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3.4265272438935956E-2</v>
      </c>
      <c r="C394" s="3">
        <f t="shared" si="397"/>
        <v>3.4265272438917228E-2</v>
      </c>
      <c r="D394" s="3">
        <f t="shared" si="397"/>
        <v>3.4265272438729941E-2</v>
      </c>
      <c r="E394" s="3">
        <f t="shared" si="397"/>
        <v>3.4265272436857092E-2</v>
      </c>
      <c r="F394" s="3">
        <f t="shared" si="397"/>
        <v>3.4265272418128608E-2</v>
      </c>
      <c r="G394" s="3">
        <f t="shared" si="397"/>
        <v>3.4265272230843705E-2</v>
      </c>
      <c r="H394" s="3">
        <f t="shared" si="397"/>
        <v>3.4265270357994787E-2</v>
      </c>
      <c r="I394" s="3">
        <f t="shared" si="397"/>
        <v>3.4265251629511238E-2</v>
      </c>
      <c r="J394" s="3">
        <f t="shared" si="397"/>
        <v>3.4265064345238697E-2</v>
      </c>
      <c r="K394" s="3">
        <f t="shared" si="397"/>
        <v>3.4263191558812807E-2</v>
      </c>
      <c r="L394" s="3">
        <f t="shared" si="397"/>
        <v>3.4244469323361906E-2</v>
      </c>
      <c r="M394" s="3">
        <f t="shared" si="397"/>
        <v>3.4057808712989447E-2</v>
      </c>
      <c r="N394" s="3">
        <f t="shared" si="397"/>
        <v>3.2246257413117159E-2</v>
      </c>
      <c r="O394" s="3">
        <f t="shared" si="397"/>
        <v>1.8668329706322026E-2</v>
      </c>
      <c r="P394" s="3">
        <f t="shared" si="397"/>
        <v>7.8952688282044964E-5</v>
      </c>
      <c r="Q394" s="3">
        <f t="shared" si="397"/>
        <v>1.4453782573697836E-28</v>
      </c>
      <c r="R394" s="3">
        <f t="shared" si="397"/>
        <v>6.1112137093607788E-266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1.7817533491132173E-2</v>
      </c>
      <c r="C395" s="3">
        <f t="shared" si="398"/>
        <v>1.7817533491131198E-2</v>
      </c>
      <c r="D395" s="3">
        <f t="shared" si="398"/>
        <v>1.7817533491121459E-2</v>
      </c>
      <c r="E395" s="3">
        <f t="shared" si="398"/>
        <v>1.7817533491024076E-2</v>
      </c>
      <c r="F395" s="3">
        <f t="shared" si="398"/>
        <v>1.7817533490050216E-2</v>
      </c>
      <c r="G395" s="3">
        <f t="shared" si="398"/>
        <v>1.7817533480311624E-2</v>
      </c>
      <c r="H395" s="3">
        <f t="shared" si="398"/>
        <v>1.7817533382925708E-2</v>
      </c>
      <c r="I395" s="3">
        <f t="shared" si="398"/>
        <v>1.781753240906658E-2</v>
      </c>
      <c r="J395" s="3">
        <f t="shared" si="398"/>
        <v>1.7817522670478231E-2</v>
      </c>
      <c r="K395" s="3">
        <f t="shared" si="398"/>
        <v>1.7817425284887493E-2</v>
      </c>
      <c r="L395" s="3">
        <f t="shared" si="398"/>
        <v>1.7816451458255163E-2</v>
      </c>
      <c r="M395" s="3">
        <f t="shared" si="398"/>
        <v>1.7806716118844983E-2</v>
      </c>
      <c r="N395" s="3">
        <f t="shared" si="398"/>
        <v>1.7709654825002561E-2</v>
      </c>
      <c r="O395" s="3">
        <f t="shared" si="398"/>
        <v>1.6767669728753924E-2</v>
      </c>
      <c r="P395" s="3">
        <f t="shared" si="398"/>
        <v>9.7073090651370042E-3</v>
      </c>
      <c r="Q395" s="3">
        <f t="shared" si="398"/>
        <v>4.1054457401064849E-5</v>
      </c>
      <c r="R395" s="3">
        <f t="shared" si="398"/>
        <v>7.515794760988242E-29</v>
      </c>
      <c r="S395" s="3">
        <f t="shared" si="398"/>
        <v>3.1777583304508253E-266</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3.0591851493341812E-2</v>
      </c>
      <c r="C396" s="3">
        <f t="shared" si="399"/>
        <v>3.0591851493341642E-2</v>
      </c>
      <c r="D396" s="3">
        <f t="shared" si="399"/>
        <v>3.0591851493339973E-2</v>
      </c>
      <c r="E396" s="3">
        <f t="shared" si="399"/>
        <v>3.059185149332325E-2</v>
      </c>
      <c r="F396" s="3">
        <f t="shared" si="399"/>
        <v>3.0591851493156044E-2</v>
      </c>
      <c r="G396" s="3">
        <f t="shared" si="399"/>
        <v>3.0591851491483971E-2</v>
      </c>
      <c r="H396" s="3">
        <f t="shared" si="399"/>
        <v>3.0591851474763281E-2</v>
      </c>
      <c r="I396" s="3">
        <f t="shared" si="399"/>
        <v>3.0591851307556327E-2</v>
      </c>
      <c r="J396" s="3">
        <f t="shared" si="399"/>
        <v>3.0591849635486855E-2</v>
      </c>
      <c r="K396" s="3">
        <f t="shared" si="399"/>
        <v>3.0591832914797168E-2</v>
      </c>
      <c r="L396" s="3">
        <f t="shared" si="399"/>
        <v>3.0591665708402917E-2</v>
      </c>
      <c r="M396" s="3">
        <f t="shared" si="399"/>
        <v>3.0589993694724295E-2</v>
      </c>
      <c r="N396" s="3">
        <f t="shared" si="399"/>
        <v>3.0573278583307682E-2</v>
      </c>
      <c r="O396" s="3">
        <f t="shared" si="399"/>
        <v>3.0406628991294468E-2</v>
      </c>
      <c r="P396" s="3">
        <f t="shared" si="399"/>
        <v>2.8789285704822087E-2</v>
      </c>
      <c r="Q396" s="3">
        <f t="shared" si="399"/>
        <v>1.6666984656907774E-2</v>
      </c>
      <c r="R396" s="3">
        <f t="shared" si="399"/>
        <v>7.0488536731426766E-5</v>
      </c>
      <c r="S396" s="3">
        <f t="shared" si="399"/>
        <v>1.2904259576502E-28</v>
      </c>
      <c r="T396" s="3">
        <f t="shared" si="399"/>
        <v>5.4560588296502609E-266</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6.082258895224843E-2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4.6397756004812267E-2</v>
      </c>
      <c r="M397" s="80">
        <f t="shared" si="400"/>
        <v>1.6499375303552732E-2</v>
      </c>
      <c r="N397" s="80">
        <f t="shared" si="400"/>
        <v>6.6758445319099941E-2</v>
      </c>
      <c r="O397" s="80">
        <f t="shared" si="400"/>
        <v>7.2671599720001867E-2</v>
      </c>
      <c r="P397" s="80">
        <f t="shared" si="400"/>
        <v>1.8779046507890116E-2</v>
      </c>
      <c r="Q397" s="80">
        <f t="shared" si="400"/>
        <v>0.15991301249370868</v>
      </c>
      <c r="R397" s="80">
        <f t="shared" si="400"/>
        <v>0.3917151525188094</v>
      </c>
      <c r="S397" s="80">
        <f t="shared" si="400"/>
        <v>0.34168995059888763</v>
      </c>
      <c r="T397" s="80">
        <f t="shared" si="400"/>
        <v>0.29833698339485637</v>
      </c>
      <c r="U397" s="80">
        <f t="shared" si="400"/>
        <v>0.26556564637524782</v>
      </c>
      <c r="V397" s="80">
        <f t="shared" si="400"/>
        <v>0.20717328928283443</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13130.062465761006</v>
      </c>
      <c r="C398" s="21">
        <f t="shared" ref="C398:AF398" si="401">(C365-C364)^2</f>
        <v>11519.487107881932</v>
      </c>
      <c r="D398" s="21">
        <f t="shared" si="401"/>
        <v>2126.7850734392359</v>
      </c>
      <c r="E398" s="21">
        <f t="shared" si="401"/>
        <v>37173.380570007292</v>
      </c>
      <c r="F398" s="21">
        <f t="shared" si="401"/>
        <v>88640.901417870002</v>
      </c>
      <c r="G398" s="21">
        <f t="shared" si="401"/>
        <v>116983.44939493967</v>
      </c>
      <c r="H398" s="21">
        <f t="shared" si="401"/>
        <v>113300.08356041955</v>
      </c>
      <c r="I398" s="21">
        <f t="shared" si="401"/>
        <v>98886.504994509378</v>
      </c>
      <c r="J398" s="21">
        <f t="shared" si="401"/>
        <v>68585.162636762776</v>
      </c>
      <c r="K398" s="21">
        <f t="shared" si="401"/>
        <v>30678.301040083134</v>
      </c>
      <c r="L398" s="21">
        <f t="shared" si="401"/>
        <v>4934.5072714900125</v>
      </c>
      <c r="M398" s="21">
        <f t="shared" si="401"/>
        <v>347.72736814019532</v>
      </c>
      <c r="N398" s="21">
        <f t="shared" si="401"/>
        <v>2833.8644054841279</v>
      </c>
      <c r="O398" s="21">
        <f t="shared" si="401"/>
        <v>1649.9137272899134</v>
      </c>
      <c r="P398" s="21">
        <f t="shared" si="401"/>
        <v>62.845316293335195</v>
      </c>
      <c r="Q398" s="21">
        <f t="shared" si="401"/>
        <v>3146.7269433705173</v>
      </c>
      <c r="R398" s="21">
        <f t="shared" si="401"/>
        <v>15238.059424865742</v>
      </c>
      <c r="S398" s="21">
        <f t="shared" si="401"/>
        <v>9854.3216020910222</v>
      </c>
      <c r="T398" s="21">
        <f t="shared" si="401"/>
        <v>6612.7226049574574</v>
      </c>
      <c r="U398" s="21">
        <f t="shared" si="401"/>
        <v>4782.5675302745931</v>
      </c>
      <c r="V398" s="21">
        <f t="shared" si="401"/>
        <v>2497.6654449839698</v>
      </c>
      <c r="W398" s="21">
        <f t="shared" si="401"/>
        <v>1698.1491006700201</v>
      </c>
      <c r="X398" s="21">
        <f t="shared" si="401"/>
        <v>1441.9633848268697</v>
      </c>
      <c r="Y398" s="21">
        <f t="shared" si="401"/>
        <v>1295.9089630328729</v>
      </c>
      <c r="Z398" s="21">
        <f t="shared" si="401"/>
        <v>1193.4479394785938</v>
      </c>
      <c r="AA398" s="21">
        <f t="shared" si="401"/>
        <v>1161.1635187953798</v>
      </c>
      <c r="AB398" s="21">
        <f t="shared" si="401"/>
        <v>1075.5026756706416</v>
      </c>
      <c r="AC398" s="21">
        <f t="shared" si="401"/>
        <v>1067.0887025941413</v>
      </c>
      <c r="AD398" s="21">
        <f t="shared" si="401"/>
        <v>991.29061346345611</v>
      </c>
      <c r="AE398" s="21">
        <f t="shared" si="401"/>
        <v>988.96660896631158</v>
      </c>
      <c r="AF398" s="21">
        <f t="shared" si="401"/>
        <v>970.03497353385978</v>
      </c>
      <c r="AG398" s="3"/>
      <c r="AH398" s="3"/>
    </row>
    <row r="399" spans="1:34" x14ac:dyDescent="0.25">
      <c r="A399" s="71">
        <f>SUM(B399:AF399)</f>
        <v>51960.921639240893</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4934.5072714900125</v>
      </c>
      <c r="M399" s="60">
        <f t="shared" ref="M399" si="412">IF($A$64&lt;=M363,IF($B$64&gt;=M363,ABS(M398),0),0)</f>
        <v>347.72736814019532</v>
      </c>
      <c r="N399" s="60">
        <f t="shared" ref="N399" si="413">IF($A$64&lt;=N363,IF($B$64&gt;=N363,ABS(N398),0),0)</f>
        <v>2833.8644054841279</v>
      </c>
      <c r="O399" s="60">
        <f t="shared" ref="O399" si="414">IF($A$64&lt;=O363,IF($B$64&gt;=O363,ABS(O398),0),0)</f>
        <v>1649.9137272899134</v>
      </c>
      <c r="P399" s="60">
        <f t="shared" ref="P399" si="415">IF($A$64&lt;=P363,IF($B$64&gt;=P363,ABS(P398),0),0)</f>
        <v>62.845316293335195</v>
      </c>
      <c r="Q399" s="60">
        <f t="shared" ref="Q399" si="416">IF($A$64&lt;=Q363,IF($B$64&gt;=Q363,ABS(Q398),0),0)</f>
        <v>3146.7269433705173</v>
      </c>
      <c r="R399" s="60">
        <f t="shared" ref="R399" si="417">IF($A$64&lt;=R363,IF($B$64&gt;=R363,ABS(R398),0),0)</f>
        <v>15238.059424865742</v>
      </c>
      <c r="S399" s="60">
        <f t="shared" ref="S399" si="418">IF($A$64&lt;=S363,IF($B$64&gt;=S363,ABS(S398),0),0)</f>
        <v>9854.3216020910222</v>
      </c>
      <c r="T399" s="60">
        <f t="shared" ref="T399" si="419">IF($A$64&lt;=T363,IF($B$64&gt;=T363,ABS(T398),0),0)</f>
        <v>6612.7226049574574</v>
      </c>
      <c r="U399" s="60">
        <f t="shared" ref="U399" si="420">IF($A$64&lt;=U363,IF($B$64&gt;=U363,ABS(U398),0),0)</f>
        <v>4782.5675302745931</v>
      </c>
      <c r="V399" s="60">
        <f t="shared" ref="V399" si="421">IF($A$64&lt;=V363,IF($B$64&gt;=V363,ABS(V398),0),0)</f>
        <v>2497.6654449839698</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-20.678712849703782</v>
      </c>
      <c r="C403" s="107">
        <f t="shared" ref="C403:H403" si="432">IF(C125=$B$2,0,C126)</f>
        <v>-11.038584339708127</v>
      </c>
      <c r="D403" s="107">
        <f t="shared" si="432"/>
        <v>-4.4849291424001567</v>
      </c>
      <c r="E403" s="107">
        <f t="shared" si="432"/>
        <v>0</v>
      </c>
      <c r="F403" s="107">
        <f t="shared" si="432"/>
        <v>5.6520748950937074</v>
      </c>
      <c r="G403" s="107">
        <f t="shared" si="432"/>
        <v>20.951502600291697</v>
      </c>
      <c r="H403" s="107">
        <f t="shared" si="432"/>
        <v>36.342635511339353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1.0455603766040573E-24</v>
      </c>
      <c r="C404" s="3">
        <f t="shared" ref="C404:H419" si="433">$A404/EXP(-C$403)</f>
        <v>1.6069550665085156E-20</v>
      </c>
      <c r="D404" s="3">
        <f t="shared" si="433"/>
        <v>1.1277686602234148E-17</v>
      </c>
      <c r="E404" s="3">
        <f t="shared" si="433"/>
        <v>1.0000000000000001E-15</v>
      </c>
      <c r="F404" s="3">
        <f t="shared" si="433"/>
        <v>2.8488195317935346E-13</v>
      </c>
      <c r="G404" s="3">
        <f t="shared" si="433"/>
        <v>1.2563827556048497E-6</v>
      </c>
      <c r="H404" s="3">
        <f t="shared" si="433"/>
        <v>6.0730388643681978</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1.0455603766040574E-23</v>
      </c>
      <c r="C405" s="3">
        <f t="shared" si="433"/>
        <v>1.6069550665085157E-19</v>
      </c>
      <c r="D405" s="3">
        <f t="shared" si="433"/>
        <v>1.1277686602234148E-16</v>
      </c>
      <c r="E405" s="3">
        <f t="shared" si="433"/>
        <v>1E-14</v>
      </c>
      <c r="F405" s="3">
        <f t="shared" si="433"/>
        <v>2.8488195317935347E-12</v>
      </c>
      <c r="G405" s="3">
        <f t="shared" si="433"/>
        <v>1.2563827556048495E-5</v>
      </c>
      <c r="H405" s="3">
        <f t="shared" si="433"/>
        <v>60.73038864368197</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1.0455603766040573E-22</v>
      </c>
      <c r="C406" s="3">
        <f t="shared" si="433"/>
        <v>1.6069550665085157E-18</v>
      </c>
      <c r="D406" s="3">
        <f t="shared" si="433"/>
        <v>1.1277686602234147E-15</v>
      </c>
      <c r="E406" s="3">
        <f t="shared" si="433"/>
        <v>1E-13</v>
      </c>
      <c r="F406" s="3">
        <f t="shared" si="433"/>
        <v>2.8488195317935345E-11</v>
      </c>
      <c r="G406" s="3">
        <f t="shared" si="433"/>
        <v>1.2563827556048496E-4</v>
      </c>
      <c r="H406" s="3">
        <f t="shared" si="433"/>
        <v>607.30388643681977</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1.0455603766040574E-21</v>
      </c>
      <c r="C407" s="3">
        <f t="shared" si="433"/>
        <v>1.6069550665085156E-17</v>
      </c>
      <c r="D407" s="3">
        <f t="shared" si="433"/>
        <v>1.1277686602234146E-14</v>
      </c>
      <c r="E407" s="3">
        <f t="shared" si="433"/>
        <v>9.9999999999999998E-13</v>
      </c>
      <c r="F407" s="3">
        <f t="shared" si="433"/>
        <v>2.8488195317935347E-10</v>
      </c>
      <c r="G407" s="3">
        <f t="shared" si="433"/>
        <v>1.2563827556048496E-3</v>
      </c>
      <c r="H407" s="3">
        <f t="shared" si="433"/>
        <v>6073.0388643681972</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1.0455603766040572E-20</v>
      </c>
      <c r="C408" s="3">
        <f t="shared" si="433"/>
        <v>1.6069550665085156E-16</v>
      </c>
      <c r="D408" s="3">
        <f t="shared" si="433"/>
        <v>1.1277686602234146E-13</v>
      </c>
      <c r="E408" s="3">
        <f t="shared" si="433"/>
        <v>9.9999999999999994E-12</v>
      </c>
      <c r="F408" s="3">
        <f t="shared" si="433"/>
        <v>2.8488195317935346E-9</v>
      </c>
      <c r="G408" s="3">
        <f t="shared" si="433"/>
        <v>1.2563827556048495E-2</v>
      </c>
      <c r="H408" s="3">
        <f t="shared" si="433"/>
        <v>60730.388643681967</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1.0455603766040573E-19</v>
      </c>
      <c r="C409" s="3">
        <f t="shared" si="433"/>
        <v>1.6069550665085157E-15</v>
      </c>
      <c r="D409" s="3">
        <f t="shared" si="433"/>
        <v>1.1277686602234148E-12</v>
      </c>
      <c r="E409" s="3">
        <f t="shared" si="433"/>
        <v>1E-10</v>
      </c>
      <c r="F409" s="3">
        <f t="shared" si="433"/>
        <v>2.8488195317935348E-8</v>
      </c>
      <c r="G409" s="3">
        <f t="shared" si="433"/>
        <v>0.12563827556048496</v>
      </c>
      <c r="H409" s="3">
        <f t="shared" si="433"/>
        <v>607303.88643681968</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1.0455603766040573E-18</v>
      </c>
      <c r="C410" s="3">
        <f t="shared" si="433"/>
        <v>1.6069550665085158E-14</v>
      </c>
      <c r="D410" s="3">
        <f t="shared" si="433"/>
        <v>1.1277686602234148E-11</v>
      </c>
      <c r="E410" s="3">
        <f t="shared" si="433"/>
        <v>1.0000000000000001E-9</v>
      </c>
      <c r="F410" s="3">
        <f t="shared" si="433"/>
        <v>2.8488195317935349E-7</v>
      </c>
      <c r="G410" s="3">
        <f t="shared" si="433"/>
        <v>1.2563827556048497</v>
      </c>
      <c r="H410" s="3">
        <f t="shared" si="433"/>
        <v>6073038.8643681975</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1.0455603766040574E-17</v>
      </c>
      <c r="C411" s="3">
        <f t="shared" si="433"/>
        <v>1.6069550665085157E-13</v>
      </c>
      <c r="D411" s="3">
        <f t="shared" si="433"/>
        <v>1.1277686602234147E-10</v>
      </c>
      <c r="E411" s="3">
        <f t="shared" si="433"/>
        <v>1E-8</v>
      </c>
      <c r="F411" s="3">
        <f t="shared" si="433"/>
        <v>2.8488195317935347E-6</v>
      </c>
      <c r="G411" s="3">
        <f t="shared" si="433"/>
        <v>12.563827556048496</v>
      </c>
      <c r="H411" s="3">
        <f t="shared" si="433"/>
        <v>60730388.643681973</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1.0455603766040572E-16</v>
      </c>
      <c r="C412" s="3">
        <f t="shared" si="433"/>
        <v>1.6069550665085155E-12</v>
      </c>
      <c r="D412" s="3">
        <f t="shared" si="433"/>
        <v>1.1277686602234146E-9</v>
      </c>
      <c r="E412" s="3">
        <f t="shared" si="433"/>
        <v>9.9999999999999995E-8</v>
      </c>
      <c r="F412" s="3">
        <f t="shared" si="433"/>
        <v>2.8488195317935344E-5</v>
      </c>
      <c r="G412" s="3">
        <f t="shared" si="433"/>
        <v>125.63827556048496</v>
      </c>
      <c r="H412" s="3">
        <f t="shared" si="433"/>
        <v>607303886.43681967</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1.0455603766040572E-15</v>
      </c>
      <c r="C413" s="3">
        <f t="shared" si="433"/>
        <v>1.6069550665085157E-11</v>
      </c>
      <c r="D413" s="3">
        <f t="shared" si="433"/>
        <v>1.1277686602234147E-8</v>
      </c>
      <c r="E413" s="3">
        <f t="shared" si="433"/>
        <v>9.9999999999999995E-7</v>
      </c>
      <c r="F413" s="3">
        <f t="shared" si="433"/>
        <v>2.8488195317935344E-4</v>
      </c>
      <c r="G413" s="3">
        <f t="shared" si="433"/>
        <v>1256.3827556048495</v>
      </c>
      <c r="H413" s="3">
        <f t="shared" si="433"/>
        <v>6073038864.3681965</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1.0455603766040574E-14</v>
      </c>
      <c r="C414" s="3">
        <f t="shared" si="433"/>
        <v>1.6069550665085158E-10</v>
      </c>
      <c r="D414" s="3">
        <f t="shared" si="433"/>
        <v>1.1277686602234148E-7</v>
      </c>
      <c r="E414" s="3">
        <f t="shared" si="433"/>
        <v>1.0000000000000001E-5</v>
      </c>
      <c r="F414" s="3">
        <f t="shared" si="433"/>
        <v>2.8488195317935348E-3</v>
      </c>
      <c r="G414" s="3">
        <f t="shared" si="433"/>
        <v>12563.827556048498</v>
      </c>
      <c r="H414" s="3">
        <f t="shared" si="433"/>
        <v>60730388643.681976</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1.0455603766040573E-13</v>
      </c>
      <c r="C415" s="3">
        <f t="shared" si="433"/>
        <v>1.6069550665085157E-9</v>
      </c>
      <c r="D415" s="3">
        <f t="shared" si="433"/>
        <v>1.1277686602234147E-6</v>
      </c>
      <c r="E415" s="3">
        <f t="shared" si="433"/>
        <v>1E-4</v>
      </c>
      <c r="F415" s="3">
        <f t="shared" si="433"/>
        <v>2.8488195317935349E-2</v>
      </c>
      <c r="G415" s="3">
        <f t="shared" si="433"/>
        <v>125638.27556048497</v>
      </c>
      <c r="H415" s="3">
        <f t="shared" si="433"/>
        <v>607303886436.8197</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1.0455603766040573E-12</v>
      </c>
      <c r="C416" s="3">
        <f t="shared" si="433"/>
        <v>1.6069550665085158E-8</v>
      </c>
      <c r="D416" s="3">
        <f t="shared" si="433"/>
        <v>1.1277686602234146E-5</v>
      </c>
      <c r="E416" s="3">
        <f t="shared" si="433"/>
        <v>1E-3</v>
      </c>
      <c r="F416" s="3">
        <f t="shared" si="433"/>
        <v>0.28488195317935344</v>
      </c>
      <c r="G416" s="3">
        <f t="shared" si="433"/>
        <v>1256382.7556048497</v>
      </c>
      <c r="H416" s="3">
        <f t="shared" si="433"/>
        <v>6073038864368.1973</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1.0455603766040574E-11</v>
      </c>
      <c r="C417" s="3">
        <f t="shared" si="433"/>
        <v>1.6069550665085157E-7</v>
      </c>
      <c r="D417" s="3">
        <f t="shared" si="433"/>
        <v>1.1277686602234146E-4</v>
      </c>
      <c r="E417" s="3">
        <f t="shared" si="433"/>
        <v>0.01</v>
      </c>
      <c r="F417" s="3">
        <f t="shared" si="433"/>
        <v>2.8488195317935348</v>
      </c>
      <c r="G417" s="3">
        <f t="shared" si="433"/>
        <v>12563827.556048496</v>
      </c>
      <c r="H417" s="3">
        <f t="shared" si="433"/>
        <v>60730388643681.969</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1.0455603766040574E-10</v>
      </c>
      <c r="C418" s="3">
        <f t="shared" si="433"/>
        <v>1.6069550665085157E-6</v>
      </c>
      <c r="D418" s="3">
        <f t="shared" si="433"/>
        <v>1.1277686602234147E-3</v>
      </c>
      <c r="E418" s="3">
        <f t="shared" si="433"/>
        <v>0.1</v>
      </c>
      <c r="F418" s="3">
        <f t="shared" si="433"/>
        <v>28.488195317935347</v>
      </c>
      <c r="G418" s="3">
        <f t="shared" si="433"/>
        <v>125638275.56048498</v>
      </c>
      <c r="H418" s="3">
        <f t="shared" si="433"/>
        <v>607303886436819.75</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1.0455603766040572E-9</v>
      </c>
      <c r="C419" s="3">
        <f t="shared" si="433"/>
        <v>1.6069550665085157E-5</v>
      </c>
      <c r="D419" s="3">
        <f t="shared" si="433"/>
        <v>1.1277686602234147E-2</v>
      </c>
      <c r="E419" s="3">
        <f t="shared" si="433"/>
        <v>1</v>
      </c>
      <c r="F419" s="3">
        <f t="shared" si="433"/>
        <v>284.88195317935345</v>
      </c>
      <c r="G419" s="3">
        <f t="shared" si="433"/>
        <v>1256382755.6048496</v>
      </c>
      <c r="H419" s="3">
        <f t="shared" si="433"/>
        <v>6073038864368197</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1.0455603766040574E-8</v>
      </c>
      <c r="C420" s="3">
        <f t="shared" si="434"/>
        <v>1.6069550665085157E-4</v>
      </c>
      <c r="D420" s="3">
        <f t="shared" si="434"/>
        <v>0.11277686602234147</v>
      </c>
      <c r="E420" s="3">
        <f t="shared" si="434"/>
        <v>10</v>
      </c>
      <c r="F420" s="3">
        <f t="shared" si="434"/>
        <v>2848.8195317935347</v>
      </c>
      <c r="G420" s="3">
        <f t="shared" si="434"/>
        <v>12563827556.048496</v>
      </c>
      <c r="H420" s="3">
        <f t="shared" si="434"/>
        <v>6.0730388643681968E+16</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1.0455603766040573E-7</v>
      </c>
      <c r="C421" s="3">
        <f t="shared" si="434"/>
        <v>1.6069550665085157E-3</v>
      </c>
      <c r="D421" s="3">
        <f t="shared" si="434"/>
        <v>1.1277686602234147</v>
      </c>
      <c r="E421" s="3">
        <f t="shared" si="434"/>
        <v>100</v>
      </c>
      <c r="F421" s="3">
        <f t="shared" si="434"/>
        <v>28488.195317935348</v>
      </c>
      <c r="G421" s="3">
        <f t="shared" si="434"/>
        <v>125638275560.48495</v>
      </c>
      <c r="H421" s="3">
        <f t="shared" si="434"/>
        <v>6.0730388643681971E+17</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1.0455603766040574E-6</v>
      </c>
      <c r="C422" s="3">
        <f t="shared" si="434"/>
        <v>1.6069550665085156E-2</v>
      </c>
      <c r="D422" s="3">
        <f t="shared" si="434"/>
        <v>11.277686602234146</v>
      </c>
      <c r="E422" s="3">
        <f t="shared" si="434"/>
        <v>1000</v>
      </c>
      <c r="F422" s="3">
        <f t="shared" si="434"/>
        <v>284881.95317935344</v>
      </c>
      <c r="G422" s="3">
        <f t="shared" si="434"/>
        <v>1256382755604.8496</v>
      </c>
      <c r="H422" s="3">
        <f t="shared" si="434"/>
        <v>6.0730388643681966E+18</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1.0455603766040574E-5</v>
      </c>
      <c r="C423" s="3">
        <f t="shared" si="434"/>
        <v>0.16069550665085156</v>
      </c>
      <c r="D423" s="3">
        <f t="shared" si="434"/>
        <v>112.77686602234147</v>
      </c>
      <c r="E423" s="3">
        <f t="shared" si="434"/>
        <v>10000</v>
      </c>
      <c r="F423" s="3">
        <f t="shared" si="434"/>
        <v>2848819.5317935348</v>
      </c>
      <c r="G423" s="3">
        <f t="shared" si="434"/>
        <v>12563827556048.496</v>
      </c>
      <c r="H423" s="3">
        <f t="shared" si="434"/>
        <v>6.0730388643681968E+19</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1.0455603766040573E-4</v>
      </c>
      <c r="C424" s="3">
        <f t="shared" si="434"/>
        <v>1.6069550665085157</v>
      </c>
      <c r="D424" s="3">
        <f t="shared" si="434"/>
        <v>1127.7686602234146</v>
      </c>
      <c r="E424" s="3">
        <f t="shared" si="434"/>
        <v>100000</v>
      </c>
      <c r="F424" s="3">
        <f t="shared" si="434"/>
        <v>28488195.317935348</v>
      </c>
      <c r="G424" s="3">
        <f t="shared" si="434"/>
        <v>125638275560484.97</v>
      </c>
      <c r="H424" s="3">
        <f t="shared" si="434"/>
        <v>6.0730388643681966E+20</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1.0455603766040573E-3</v>
      </c>
      <c r="C425" s="3">
        <f t="shared" si="434"/>
        <v>16.069550665085156</v>
      </c>
      <c r="D425" s="3">
        <f t="shared" si="434"/>
        <v>11277.686602234147</v>
      </c>
      <c r="E425" s="3">
        <f t="shared" si="434"/>
        <v>1000000</v>
      </c>
      <c r="F425" s="3">
        <f t="shared" si="434"/>
        <v>284881953.17935348</v>
      </c>
      <c r="G425" s="3">
        <f t="shared" si="434"/>
        <v>1256382755604849.5</v>
      </c>
      <c r="H425" s="3">
        <f t="shared" si="434"/>
        <v>6.0730388643681969E+21</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1.0455603766040574E-2</v>
      </c>
      <c r="C426" s="3">
        <f t="shared" si="434"/>
        <v>160.69550665085157</v>
      </c>
      <c r="D426" s="3">
        <f t="shared" si="434"/>
        <v>112776.86602234146</v>
      </c>
      <c r="E426" s="3">
        <f t="shared" si="434"/>
        <v>10000000</v>
      </c>
      <c r="F426" s="3">
        <f t="shared" si="434"/>
        <v>2848819531.7935348</v>
      </c>
      <c r="G426" s="3">
        <f t="shared" si="434"/>
        <v>1.2563827556048496E+16</v>
      </c>
      <c r="H426" s="3">
        <f t="shared" si="434"/>
        <v>6.0730388643681967E+22</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0.10455603766040573</v>
      </c>
      <c r="C427" s="3">
        <f t="shared" si="434"/>
        <v>1606.9550665085155</v>
      </c>
      <c r="D427" s="3">
        <f t="shared" si="434"/>
        <v>1127768.6602234147</v>
      </c>
      <c r="E427" s="3">
        <f t="shared" si="434"/>
        <v>100000000</v>
      </c>
      <c r="F427" s="3">
        <f t="shared" si="434"/>
        <v>28488195317.935345</v>
      </c>
      <c r="G427" s="3">
        <f t="shared" si="434"/>
        <v>1.2563827556048496E+17</v>
      </c>
      <c r="H427" s="3">
        <f t="shared" si="434"/>
        <v>6.0730388643681972E+23</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1.0455603766040573</v>
      </c>
      <c r="C428" s="3">
        <f t="shared" si="434"/>
        <v>16069.550665085157</v>
      </c>
      <c r="D428" s="3">
        <f t="shared" si="434"/>
        <v>11277686.602234147</v>
      </c>
      <c r="E428" s="3">
        <f t="shared" si="434"/>
        <v>1000000000</v>
      </c>
      <c r="F428" s="3">
        <f t="shared" si="434"/>
        <v>284881953179.35345</v>
      </c>
      <c r="G428" s="3">
        <f t="shared" si="434"/>
        <v>1.2563827556048497E+18</v>
      </c>
      <c r="H428" s="3">
        <f t="shared" si="434"/>
        <v>6.0730388643681969E+24</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10.455603766040573</v>
      </c>
      <c r="C429" s="3">
        <f t="shared" si="434"/>
        <v>160695.50665085157</v>
      </c>
      <c r="D429" s="3">
        <f t="shared" si="434"/>
        <v>112776866.02234146</v>
      </c>
      <c r="E429" s="3">
        <f t="shared" si="434"/>
        <v>10000000000</v>
      </c>
      <c r="F429" s="3">
        <f t="shared" si="434"/>
        <v>2848819531793.5347</v>
      </c>
      <c r="G429" s="3">
        <f t="shared" si="434"/>
        <v>1.2563827556048497E+19</v>
      </c>
      <c r="H429" s="3">
        <f t="shared" si="434"/>
        <v>6.0730388643681972E+25</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104.55603766040574</v>
      </c>
      <c r="C430" s="3">
        <f t="shared" si="434"/>
        <v>1606955.0665085155</v>
      </c>
      <c r="D430" s="3">
        <f t="shared" si="434"/>
        <v>1127768660.2234147</v>
      </c>
      <c r="E430" s="3">
        <f t="shared" si="434"/>
        <v>100000000000</v>
      </c>
      <c r="F430" s="3">
        <f t="shared" si="434"/>
        <v>28488195317935.348</v>
      </c>
      <c r="G430" s="3">
        <f t="shared" si="434"/>
        <v>1.2563827556048496E+20</v>
      </c>
      <c r="H430" s="3">
        <f t="shared" si="434"/>
        <v>6.0730388643681972E+26</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1045.5603766040574</v>
      </c>
      <c r="C431" s="3">
        <f t="shared" si="434"/>
        <v>16069550.665085156</v>
      </c>
      <c r="D431" s="3">
        <f t="shared" si="434"/>
        <v>11277686602.234146</v>
      </c>
      <c r="E431" s="3">
        <f t="shared" si="434"/>
        <v>1000000000000</v>
      </c>
      <c r="F431" s="3">
        <f t="shared" si="434"/>
        <v>284881953179353.44</v>
      </c>
      <c r="G431" s="3">
        <f t="shared" si="434"/>
        <v>1.2563827556048495E+21</v>
      </c>
      <c r="H431" s="3">
        <f t="shared" si="434"/>
        <v>6.0730388643681969E+27</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10455.603766040573</v>
      </c>
      <c r="C432" s="3">
        <f t="shared" si="434"/>
        <v>160695506.65085155</v>
      </c>
      <c r="D432" s="3">
        <f t="shared" si="434"/>
        <v>112776866022.34146</v>
      </c>
      <c r="E432" s="3">
        <f t="shared" si="434"/>
        <v>10000000000000</v>
      </c>
      <c r="F432" s="3">
        <f t="shared" si="434"/>
        <v>2848819531793534.5</v>
      </c>
      <c r="G432" s="3">
        <f t="shared" si="434"/>
        <v>1.2563827556048496E+22</v>
      </c>
      <c r="H432" s="3">
        <f t="shared" si="434"/>
        <v>6.0730388643681969E+28</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104556.03766040572</v>
      </c>
      <c r="C433" s="3">
        <f t="shared" si="434"/>
        <v>1606955066.5085156</v>
      </c>
      <c r="D433" s="3">
        <f t="shared" si="434"/>
        <v>1127768660223.4146</v>
      </c>
      <c r="E433" s="3">
        <f t="shared" si="434"/>
        <v>100000000000000</v>
      </c>
      <c r="F433" s="3">
        <f t="shared" si="434"/>
        <v>2.8488195317935348E+16</v>
      </c>
      <c r="G433" s="3">
        <f t="shared" si="434"/>
        <v>1.2563827556048497E+23</v>
      </c>
      <c r="H433" s="3">
        <f t="shared" si="434"/>
        <v>6.0730388643681967E+29</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1045560.3766040573</v>
      </c>
      <c r="C434" s="3">
        <f t="shared" si="434"/>
        <v>16069550665.085155</v>
      </c>
      <c r="D434" s="3">
        <f t="shared" si="434"/>
        <v>11277686602234.146</v>
      </c>
      <c r="E434" s="3">
        <f t="shared" si="434"/>
        <v>1000000000000000</v>
      </c>
      <c r="F434" s="3">
        <f t="shared" si="434"/>
        <v>2.8488195317935347E+17</v>
      </c>
      <c r="G434" s="3">
        <f t="shared" si="434"/>
        <v>1.2563827556048495E+24</v>
      </c>
      <c r="H434" s="3">
        <f t="shared" si="434"/>
        <v>6.0730388643681966E+30</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-20.678712849703782</v>
      </c>
      <c r="M1" s="54">
        <v>1</v>
      </c>
      <c r="N1" s="56">
        <f>INDEX($H$217:$P$217,1,Q1)</f>
        <v>0.15727701227011634</v>
      </c>
      <c r="O1" s="11"/>
      <c r="P1" s="55">
        <v>1</v>
      </c>
      <c r="Q1" s="11">
        <v>2</v>
      </c>
    </row>
    <row r="2" spans="1:17" x14ac:dyDescent="0.25">
      <c r="A2" s="11">
        <f>'Mastercurve bestimmen'!M119</f>
        <v>0</v>
      </c>
      <c r="B2" s="11">
        <f>'Mastercurve bestimmen'!N119</f>
        <v>-11.038584339708127</v>
      </c>
      <c r="M2" s="54">
        <v>2</v>
      </c>
      <c r="N2" s="56">
        <f t="shared" ref="N2:N9" si="0">INDEX($H$217:$P$217,1,Q2)</f>
        <v>-3.6584654868011476E-5</v>
      </c>
      <c r="O2" s="11"/>
      <c r="P2" s="55">
        <v>2</v>
      </c>
      <c r="Q2" s="11">
        <f>Q1+1</f>
        <v>3</v>
      </c>
    </row>
    <row r="3" spans="1:17" x14ac:dyDescent="0.25">
      <c r="A3" s="11">
        <f>'Mastercurve bestimmen'!M120</f>
        <v>25</v>
      </c>
      <c r="B3" s="11">
        <f>'Mastercurve bestimmen'!N120</f>
        <v>-4.4849291424001567</v>
      </c>
      <c r="M3" s="54">
        <v>3</v>
      </c>
      <c r="N3" s="56">
        <f t="shared" si="0"/>
        <v>4.0540713927056695E-5</v>
      </c>
      <c r="O3" s="11"/>
      <c r="P3" s="55">
        <v>3</v>
      </c>
      <c r="Q3" s="11">
        <f t="shared" ref="Q3:Q8" si="1">Q2+1</f>
        <v>4</v>
      </c>
    </row>
    <row r="4" spans="1:17" x14ac:dyDescent="0.25">
      <c r="A4" s="11">
        <f>'Mastercurve bestimmen'!M121</f>
        <v>50</v>
      </c>
      <c r="B4" s="11">
        <f>'Mastercurve bestimmen'!N121</f>
        <v>0</v>
      </c>
      <c r="M4" s="54">
        <v>4</v>
      </c>
      <c r="N4" s="56">
        <f t="shared" si="0"/>
        <v>-2.4825726736624792E-8</v>
      </c>
      <c r="O4" s="11"/>
      <c r="P4" s="55">
        <v>4</v>
      </c>
      <c r="Q4" s="11">
        <f t="shared" si="1"/>
        <v>5</v>
      </c>
    </row>
    <row r="5" spans="1:17" x14ac:dyDescent="0.25">
      <c r="A5" s="11">
        <f>'Mastercurve bestimmen'!M122</f>
        <v>80</v>
      </c>
      <c r="B5" s="11">
        <f>'Mastercurve bestimmen'!N122</f>
        <v>5.6520748950937074</v>
      </c>
      <c r="M5" s="54">
        <v>5</v>
      </c>
      <c r="N5" s="56">
        <f t="shared" si="0"/>
        <v>-5.3593845279586902E-9</v>
      </c>
      <c r="O5" s="11"/>
      <c r="P5" s="55">
        <v>5</v>
      </c>
      <c r="Q5" s="11">
        <f t="shared" si="1"/>
        <v>6</v>
      </c>
    </row>
    <row r="6" spans="1:17" x14ac:dyDescent="0.25">
      <c r="A6" s="11">
        <f>'Mastercurve bestimmen'!M123</f>
        <v>125</v>
      </c>
      <c r="B6" s="11">
        <f>'Mastercurve bestimmen'!N123</f>
        <v>20.951502600291697</v>
      </c>
      <c r="M6" s="54">
        <v>6</v>
      </c>
      <c r="N6" s="56">
        <f t="shared" si="0"/>
        <v>2.2238401006752308E-11</v>
      </c>
      <c r="O6" s="11"/>
      <c r="P6" s="55">
        <v>6</v>
      </c>
      <c r="Q6" s="11">
        <f t="shared" si="1"/>
        <v>7</v>
      </c>
    </row>
    <row r="7" spans="1:17" x14ac:dyDescent="0.25">
      <c r="A7" s="11">
        <f>'Mastercurve bestimmen'!M124</f>
        <v>160</v>
      </c>
      <c r="B7" s="11">
        <f>'Mastercurve bestimmen'!N124</f>
        <v>36.342635511339353</v>
      </c>
      <c r="M7" s="54">
        <v>7</v>
      </c>
      <c r="N7" s="56">
        <f t="shared" si="0"/>
        <v>2.5024151170430427E-13</v>
      </c>
      <c r="O7" s="11"/>
      <c r="P7" s="55">
        <v>7</v>
      </c>
      <c r="Q7" s="11">
        <f t="shared" si="1"/>
        <v>8</v>
      </c>
    </row>
    <row r="8" spans="1:17" x14ac:dyDescent="0.25">
      <c r="A8" s="11"/>
      <c r="B8" s="11"/>
      <c r="M8" s="54">
        <v>8</v>
      </c>
      <c r="N8" s="56">
        <f t="shared" si="0"/>
        <v>-1.5259343267637137E-15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-20.678712849703782</v>
      </c>
      <c r="E15" s="11">
        <f>A15-'Mastercurve bestimmen'!$B$2</f>
        <v>-90</v>
      </c>
      <c r="F15" s="11">
        <f>B15</f>
        <v>-20.678712849703782</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-20.515060222307646</v>
      </c>
      <c r="E16" s="11">
        <f>A16-'Mastercurve bestimmen'!$B$2</f>
        <v>-89</v>
      </c>
      <c r="F16" s="11">
        <f t="shared" ref="F16:F79" si="4">B16</f>
        <v>-20.515060222307646</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-20.351117348812615</v>
      </c>
      <c r="E17" s="11">
        <f>A17-'Mastercurve bestimmen'!$B$2</f>
        <v>-88</v>
      </c>
      <c r="F17" s="11">
        <f t="shared" si="4"/>
        <v>-20.351117348812615</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-20.186593983119813</v>
      </c>
      <c r="E18" s="11">
        <f>A18-'Mastercurve bestimmen'!$B$2</f>
        <v>-87</v>
      </c>
      <c r="F18" s="11">
        <f t="shared" si="4"/>
        <v>-20.186593983119813</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-20.021199879130343</v>
      </c>
      <c r="E19" s="11">
        <f>A19-'Mastercurve bestimmen'!$B$2</f>
        <v>-86</v>
      </c>
      <c r="F19" s="11">
        <f t="shared" si="4"/>
        <v>-20.021199879130343</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-19.854644790745322</v>
      </c>
      <c r="E20" s="11">
        <f>A20-'Mastercurve bestimmen'!$B$2</f>
        <v>-85</v>
      </c>
      <c r="F20" s="11">
        <f t="shared" si="4"/>
        <v>-19.854644790745322</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-19.686638471865855</v>
      </c>
      <c r="E21" s="11">
        <f>A21-'Mastercurve bestimmen'!$B$2</f>
        <v>-84</v>
      </c>
      <c r="F21" s="11">
        <f t="shared" si="4"/>
        <v>-19.686638471865855</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-19.516890676393064</v>
      </c>
      <c r="E22" s="11">
        <f>A22-'Mastercurve bestimmen'!$B$2</f>
        <v>-83</v>
      </c>
      <c r="F22" s="11">
        <f t="shared" si="4"/>
        <v>-19.516890676393064</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-19.34511115822805</v>
      </c>
      <c r="E23" s="11">
        <f>A23-'Mastercurve bestimmen'!$B$2</f>
        <v>-82</v>
      </c>
      <c r="F23" s="11">
        <f t="shared" si="4"/>
        <v>-19.34511115822805</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-19.171009671271928</v>
      </c>
      <c r="E24" s="11">
        <f>A24-'Mastercurve bestimmen'!$B$2</f>
        <v>-81</v>
      </c>
      <c r="F24" s="11">
        <f t="shared" si="4"/>
        <v>-19.171009671271928</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-18.994295969425814</v>
      </c>
      <c r="E25" s="11">
        <f>A25-'Mastercurve bestimmen'!$B$2</f>
        <v>-80</v>
      </c>
      <c r="F25" s="11">
        <f t="shared" si="4"/>
        <v>-18.994295969425814</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-18.814679806590814</v>
      </c>
      <c r="E26" s="11">
        <f>A26-'Mastercurve bestimmen'!$B$2</f>
        <v>-79</v>
      </c>
      <c r="F26" s="11">
        <f t="shared" si="4"/>
        <v>-18.814679806590814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-18.631870936668044</v>
      </c>
      <c r="E27" s="11">
        <f>A27-'Mastercurve bestimmen'!$B$2</f>
        <v>-78</v>
      </c>
      <c r="F27" s="11">
        <f t="shared" si="4"/>
        <v>-18.631870936668044</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-18.445579113558608</v>
      </c>
      <c r="E28" s="11">
        <f>A28-'Mastercurve bestimmen'!$B$2</f>
        <v>-77</v>
      </c>
      <c r="F28" s="11">
        <f t="shared" si="4"/>
        <v>-18.445579113558608</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-18.255514091163629</v>
      </c>
      <c r="E29" s="11">
        <f>A29-'Mastercurve bestimmen'!$B$2</f>
        <v>-76</v>
      </c>
      <c r="F29" s="11">
        <f t="shared" si="4"/>
        <v>-18.255514091163629</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-18.061385623384211</v>
      </c>
      <c r="E30" s="11">
        <f>A30-'Mastercurve bestimmen'!$B$2</f>
        <v>-75</v>
      </c>
      <c r="F30" s="11">
        <f t="shared" si="4"/>
        <v>-18.061385623384211</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-17.862903464121466</v>
      </c>
      <c r="E31" s="11">
        <f>A31-'Mastercurve bestimmen'!$B$2</f>
        <v>-74</v>
      </c>
      <c r="F31" s="11">
        <f t="shared" si="4"/>
        <v>-17.862903464121466</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-17.659777367276508</v>
      </c>
      <c r="E32" s="11">
        <f>A32-'Mastercurve bestimmen'!$B$2</f>
        <v>-73</v>
      </c>
      <c r="F32" s="11">
        <f t="shared" si="4"/>
        <v>-17.659777367276508</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-17.451717086750449</v>
      </c>
      <c r="E33" s="11">
        <f>A33-'Mastercurve bestimmen'!$B$2</f>
        <v>-72</v>
      </c>
      <c r="F33" s="11">
        <f t="shared" si="4"/>
        <v>-17.451717086750449</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-17.238432376444397</v>
      </c>
      <c r="E34" s="11">
        <f>A34-'Mastercurve bestimmen'!$B$2</f>
        <v>-71</v>
      </c>
      <c r="F34" s="11">
        <f t="shared" si="4"/>
        <v>-17.238432376444397</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-17.019632990259467</v>
      </c>
      <c r="E35" s="11">
        <f>A35-'Mastercurve bestimmen'!$B$2</f>
        <v>-70</v>
      </c>
      <c r="F35" s="11">
        <f t="shared" si="4"/>
        <v>-17.019632990259467</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-16.795028682096767</v>
      </c>
      <c r="E36" s="11">
        <f>A36-'Mastercurve bestimmen'!$B$2</f>
        <v>-69</v>
      </c>
      <c r="F36" s="11">
        <f t="shared" si="4"/>
        <v>-16.795028682096767</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-16.564329205857415</v>
      </c>
      <c r="E37" s="11">
        <f>A37-'Mastercurve bestimmen'!$B$2</f>
        <v>-68</v>
      </c>
      <c r="F37" s="11">
        <f t="shared" si="4"/>
        <v>-16.564329205857415</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-16.327244315442517</v>
      </c>
      <c r="E38" s="11">
        <f>A38-'Mastercurve bestimmen'!$B$2</f>
        <v>-67</v>
      </c>
      <c r="F38" s="11">
        <f t="shared" si="4"/>
        <v>-16.327244315442517</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-16.083483764753186</v>
      </c>
      <c r="E39" s="11">
        <f>A39-'Mastercurve bestimmen'!$B$2</f>
        <v>-66</v>
      </c>
      <c r="F39" s="11">
        <f t="shared" si="4"/>
        <v>-16.083483764753186</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-15.832757307690532</v>
      </c>
      <c r="E40" s="11">
        <f>A40-'Mastercurve bestimmen'!$B$2</f>
        <v>-65</v>
      </c>
      <c r="F40" s="11">
        <f t="shared" si="4"/>
        <v>-15.832757307690532</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-15.574774698155672</v>
      </c>
      <c r="E41" s="11">
        <f>A41-'Mastercurve bestimmen'!$B$2</f>
        <v>-64</v>
      </c>
      <c r="F41" s="11">
        <f t="shared" si="4"/>
        <v>-15.574774698155672</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-15.309245690049712</v>
      </c>
      <c r="E42" s="11">
        <f>A42-'Mastercurve bestimmen'!$B$2</f>
        <v>-63</v>
      </c>
      <c r="F42" s="11">
        <f t="shared" si="4"/>
        <v>-15.309245690049712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-15.035880037273765</v>
      </c>
      <c r="E43" s="11">
        <f>A43-'Mastercurve bestimmen'!$B$2</f>
        <v>-62</v>
      </c>
      <c r="F43" s="11">
        <f t="shared" si="4"/>
        <v>-15.035880037273765</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-14.754387493728947</v>
      </c>
      <c r="E44" s="11">
        <f>A44-'Mastercurve bestimmen'!$B$2</f>
        <v>-61</v>
      </c>
      <c r="F44" s="11">
        <f t="shared" si="4"/>
        <v>-14.754387493728947</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-14.464477813316364</v>
      </c>
      <c r="E45" s="11">
        <f>A45-'Mastercurve bestimmen'!$B$2</f>
        <v>-60</v>
      </c>
      <c r="F45" s="11">
        <f t="shared" si="4"/>
        <v>-14.464477813316364</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-14.16586074993713</v>
      </c>
      <c r="E46" s="11">
        <f>A46-'Mastercurve bestimmen'!$B$2</f>
        <v>-59</v>
      </c>
      <c r="F46" s="11">
        <f t="shared" si="4"/>
        <v>-14.16586074993713</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-13.858246057492355</v>
      </c>
      <c r="E47" s="11">
        <f>A47-'Mastercurve bestimmen'!$B$2</f>
        <v>-58</v>
      </c>
      <c r="F47" s="11">
        <f t="shared" si="4"/>
        <v>-13.858246057492355</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-13.541343489883152</v>
      </c>
      <c r="E48" s="11">
        <f>A48-'Mastercurve bestimmen'!$B$2</f>
        <v>-57</v>
      </c>
      <c r="F48" s="11">
        <f t="shared" si="4"/>
        <v>-13.541343489883152</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-13.214862801010632</v>
      </c>
      <c r="E49" s="11">
        <f>A49-'Mastercurve bestimmen'!$B$2</f>
        <v>-56</v>
      </c>
      <c r="F49" s="11">
        <f t="shared" si="4"/>
        <v>-13.214862801010632</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-12.878513744775908</v>
      </c>
      <c r="E50" s="11">
        <f>A50-'Mastercurve bestimmen'!$B$2</f>
        <v>-55</v>
      </c>
      <c r="F50" s="11">
        <f t="shared" si="4"/>
        <v>-12.878513744775908</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-12.532006075080094</v>
      </c>
      <c r="E51" s="11">
        <f>A51-'Mastercurve bestimmen'!$B$2</f>
        <v>-54</v>
      </c>
      <c r="F51" s="11">
        <f t="shared" si="4"/>
        <v>-12.532006075080094</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-12.175049545824294</v>
      </c>
      <c r="E52" s="11">
        <f>A52-'Mastercurve bestimmen'!$B$2</f>
        <v>-53</v>
      </c>
      <c r="F52" s="11">
        <f t="shared" si="4"/>
        <v>-12.175049545824294</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-11.807353910909626</v>
      </c>
      <c r="E53" s="11">
        <f>A53-'Mastercurve bestimmen'!$B$2</f>
        <v>-52</v>
      </c>
      <c r="F53" s="11">
        <f t="shared" si="4"/>
        <v>-11.807353910909626</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-11.428628924237199</v>
      </c>
      <c r="E54" s="11">
        <f>A54-'Mastercurve bestimmen'!$B$2</f>
        <v>-51</v>
      </c>
      <c r="F54" s="11">
        <f t="shared" si="4"/>
        <v>-11.428628924237199</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-11.038584339708125</v>
      </c>
      <c r="E55" s="11">
        <f>A55-'Mastercurve bestimmen'!$B$2</f>
        <v>-50</v>
      </c>
      <c r="F55" s="11">
        <f t="shared" si="4"/>
        <v>-11.038584339708125</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-10.833780496611308</v>
      </c>
      <c r="E56" s="11">
        <f>A56-'Mastercurve bestimmen'!$B$2</f>
        <v>-49</v>
      </c>
      <c r="F56" s="11">
        <f t="shared" si="4"/>
        <v>-10.833780496611308</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-10.618155038046172</v>
      </c>
      <c r="E57" s="11">
        <f>A57-'Mastercurve bestimmen'!$B$2</f>
        <v>-48</v>
      </c>
      <c r="F57" s="11">
        <f t="shared" si="4"/>
        <v>-10.618155038046172</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-10.392496192499944</v>
      </c>
      <c r="E58" s="11">
        <f>A58-'Mastercurve bestimmen'!$B$2</f>
        <v>-47</v>
      </c>
      <c r="F58" s="11">
        <f t="shared" si="4"/>
        <v>-10.392496192499944</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-10.157592188459843</v>
      </c>
      <c r="E59" s="11">
        <f>A59-'Mastercurve bestimmen'!$B$2</f>
        <v>-46</v>
      </c>
      <c r="F59" s="11">
        <f t="shared" si="4"/>
        <v>-10.157592188459843</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-9.9142312544130888</v>
      </c>
      <c r="E60" s="11">
        <f>A60-'Mastercurve bestimmen'!$B$2</f>
        <v>-45</v>
      </c>
      <c r="F60" s="11">
        <f t="shared" si="4"/>
        <v>-9.9142312544130888</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-9.6632016188468999</v>
      </c>
      <c r="E61" s="11">
        <f>A61-'Mastercurve bestimmen'!$B$2</f>
        <v>-44</v>
      </c>
      <c r="F61" s="11">
        <f t="shared" si="4"/>
        <v>-9.6632016188468999</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-9.4052915102484977</v>
      </c>
      <c r="E62" s="11">
        <f>A62-'Mastercurve bestimmen'!$B$2</f>
        <v>-43</v>
      </c>
      <c r="F62" s="11">
        <f t="shared" si="4"/>
        <v>-9.4052915102484977</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-9.1412891571051045</v>
      </c>
      <c r="E63" s="11">
        <f>A63-'Mastercurve bestimmen'!$B$2</f>
        <v>-42</v>
      </c>
      <c r="F63" s="11">
        <f t="shared" si="4"/>
        <v>-9.1412891571051045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-8.8719827879039386</v>
      </c>
      <c r="E64" s="11">
        <f>A64-'Mastercurve bestimmen'!$B$2</f>
        <v>-41</v>
      </c>
      <c r="F64" s="11">
        <f t="shared" si="4"/>
        <v>-8.8719827879039386</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-8.5981606311322203</v>
      </c>
      <c r="E65" s="11">
        <f>A65-'Mastercurve bestimmen'!$B$2</f>
        <v>-40</v>
      </c>
      <c r="F65" s="11">
        <f t="shared" si="4"/>
        <v>-8.5981606311322203</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-8.3206109152771717</v>
      </c>
      <c r="E66" s="11">
        <f>A66-'Mastercurve bestimmen'!$B$2</f>
        <v>-39</v>
      </c>
      <c r="F66" s="11">
        <f t="shared" si="4"/>
        <v>-8.3206109152771717</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-8.0401218688260148</v>
      </c>
      <c r="E67" s="11">
        <f>A67-'Mastercurve bestimmen'!$B$2</f>
        <v>-38</v>
      </c>
      <c r="F67" s="11">
        <f t="shared" si="4"/>
        <v>-8.0401218688260148</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-7.7574817202659645</v>
      </c>
      <c r="E68" s="11">
        <f>A68-'Mastercurve bestimmen'!$B$2</f>
        <v>-37</v>
      </c>
      <c r="F68" s="11">
        <f t="shared" si="4"/>
        <v>-7.7574817202659645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-7.4734786980842456</v>
      </c>
      <c r="E69" s="11">
        <f>A69-'Mastercurve bestimmen'!$B$2</f>
        <v>-36</v>
      </c>
      <c r="F69" s="11">
        <f t="shared" si="4"/>
        <v>-7.4734786980842456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-7.1889010307680774</v>
      </c>
      <c r="E70" s="11">
        <f>A70-'Mastercurve bestimmen'!$B$2</f>
        <v>-35</v>
      </c>
      <c r="F70" s="11">
        <f t="shared" si="4"/>
        <v>-7.1889010307680774</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-6.9045369468046793</v>
      </c>
      <c r="E71" s="11">
        <f>A71-'Mastercurve bestimmen'!$B$2</f>
        <v>-34</v>
      </c>
      <c r="F71" s="11">
        <f t="shared" si="4"/>
        <v>-6.9045369468046793</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-6.6211746746812734</v>
      </c>
      <c r="E72" s="11">
        <f>A72-'Mastercurve bestimmen'!$B$2</f>
        <v>-33</v>
      </c>
      <c r="F72" s="11">
        <f t="shared" si="4"/>
        <v>-6.6211746746812734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-6.3396024428850772</v>
      </c>
      <c r="E73" s="11">
        <f>A73-'Mastercurve bestimmen'!$B$2</f>
        <v>-32</v>
      </c>
      <c r="F73" s="11">
        <f t="shared" si="4"/>
        <v>-6.3396024428850772</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-6.0606084799033155</v>
      </c>
      <c r="E74" s="11">
        <f>A74-'Mastercurve bestimmen'!$B$2</f>
        <v>-31</v>
      </c>
      <c r="F74" s="11">
        <f t="shared" si="4"/>
        <v>-6.0606084799033155</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-5.7849810142232059</v>
      </c>
      <c r="E75" s="11">
        <f>A75-'Mastercurve bestimmen'!$B$2</f>
        <v>-30</v>
      </c>
      <c r="F75" s="11">
        <f t="shared" si="4"/>
        <v>-5.7849810142232059</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-5.5135082743319686</v>
      </c>
      <c r="E76" s="11">
        <f>A76-'Mastercurve bestimmen'!$B$2</f>
        <v>-29</v>
      </c>
      <c r="F76" s="11">
        <f t="shared" si="4"/>
        <v>-5.5135082743319686</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-5.2469784887168247</v>
      </c>
      <c r="E77" s="11">
        <f>A77-'Mastercurve bestimmen'!$B$2</f>
        <v>-28</v>
      </c>
      <c r="F77" s="11">
        <f t="shared" si="4"/>
        <v>-5.2469784887168247</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-4.9861798858649946</v>
      </c>
      <c r="E78" s="11">
        <f>A78-'Mastercurve bestimmen'!$B$2</f>
        <v>-27</v>
      </c>
      <c r="F78" s="11">
        <f t="shared" si="4"/>
        <v>-4.9861798858649946</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-4.7319006942636985</v>
      </c>
      <c r="E79" s="11">
        <f>A79-'Mastercurve bestimmen'!$B$2</f>
        <v>-26</v>
      </c>
      <c r="F79" s="11">
        <f t="shared" si="4"/>
        <v>-4.7319006942636985</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-4.4849291424001567</v>
      </c>
      <c r="E80" s="11">
        <f>A80-'Mastercurve bestimmen'!$B$2</f>
        <v>-25</v>
      </c>
      <c r="F80" s="11">
        <f t="shared" ref="F80:F143" si="10">B80</f>
        <v>-4.4849291424001567</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-4.2458620225001065</v>
      </c>
      <c r="E81" s="11">
        <f>A81-'Mastercurve bestimmen'!$B$2</f>
        <v>-24</v>
      </c>
      <c r="F81" s="11">
        <f t="shared" si="10"/>
        <v>-4.2458620225001065</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-4.0145303817433398</v>
      </c>
      <c r="E82" s="11">
        <f>A82-'Mastercurve bestimmen'!$B$2</f>
        <v>-23</v>
      </c>
      <c r="F82" s="11">
        <f t="shared" si="10"/>
        <v>-4.0145303817433398</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-3.7905738310481718</v>
      </c>
      <c r="E83" s="11">
        <f>A83-'Mastercurve bestimmen'!$B$2</f>
        <v>-22</v>
      </c>
      <c r="F83" s="11">
        <f t="shared" si="10"/>
        <v>-3.7905738310481718</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-3.5736319813329112</v>
      </c>
      <c r="E84" s="11">
        <f>A84-'Mastercurve bestimmen'!$B$2</f>
        <v>-21</v>
      </c>
      <c r="F84" s="11">
        <f t="shared" si="10"/>
        <v>-3.5736319813329112</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-3.3633444435158699</v>
      </c>
      <c r="E85" s="11">
        <f>A85-'Mastercurve bestimmen'!$B$2</f>
        <v>-20</v>
      </c>
      <c r="F85" s="11">
        <f t="shared" si="10"/>
        <v>-3.3633444435158699</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-3.1593508285153584</v>
      </c>
      <c r="E86" s="11">
        <f>A86-'Mastercurve bestimmen'!$B$2</f>
        <v>-19</v>
      </c>
      <c r="F86" s="11">
        <f t="shared" si="10"/>
        <v>-3.1593508285153584</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-2.9612907472496879</v>
      </c>
      <c r="E87" s="11">
        <f>A87-'Mastercurve bestimmen'!$B$2</f>
        <v>-18</v>
      </c>
      <c r="F87" s="11">
        <f t="shared" si="10"/>
        <v>-2.9612907472496879</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-2.7688038106371695</v>
      </c>
      <c r="E88" s="11">
        <f>A88-'Mastercurve bestimmen'!$B$2</f>
        <v>-17</v>
      </c>
      <c r="F88" s="11">
        <f t="shared" si="10"/>
        <v>-2.7688038106371695</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-2.5815296295961145</v>
      </c>
      <c r="E89" s="11">
        <f>A89-'Mastercurve bestimmen'!$B$2</f>
        <v>-16</v>
      </c>
      <c r="F89" s="11">
        <f t="shared" si="10"/>
        <v>-2.5815296295961145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-2.3991078150448328</v>
      </c>
      <c r="E90" s="11">
        <f>A90-'Mastercurve bestimmen'!$B$2</f>
        <v>-15</v>
      </c>
      <c r="F90" s="11">
        <f t="shared" si="10"/>
        <v>-2.3991078150448328</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-2.221177977901637</v>
      </c>
      <c r="E91" s="11">
        <f>A91-'Mastercurve bestimmen'!$B$2</f>
        <v>-14</v>
      </c>
      <c r="F91" s="11">
        <f t="shared" si="10"/>
        <v>-2.221177977901637</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-2.0473797290848372</v>
      </c>
      <c r="E92" s="11">
        <f>A92-'Mastercurve bestimmen'!$B$2</f>
        <v>-13</v>
      </c>
      <c r="F92" s="11">
        <f t="shared" si="10"/>
        <v>-2.0473797290848372</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-1.8773526795127444</v>
      </c>
      <c r="E93" s="11">
        <f>A93-'Mastercurve bestimmen'!$B$2</f>
        <v>-12</v>
      </c>
      <c r="F93" s="11">
        <f t="shared" si="10"/>
        <v>-1.8773526795127444</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-1.7107364401036695</v>
      </c>
      <c r="E94" s="11">
        <f>A94-'Mastercurve bestimmen'!$B$2</f>
        <v>-11</v>
      </c>
      <c r="F94" s="11">
        <f t="shared" si="10"/>
        <v>-1.7107364401036695</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-1.5471706217759242</v>
      </c>
      <c r="E95" s="11">
        <f>A95-'Mastercurve bestimmen'!$B$2</f>
        <v>-10</v>
      </c>
      <c r="F95" s="11">
        <f t="shared" si="10"/>
        <v>-1.5471706217759242</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-1.3862948354478191</v>
      </c>
      <c r="E96" s="11">
        <f>A96-'Mastercurve bestimmen'!$B$2</f>
        <v>-9</v>
      </c>
      <c r="F96" s="11">
        <f t="shared" si="10"/>
        <v>-1.3862948354478191</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-1.227748692037665</v>
      </c>
      <c r="E97" s="11">
        <f>A97-'Mastercurve bestimmen'!$B$2</f>
        <v>-8</v>
      </c>
      <c r="F97" s="11">
        <f t="shared" si="10"/>
        <v>-1.227748692037665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-1.0711718024637735</v>
      </c>
      <c r="E98" s="11">
        <f>A98-'Mastercurve bestimmen'!$B$2</f>
        <v>-7</v>
      </c>
      <c r="F98" s="11">
        <f t="shared" si="10"/>
        <v>-1.0711718024637735</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-0.91620377764445504</v>
      </c>
      <c r="E99" s="11">
        <f>A99-'Mastercurve bestimmen'!$B$2</f>
        <v>-6</v>
      </c>
      <c r="F99" s="11">
        <f t="shared" si="10"/>
        <v>-0.91620377764445504</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-0.76248422849802078</v>
      </c>
      <c r="E100" s="11">
        <f>A100-'Mastercurve bestimmen'!$B$2</f>
        <v>-5</v>
      </c>
      <c r="F100" s="11">
        <f t="shared" si="10"/>
        <v>-0.76248422849802078</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-0.60965276594278195</v>
      </c>
      <c r="E101" s="11">
        <f>A101-'Mastercurve bestimmen'!$B$2</f>
        <v>-4</v>
      </c>
      <c r="F101" s="11">
        <f t="shared" si="10"/>
        <v>-0.60965276594278195</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-0.4573490008970495</v>
      </c>
      <c r="E102" s="11">
        <f>A102-'Mastercurve bestimmen'!$B$2</f>
        <v>-3</v>
      </c>
      <c r="F102" s="11">
        <f t="shared" si="10"/>
        <v>-0.4573490008970495</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-0.30521254427913425</v>
      </c>
      <c r="E103" s="11">
        <f>A103-'Mastercurve bestimmen'!$B$2</f>
        <v>-2</v>
      </c>
      <c r="F103" s="11">
        <f t="shared" si="10"/>
        <v>-0.30521254427913425</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-0.15288300700734747</v>
      </c>
      <c r="E104" s="11">
        <f>A104-'Mastercurve bestimmen'!$B$2</f>
        <v>-1</v>
      </c>
      <c r="F104" s="11">
        <f t="shared" si="10"/>
        <v>-0.15288300700734747</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-1.3877787807814457E-17</v>
      </c>
      <c r="E105" s="11">
        <f>A105-'Mastercurve bestimmen'!$B$2</f>
        <v>0</v>
      </c>
      <c r="F105" s="11">
        <f t="shared" si="10"/>
        <v>-1.3877787807814457E-17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0.15376059513617704</v>
      </c>
      <c r="E106" s="11">
        <f>A106-'Mastercurve bestimmen'!$B$2</f>
        <v>1</v>
      </c>
      <c r="F106" s="11">
        <f t="shared" si="10"/>
        <v>0.15376059513617704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0.30857781404077272</v>
      </c>
      <c r="E107" s="11">
        <f>A107-'Mastercurve bestimmen'!$B$2</f>
        <v>2</v>
      </c>
      <c r="F107" s="11">
        <f t="shared" si="10"/>
        <v>0.30857781404077272</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0.46459442166495613</v>
      </c>
      <c r="E108" s="11">
        <f>A108-'Mastercurve bestimmen'!$B$2</f>
        <v>3</v>
      </c>
      <c r="F108" s="11">
        <f t="shared" si="10"/>
        <v>0.46459442166495613</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0.62195318295989621</v>
      </c>
      <c r="E109" s="11">
        <f>A109-'Mastercurve bestimmen'!$B$2</f>
        <v>4</v>
      </c>
      <c r="F109" s="11">
        <f t="shared" si="10"/>
        <v>0.62195318295989621</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0.78079686287676209</v>
      </c>
      <c r="E110" s="11">
        <f>A110-'Mastercurve bestimmen'!$B$2</f>
        <v>5</v>
      </c>
      <c r="F110" s="11">
        <f t="shared" si="10"/>
        <v>0.78079686287676209</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0.94126822636672258</v>
      </c>
      <c r="E111" s="11">
        <f>A111-'Mastercurve bestimmen'!$B$2</f>
        <v>6</v>
      </c>
      <c r="F111" s="11">
        <f t="shared" si="10"/>
        <v>0.94126822636672258</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1.1035100383809469</v>
      </c>
      <c r="E112" s="11">
        <f>A112-'Mastercurve bestimmen'!$B$2</f>
        <v>7</v>
      </c>
      <c r="F112" s="11">
        <f t="shared" si="10"/>
        <v>1.1035100383809469</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1.2676650638706044</v>
      </c>
      <c r="E113" s="11">
        <f>A113-'Mastercurve bestimmen'!$B$2</f>
        <v>8</v>
      </c>
      <c r="F113" s="11">
        <f t="shared" si="10"/>
        <v>1.2676650638706044</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1.4338760677868636</v>
      </c>
      <c r="E114" s="11">
        <f>A114-'Mastercurve bestimmen'!$B$2</f>
        <v>9</v>
      </c>
      <c r="F114" s="11">
        <f t="shared" si="10"/>
        <v>1.4338760677868636</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1.6022858150808936</v>
      </c>
      <c r="E115" s="11">
        <f>A115-'Mastercurve bestimmen'!$B$2</f>
        <v>10</v>
      </c>
      <c r="F115" s="11">
        <f t="shared" si="10"/>
        <v>1.6022858150808936</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1.7730370707038636</v>
      </c>
      <c r="E116" s="11">
        <f>A116-'Mastercurve bestimmen'!$B$2</f>
        <v>11</v>
      </c>
      <c r="F116" s="11">
        <f t="shared" si="10"/>
        <v>1.7730370707038636</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1.9462725996069428</v>
      </c>
      <c r="E117" s="11">
        <f>A117-'Mastercurve bestimmen'!$B$2</f>
        <v>12</v>
      </c>
      <c r="F117" s="11">
        <f t="shared" si="10"/>
        <v>1.9462725996069428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2.1221351667412995</v>
      </c>
      <c r="E118" s="11">
        <f>A118-'Mastercurve bestimmen'!$B$2</f>
        <v>13</v>
      </c>
      <c r="F118" s="11">
        <f t="shared" si="10"/>
        <v>2.1221351667412995</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2.3007675370581038</v>
      </c>
      <c r="E119" s="11">
        <f>A119-'Mastercurve bestimmen'!$B$2</f>
        <v>14</v>
      </c>
      <c r="F119" s="11">
        <f t="shared" si="10"/>
        <v>2.3007675370581038</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2.4823124755085244</v>
      </c>
      <c r="E120" s="11">
        <f>A120-'Mastercurve bestimmen'!$B$2</f>
        <v>15</v>
      </c>
      <c r="F120" s="11">
        <f t="shared" si="10"/>
        <v>2.4823124755085244</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2.6669127470437299</v>
      </c>
      <c r="E121" s="11">
        <f>A121-'Mastercurve bestimmen'!$B$2</f>
        <v>16</v>
      </c>
      <c r="F121" s="11">
        <f t="shared" si="10"/>
        <v>2.6669127470437299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2.8547111166148893</v>
      </c>
      <c r="E122" s="11">
        <f>A122-'Mastercurve bestimmen'!$B$2</f>
        <v>17</v>
      </c>
      <c r="F122" s="11">
        <f t="shared" si="10"/>
        <v>2.8547111166148893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3.0458503491731723</v>
      </c>
      <c r="E123" s="11">
        <f>A123-'Mastercurve bestimmen'!$B$2</f>
        <v>18</v>
      </c>
      <c r="F123" s="11">
        <f t="shared" si="10"/>
        <v>3.0458503491731723</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3.2404732096697475</v>
      </c>
      <c r="E124" s="11">
        <f>A124-'Mastercurve bestimmen'!$B$2</f>
        <v>19</v>
      </c>
      <c r="F124" s="11">
        <f t="shared" si="10"/>
        <v>3.2404732096697475</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3.4387224630557842</v>
      </c>
      <c r="E125" s="11">
        <f>A125-'Mastercurve bestimmen'!$B$2</f>
        <v>20</v>
      </c>
      <c r="F125" s="11">
        <f t="shared" si="10"/>
        <v>3.4387224630557842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3.6407408742824505</v>
      </c>
      <c r="E126" s="11">
        <f>A126-'Mastercurve bestimmen'!$B$2</f>
        <v>21</v>
      </c>
      <c r="F126" s="11">
        <f t="shared" si="10"/>
        <v>3.6407408742824505</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3.8466712083009167</v>
      </c>
      <c r="E127" s="11">
        <f>A127-'Mastercurve bestimmen'!$B$2</f>
        <v>22</v>
      </c>
      <c r="F127" s="11">
        <f t="shared" si="10"/>
        <v>3.8466712083009167</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4.0566562300623517</v>
      </c>
      <c r="E128" s="11">
        <f>A128-'Mastercurve bestimmen'!$B$2</f>
        <v>23</v>
      </c>
      <c r="F128" s="11">
        <f t="shared" si="10"/>
        <v>4.0566562300623517</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4.2708387045179235</v>
      </c>
      <c r="E129" s="11">
        <f>A129-'Mastercurve bestimmen'!$B$2</f>
        <v>24</v>
      </c>
      <c r="F129" s="11">
        <f t="shared" si="10"/>
        <v>4.2708387045179235</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4.4893613966188015</v>
      </c>
      <c r="E130" s="11">
        <f>A130-'Mastercurve bestimmen'!$B$2</f>
        <v>25</v>
      </c>
      <c r="F130" s="11">
        <f t="shared" si="10"/>
        <v>4.4893613966188015</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4.7123670713161552</v>
      </c>
      <c r="E131" s="11">
        <f>A131-'Mastercurve bestimmen'!$B$2</f>
        <v>26</v>
      </c>
      <c r="F131" s="11">
        <f t="shared" si="10"/>
        <v>4.7123670713161552</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4.9399984935611538</v>
      </c>
      <c r="E132" s="11">
        <f>A132-'Mastercurve bestimmen'!$B$2</f>
        <v>27</v>
      </c>
      <c r="F132" s="11">
        <f t="shared" si="10"/>
        <v>4.9399984935611538</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5.172398428304966</v>
      </c>
      <c r="E133" s="11">
        <f>A133-'Mastercurve bestimmen'!$B$2</f>
        <v>28</v>
      </c>
      <c r="F133" s="11">
        <f t="shared" si="10"/>
        <v>5.172398428304966</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5.409709640498761</v>
      </c>
      <c r="E134" s="11">
        <f>A134-'Mastercurve bestimmen'!$B$2</f>
        <v>29</v>
      </c>
      <c r="F134" s="11">
        <f t="shared" si="10"/>
        <v>5.409709640498761</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5.6520748950937074</v>
      </c>
      <c r="E135" s="11">
        <f>A135-'Mastercurve bestimmen'!$B$2</f>
        <v>30</v>
      </c>
      <c r="F135" s="11">
        <f t="shared" si="10"/>
        <v>5.6520748950937074</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5.899602357575187</v>
      </c>
      <c r="E136" s="11">
        <f>A136-'Mastercurve bestimmen'!$B$2</f>
        <v>31</v>
      </c>
      <c r="F136" s="11">
        <f t="shared" si="10"/>
        <v>5.899602357575187</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6.1522617955654244</v>
      </c>
      <c r="E137" s="11">
        <f>A137-'Mastercurve bestimmen'!$B$2</f>
        <v>32</v>
      </c>
      <c r="F137" s="11">
        <f t="shared" si="10"/>
        <v>6.1522617955654244</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6.4099883772208592</v>
      </c>
      <c r="E138" s="11">
        <f>A138-'Mastercurve bestimmen'!$B$2</f>
        <v>33</v>
      </c>
      <c r="F138" s="11">
        <f t="shared" si="10"/>
        <v>6.4099883772208592</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6.6727172706979303</v>
      </c>
      <c r="E139" s="11">
        <f>A139-'Mastercurve bestimmen'!$B$2</f>
        <v>34</v>
      </c>
      <c r="F139" s="11">
        <f t="shared" si="10"/>
        <v>6.6727172706979303</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6.9403836441530746</v>
      </c>
      <c r="E140" s="11">
        <f>A140-'Mastercurve bestimmen'!$B$2</f>
        <v>35</v>
      </c>
      <c r="F140" s="11">
        <f t="shared" si="10"/>
        <v>6.9403836441530746</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7.2129226657427319</v>
      </c>
      <c r="E141" s="11">
        <f>A141-'Mastercurve bestimmen'!$B$2</f>
        <v>36</v>
      </c>
      <c r="F141" s="11">
        <f t="shared" si="10"/>
        <v>7.2129226657427319</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7.49026950362334</v>
      </c>
      <c r="E142" s="11">
        <f>A142-'Mastercurve bestimmen'!$B$2</f>
        <v>37</v>
      </c>
      <c r="F142" s="11">
        <f t="shared" si="10"/>
        <v>7.49026950362334</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7.7723593259513368</v>
      </c>
      <c r="E143" s="11">
        <f>A143-'Mastercurve bestimmen'!$B$2</f>
        <v>38</v>
      </c>
      <c r="F143" s="11">
        <f t="shared" si="10"/>
        <v>7.7723593259513368</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8.0591273008831621</v>
      </c>
      <c r="E144" s="11">
        <f>A144-'Mastercurve bestimmen'!$B$2</f>
        <v>39</v>
      </c>
      <c r="F144" s="11">
        <f t="shared" ref="F144:F207" si="15">B144</f>
        <v>8.0591273008831621</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8.350508596575251</v>
      </c>
      <c r="E145" s="11">
        <f>A145-'Mastercurve bestimmen'!$B$2</f>
        <v>40</v>
      </c>
      <c r="F145" s="11">
        <f t="shared" si="15"/>
        <v>8.350508596575251</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8.646438381184046</v>
      </c>
      <c r="E146" s="11">
        <f>A146-'Mastercurve bestimmen'!$B$2</f>
        <v>41</v>
      </c>
      <c r="F146" s="11">
        <f t="shared" si="15"/>
        <v>8.646438381184046</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8.9468518228659821</v>
      </c>
      <c r="E147" s="11">
        <f>A147-'Mastercurve bestimmen'!$B$2</f>
        <v>42</v>
      </c>
      <c r="F147" s="11">
        <f t="shared" si="15"/>
        <v>8.9468518228659821</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9.2516840897775001</v>
      </c>
      <c r="E148" s="11">
        <f>A148-'Mastercurve bestimmen'!$B$2</f>
        <v>43</v>
      </c>
      <c r="F148" s="11">
        <f t="shared" si="15"/>
        <v>9.2516840897775001</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9.5608703500750352</v>
      </c>
      <c r="E149" s="11">
        <f>A149-'Mastercurve bestimmen'!$B$2</f>
        <v>44</v>
      </c>
      <c r="F149" s="11">
        <f t="shared" si="15"/>
        <v>9.5608703500750352</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9.8743457719150314</v>
      </c>
      <c r="E150" s="11">
        <f>A150-'Mastercurve bestimmen'!$B$2</f>
        <v>45</v>
      </c>
      <c r="F150" s="11">
        <f t="shared" si="15"/>
        <v>9.8743457719150314</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10.19204552345392</v>
      </c>
      <c r="E151" s="11">
        <f>A151-'Mastercurve bestimmen'!$B$2</f>
        <v>46</v>
      </c>
      <c r="F151" s="11">
        <f t="shared" si="15"/>
        <v>10.19204552345392</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10.513904772848143</v>
      </c>
      <c r="E152" s="11">
        <f>A152-'Mastercurve bestimmen'!$B$2</f>
        <v>47</v>
      </c>
      <c r="F152" s="11">
        <f t="shared" si="15"/>
        <v>10.513904772848143</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10.839858688254139</v>
      </c>
      <c r="E153" s="11">
        <f>A153-'Mastercurve bestimmen'!$B$2</f>
        <v>48</v>
      </c>
      <c r="F153" s="11">
        <f t="shared" si="15"/>
        <v>10.839858688254139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11.169842437828347</v>
      </c>
      <c r="E154" s="11">
        <f>A154-'Mastercurve bestimmen'!$B$2</f>
        <v>49</v>
      </c>
      <c r="F154" s="11">
        <f t="shared" si="15"/>
        <v>11.169842437828347</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11.503791189727202</v>
      </c>
      <c r="E155" s="11">
        <f>A155-'Mastercurve bestimmen'!$B$2</f>
        <v>50</v>
      </c>
      <c r="F155" s="11">
        <f t="shared" si="15"/>
        <v>11.503791189727202</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11.841640112107147</v>
      </c>
      <c r="E156" s="11">
        <f>A156-'Mastercurve bestimmen'!$B$2</f>
        <v>51</v>
      </c>
      <c r="F156" s="11">
        <f t="shared" si="15"/>
        <v>11.841640112107147</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12.183324373124615</v>
      </c>
      <c r="E157" s="11">
        <f>A157-'Mastercurve bestimmen'!$B$2</f>
        <v>52</v>
      </c>
      <c r="F157" s="11">
        <f t="shared" si="15"/>
        <v>12.183324373124615</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12.528779140936049</v>
      </c>
      <c r="E158" s="11">
        <f>A158-'Mastercurve bestimmen'!$B$2</f>
        <v>53</v>
      </c>
      <c r="F158" s="11">
        <f t="shared" si="15"/>
        <v>12.528779140936049</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12.877939583697882</v>
      </c>
      <c r="E159" s="11">
        <f>A159-'Mastercurve bestimmen'!$B$2</f>
        <v>54</v>
      </c>
      <c r="F159" s="11">
        <f t="shared" si="15"/>
        <v>12.877939583697882</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13.23074086956656</v>
      </c>
      <c r="E160" s="11">
        <f>A160-'Mastercurve bestimmen'!$B$2</f>
        <v>55</v>
      </c>
      <c r="F160" s="11">
        <f t="shared" si="15"/>
        <v>13.23074086956656</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13.587118166698517</v>
      </c>
      <c r="E161" s="11">
        <f>A161-'Mastercurve bestimmen'!$B$2</f>
        <v>56</v>
      </c>
      <c r="F161" s="11">
        <f t="shared" si="15"/>
        <v>13.587118166698517</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13.947006643250189</v>
      </c>
      <c r="E162" s="11">
        <f>A162-'Mastercurve bestimmen'!$B$2</f>
        <v>57</v>
      </c>
      <c r="F162" s="11">
        <f t="shared" si="15"/>
        <v>13.947006643250189</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14.310341467378018</v>
      </c>
      <c r="E163" s="11">
        <f>A163-'Mastercurve bestimmen'!$B$2</f>
        <v>58</v>
      </c>
      <c r="F163" s="11">
        <f t="shared" si="15"/>
        <v>14.310341467378018</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14.677057807238441</v>
      </c>
      <c r="E164" s="11">
        <f>A164-'Mastercurve bestimmen'!$B$2</f>
        <v>59</v>
      </c>
      <c r="F164" s="11">
        <f t="shared" si="15"/>
        <v>14.677057807238441</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15.047090830987898</v>
      </c>
      <c r="E165" s="11">
        <f>A165-'Mastercurve bestimmen'!$B$2</f>
        <v>60</v>
      </c>
      <c r="F165" s="11">
        <f t="shared" si="15"/>
        <v>15.047090830987898</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15.420375706782824</v>
      </c>
      <c r="E166" s="11">
        <f>A166-'Mastercurve bestimmen'!$B$2</f>
        <v>61</v>
      </c>
      <c r="F166" s="11">
        <f t="shared" si="15"/>
        <v>15.420375706782824</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15.796847602779659</v>
      </c>
      <c r="E167" s="11">
        <f>A167-'Mastercurve bestimmen'!$B$2</f>
        <v>62</v>
      </c>
      <c r="F167" s="11">
        <f t="shared" si="15"/>
        <v>15.796847602779659</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16.17644168713484</v>
      </c>
      <c r="E168" s="11">
        <f>A168-'Mastercurve bestimmen'!$B$2</f>
        <v>63</v>
      </c>
      <c r="F168" s="11">
        <f t="shared" si="15"/>
        <v>16.17644168713484</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16.559093128004811</v>
      </c>
      <c r="E169" s="11">
        <f>A169-'Mastercurve bestimmen'!$B$2</f>
        <v>64</v>
      </c>
      <c r="F169" s="11">
        <f t="shared" si="15"/>
        <v>16.559093128004811</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16.944737093546003</v>
      </c>
      <c r="E170" s="11">
        <f>A170-'Mastercurve bestimmen'!$B$2</f>
        <v>65</v>
      </c>
      <c r="F170" s="11">
        <f t="shared" si="15"/>
        <v>16.944737093546003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17.333308751914856</v>
      </c>
      <c r="E171" s="11">
        <f>A171-'Mastercurve bestimmen'!$B$2</f>
        <v>66</v>
      </c>
      <c r="F171" s="11">
        <f t="shared" si="15"/>
        <v>17.333308751914856</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17.724743271267815</v>
      </c>
      <c r="E172" s="11">
        <f>A172-'Mastercurve bestimmen'!$B$2</f>
        <v>67</v>
      </c>
      <c r="F172" s="11">
        <f t="shared" si="15"/>
        <v>17.724743271267815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18.118975819761314</v>
      </c>
      <c r="E173" s="11">
        <f>A173-'Mastercurve bestimmen'!$B$2</f>
        <v>68</v>
      </c>
      <c r="F173" s="11">
        <f t="shared" si="15"/>
        <v>18.118975819761314</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18.515941565551785</v>
      </c>
      <c r="E174" s="11">
        <f>A174-'Mastercurve bestimmen'!$B$2</f>
        <v>69</v>
      </c>
      <c r="F174" s="11">
        <f t="shared" si="15"/>
        <v>18.515941565551785</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18.915575676795676</v>
      </c>
      <c r="E175" s="11">
        <f>A175-'Mastercurve bestimmen'!$B$2</f>
        <v>70</v>
      </c>
      <c r="F175" s="11">
        <f t="shared" si="15"/>
        <v>18.915575676795676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19.317813321649414</v>
      </c>
      <c r="E176" s="11">
        <f>A176-'Mastercurve bestimmen'!$B$2</f>
        <v>71</v>
      </c>
      <c r="F176" s="11">
        <f t="shared" si="15"/>
        <v>19.317813321649414</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19.722589668269453</v>
      </c>
      <c r="E177" s="11">
        <f>A177-'Mastercurve bestimmen'!$B$2</f>
        <v>72</v>
      </c>
      <c r="F177" s="11">
        <f t="shared" si="15"/>
        <v>19.722589668269453</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20.12983988481222</v>
      </c>
      <c r="E178" s="11">
        <f>A178-'Mastercurve bestimmen'!$B$2</f>
        <v>73</v>
      </c>
      <c r="F178" s="11">
        <f t="shared" si="15"/>
        <v>20.12983988481222</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20.539499139434152</v>
      </c>
      <c r="E179" s="11">
        <f>A179-'Mastercurve bestimmen'!$B$2</f>
        <v>74</v>
      </c>
      <c r="F179" s="11">
        <f t="shared" si="15"/>
        <v>20.539499139434152</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20.951502600291697</v>
      </c>
      <c r="E180" s="11">
        <f>A180-'Mastercurve bestimmen'!$B$2</f>
        <v>75</v>
      </c>
      <c r="F180" s="11">
        <f t="shared" si="15"/>
        <v>20.951502600291697</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21.365785386684774</v>
      </c>
      <c r="E181" s="11">
        <f>A181-'Mastercurve bestimmen'!$B$2</f>
        <v>76</v>
      </c>
      <c r="F181" s="11">
        <f t="shared" si="15"/>
        <v>21.365785386684774</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21.78228242248727</v>
      </c>
      <c r="E182" s="11">
        <f>A182-'Mastercurve bestimmen'!$B$2</f>
        <v>77</v>
      </c>
      <c r="F182" s="11">
        <f t="shared" si="15"/>
        <v>21.78228242248727</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22.20092858271655</v>
      </c>
      <c r="E183" s="11">
        <f>A183-'Mastercurve bestimmen'!$B$2</f>
        <v>78</v>
      </c>
      <c r="F183" s="11">
        <f t="shared" si="15"/>
        <v>22.20092858271655</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22.621658742389986</v>
      </c>
      <c r="E184" s="11">
        <f>A184-'Mastercurve bestimmen'!$B$2</f>
        <v>79</v>
      </c>
      <c r="F184" s="11">
        <f t="shared" si="15"/>
        <v>22.621658742389986</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23.044407776524949</v>
      </c>
      <c r="E185" s="11">
        <f>A185-'Mastercurve bestimmen'!$B$2</f>
        <v>80</v>
      </c>
      <c r="F185" s="11">
        <f t="shared" si="15"/>
        <v>23.044407776524949</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23.469110560138809</v>
      </c>
      <c r="E186" s="11">
        <f>A186-'Mastercurve bestimmen'!$B$2</f>
        <v>81</v>
      </c>
      <c r="F186" s="11">
        <f t="shared" si="15"/>
        <v>23.469110560138809</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23.895701968248936</v>
      </c>
      <c r="E187" s="11">
        <f>A187-'Mastercurve bestimmen'!$B$2</f>
        <v>82</v>
      </c>
      <c r="F187" s="11">
        <f t="shared" si="15"/>
        <v>23.895701968248936</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24.324116875872694</v>
      </c>
      <c r="E188" s="11">
        <f>A188-'Mastercurve bestimmen'!$B$2</f>
        <v>83</v>
      </c>
      <c r="F188" s="11">
        <f t="shared" si="15"/>
        <v>24.324116875872694</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24.754290158027462</v>
      </c>
      <c r="E189" s="11">
        <f>A189-'Mastercurve bestimmen'!$B$2</f>
        <v>84</v>
      </c>
      <c r="F189" s="11">
        <f t="shared" si="15"/>
        <v>24.754290158027462</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25.186156689730609</v>
      </c>
      <c r="E190" s="11">
        <f>A190-'Mastercurve bestimmen'!$B$2</f>
        <v>85</v>
      </c>
      <c r="F190" s="11">
        <f t="shared" si="15"/>
        <v>25.186156689730609</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25.6196513459995</v>
      </c>
      <c r="E191" s="11">
        <f>A191-'Mastercurve bestimmen'!$B$2</f>
        <v>86</v>
      </c>
      <c r="F191" s="11">
        <f t="shared" si="15"/>
        <v>25.6196513459995</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26.054709001851514</v>
      </c>
      <c r="E192" s="11">
        <f>A192-'Mastercurve bestimmen'!$B$2</f>
        <v>87</v>
      </c>
      <c r="F192" s="11">
        <f t="shared" si="15"/>
        <v>26.054709001851514</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26.491264532304008</v>
      </c>
      <c r="E193" s="11">
        <f>A193-'Mastercurve bestimmen'!$B$2</f>
        <v>88</v>
      </c>
      <c r="F193" s="11">
        <f t="shared" si="15"/>
        <v>26.491264532304008</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26.929252812374365</v>
      </c>
      <c r="E194" s="11">
        <f>A194-'Mastercurve bestimmen'!$B$2</f>
        <v>89</v>
      </c>
      <c r="F194" s="11">
        <f t="shared" si="15"/>
        <v>26.929252812374365</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27.368608717079947</v>
      </c>
      <c r="E195" s="11">
        <f>A195-'Mastercurve bestimmen'!$B$2</f>
        <v>90</v>
      </c>
      <c r="F195" s="11">
        <f t="shared" si="15"/>
        <v>27.368608717079947</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27.809267121438126</v>
      </c>
      <c r="E196" s="11">
        <f>A196-'Mastercurve bestimmen'!$B$2</f>
        <v>91</v>
      </c>
      <c r="F196" s="11">
        <f t="shared" si="15"/>
        <v>27.809267121438126</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28.251162900466269</v>
      </c>
      <c r="E197" s="11">
        <f>A197-'Mastercurve bestimmen'!$B$2</f>
        <v>92</v>
      </c>
      <c r="F197" s="11">
        <f t="shared" si="15"/>
        <v>28.251162900466269</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28.694230929181757</v>
      </c>
      <c r="E198" s="11">
        <f>A198-'Mastercurve bestimmen'!$B$2</f>
        <v>93</v>
      </c>
      <c r="F198" s="11">
        <f t="shared" si="15"/>
        <v>28.694230929181757</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29.138406082601954</v>
      </c>
      <c r="E199" s="11">
        <f>A199-'Mastercurve bestimmen'!$B$2</f>
        <v>94</v>
      </c>
      <c r="F199" s="11">
        <f t="shared" si="15"/>
        <v>29.138406082601954</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29.583623235744223</v>
      </c>
      <c r="E200" s="11">
        <f>A200-'Mastercurve bestimmen'!$B$2</f>
        <v>95</v>
      </c>
      <c r="F200" s="11">
        <f t="shared" si="15"/>
        <v>29.583623235744223</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30.029817263625944</v>
      </c>
      <c r="E201" s="11">
        <f>A201-'Mastercurve bestimmen'!$B$2</f>
        <v>96</v>
      </c>
      <c r="F201" s="11">
        <f t="shared" si="15"/>
        <v>30.029817263625944</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30.476923041264484</v>
      </c>
      <c r="E202" s="11">
        <f>A202-'Mastercurve bestimmen'!$B$2</f>
        <v>97</v>
      </c>
      <c r="F202" s="11">
        <f t="shared" si="15"/>
        <v>30.476923041264484</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30.924875443677209</v>
      </c>
      <c r="E203" s="11">
        <f>A203-'Mastercurve bestimmen'!$B$2</f>
        <v>98</v>
      </c>
      <c r="F203" s="11">
        <f t="shared" si="15"/>
        <v>30.924875443677209</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31.373609345881494</v>
      </c>
      <c r="E204" s="11">
        <f>A204-'Mastercurve bestimmen'!$B$2</f>
        <v>99</v>
      </c>
      <c r="F204" s="11">
        <f t="shared" si="15"/>
        <v>31.373609345881494</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31.823059622894707</v>
      </c>
      <c r="E205" s="11">
        <f>A205-'Mastercurve bestimmen'!$B$2</f>
        <v>100</v>
      </c>
      <c r="F205" s="11">
        <f t="shared" si="15"/>
        <v>31.823059622894707</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32.273161149734221</v>
      </c>
      <c r="E206" s="11">
        <f>A206-'Mastercurve bestimmen'!$B$2</f>
        <v>101</v>
      </c>
      <c r="F206" s="11">
        <f t="shared" si="15"/>
        <v>32.273161149734221</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32.723848801417404</v>
      </c>
      <c r="E207" s="11">
        <f>A207-'Mastercurve bestimmen'!$B$2</f>
        <v>102</v>
      </c>
      <c r="F207" s="11">
        <f t="shared" si="15"/>
        <v>32.723848801417404</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33.175057452961624</v>
      </c>
      <c r="E208" s="11">
        <f>A208-'Mastercurve bestimmen'!$B$2</f>
        <v>103</v>
      </c>
      <c r="F208" s="11">
        <f t="shared" ref="F208:F215" si="21">B208</f>
        <v>33.175057452961624</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33.62672197938425</v>
      </c>
      <c r="E209" s="11">
        <f>A209-'Mastercurve bestimmen'!$B$2</f>
        <v>104</v>
      </c>
      <c r="F209" s="11">
        <f t="shared" si="21"/>
        <v>33.62672197938425</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34.078777255702661</v>
      </c>
      <c r="E210" s="11">
        <f>A210-'Mastercurve bestimmen'!$B$2</f>
        <v>105</v>
      </c>
      <c r="F210" s="11">
        <f t="shared" si="21"/>
        <v>34.078777255702661</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34.531158156934218</v>
      </c>
      <c r="E211" s="11">
        <f>A211-'Mastercurve bestimmen'!$B$2</f>
        <v>106</v>
      </c>
      <c r="F211" s="11">
        <f t="shared" si="21"/>
        <v>34.531158156934218</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34.983799558096301</v>
      </c>
      <c r="E212" s="11">
        <f>A212-'Mastercurve bestimmen'!$B$2</f>
        <v>107</v>
      </c>
      <c r="F212" s="11">
        <f t="shared" si="21"/>
        <v>34.983799558096301</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35.43663633420627</v>
      </c>
      <c r="E213" s="11">
        <f>A213-'Mastercurve bestimmen'!$B$2</f>
        <v>108</v>
      </c>
      <c r="F213" s="11">
        <f t="shared" si="21"/>
        <v>35.43663633420627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35.889603360281491</v>
      </c>
      <c r="E214" s="11">
        <f>A214-'Mastercurve bestimmen'!$B$2</f>
        <v>109</v>
      </c>
      <c r="F214" s="11">
        <f t="shared" si="21"/>
        <v>35.889603360281491</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36.342635511339353</v>
      </c>
      <c r="E215" s="11">
        <f>A215-'Mastercurve bestimmen'!$B$2</f>
        <v>110</v>
      </c>
      <c r="F215" s="11">
        <f t="shared" si="21"/>
        <v>36.342635511339353</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0.15727701227011634</v>
      </c>
      <c r="J217" s="98">
        <v>-3.6584654868011476E-5</v>
      </c>
      <c r="K217" s="98">
        <v>4.0540713927056695E-5</v>
      </c>
      <c r="L217" s="98">
        <v>-2.4825726736624792E-8</v>
      </c>
      <c r="M217" s="98">
        <v>-5.3593845279586902E-9</v>
      </c>
      <c r="N217" s="98">
        <v>2.2238401006752308E-11</v>
      </c>
      <c r="O217" s="98">
        <v>2.5024151170430427E-13</v>
      </c>
      <c r="P217" s="98">
        <v>-1.5259343267637137E-15</v>
      </c>
    </row>
    <row r="218" spans="1:16" x14ac:dyDescent="0.25">
      <c r="G218" s="11"/>
      <c r="H218" s="11">
        <v>0</v>
      </c>
      <c r="I218" s="11">
        <v>6.2888207014109659E-4</v>
      </c>
      <c r="J218" s="11">
        <v>1.4124744268097226E-5</v>
      </c>
      <c r="K218" s="3">
        <v>5.2822687965156153E-7</v>
      </c>
      <c r="L218" s="3">
        <v>7.9301198870929672E-9</v>
      </c>
      <c r="M218" s="3">
        <v>1.289715323434237E-10</v>
      </c>
      <c r="N218" s="3">
        <v>1.4911215682705245E-12</v>
      </c>
      <c r="O218" s="11">
        <v>9.3398904346064905E-15</v>
      </c>
      <c r="P218" s="11">
        <v>9.4274276762323455E-17</v>
      </c>
    </row>
    <row r="219" spans="1:16" x14ac:dyDescent="0.25">
      <c r="G219" s="11"/>
      <c r="H219" s="11">
        <v>0.99998151893694087</v>
      </c>
      <c r="I219" s="11">
        <v>7.047865740446066E-2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-20.70685627698321</v>
      </c>
      <c r="G222">
        <f>F15</f>
        <v>-20.678712849703782</v>
      </c>
    </row>
    <row r="223" spans="1:16" x14ac:dyDescent="0.25">
      <c r="E223" s="11">
        <f t="shared" ref="E223:E286" si="25">E16</f>
        <v>-89</v>
      </c>
      <c r="F223" s="11">
        <f t="shared" ref="F223:F286" si="26">$H$217*0+E223*$I$217+E223^2*$J$217+E223^3*$K$217+E223^4*$L$217+E223^5*$M$217+E223^6*$N$217+E223^7*$O$217+E223^8*$P$217</f>
        <v>-20.521310472117367</v>
      </c>
      <c r="G223" s="11">
        <f t="shared" ref="G223:G286" si="27">F16</f>
        <v>-20.515060222307646</v>
      </c>
    </row>
    <row r="224" spans="1:16" x14ac:dyDescent="0.25">
      <c r="E224" s="11">
        <f t="shared" si="25"/>
        <v>-88</v>
      </c>
      <c r="F224" s="11">
        <f t="shared" si="26"/>
        <v>-20.34359692059709</v>
      </c>
      <c r="G224" s="11">
        <f t="shared" si="27"/>
        <v>-20.351117348812615</v>
      </c>
    </row>
    <row r="225" spans="5:7" x14ac:dyDescent="0.25">
      <c r="E225" s="11">
        <f t="shared" si="25"/>
        <v>-87</v>
      </c>
      <c r="F225" s="11">
        <f t="shared" si="26"/>
        <v>-20.171779538842507</v>
      </c>
      <c r="G225" s="11">
        <f t="shared" si="27"/>
        <v>-20.186593983119813</v>
      </c>
    </row>
    <row r="226" spans="5:7" x14ac:dyDescent="0.25">
      <c r="E226" s="11">
        <f t="shared" si="25"/>
        <v>-86</v>
      </c>
      <c r="F226" s="11">
        <f t="shared" si="26"/>
        <v>-20.004101285874924</v>
      </c>
      <c r="G226" s="11">
        <f t="shared" si="27"/>
        <v>-20.021199879130343</v>
      </c>
    </row>
    <row r="227" spans="5:7" x14ac:dyDescent="0.25">
      <c r="E227" s="11">
        <f t="shared" si="25"/>
        <v>-85</v>
      </c>
      <c r="F227" s="11">
        <f t="shared" si="26"/>
        <v>-19.838974508415241</v>
      </c>
      <c r="G227" s="11">
        <f t="shared" si="27"/>
        <v>-19.854644790745322</v>
      </c>
    </row>
    <row r="228" spans="5:7" x14ac:dyDescent="0.25">
      <c r="E228" s="11">
        <f t="shared" si="25"/>
        <v>-84</v>
      </c>
      <c r="F228" s="11">
        <f t="shared" si="26"/>
        <v>-19.674971612555684</v>
      </c>
      <c r="G228" s="11">
        <f t="shared" si="27"/>
        <v>-19.686638471865855</v>
      </c>
    </row>
    <row r="229" spans="5:7" x14ac:dyDescent="0.25">
      <c r="E229" s="11">
        <f t="shared" si="25"/>
        <v>-83</v>
      </c>
      <c r="F229" s="11">
        <f t="shared" si="26"/>
        <v>-19.510816055422154</v>
      </c>
      <c r="G229" s="11">
        <f t="shared" si="27"/>
        <v>-19.516890676393064</v>
      </c>
    </row>
    <row r="230" spans="5:7" x14ac:dyDescent="0.25">
      <c r="E230" s="11">
        <f t="shared" si="25"/>
        <v>-82</v>
      </c>
      <c r="F230" s="11">
        <f t="shared" si="26"/>
        <v>-19.345373650305014</v>
      </c>
      <c r="G230" s="11">
        <f t="shared" si="27"/>
        <v>-19.34511115822805</v>
      </c>
    </row>
    <row r="231" spans="5:7" x14ac:dyDescent="0.25">
      <c r="E231" s="11">
        <f t="shared" si="25"/>
        <v>-81</v>
      </c>
      <c r="F231" s="11">
        <f t="shared" si="26"/>
        <v>-19.177644178798612</v>
      </c>
      <c r="G231" s="11">
        <f t="shared" si="27"/>
        <v>-19.171009671271928</v>
      </c>
    </row>
    <row r="232" spans="5:7" x14ac:dyDescent="0.25">
      <c r="E232" s="11">
        <f t="shared" si="25"/>
        <v>-80</v>
      </c>
      <c r="F232" s="11">
        <f t="shared" si="26"/>
        <v>-19.006753303550635</v>
      </c>
      <c r="G232" s="11">
        <f t="shared" si="27"/>
        <v>-18.994295969425814</v>
      </c>
    </row>
    <row r="233" spans="5:7" x14ac:dyDescent="0.25">
      <c r="E233" s="11">
        <f t="shared" si="25"/>
        <v>-79</v>
      </c>
      <c r="F233" s="11">
        <f t="shared" si="26"/>
        <v>-18.831944775284381</v>
      </c>
      <c r="G233" s="11">
        <f t="shared" si="27"/>
        <v>-18.814679806590814</v>
      </c>
    </row>
    <row r="234" spans="5:7" x14ac:dyDescent="0.25">
      <c r="E234" s="11">
        <f t="shared" si="25"/>
        <v>-78</v>
      </c>
      <c r="F234" s="11">
        <f t="shared" si="26"/>
        <v>-18.652572927818248</v>
      </c>
      <c r="G234" s="11">
        <f t="shared" si="27"/>
        <v>-18.631870936668044</v>
      </c>
    </row>
    <row r="235" spans="5:7" x14ac:dyDescent="0.25">
      <c r="E235" s="11">
        <f t="shared" si="25"/>
        <v>-77</v>
      </c>
      <c r="F235" s="11">
        <f t="shared" si="26"/>
        <v>-18.4680954548686</v>
      </c>
      <c r="G235" s="11">
        <f t="shared" si="27"/>
        <v>-18.445579113558608</v>
      </c>
    </row>
    <row r="236" spans="5:7" x14ac:dyDescent="0.25">
      <c r="E236" s="11">
        <f t="shared" si="25"/>
        <v>-76</v>
      </c>
      <c r="F236" s="11">
        <f t="shared" si="26"/>
        <v>-18.278066462483242</v>
      </c>
      <c r="G236" s="11">
        <f t="shared" si="27"/>
        <v>-18.255514091163629</v>
      </c>
    </row>
    <row r="237" spans="5:7" x14ac:dyDescent="0.25">
      <c r="E237" s="11">
        <f t="shared" si="25"/>
        <v>-75</v>
      </c>
      <c r="F237" s="11">
        <f t="shared" si="26"/>
        <v>-18.082129791014811</v>
      </c>
      <c r="G237" s="11">
        <f t="shared" si="27"/>
        <v>-18.061385623384211</v>
      </c>
    </row>
    <row r="238" spans="5:7" x14ac:dyDescent="0.25">
      <c r="E238" s="11">
        <f t="shared" si="25"/>
        <v>-74</v>
      </c>
      <c r="F238" s="11">
        <f t="shared" si="26"/>
        <v>-17.880012600604363</v>
      </c>
      <c r="G238" s="11">
        <f t="shared" si="27"/>
        <v>-17.862903464121466</v>
      </c>
    </row>
    <row r="239" spans="5:7" x14ac:dyDescent="0.25">
      <c r="E239" s="11">
        <f t="shared" si="25"/>
        <v>-73</v>
      </c>
      <c r="F239" s="11">
        <f t="shared" si="26"/>
        <v>-17.671519214207422</v>
      </c>
      <c r="G239" s="11">
        <f t="shared" si="27"/>
        <v>-17.659777367276508</v>
      </c>
    </row>
    <row r="240" spans="5:7" x14ac:dyDescent="0.25">
      <c r="E240" s="11">
        <f t="shared" si="25"/>
        <v>-72</v>
      </c>
      <c r="F240" s="11">
        <f t="shared" si="26"/>
        <v>-17.456525212255951</v>
      </c>
      <c r="G240" s="11">
        <f t="shared" si="27"/>
        <v>-17.451717086750449</v>
      </c>
    </row>
    <row r="241" spans="5:7" x14ac:dyDescent="0.25">
      <c r="E241" s="11">
        <f t="shared" si="25"/>
        <v>-71</v>
      </c>
      <c r="F241" s="11">
        <f t="shared" si="26"/>
        <v>-17.234971773111447</v>
      </c>
      <c r="G241" s="11">
        <f t="shared" si="27"/>
        <v>-17.238432376444397</v>
      </c>
    </row>
    <row r="242" spans="5:7" x14ac:dyDescent="0.25">
      <c r="E242" s="11">
        <f t="shared" si="25"/>
        <v>-70</v>
      </c>
      <c r="F242" s="11">
        <f t="shared" si="26"/>
        <v>-17.006860253525794</v>
      </c>
      <c r="G242" s="11">
        <f t="shared" si="27"/>
        <v>-17.019632990259467</v>
      </c>
    </row>
    <row r="243" spans="5:7" x14ac:dyDescent="0.25">
      <c r="E243" s="11">
        <f t="shared" si="25"/>
        <v>-69</v>
      </c>
      <c r="F243" s="11">
        <f t="shared" si="26"/>
        <v>-16.772247003387974</v>
      </c>
      <c r="G243" s="11">
        <f t="shared" si="27"/>
        <v>-16.795028682096767</v>
      </c>
    </row>
    <row r="244" spans="5:7" x14ac:dyDescent="0.25">
      <c r="E244" s="11">
        <f t="shared" si="25"/>
        <v>-68</v>
      </c>
      <c r="F244" s="11">
        <f t="shared" si="26"/>
        <v>-16.531238409096463</v>
      </c>
      <c r="G244" s="11">
        <f t="shared" si="27"/>
        <v>-16.564329205857415</v>
      </c>
    </row>
    <row r="245" spans="5:7" x14ac:dyDescent="0.25">
      <c r="E245" s="11">
        <f t="shared" si="25"/>
        <v>-67</v>
      </c>
      <c r="F245" s="11">
        <f t="shared" si="26"/>
        <v>-16.283986159958413</v>
      </c>
      <c r="G245" s="11">
        <f t="shared" si="27"/>
        <v>-16.327244315442517</v>
      </c>
    </row>
    <row r="246" spans="5:7" x14ac:dyDescent="0.25">
      <c r="E246" s="11">
        <f t="shared" si="25"/>
        <v>-66</v>
      </c>
      <c r="F246" s="11">
        <f t="shared" si="26"/>
        <v>-16.030682732078414</v>
      </c>
      <c r="G246" s="11">
        <f t="shared" si="27"/>
        <v>-16.083483764753186</v>
      </c>
    </row>
    <row r="247" spans="5:7" x14ac:dyDescent="0.25">
      <c r="E247" s="11">
        <f t="shared" si="25"/>
        <v>-65</v>
      </c>
      <c r="F247" s="11">
        <f t="shared" si="26"/>
        <v>-15.771557084261168</v>
      </c>
      <c r="G247" s="11">
        <f t="shared" si="27"/>
        <v>-15.832757307690532</v>
      </c>
    </row>
    <row r="248" spans="5:7" x14ac:dyDescent="0.25">
      <c r="E248" s="11">
        <f t="shared" si="25"/>
        <v>-64</v>
      </c>
      <c r="F248" s="11">
        <f t="shared" si="26"/>
        <v>-15.506870560513716</v>
      </c>
      <c r="G248" s="11">
        <f t="shared" si="27"/>
        <v>-15.574774698155672</v>
      </c>
    </row>
    <row r="249" spans="5:7" x14ac:dyDescent="0.25">
      <c r="E249" s="11">
        <f t="shared" si="25"/>
        <v>-63</v>
      </c>
      <c r="F249" s="11">
        <f t="shared" si="26"/>
        <v>-15.236912993794789</v>
      </c>
      <c r="G249" s="11">
        <f t="shared" si="27"/>
        <v>-15.309245690049712</v>
      </c>
    </row>
    <row r="250" spans="5:7" x14ac:dyDescent="0.25">
      <c r="E250" s="11">
        <f t="shared" si="25"/>
        <v>-62</v>
      </c>
      <c r="F250" s="11">
        <f t="shared" si="26"/>
        <v>-14.96199900571985</v>
      </c>
      <c r="G250" s="11">
        <f t="shared" si="27"/>
        <v>-15.035880037273765</v>
      </c>
    </row>
    <row r="251" spans="5:7" x14ac:dyDescent="0.25">
      <c r="E251" s="11">
        <f t="shared" si="25"/>
        <v>-61</v>
      </c>
      <c r="F251" s="11">
        <f t="shared" si="26"/>
        <v>-14.682464496992477</v>
      </c>
      <c r="G251" s="11">
        <f t="shared" si="27"/>
        <v>-14.754387493728947</v>
      </c>
    </row>
    <row r="252" spans="5:7" x14ac:dyDescent="0.25">
      <c r="E252" s="11">
        <f t="shared" si="25"/>
        <v>-60</v>
      </c>
      <c r="F252" s="11">
        <f t="shared" si="26"/>
        <v>-14.398663323393732</v>
      </c>
      <c r="G252" s="11">
        <f t="shared" si="27"/>
        <v>-14.464477813316364</v>
      </c>
    </row>
    <row r="253" spans="5:7" x14ac:dyDescent="0.25">
      <c r="E253" s="11">
        <f t="shared" si="25"/>
        <v>-59</v>
      </c>
      <c r="F253" s="11">
        <f t="shared" si="26"/>
        <v>-14.110964152223186</v>
      </c>
      <c r="G253" s="11">
        <f t="shared" si="27"/>
        <v>-14.16586074993713</v>
      </c>
    </row>
    <row r="254" spans="5:7" x14ac:dyDescent="0.25">
      <c r="E254" s="11">
        <f t="shared" si="25"/>
        <v>-58</v>
      </c>
      <c r="F254" s="11">
        <f t="shared" si="26"/>
        <v>-13.819747494146377</v>
      </c>
      <c r="G254" s="11">
        <f t="shared" si="27"/>
        <v>-13.858246057492355</v>
      </c>
    </row>
    <row r="255" spans="5:7" x14ac:dyDescent="0.25">
      <c r="E255" s="11">
        <f t="shared" si="25"/>
        <v>-57</v>
      </c>
      <c r="F255" s="11">
        <f t="shared" si="26"/>
        <v>-13.525402905465242</v>
      </c>
      <c r="G255" s="11">
        <f t="shared" si="27"/>
        <v>-13.541343489883152</v>
      </c>
    </row>
    <row r="256" spans="5:7" x14ac:dyDescent="0.25">
      <c r="E256" s="11">
        <f t="shared" si="25"/>
        <v>-56</v>
      </c>
      <c r="F256" s="11">
        <f t="shared" si="26"/>
        <v>-13.228326355889564</v>
      </c>
      <c r="G256" s="11">
        <f t="shared" si="27"/>
        <v>-13.214862801010632</v>
      </c>
    </row>
    <row r="257" spans="5:7" x14ac:dyDescent="0.25">
      <c r="E257" s="11">
        <f t="shared" si="25"/>
        <v>-55</v>
      </c>
      <c r="F257" s="11">
        <f t="shared" si="26"/>
        <v>-12.928917756948911</v>
      </c>
      <c r="G257" s="11">
        <f t="shared" si="27"/>
        <v>-12.878513744775908</v>
      </c>
    </row>
    <row r="258" spans="5:7" x14ac:dyDescent="0.25">
      <c r="E258" s="11">
        <f t="shared" si="25"/>
        <v>-54</v>
      </c>
      <c r="F258" s="11">
        <f t="shared" si="26"/>
        <v>-12.627578646246127</v>
      </c>
      <c r="G258" s="11">
        <f t="shared" si="27"/>
        <v>-12.532006075080094</v>
      </c>
    </row>
    <row r="259" spans="5:7" x14ac:dyDescent="0.25">
      <c r="E259" s="11">
        <f t="shared" si="25"/>
        <v>-53</v>
      </c>
      <c r="F259" s="11">
        <f t="shared" si="26"/>
        <v>-12.324710022815005</v>
      </c>
      <c r="G259" s="11">
        <f t="shared" si="27"/>
        <v>-12.175049545824294</v>
      </c>
    </row>
    <row r="260" spans="5:7" x14ac:dyDescent="0.25">
      <c r="E260" s="11">
        <f t="shared" si="25"/>
        <v>-52</v>
      </c>
      <c r="F260" s="11">
        <f t="shared" si="26"/>
        <v>-12.020710328906201</v>
      </c>
      <c r="G260" s="11">
        <f t="shared" si="27"/>
        <v>-11.807353910909626</v>
      </c>
    </row>
    <row r="261" spans="5:7" x14ac:dyDescent="0.25">
      <c r="E261" s="11">
        <f t="shared" si="25"/>
        <v>-51</v>
      </c>
      <c r="F261" s="11">
        <f t="shared" si="26"/>
        <v>-11.715973573587059</v>
      </c>
      <c r="G261" s="11">
        <f t="shared" si="27"/>
        <v>-11.428628924237199</v>
      </c>
    </row>
    <row r="262" spans="5:7" x14ac:dyDescent="0.25">
      <c r="E262" s="11">
        <f t="shared" si="25"/>
        <v>-50</v>
      </c>
      <c r="F262" s="11">
        <f t="shared" si="26"/>
        <v>-11.410887593602437</v>
      </c>
      <c r="G262" s="11">
        <f t="shared" si="27"/>
        <v>-11.038584339708125</v>
      </c>
    </row>
    <row r="263" spans="5:7" x14ac:dyDescent="0.25">
      <c r="E263" s="11">
        <f t="shared" si="25"/>
        <v>-49</v>
      </c>
      <c r="F263" s="11">
        <f t="shared" si="26"/>
        <v>-11.105832447005348</v>
      </c>
      <c r="G263" s="11">
        <f t="shared" si="27"/>
        <v>-10.833780496611308</v>
      </c>
    </row>
    <row r="264" spans="5:7" x14ac:dyDescent="0.25">
      <c r="E264" s="11">
        <f t="shared" si="25"/>
        <v>-48</v>
      </c>
      <c r="F264" s="11">
        <f t="shared" si="26"/>
        <v>-10.801178935127473</v>
      </c>
      <c r="G264" s="11">
        <f t="shared" si="27"/>
        <v>-10.618155038046172</v>
      </c>
    </row>
    <row r="265" spans="5:7" x14ac:dyDescent="0.25">
      <c r="E265" s="11">
        <f t="shared" si="25"/>
        <v>-47</v>
      </c>
      <c r="F265" s="11">
        <f t="shared" si="26"/>
        <v>-10.497287248521406</v>
      </c>
      <c r="G265" s="11">
        <f t="shared" si="27"/>
        <v>-10.392496192499944</v>
      </c>
    </row>
    <row r="266" spans="5:7" x14ac:dyDescent="0.25">
      <c r="E266" s="11">
        <f t="shared" si="25"/>
        <v>-46</v>
      </c>
      <c r="F266" s="11">
        <f t="shared" si="26"/>
        <v>-10.19450573256783</v>
      </c>
      <c r="G266" s="11">
        <f t="shared" si="27"/>
        <v>-10.157592188459843</v>
      </c>
    </row>
    <row r="267" spans="5:7" x14ac:dyDescent="0.25">
      <c r="E267" s="11">
        <f t="shared" si="25"/>
        <v>-45</v>
      </c>
      <c r="F267" s="11">
        <f t="shared" si="26"/>
        <v>-9.8931697685024229</v>
      </c>
      <c r="G267" s="11">
        <f t="shared" si="27"/>
        <v>-9.9142312544130888</v>
      </c>
    </row>
    <row r="268" spans="5:7" x14ac:dyDescent="0.25">
      <c r="E268" s="11">
        <f t="shared" si="25"/>
        <v>-44</v>
      </c>
      <c r="F268" s="11">
        <f t="shared" si="26"/>
        <v>-9.5936007656788007</v>
      </c>
      <c r="G268" s="11">
        <f t="shared" si="27"/>
        <v>-9.6632016188468999</v>
      </c>
    </row>
    <row r="269" spans="5:7" x14ac:dyDescent="0.25">
      <c r="E269" s="11">
        <f t="shared" si="25"/>
        <v>-43</v>
      </c>
      <c r="F269" s="11">
        <f t="shared" si="26"/>
        <v>-9.2961052609453851</v>
      </c>
      <c r="G269" s="11">
        <f t="shared" si="27"/>
        <v>-9.4052915102484977</v>
      </c>
    </row>
    <row r="270" spans="5:7" x14ac:dyDescent="0.25">
      <c r="E270" s="11">
        <f t="shared" si="25"/>
        <v>-42</v>
      </c>
      <c r="F270" s="11">
        <f t="shared" si="26"/>
        <v>-9.0009741210754779</v>
      </c>
      <c r="G270" s="11">
        <f t="shared" si="27"/>
        <v>-9.1412891571051045</v>
      </c>
    </row>
    <row r="271" spans="5:7" x14ac:dyDescent="0.25">
      <c r="E271" s="11">
        <f t="shared" si="25"/>
        <v>-41</v>
      </c>
      <c r="F271" s="11">
        <f t="shared" si="26"/>
        <v>-8.7084818442514926</v>
      </c>
      <c r="G271" s="11">
        <f t="shared" si="27"/>
        <v>-8.8719827879039386</v>
      </c>
    </row>
    <row r="272" spans="5:7" x14ac:dyDescent="0.25">
      <c r="E272" s="11">
        <f t="shared" si="25"/>
        <v>-40</v>
      </c>
      <c r="F272" s="11">
        <f t="shared" si="26"/>
        <v>-8.4188859566657435</v>
      </c>
      <c r="G272" s="11">
        <f t="shared" si="27"/>
        <v>-8.5981606311322203</v>
      </c>
    </row>
    <row r="273" spans="5:7" x14ac:dyDescent="0.25">
      <c r="E273" s="11">
        <f t="shared" si="25"/>
        <v>-39</v>
      </c>
      <c r="F273" s="11">
        <f t="shared" si="26"/>
        <v>-8.1324265003617544</v>
      </c>
      <c r="G273" s="11">
        <f t="shared" si="27"/>
        <v>-8.3206109152771717</v>
      </c>
    </row>
    <row r="274" spans="5:7" x14ac:dyDescent="0.25">
      <c r="E274" s="11">
        <f t="shared" si="25"/>
        <v>-38</v>
      </c>
      <c r="F274" s="11">
        <f t="shared" si="26"/>
        <v>-7.8493256085014798</v>
      </c>
      <c r="G274" s="11">
        <f t="shared" si="27"/>
        <v>-8.0401218688260148</v>
      </c>
    </row>
    <row r="275" spans="5:7" x14ac:dyDescent="0.25">
      <c r="E275" s="11">
        <f t="shared" si="25"/>
        <v>-37</v>
      </c>
      <c r="F275" s="11">
        <f t="shared" si="26"/>
        <v>-7.569787164305545</v>
      </c>
      <c r="G275" s="11">
        <f t="shared" si="27"/>
        <v>-7.7574817202659645</v>
      </c>
    </row>
    <row r="276" spans="5:7" x14ac:dyDescent="0.25">
      <c r="E276" s="11">
        <f t="shared" si="25"/>
        <v>-36</v>
      </c>
      <c r="F276" s="11">
        <f t="shared" si="26"/>
        <v>-7.2939965399749287</v>
      </c>
      <c r="G276" s="11">
        <f t="shared" si="27"/>
        <v>-7.4734786980842456</v>
      </c>
    </row>
    <row r="277" spans="5:7" x14ac:dyDescent="0.25">
      <c r="E277" s="11">
        <f t="shared" si="25"/>
        <v>-35</v>
      </c>
      <c r="F277" s="11">
        <f t="shared" si="26"/>
        <v>-7.0221204119641714</v>
      </c>
      <c r="G277" s="11">
        <f t="shared" si="27"/>
        <v>-7.1889010307680774</v>
      </c>
    </row>
    <row r="278" spans="5:7" x14ac:dyDescent="0.25">
      <c r="E278" s="11">
        <f t="shared" si="25"/>
        <v>-34</v>
      </c>
      <c r="F278" s="11">
        <f t="shared" si="26"/>
        <v>-6.7543066490376908</v>
      </c>
      <c r="G278" s="11">
        <f t="shared" si="27"/>
        <v>-6.9045369468046793</v>
      </c>
    </row>
    <row r="279" spans="5:7" x14ac:dyDescent="0.25">
      <c r="E279" s="11">
        <f t="shared" si="25"/>
        <v>-33</v>
      </c>
      <c r="F279" s="11">
        <f t="shared" si="26"/>
        <v>-6.4906842696022613</v>
      </c>
      <c r="G279" s="11">
        <f t="shared" si="27"/>
        <v>-6.6211746746812734</v>
      </c>
    </row>
    <row r="280" spans="5:7" x14ac:dyDescent="0.25">
      <c r="E280" s="11">
        <f t="shared" si="25"/>
        <v>-32</v>
      </c>
      <c r="F280" s="11">
        <f t="shared" si="26"/>
        <v>-6.2313634648703395</v>
      </c>
      <c r="G280" s="11">
        <f t="shared" si="27"/>
        <v>-6.3396024428850772</v>
      </c>
    </row>
    <row r="281" spans="5:7" x14ac:dyDescent="0.25">
      <c r="E281" s="11">
        <f t="shared" si="25"/>
        <v>-31</v>
      </c>
      <c r="F281" s="11">
        <f t="shared" si="26"/>
        <v>-5.9764356844703004</v>
      </c>
      <c r="G281" s="11">
        <f t="shared" si="27"/>
        <v>-6.0606084799033155</v>
      </c>
    </row>
    <row r="282" spans="5:7" x14ac:dyDescent="0.25">
      <c r="E282" s="11">
        <f t="shared" si="25"/>
        <v>-30</v>
      </c>
      <c r="F282" s="11">
        <f t="shared" si="26"/>
        <v>-5.7259737811813425</v>
      </c>
      <c r="G282" s="11">
        <f t="shared" si="27"/>
        <v>-5.7849810142232059</v>
      </c>
    </row>
    <row r="283" spans="5:7" x14ac:dyDescent="0.25">
      <c r="E283" s="11">
        <f t="shared" si="25"/>
        <v>-29</v>
      </c>
      <c r="F283" s="11">
        <f t="shared" si="26"/>
        <v>-5.4800322115321958</v>
      </c>
      <c r="G283" s="11">
        <f t="shared" si="27"/>
        <v>-5.5135082743319686</v>
      </c>
    </row>
    <row r="284" spans="5:7" x14ac:dyDescent="0.25">
      <c r="E284" s="11">
        <f t="shared" si="25"/>
        <v>-28</v>
      </c>
      <c r="F284" s="11">
        <f t="shared" si="26"/>
        <v>-5.2386472890644029</v>
      </c>
      <c r="G284" s="11">
        <f t="shared" si="27"/>
        <v>-5.2469784887168247</v>
      </c>
    </row>
    <row r="285" spans="5:7" x14ac:dyDescent="0.25">
      <c r="E285" s="11">
        <f t="shared" si="25"/>
        <v>-27</v>
      </c>
      <c r="F285" s="11">
        <f t="shared" si="26"/>
        <v>-5.0018374871223727</v>
      </c>
      <c r="G285" s="11">
        <f t="shared" si="27"/>
        <v>-4.9861798858649946</v>
      </c>
    </row>
    <row r="286" spans="5:7" x14ac:dyDescent="0.25">
      <c r="E286" s="11">
        <f t="shared" si="25"/>
        <v>-26</v>
      </c>
      <c r="F286" s="11">
        <f t="shared" si="26"/>
        <v>-4.7696037880940434</v>
      </c>
      <c r="G286" s="11">
        <f t="shared" si="27"/>
        <v>-4.7319006942636985</v>
      </c>
    </row>
    <row r="287" spans="5:7" x14ac:dyDescent="0.25">
      <c r="E287" s="11">
        <f t="shared" ref="E287:E350" si="28">E80</f>
        <v>-25</v>
      </c>
      <c r="F287" s="11">
        <f t="shared" ref="F287:F350" si="29">$H$217*0+E287*$I$217+E287^2*$J$217+E287^3*$K$217+E287^4*$L$217+E287^5*$M$217+E287^6*$N$217+E287^7*$O$217+E287^8*$P$217</f>
        <v>-4.5419300760873993</v>
      </c>
      <c r="G287" s="11">
        <f t="shared" ref="G287:G350" si="30">F80</f>
        <v>-4.4849291424001567</v>
      </c>
    </row>
    <row r="288" spans="5:7" x14ac:dyDescent="0.25">
      <c r="E288" s="11">
        <f t="shared" si="28"/>
        <v>-24</v>
      </c>
      <c r="F288" s="11">
        <f t="shared" si="29"/>
        <v>-4.3187835700897059</v>
      </c>
      <c r="G288" s="11">
        <f t="shared" si="30"/>
        <v>-4.2458620225001065</v>
      </c>
    </row>
    <row r="289" spans="5:7" x14ac:dyDescent="0.25">
      <c r="E289" s="11">
        <f t="shared" si="28"/>
        <v>-23</v>
      </c>
      <c r="F289" s="11">
        <f t="shared" si="29"/>
        <v>-4.1001152947177975</v>
      </c>
      <c r="G289" s="11">
        <f t="shared" si="30"/>
        <v>-4.0145303817433398</v>
      </c>
    </row>
    <row r="290" spans="5:7" x14ac:dyDescent="0.25">
      <c r="E290" s="11">
        <f t="shared" si="28"/>
        <v>-22</v>
      </c>
      <c r="F290" s="11">
        <f t="shared" si="29"/>
        <v>-3.8858605857293038</v>
      </c>
      <c r="G290" s="11">
        <f t="shared" si="30"/>
        <v>-3.7905738310481718</v>
      </c>
    </row>
    <row r="291" spans="5:7" x14ac:dyDescent="0.25">
      <c r="E291" s="11">
        <f t="shared" si="28"/>
        <v>-21</v>
      </c>
      <c r="F291" s="11">
        <f t="shared" si="29"/>
        <v>-3.6759396275262102</v>
      </c>
      <c r="G291" s="11">
        <f t="shared" si="30"/>
        <v>-3.5736319813329112</v>
      </c>
    </row>
    <row r="292" spans="5:7" x14ac:dyDescent="0.25">
      <c r="E292" s="11">
        <f t="shared" si="28"/>
        <v>-20</v>
      </c>
      <c r="F292" s="11">
        <f t="shared" si="29"/>
        <v>-3.4702580199436919</v>
      </c>
      <c r="G292" s="11">
        <f t="shared" si="30"/>
        <v>-3.3633444435158699</v>
      </c>
    </row>
    <row r="293" spans="5:7" x14ac:dyDescent="0.25">
      <c r="E293" s="11">
        <f t="shared" si="28"/>
        <v>-19</v>
      </c>
      <c r="F293" s="11">
        <f t="shared" si="29"/>
        <v>-3.2687073716786719</v>
      </c>
      <c r="G293" s="11">
        <f t="shared" si="30"/>
        <v>-3.1593508285153584</v>
      </c>
    </row>
    <row r="294" spans="5:7" x14ac:dyDescent="0.25">
      <c r="E294" s="11">
        <f t="shared" si="28"/>
        <v>-18</v>
      </c>
      <c r="F294" s="11">
        <f t="shared" si="29"/>
        <v>-3.0711659177740853</v>
      </c>
      <c r="G294" s="11">
        <f t="shared" si="30"/>
        <v>-2.9612907472496879</v>
      </c>
    </row>
    <row r="295" spans="5:7" x14ac:dyDescent="0.25">
      <c r="E295" s="11">
        <f t="shared" si="28"/>
        <v>-17</v>
      </c>
      <c r="F295" s="11">
        <f t="shared" si="29"/>
        <v>-2.8774991586363448</v>
      </c>
      <c r="G295" s="11">
        <f t="shared" si="30"/>
        <v>-2.7688038106371695</v>
      </c>
    </row>
    <row r="296" spans="5:7" x14ac:dyDescent="0.25">
      <c r="E296" s="11">
        <f t="shared" si="28"/>
        <v>-16</v>
      </c>
      <c r="F296" s="11">
        <f t="shared" si="29"/>
        <v>-2.6875605181250681</v>
      </c>
      <c r="G296" s="11">
        <f t="shared" si="30"/>
        <v>-2.5815296295961145</v>
      </c>
    </row>
    <row r="297" spans="5:7" x14ac:dyDescent="0.25">
      <c r="E297" s="11">
        <f t="shared" si="28"/>
        <v>-15</v>
      </c>
      <c r="F297" s="11">
        <f t="shared" si="29"/>
        <v>-2.5011920183155896</v>
      </c>
      <c r="G297" s="11">
        <f t="shared" si="30"/>
        <v>-2.3991078150448328</v>
      </c>
    </row>
    <row r="298" spans="5:7" x14ac:dyDescent="0.25">
      <c r="E298" s="11">
        <f t="shared" si="28"/>
        <v>-14</v>
      </c>
      <c r="F298" s="11">
        <f t="shared" si="29"/>
        <v>-2.3182249685963634</v>
      </c>
      <c r="G298" s="11">
        <f t="shared" si="30"/>
        <v>-2.221177977901637</v>
      </c>
    </row>
    <row r="299" spans="5:7" x14ac:dyDescent="0.25">
      <c r="E299" s="11">
        <f t="shared" si="28"/>
        <v>-13</v>
      </c>
      <c r="F299" s="11">
        <f t="shared" si="29"/>
        <v>-2.1384806668248699</v>
      </c>
      <c r="G299" s="11">
        <f t="shared" si="30"/>
        <v>-2.0473797290848372</v>
      </c>
    </row>
    <row r="300" spans="5:7" x14ac:dyDescent="0.25">
      <c r="E300" s="11">
        <f t="shared" si="28"/>
        <v>-12</v>
      </c>
      <c r="F300" s="11">
        <f t="shared" si="29"/>
        <v>-1.9617711103271323</v>
      </c>
      <c r="G300" s="11">
        <f t="shared" si="30"/>
        <v>-1.8773526795127444</v>
      </c>
    </row>
    <row r="301" spans="5:7" x14ac:dyDescent="0.25">
      <c r="E301" s="11">
        <f t="shared" si="28"/>
        <v>-11</v>
      </c>
      <c r="F301" s="11">
        <f t="shared" si="29"/>
        <v>-1.7878997145875393</v>
      </c>
      <c r="G301" s="11">
        <f t="shared" si="30"/>
        <v>-1.7107364401036695</v>
      </c>
    </row>
    <row r="302" spans="5:7" x14ac:dyDescent="0.25">
      <c r="E302" s="11">
        <f t="shared" si="28"/>
        <v>-10</v>
      </c>
      <c r="F302" s="11">
        <f t="shared" si="29"/>
        <v>-1.6166620375371348</v>
      </c>
      <c r="G302" s="11">
        <f t="shared" si="30"/>
        <v>-1.5471706217759242</v>
      </c>
    </row>
    <row r="303" spans="5:7" x14ac:dyDescent="0.25">
      <c r="E303" s="11">
        <f t="shared" si="28"/>
        <v>-9</v>
      </c>
      <c r="F303" s="11">
        <f t="shared" si="29"/>
        <v>-1.4478465074101003</v>
      </c>
      <c r="G303" s="11">
        <f t="shared" si="30"/>
        <v>-1.3862948354478191</v>
      </c>
    </row>
    <row r="304" spans="5:7" x14ac:dyDescent="0.25">
      <c r="E304" s="11">
        <f t="shared" si="28"/>
        <v>-8</v>
      </c>
      <c r="F304" s="11">
        <f t="shared" si="29"/>
        <v>-1.2812351521996603</v>
      </c>
      <c r="G304" s="11">
        <f t="shared" si="30"/>
        <v>-1.227748692037665</v>
      </c>
    </row>
    <row r="305" spans="5:7" x14ac:dyDescent="0.25">
      <c r="E305" s="11">
        <f t="shared" si="28"/>
        <v>-7</v>
      </c>
      <c r="F305" s="11">
        <f t="shared" si="29"/>
        <v>-1.1166043288061738</v>
      </c>
      <c r="G305" s="11">
        <f t="shared" si="30"/>
        <v>-1.0711718024637735</v>
      </c>
    </row>
    <row r="306" spans="5:7" x14ac:dyDescent="0.25">
      <c r="E306" s="11">
        <f t="shared" si="28"/>
        <v>-6</v>
      </c>
      <c r="F306" s="11">
        <f t="shared" si="29"/>
        <v>-0.95372545003170606</v>
      </c>
      <c r="G306" s="11">
        <f t="shared" si="30"/>
        <v>-0.91620377764445504</v>
      </c>
    </row>
    <row r="307" spans="5:7" x14ac:dyDescent="0.25">
      <c r="E307" s="11">
        <f t="shared" si="28"/>
        <v>-5</v>
      </c>
      <c r="F307" s="11">
        <f t="shared" si="29"/>
        <v>-0.79236570763689507</v>
      </c>
      <c r="G307" s="11">
        <f t="shared" si="30"/>
        <v>-0.76248422849802078</v>
      </c>
    </row>
    <row r="308" spans="5:7" x14ac:dyDescent="0.25">
      <c r="E308" s="11">
        <f t="shared" si="28"/>
        <v>-4</v>
      </c>
      <c r="F308" s="11">
        <f t="shared" si="29"/>
        <v>-0.63228878973744318</v>
      </c>
      <c r="G308" s="11">
        <f t="shared" si="30"/>
        <v>-0.60965276594278195</v>
      </c>
    </row>
    <row r="309" spans="5:7" x14ac:dyDescent="0.25">
      <c r="E309" s="11">
        <f t="shared" si="28"/>
        <v>-3</v>
      </c>
      <c r="F309" s="11">
        <f t="shared" si="29"/>
        <v>-0.47325559087911245</v>
      </c>
      <c r="G309" s="11">
        <f t="shared" si="30"/>
        <v>-0.4573490008970495</v>
      </c>
    </row>
    <row r="310" spans="5:7" x14ac:dyDescent="0.25">
      <c r="E310" s="11">
        <f t="shared" si="28"/>
        <v>-2</v>
      </c>
      <c r="F310" s="11">
        <f t="shared" si="29"/>
        <v>-0.31502491319160797</v>
      </c>
      <c r="G310" s="11">
        <f t="shared" si="30"/>
        <v>-0.30521254427913425</v>
      </c>
    </row>
    <row r="311" spans="5:7" x14ac:dyDescent="0.25">
      <c r="E311" s="11">
        <f t="shared" si="28"/>
        <v>-1</v>
      </c>
      <c r="F311" s="11">
        <f t="shared" si="29"/>
        <v>-0.15735415708326697</v>
      </c>
      <c r="G311" s="11">
        <f t="shared" si="30"/>
        <v>-0.15288300700734747</v>
      </c>
    </row>
    <row r="312" spans="5:7" x14ac:dyDescent="0.25">
      <c r="E312" s="11">
        <f t="shared" si="28"/>
        <v>0</v>
      </c>
      <c r="F312" s="11">
        <f t="shared" si="29"/>
        <v>0</v>
      </c>
      <c r="G312" s="11">
        <f t="shared" si="30"/>
        <v>-1.3877787807814457E-17</v>
      </c>
    </row>
    <row r="313" spans="5:7" x14ac:dyDescent="0.25">
      <c r="E313" s="11">
        <f t="shared" si="28"/>
        <v>1</v>
      </c>
      <c r="F313" s="11">
        <f t="shared" si="29"/>
        <v>0.15728093816655128</v>
      </c>
      <c r="G313" s="11">
        <f t="shared" si="30"/>
        <v>0.15376059513617704</v>
      </c>
    </row>
    <row r="314" spans="5:7" x14ac:dyDescent="0.25">
      <c r="E314" s="11">
        <f t="shared" si="28"/>
        <v>2</v>
      </c>
      <c r="F314" s="11">
        <f t="shared" si="29"/>
        <v>0.31473144437514233</v>
      </c>
      <c r="G314" s="11">
        <f t="shared" si="30"/>
        <v>0.30857781404077272</v>
      </c>
    </row>
    <row r="315" spans="5:7" x14ac:dyDescent="0.25">
      <c r="E315" s="11">
        <f t="shared" si="28"/>
        <v>3</v>
      </c>
      <c r="F315" s="11">
        <f t="shared" si="29"/>
        <v>0.47259307772732234</v>
      </c>
      <c r="G315" s="11">
        <f t="shared" si="30"/>
        <v>0.46459442166495613</v>
      </c>
    </row>
    <row r="316" spans="5:7" x14ac:dyDescent="0.25">
      <c r="E316" s="11">
        <f t="shared" si="28"/>
        <v>4</v>
      </c>
      <c r="F316" s="11">
        <f t="shared" si="29"/>
        <v>0.63110555198655138</v>
      </c>
      <c r="G316" s="11">
        <f t="shared" si="30"/>
        <v>0.62195318295989621</v>
      </c>
    </row>
    <row r="317" spans="5:7" x14ac:dyDescent="0.25">
      <c r="E317" s="11">
        <f t="shared" si="28"/>
        <v>5</v>
      </c>
      <c r="F317" s="11">
        <f t="shared" si="29"/>
        <v>0.79050613649296908</v>
      </c>
      <c r="G317" s="11">
        <f t="shared" si="30"/>
        <v>0.78079686287676209</v>
      </c>
    </row>
    <row r="318" spans="5:7" x14ac:dyDescent="0.25">
      <c r="E318" s="11">
        <f t="shared" si="28"/>
        <v>6</v>
      </c>
      <c r="F318" s="11">
        <f t="shared" si="29"/>
        <v>0.95102907658121527</v>
      </c>
      <c r="G318" s="11">
        <f t="shared" si="30"/>
        <v>0.94126822636672258</v>
      </c>
    </row>
    <row r="319" spans="5:7" x14ac:dyDescent="0.25">
      <c r="E319" s="11">
        <f t="shared" si="28"/>
        <v>7</v>
      </c>
      <c r="F319" s="11">
        <f t="shared" si="29"/>
        <v>1.112905034547184</v>
      </c>
      <c r="G319" s="11">
        <f t="shared" si="30"/>
        <v>1.1035100383809469</v>
      </c>
    </row>
    <row r="320" spans="5:7" x14ac:dyDescent="0.25">
      <c r="E320" s="11">
        <f t="shared" si="28"/>
        <v>8</v>
      </c>
      <c r="F320" s="11">
        <f t="shared" si="29"/>
        <v>1.2763605521480563</v>
      </c>
      <c r="G320" s="11">
        <f t="shared" si="30"/>
        <v>1.2676650638706044</v>
      </c>
    </row>
    <row r="321" spans="5:7" x14ac:dyDescent="0.25">
      <c r="E321" s="11">
        <f t="shared" si="28"/>
        <v>9</v>
      </c>
      <c r="F321" s="11">
        <f t="shared" si="29"/>
        <v>1.4416175355584455</v>
      </c>
      <c r="G321" s="11">
        <f t="shared" si="30"/>
        <v>1.4338760677868636</v>
      </c>
    </row>
    <row r="322" spans="5:7" x14ac:dyDescent="0.25">
      <c r="E322" s="11">
        <f t="shared" si="28"/>
        <v>10</v>
      </c>
      <c r="F322" s="11">
        <f t="shared" si="29"/>
        <v>1.6088927636439478</v>
      </c>
      <c r="G322" s="11">
        <f t="shared" si="30"/>
        <v>1.6022858150808936</v>
      </c>
    </row>
    <row r="323" spans="5:7" x14ac:dyDescent="0.25">
      <c r="E323" s="11">
        <f t="shared" si="28"/>
        <v>11</v>
      </c>
      <c r="F323" s="11">
        <f t="shared" si="29"/>
        <v>1.7783974203518804</v>
      </c>
      <c r="G323" s="11">
        <f t="shared" si="30"/>
        <v>1.7730370707038636</v>
      </c>
    </row>
    <row r="324" spans="5:7" x14ac:dyDescent="0.25">
      <c r="E324" s="11">
        <f t="shared" si="28"/>
        <v>12</v>
      </c>
      <c r="F324" s="11">
        <f t="shared" si="29"/>
        <v>1.9503366519574474</v>
      </c>
      <c r="G324" s="11">
        <f t="shared" si="30"/>
        <v>1.9462725996069428</v>
      </c>
    </row>
    <row r="325" spans="5:7" x14ac:dyDescent="0.25">
      <c r="E325" s="11">
        <f t="shared" si="28"/>
        <v>13</v>
      </c>
      <c r="F325" s="11">
        <f t="shared" si="29"/>
        <v>2.124909149842066</v>
      </c>
      <c r="G325" s="11">
        <f t="shared" si="30"/>
        <v>2.1221351667412995</v>
      </c>
    </row>
    <row r="326" spans="5:7" x14ac:dyDescent="0.25">
      <c r="E326" s="11">
        <f t="shared" si="28"/>
        <v>14</v>
      </c>
      <c r="F326" s="11">
        <f t="shared" si="29"/>
        <v>2.3023067594190416</v>
      </c>
      <c r="G326" s="11">
        <f t="shared" si="30"/>
        <v>2.3007675370581038</v>
      </c>
    </row>
    <row r="327" spans="5:7" x14ac:dyDescent="0.25">
      <c r="E327" s="11">
        <f t="shared" si="28"/>
        <v>15</v>
      </c>
      <c r="F327" s="11">
        <f t="shared" si="29"/>
        <v>2.4827141157602748</v>
      </c>
      <c r="G327" s="11">
        <f t="shared" si="30"/>
        <v>2.4823124755085244</v>
      </c>
    </row>
    <row r="328" spans="5:7" x14ac:dyDescent="0.25">
      <c r="E328" s="11">
        <f t="shared" si="28"/>
        <v>16</v>
      </c>
      <c r="F328" s="11">
        <f t="shared" si="29"/>
        <v>2.6663083064161346</v>
      </c>
      <c r="G328" s="11">
        <f t="shared" si="30"/>
        <v>2.6669127470437299</v>
      </c>
    </row>
    <row r="329" spans="5:7" x14ac:dyDescent="0.25">
      <c r="E329" s="11">
        <f t="shared" si="28"/>
        <v>17</v>
      </c>
      <c r="F329" s="11">
        <f t="shared" si="29"/>
        <v>2.8532585618591262</v>
      </c>
      <c r="G329" s="11">
        <f t="shared" si="30"/>
        <v>2.8547111166148893</v>
      </c>
    </row>
    <row r="330" spans="5:7" x14ac:dyDescent="0.25">
      <c r="E330" s="11">
        <f t="shared" si="28"/>
        <v>18</v>
      </c>
      <c r="F330" s="11">
        <f t="shared" si="29"/>
        <v>3.0437259739204472</v>
      </c>
      <c r="G330" s="11">
        <f t="shared" si="30"/>
        <v>3.0458503491731723</v>
      </c>
    </row>
    <row r="331" spans="5:7" x14ac:dyDescent="0.25">
      <c r="E331" s="11">
        <f t="shared" si="28"/>
        <v>19</v>
      </c>
      <c r="F331" s="11">
        <f t="shared" si="29"/>
        <v>3.2378632425269984</v>
      </c>
      <c r="G331" s="11">
        <f t="shared" si="30"/>
        <v>3.2404732096697475</v>
      </c>
    </row>
    <row r="332" spans="5:7" x14ac:dyDescent="0.25">
      <c r="E332" s="11">
        <f t="shared" si="28"/>
        <v>20</v>
      </c>
      <c r="F332" s="11">
        <f t="shared" si="29"/>
        <v>3.4358144509848967</v>
      </c>
      <c r="G332" s="11">
        <f t="shared" si="30"/>
        <v>3.4387224630557842</v>
      </c>
    </row>
    <row r="333" spans="5:7" x14ac:dyDescent="0.25">
      <c r="E333" s="11">
        <f t="shared" si="28"/>
        <v>21</v>
      </c>
      <c r="F333" s="11">
        <f t="shared" si="29"/>
        <v>3.6377148699940056</v>
      </c>
      <c r="G333" s="11">
        <f t="shared" si="30"/>
        <v>3.6407408742824505</v>
      </c>
    </row>
    <row r="334" spans="5:7" x14ac:dyDescent="0.25">
      <c r="E334" s="11">
        <f t="shared" si="28"/>
        <v>22</v>
      </c>
      <c r="F334" s="11">
        <f t="shared" si="29"/>
        <v>3.8436907905164781</v>
      </c>
      <c r="G334" s="11">
        <f t="shared" si="30"/>
        <v>3.8466712083009167</v>
      </c>
    </row>
    <row r="335" spans="5:7" x14ac:dyDescent="0.25">
      <c r="E335" s="11">
        <f t="shared" si="28"/>
        <v>23</v>
      </c>
      <c r="F335" s="11">
        <f t="shared" si="29"/>
        <v>4.0538593855607736</v>
      </c>
      <c r="G335" s="11">
        <f t="shared" si="30"/>
        <v>4.0566562300623517</v>
      </c>
    </row>
    <row r="336" spans="5:7" x14ac:dyDescent="0.25">
      <c r="E336" s="11">
        <f t="shared" si="28"/>
        <v>24</v>
      </c>
      <c r="F336" s="11">
        <f t="shared" si="29"/>
        <v>4.268328600881099</v>
      </c>
      <c r="G336" s="11">
        <f t="shared" si="30"/>
        <v>4.2708387045179235</v>
      </c>
    </row>
    <row r="337" spans="5:7" x14ac:dyDescent="0.25">
      <c r="E337" s="11">
        <f t="shared" si="28"/>
        <v>25</v>
      </c>
      <c r="F337" s="11">
        <f t="shared" si="29"/>
        <v>4.487197074530668</v>
      </c>
      <c r="G337" s="11">
        <f t="shared" si="30"/>
        <v>4.4893613966188015</v>
      </c>
    </row>
    <row r="338" spans="5:7" x14ac:dyDescent="0.25">
      <c r="E338" s="11">
        <f t="shared" si="28"/>
        <v>26</v>
      </c>
      <c r="F338" s="11">
        <f t="shared" si="29"/>
        <v>4.7105540851457146</v>
      </c>
      <c r="G338" s="11">
        <f t="shared" si="30"/>
        <v>4.7123670713161552</v>
      </c>
    </row>
    <row r="339" spans="5:7" x14ac:dyDescent="0.25">
      <c r="E339" s="11">
        <f t="shared" si="28"/>
        <v>27</v>
      </c>
      <c r="F339" s="11">
        <f t="shared" si="29"/>
        <v>4.9384795287755452</v>
      </c>
      <c r="G339" s="11">
        <f t="shared" si="30"/>
        <v>4.9399984935611538</v>
      </c>
    </row>
    <row r="340" spans="5:7" x14ac:dyDescent="0.25">
      <c r="E340" s="11">
        <f t="shared" si="28"/>
        <v>28</v>
      </c>
      <c r="F340" s="11">
        <f t="shared" si="29"/>
        <v>5.1710439240125812</v>
      </c>
      <c r="G340" s="11">
        <f t="shared" si="30"/>
        <v>5.172398428304966</v>
      </c>
    </row>
    <row r="341" spans="5:7" x14ac:dyDescent="0.25">
      <c r="E341" s="11">
        <f t="shared" si="28"/>
        <v>29</v>
      </c>
      <c r="F341" s="11">
        <f t="shared" si="29"/>
        <v>5.4083084451145638</v>
      </c>
      <c r="G341" s="11">
        <f t="shared" si="30"/>
        <v>5.409709640498761</v>
      </c>
    </row>
    <row r="342" spans="5:7" x14ac:dyDescent="0.25">
      <c r="E342" s="11">
        <f t="shared" si="28"/>
        <v>30</v>
      </c>
      <c r="F342" s="11">
        <f t="shared" si="29"/>
        <v>5.6503249827498552</v>
      </c>
      <c r="G342" s="11">
        <f t="shared" si="30"/>
        <v>5.6520748950937074</v>
      </c>
    </row>
    <row r="343" spans="5:7" x14ac:dyDescent="0.25">
      <c r="E343" s="11">
        <f t="shared" si="28"/>
        <v>31</v>
      </c>
      <c r="F343" s="11">
        <f t="shared" si="29"/>
        <v>5.8971362319349661</v>
      </c>
      <c r="G343" s="11">
        <f t="shared" si="30"/>
        <v>5.899602357575187</v>
      </c>
    </row>
    <row r="344" spans="5:7" x14ac:dyDescent="0.25">
      <c r="E344" s="11">
        <f t="shared" si="28"/>
        <v>32</v>
      </c>
      <c r="F344" s="11">
        <f t="shared" si="29"/>
        <v>6.1487758066721554</v>
      </c>
      <c r="G344" s="11">
        <f t="shared" si="30"/>
        <v>6.1522617955654244</v>
      </c>
    </row>
    <row r="345" spans="5:7" x14ac:dyDescent="0.25">
      <c r="E345" s="11">
        <f t="shared" si="28"/>
        <v>33</v>
      </c>
      <c r="F345" s="11">
        <f t="shared" si="29"/>
        <v>6.4052683807332196</v>
      </c>
      <c r="G345" s="11">
        <f t="shared" si="30"/>
        <v>6.4099883772208592</v>
      </c>
    </row>
    <row r="346" spans="5:7" x14ac:dyDescent="0.25">
      <c r="E346" s="11">
        <f t="shared" si="28"/>
        <v>34</v>
      </c>
      <c r="F346" s="11">
        <f t="shared" si="29"/>
        <v>6.666629853974225</v>
      </c>
      <c r="G346" s="11">
        <f t="shared" si="30"/>
        <v>6.6727172706979303</v>
      </c>
    </row>
    <row r="347" spans="5:7" x14ac:dyDescent="0.25">
      <c r="E347" s="11">
        <f t="shared" si="28"/>
        <v>35</v>
      </c>
      <c r="F347" s="11">
        <f t="shared" si="29"/>
        <v>6.9328675435043072</v>
      </c>
      <c r="G347" s="11">
        <f t="shared" si="30"/>
        <v>6.9403836441530746</v>
      </c>
    </row>
    <row r="348" spans="5:7" x14ac:dyDescent="0.25">
      <c r="E348" s="11">
        <f t="shared" si="28"/>
        <v>36</v>
      </c>
      <c r="F348" s="11">
        <f t="shared" si="29"/>
        <v>7.2039803989701632</v>
      </c>
      <c r="G348" s="11">
        <f t="shared" si="30"/>
        <v>7.2129226657427319</v>
      </c>
    </row>
    <row r="349" spans="5:7" x14ac:dyDescent="0.25">
      <c r="E349" s="11">
        <f t="shared" si="28"/>
        <v>37</v>
      </c>
      <c r="F349" s="11">
        <f t="shared" si="29"/>
        <v>7.4799592411563829</v>
      </c>
      <c r="G349" s="11">
        <f t="shared" si="30"/>
        <v>7.49026950362334</v>
      </c>
    </row>
    <row r="350" spans="5:7" x14ac:dyDescent="0.25">
      <c r="E350" s="11">
        <f t="shared" si="28"/>
        <v>38</v>
      </c>
      <c r="F350" s="11">
        <f t="shared" si="29"/>
        <v>7.7607870230401579</v>
      </c>
      <c r="G350" s="11">
        <f t="shared" si="30"/>
        <v>7.7723593259513368</v>
      </c>
    </row>
    <row r="351" spans="5:7" x14ac:dyDescent="0.25">
      <c r="E351" s="11">
        <f t="shared" ref="E351:E414" si="31">E144</f>
        <v>39</v>
      </c>
      <c r="F351" s="11">
        <f t="shared" ref="F351:F414" si="32">$H$217*0+E351*$I$217+E351^2*$J$217+E351^3*$K$217+E351^4*$L$217+E351^5*$M$217+E351^6*$N$217+E351^7*$O$217+E351^8*$P$217</f>
        <v>8.0464391123774561</v>
      </c>
      <c r="G351" s="11">
        <f t="shared" ref="G351:G414" si="33">F144</f>
        <v>8.0591273008831621</v>
      </c>
    </row>
    <row r="352" spans="5:7" x14ac:dyDescent="0.25">
      <c r="E352" s="11">
        <f t="shared" si="31"/>
        <v>40</v>
      </c>
      <c r="F352" s="11">
        <f t="shared" si="32"/>
        <v>8.3368835948361451</v>
      </c>
      <c r="G352" s="11">
        <f t="shared" si="33"/>
        <v>8.350508596575251</v>
      </c>
    </row>
    <row r="353" spans="5:7" x14ac:dyDescent="0.25">
      <c r="E353" s="11">
        <f t="shared" si="31"/>
        <v>41</v>
      </c>
      <c r="F353" s="11">
        <f t="shared" si="32"/>
        <v>8.6320815966301634</v>
      </c>
      <c r="G353" s="11">
        <f t="shared" si="33"/>
        <v>8.646438381184046</v>
      </c>
    </row>
    <row r="354" spans="5:7" x14ac:dyDescent="0.25">
      <c r="E354" s="11">
        <f t="shared" si="31"/>
        <v>42</v>
      </c>
      <c r="F354" s="11">
        <f t="shared" si="32"/>
        <v>8.9319876255470909</v>
      </c>
      <c r="G354" s="11">
        <f t="shared" si="33"/>
        <v>8.9468518228659821</v>
      </c>
    </row>
    <row r="355" spans="5:7" x14ac:dyDescent="0.25">
      <c r="E355" s="11">
        <f t="shared" si="31"/>
        <v>43</v>
      </c>
      <c r="F355" s="11">
        <f t="shared" si="32"/>
        <v>9.2365499292001783</v>
      </c>
      <c r="G355" s="11">
        <f t="shared" si="33"/>
        <v>9.2516840897775001</v>
      </c>
    </row>
    <row r="356" spans="5:7" x14ac:dyDescent="0.25">
      <c r="E356" s="11">
        <f t="shared" si="31"/>
        <v>44</v>
      </c>
      <c r="F356" s="11">
        <f t="shared" si="32"/>
        <v>9.5457108692742096</v>
      </c>
      <c r="G356" s="11">
        <f t="shared" si="33"/>
        <v>9.5608703500750352</v>
      </c>
    </row>
    <row r="357" spans="5:7" x14ac:dyDescent="0.25">
      <c r="E357" s="11">
        <f t="shared" si="31"/>
        <v>45</v>
      </c>
      <c r="F357" s="11">
        <f t="shared" si="32"/>
        <v>9.8594073104731201</v>
      </c>
      <c r="G357" s="11">
        <f t="shared" si="33"/>
        <v>9.8743457719150314</v>
      </c>
    </row>
    <row r="358" spans="5:7" x14ac:dyDescent="0.25">
      <c r="E358" s="11">
        <f t="shared" si="31"/>
        <v>46</v>
      </c>
      <c r="F358" s="11">
        <f t="shared" si="32"/>
        <v>10.177571022815719</v>
      </c>
      <c r="G358" s="11">
        <f t="shared" si="33"/>
        <v>10.19204552345392</v>
      </c>
    </row>
    <row r="359" spans="5:7" x14ac:dyDescent="0.25">
      <c r="E359" s="11">
        <f t="shared" si="31"/>
        <v>47</v>
      </c>
      <c r="F359" s="11">
        <f t="shared" si="32"/>
        <v>10.500129095864413</v>
      </c>
      <c r="G359" s="11">
        <f t="shared" si="33"/>
        <v>10.513904772848143</v>
      </c>
    </row>
    <row r="360" spans="5:7" x14ac:dyDescent="0.25">
      <c r="E360" s="11">
        <f t="shared" si="31"/>
        <v>48</v>
      </c>
      <c r="F360" s="11">
        <f t="shared" si="32"/>
        <v>10.827004363410213</v>
      </c>
      <c r="G360" s="11">
        <f t="shared" si="33"/>
        <v>10.839858688254139</v>
      </c>
    </row>
    <row r="361" spans="5:7" x14ac:dyDescent="0.25">
      <c r="E361" s="11">
        <f t="shared" si="31"/>
        <v>49</v>
      </c>
      <c r="F361" s="11">
        <f t="shared" si="32"/>
        <v>11.158115837075826</v>
      </c>
      <c r="G361" s="11">
        <f t="shared" si="33"/>
        <v>11.169842437828347</v>
      </c>
    </row>
    <row r="362" spans="5:7" x14ac:dyDescent="0.25">
      <c r="E362" s="11">
        <f t="shared" si="31"/>
        <v>50</v>
      </c>
      <c r="F362" s="11">
        <f t="shared" si="32"/>
        <v>11.493379147237166</v>
      </c>
      <c r="G362" s="11">
        <f t="shared" si="33"/>
        <v>11.503791189727202</v>
      </c>
    </row>
    <row r="363" spans="5:7" x14ac:dyDescent="0.25">
      <c r="E363" s="11">
        <f t="shared" si="31"/>
        <v>51</v>
      </c>
      <c r="F363" s="11">
        <f t="shared" si="32"/>
        <v>11.832706989601915</v>
      </c>
      <c r="G363" s="11">
        <f t="shared" si="33"/>
        <v>11.841640112107147</v>
      </c>
    </row>
    <row r="364" spans="5:7" x14ac:dyDescent="0.25">
      <c r="E364" s="11">
        <f t="shared" si="31"/>
        <v>52</v>
      </c>
      <c r="F364" s="11">
        <f t="shared" si="32"/>
        <v>12.176009575722503</v>
      </c>
      <c r="G364" s="11">
        <f t="shared" si="33"/>
        <v>12.183324373124615</v>
      </c>
    </row>
    <row r="365" spans="5:7" x14ac:dyDescent="0.25">
      <c r="E365" s="11">
        <f t="shared" si="31"/>
        <v>53</v>
      </c>
      <c r="F365" s="11">
        <f t="shared" si="32"/>
        <v>12.523195085659051</v>
      </c>
      <c r="G365" s="11">
        <f t="shared" si="33"/>
        <v>12.528779140936049</v>
      </c>
    </row>
    <row r="366" spans="5:7" x14ac:dyDescent="0.25">
      <c r="E366" s="11">
        <f t="shared" si="31"/>
        <v>54</v>
      </c>
      <c r="F366" s="11">
        <f t="shared" si="32"/>
        <v>12.874170120946586</v>
      </c>
      <c r="G366" s="11">
        <f t="shared" si="33"/>
        <v>12.877939583697882</v>
      </c>
    </row>
    <row r="367" spans="5:7" x14ac:dyDescent="0.25">
      <c r="E367" s="11">
        <f t="shared" si="31"/>
        <v>55</v>
      </c>
      <c r="F367" s="11">
        <f t="shared" si="32"/>
        <v>13.228840155959075</v>
      </c>
      <c r="G367" s="11">
        <f t="shared" si="33"/>
        <v>13.23074086956656</v>
      </c>
    </row>
    <row r="368" spans="5:7" x14ac:dyDescent="0.25">
      <c r="E368" s="11">
        <f t="shared" si="31"/>
        <v>56</v>
      </c>
      <c r="F368" s="11">
        <f t="shared" si="32"/>
        <v>13.587109985701433</v>
      </c>
      <c r="G368" s="11">
        <f t="shared" si="33"/>
        <v>13.587118166698517</v>
      </c>
    </row>
    <row r="369" spans="5:7" x14ac:dyDescent="0.25">
      <c r="E369" s="11">
        <f t="shared" si="31"/>
        <v>57</v>
      </c>
      <c r="F369" s="11">
        <f t="shared" si="32"/>
        <v>13.948884167999108</v>
      </c>
      <c r="G369" s="11">
        <f t="shared" si="33"/>
        <v>13.947006643250189</v>
      </c>
    </row>
    <row r="370" spans="5:7" x14ac:dyDescent="0.25">
      <c r="E370" s="11">
        <f t="shared" si="31"/>
        <v>58</v>
      </c>
      <c r="F370" s="11">
        <f t="shared" si="32"/>
        <v>14.314067457993314</v>
      </c>
      <c r="G370" s="11">
        <f t="shared" si="33"/>
        <v>14.310341467378018</v>
      </c>
    </row>
    <row r="371" spans="5:7" x14ac:dyDescent="0.25">
      <c r="E371" s="11">
        <f t="shared" si="31"/>
        <v>59</v>
      </c>
      <c r="F371" s="11">
        <f t="shared" si="32"/>
        <v>14.682565232788406</v>
      </c>
      <c r="G371" s="11">
        <f t="shared" si="33"/>
        <v>14.677057807238441</v>
      </c>
    </row>
    <row r="372" spans="5:7" x14ac:dyDescent="0.25">
      <c r="E372" s="11">
        <f t="shared" si="31"/>
        <v>60</v>
      </c>
      <c r="F372" s="11">
        <f t="shared" si="32"/>
        <v>15.05428390403649</v>
      </c>
      <c r="G372" s="11">
        <f t="shared" si="33"/>
        <v>15.047090830987898</v>
      </c>
    </row>
    <row r="373" spans="5:7" x14ac:dyDescent="0.25">
      <c r="E373" s="11">
        <f t="shared" si="31"/>
        <v>61</v>
      </c>
      <c r="F373" s="11">
        <f t="shared" si="32"/>
        <v>15.429131316182684</v>
      </c>
      <c r="G373" s="11">
        <f t="shared" si="33"/>
        <v>15.420375706782824</v>
      </c>
    </row>
    <row r="374" spans="5:7" x14ac:dyDescent="0.25">
      <c r="E374" s="11">
        <f t="shared" si="31"/>
        <v>62</v>
      </c>
      <c r="F374" s="11">
        <f t="shared" si="32"/>
        <v>15.807017128033047</v>
      </c>
      <c r="G374" s="11">
        <f t="shared" si="33"/>
        <v>15.796847602779659</v>
      </c>
    </row>
    <row r="375" spans="5:7" x14ac:dyDescent="0.25">
      <c r="E375" s="11">
        <f t="shared" si="31"/>
        <v>63</v>
      </c>
      <c r="F375" s="11">
        <f t="shared" si="32"/>
        <v>16.187853175245618</v>
      </c>
      <c r="G375" s="11">
        <f t="shared" si="33"/>
        <v>16.17644168713484</v>
      </c>
    </row>
    <row r="376" spans="5:7" x14ac:dyDescent="0.25">
      <c r="E376" s="11">
        <f t="shared" si="31"/>
        <v>64</v>
      </c>
      <c r="F376" s="11">
        <f t="shared" si="32"/>
        <v>16.571553811283401</v>
      </c>
      <c r="G376" s="11">
        <f t="shared" si="33"/>
        <v>16.559093128004811</v>
      </c>
    </row>
    <row r="377" spans="5:7" x14ac:dyDescent="0.25">
      <c r="E377" s="11">
        <f t="shared" si="31"/>
        <v>65</v>
      </c>
      <c r="F377" s="11">
        <f t="shared" si="32"/>
        <v>16.958036224306817</v>
      </c>
      <c r="G377" s="11">
        <f t="shared" si="33"/>
        <v>16.944737093546003</v>
      </c>
    </row>
    <row r="378" spans="5:7" x14ac:dyDescent="0.25">
      <c r="E378" s="11">
        <f t="shared" si="31"/>
        <v>66</v>
      </c>
      <c r="F378" s="11">
        <f t="shared" si="32"/>
        <v>17.347220727421352</v>
      </c>
      <c r="G378" s="11">
        <f t="shared" si="33"/>
        <v>17.333308751914856</v>
      </c>
    </row>
    <row r="379" spans="5:7" x14ac:dyDescent="0.25">
      <c r="E379" s="11">
        <f t="shared" si="31"/>
        <v>67</v>
      </c>
      <c r="F379" s="11">
        <f t="shared" si="32"/>
        <v>17.73903101963484</v>
      </c>
      <c r="G379" s="11">
        <f t="shared" si="33"/>
        <v>17.724743271267815</v>
      </c>
    </row>
    <row r="380" spans="5:7" x14ac:dyDescent="0.25">
      <c r="E380" s="11">
        <f t="shared" si="31"/>
        <v>68</v>
      </c>
      <c r="F380" s="11">
        <f t="shared" si="32"/>
        <v>18.133394414817108</v>
      </c>
      <c r="G380" s="11">
        <f t="shared" si="33"/>
        <v>18.118975819761314</v>
      </c>
    </row>
    <row r="381" spans="5:7" x14ac:dyDescent="0.25">
      <c r="E381" s="11">
        <f t="shared" si="31"/>
        <v>69</v>
      </c>
      <c r="F381" s="11">
        <f t="shared" si="32"/>
        <v>18.530242035893373</v>
      </c>
      <c r="G381" s="11">
        <f t="shared" si="33"/>
        <v>18.515941565551785</v>
      </c>
    </row>
    <row r="382" spans="5:7" x14ac:dyDescent="0.25">
      <c r="E382" s="11">
        <f t="shared" si="31"/>
        <v>70</v>
      </c>
      <c r="F382" s="11">
        <f t="shared" si="32"/>
        <v>18.929508971441003</v>
      </c>
      <c r="G382" s="11">
        <f t="shared" si="33"/>
        <v>18.915575676795676</v>
      </c>
    </row>
    <row r="383" spans="5:7" x14ac:dyDescent="0.25">
      <c r="E383" s="11">
        <f t="shared" si="31"/>
        <v>71</v>
      </c>
      <c r="F383" s="11">
        <f t="shared" si="32"/>
        <v>19.331134391798063</v>
      </c>
      <c r="G383" s="11">
        <f t="shared" si="33"/>
        <v>19.317813321649414</v>
      </c>
    </row>
    <row r="384" spans="5:7" x14ac:dyDescent="0.25">
      <c r="E384" s="11">
        <f t="shared" si="31"/>
        <v>72</v>
      </c>
      <c r="F384" s="11">
        <f t="shared" si="32"/>
        <v>19.73506162173015</v>
      </c>
      <c r="G384" s="11">
        <f t="shared" si="33"/>
        <v>19.722589668269453</v>
      </c>
    </row>
    <row r="385" spans="5:7" x14ac:dyDescent="0.25">
      <c r="E385" s="11">
        <f t="shared" si="31"/>
        <v>73</v>
      </c>
      <c r="F385" s="11">
        <f t="shared" si="32"/>
        <v>20.141238166640893</v>
      </c>
      <c r="G385" s="11">
        <f t="shared" si="33"/>
        <v>20.12983988481222</v>
      </c>
    </row>
    <row r="386" spans="5:7" x14ac:dyDescent="0.25">
      <c r="E386" s="11">
        <f t="shared" si="31"/>
        <v>74</v>
      </c>
      <c r="F386" s="11">
        <f t="shared" si="32"/>
        <v>20.549615689249642</v>
      </c>
      <c r="G386" s="11">
        <f t="shared" si="33"/>
        <v>20.539499139434152</v>
      </c>
    </row>
    <row r="387" spans="5:7" x14ac:dyDescent="0.25">
      <c r="E387" s="11">
        <f t="shared" si="31"/>
        <v>75</v>
      </c>
      <c r="F387" s="11">
        <f t="shared" si="32"/>
        <v>20.960149933598508</v>
      </c>
      <c r="G387" s="11">
        <f t="shared" si="33"/>
        <v>20.951502600291697</v>
      </c>
    </row>
    <row r="388" spans="5:7" x14ac:dyDescent="0.25">
      <c r="E388" s="11">
        <f t="shared" si="31"/>
        <v>76</v>
      </c>
      <c r="F388" s="11">
        <f t="shared" si="32"/>
        <v>21.372800593189442</v>
      </c>
      <c r="G388" s="11">
        <f t="shared" si="33"/>
        <v>21.365785386684774</v>
      </c>
    </row>
    <row r="389" spans="5:7" x14ac:dyDescent="0.25">
      <c r="E389" s="11">
        <f t="shared" si="31"/>
        <v>77</v>
      </c>
      <c r="F389" s="11">
        <f t="shared" si="32"/>
        <v>21.787531119990241</v>
      </c>
      <c r="G389" s="11">
        <f t="shared" si="33"/>
        <v>21.78228242248727</v>
      </c>
    </row>
    <row r="390" spans="5:7" x14ac:dyDescent="0.25">
      <c r="E390" s="11">
        <f t="shared" si="31"/>
        <v>78</v>
      </c>
      <c r="F390" s="11">
        <f t="shared" si="32"/>
        <v>22.20430847098735</v>
      </c>
      <c r="G390" s="11">
        <f t="shared" si="33"/>
        <v>22.20092858271655</v>
      </c>
    </row>
    <row r="391" spans="5:7" x14ac:dyDescent="0.25">
      <c r="E391" s="11">
        <f t="shared" si="31"/>
        <v>79</v>
      </c>
      <c r="F391" s="11">
        <f t="shared" si="32"/>
        <v>22.623102788901051</v>
      </c>
      <c r="G391" s="11">
        <f t="shared" si="33"/>
        <v>22.621658742389986</v>
      </c>
    </row>
    <row r="392" spans="5:7" x14ac:dyDescent="0.25">
      <c r="E392" s="11">
        <f t="shared" si="31"/>
        <v>80</v>
      </c>
      <c r="F392" s="11">
        <f t="shared" si="32"/>
        <v>23.043887013618065</v>
      </c>
      <c r="G392" s="11">
        <f t="shared" si="33"/>
        <v>23.044407776524949</v>
      </c>
    </row>
    <row r="393" spans="5:7" x14ac:dyDescent="0.25">
      <c r="E393" s="11">
        <f t="shared" si="31"/>
        <v>81</v>
      </c>
      <c r="F393" s="11">
        <f t="shared" si="32"/>
        <v>23.466636420834018</v>
      </c>
      <c r="G393" s="11">
        <f t="shared" si="33"/>
        <v>23.469110560138809</v>
      </c>
    </row>
    <row r="394" spans="5:7" x14ac:dyDescent="0.25">
      <c r="E394" s="11">
        <f t="shared" si="31"/>
        <v>82</v>
      </c>
      <c r="F394" s="11">
        <f t="shared" si="32"/>
        <v>23.891328084337658</v>
      </c>
      <c r="G394" s="11">
        <f t="shared" si="33"/>
        <v>23.895701968248936</v>
      </c>
    </row>
    <row r="395" spans="5:7" x14ac:dyDescent="0.25">
      <c r="E395" s="11">
        <f t="shared" si="31"/>
        <v>83</v>
      </c>
      <c r="F395" s="11">
        <f t="shared" si="32"/>
        <v>24.317940258306471</v>
      </c>
      <c r="G395" s="11">
        <f t="shared" si="33"/>
        <v>24.324116875872694</v>
      </c>
    </row>
    <row r="396" spans="5:7" x14ac:dyDescent="0.25">
      <c r="E396" s="11">
        <f t="shared" si="31"/>
        <v>84</v>
      </c>
      <c r="F396" s="11">
        <f t="shared" si="32"/>
        <v>24.746451675922227</v>
      </c>
      <c r="G396" s="11">
        <f t="shared" si="33"/>
        <v>24.754290158027462</v>
      </c>
    </row>
    <row r="397" spans="5:7" x14ac:dyDescent="0.25">
      <c r="E397" s="11">
        <f t="shared" si="31"/>
        <v>85</v>
      </c>
      <c r="F397" s="11">
        <f t="shared" si="32"/>
        <v>25.176840760553258</v>
      </c>
      <c r="G397" s="11">
        <f t="shared" si="33"/>
        <v>25.186156689730609</v>
      </c>
    </row>
    <row r="398" spans="5:7" x14ac:dyDescent="0.25">
      <c r="E398" s="11">
        <f t="shared" si="31"/>
        <v>86</v>
      </c>
      <c r="F398" s="11">
        <f t="shared" si="32"/>
        <v>25.609084745688921</v>
      </c>
      <c r="G398" s="11">
        <f t="shared" si="33"/>
        <v>25.6196513459995</v>
      </c>
    </row>
    <row r="399" spans="5:7" x14ac:dyDescent="0.25">
      <c r="E399" s="11">
        <f t="shared" si="31"/>
        <v>87</v>
      </c>
      <c r="F399" s="11">
        <f t="shared" si="32"/>
        <v>26.043158699749952</v>
      </c>
      <c r="G399" s="11">
        <f t="shared" si="33"/>
        <v>26.054709001851514</v>
      </c>
    </row>
    <row r="400" spans="5:7" x14ac:dyDescent="0.25">
      <c r="E400" s="11">
        <f t="shared" si="31"/>
        <v>88</v>
      </c>
      <c r="F400" s="11">
        <f t="shared" si="32"/>
        <v>26.479034451837062</v>
      </c>
      <c r="G400" s="11">
        <f t="shared" si="33"/>
        <v>26.491264532304008</v>
      </c>
    </row>
    <row r="401" spans="5:7" x14ac:dyDescent="0.25">
      <c r="E401" s="11">
        <f t="shared" si="31"/>
        <v>89</v>
      </c>
      <c r="F401" s="11">
        <f t="shared" si="32"/>
        <v>26.916679414418592</v>
      </c>
      <c r="G401" s="11">
        <f t="shared" si="33"/>
        <v>26.929252812374365</v>
      </c>
    </row>
    <row r="402" spans="5:7" x14ac:dyDescent="0.25">
      <c r="E402" s="11">
        <f t="shared" si="31"/>
        <v>90</v>
      </c>
      <c r="F402" s="11">
        <f t="shared" si="32"/>
        <v>27.356055298896344</v>
      </c>
      <c r="G402" s="11">
        <f t="shared" si="33"/>
        <v>27.368608717079947</v>
      </c>
    </row>
    <row r="403" spans="5:7" x14ac:dyDescent="0.25">
      <c r="E403" s="11">
        <f t="shared" si="31"/>
        <v>91</v>
      </c>
      <c r="F403" s="11">
        <f t="shared" si="32"/>
        <v>27.797116719927487</v>
      </c>
      <c r="G403" s="11">
        <f t="shared" si="33"/>
        <v>27.809267121438126</v>
      </c>
    </row>
    <row r="404" spans="5:7" x14ac:dyDescent="0.25">
      <c r="E404" s="11">
        <f t="shared" si="31"/>
        <v>92</v>
      </c>
      <c r="F404" s="11">
        <f t="shared" si="32"/>
        <v>28.239809684318566</v>
      </c>
      <c r="G404" s="11">
        <f t="shared" si="33"/>
        <v>28.251162900466269</v>
      </c>
    </row>
    <row r="405" spans="5:7" x14ac:dyDescent="0.25">
      <c r="E405" s="11">
        <f t="shared" si="31"/>
        <v>93</v>
      </c>
      <c r="F405" s="11">
        <f t="shared" si="32"/>
        <v>28.684069960246418</v>
      </c>
      <c r="G405" s="11">
        <f t="shared" si="33"/>
        <v>28.694230929181757</v>
      </c>
    </row>
    <row r="406" spans="5:7" x14ac:dyDescent="0.25">
      <c r="E406" s="11">
        <f t="shared" si="31"/>
        <v>94</v>
      </c>
      <c r="F406" s="11">
        <f t="shared" si="32"/>
        <v>29.129821322498998</v>
      </c>
      <c r="G406" s="11">
        <f t="shared" si="33"/>
        <v>29.138406082601954</v>
      </c>
    </row>
    <row r="407" spans="5:7" x14ac:dyDescent="0.25">
      <c r="E407" s="11">
        <f t="shared" si="31"/>
        <v>95</v>
      </c>
      <c r="F407" s="11">
        <f t="shared" si="32"/>
        <v>29.576973669367881</v>
      </c>
      <c r="G407" s="11">
        <f t="shared" si="33"/>
        <v>29.583623235744223</v>
      </c>
    </row>
    <row r="408" spans="5:7" x14ac:dyDescent="0.25">
      <c r="E408" s="11">
        <f t="shared" si="31"/>
        <v>96</v>
      </c>
      <c r="F408" s="11">
        <f t="shared" si="32"/>
        <v>30.025421006762478</v>
      </c>
      <c r="G408" s="11">
        <f t="shared" si="33"/>
        <v>30.029817263625944</v>
      </c>
    </row>
    <row r="409" spans="5:7" x14ac:dyDescent="0.25">
      <c r="E409" s="11">
        <f t="shared" si="31"/>
        <v>97</v>
      </c>
      <c r="F409" s="11">
        <f t="shared" si="32"/>
        <v>30.47503929505438</v>
      </c>
      <c r="G409" s="11">
        <f t="shared" si="33"/>
        <v>30.476923041264484</v>
      </c>
    </row>
    <row r="410" spans="5:7" x14ac:dyDescent="0.25">
      <c r="E410" s="11">
        <f t="shared" si="31"/>
        <v>98</v>
      </c>
      <c r="F410" s="11">
        <f t="shared" si="32"/>
        <v>30.925684154099201</v>
      </c>
      <c r="G410" s="11">
        <f t="shared" si="33"/>
        <v>30.924875443677209</v>
      </c>
    </row>
    <row r="411" spans="5:7" x14ac:dyDescent="0.25">
      <c r="E411" s="11">
        <f t="shared" si="31"/>
        <v>99</v>
      </c>
      <c r="F411" s="11">
        <f t="shared" si="32"/>
        <v>31.377188421821167</v>
      </c>
      <c r="G411" s="11">
        <f t="shared" si="33"/>
        <v>31.373609345881494</v>
      </c>
    </row>
    <row r="412" spans="5:7" x14ac:dyDescent="0.25">
      <c r="E412" s="11">
        <f t="shared" si="31"/>
        <v>100</v>
      </c>
      <c r="F412" s="11">
        <f t="shared" si="32"/>
        <v>31.829359561684427</v>
      </c>
      <c r="G412" s="11">
        <f t="shared" si="33"/>
        <v>31.823059622894707</v>
      </c>
    </row>
    <row r="413" spans="5:7" x14ac:dyDescent="0.25">
      <c r="E413" s="11">
        <f t="shared" si="31"/>
        <v>101</v>
      </c>
      <c r="F413" s="11">
        <f t="shared" si="32"/>
        <v>32.281976914313773</v>
      </c>
      <c r="G413" s="11">
        <f t="shared" si="33"/>
        <v>32.273161149734221</v>
      </c>
    </row>
    <row r="414" spans="5:7" x14ac:dyDescent="0.25">
      <c r="E414" s="11">
        <f t="shared" si="31"/>
        <v>102</v>
      </c>
      <c r="F414" s="11">
        <f t="shared" si="32"/>
        <v>32.734788788465494</v>
      </c>
      <c r="G414" s="11">
        <f t="shared" si="33"/>
        <v>32.723848801417404</v>
      </c>
    </row>
    <row r="415" spans="5:7" x14ac:dyDescent="0.25">
      <c r="E415" s="11">
        <f t="shared" ref="E415:E422" si="34">E208</f>
        <v>103</v>
      </c>
      <c r="F415" s="11">
        <f t="shared" ref="F415:F422" si="35">$H$217*0+E415*$I$217+E415^2*$J$217+E415^3*$K$217+E415^4*$L$217+E415^5*$M$217+E415^6*$N$217+E415^7*$O$217+E415^8*$P$217</f>
        <v>33.187509386487925</v>
      </c>
      <c r="G415" s="11">
        <f t="shared" ref="G415:G422" si="36">F208</f>
        <v>33.175057452961624</v>
      </c>
    </row>
    <row r="416" spans="5:7" x14ac:dyDescent="0.25">
      <c r="E416" s="11">
        <f t="shared" si="34"/>
        <v>104</v>
      </c>
      <c r="F416" s="11">
        <f t="shared" si="35"/>
        <v>33.639815559349479</v>
      </c>
      <c r="G416" s="11">
        <f t="shared" si="36"/>
        <v>33.62672197938425</v>
      </c>
    </row>
    <row r="417" spans="5:7" x14ac:dyDescent="0.25">
      <c r="E417" s="11">
        <f t="shared" si="34"/>
        <v>105</v>
      </c>
      <c r="F417" s="11">
        <f t="shared" si="35"/>
        <v>34.091343386250472</v>
      </c>
      <c r="G417" s="11">
        <f t="shared" si="36"/>
        <v>34.078777255702661</v>
      </c>
    </row>
    <row r="418" spans="5:7" x14ac:dyDescent="0.25">
      <c r="E418" s="11">
        <f t="shared" si="34"/>
        <v>106</v>
      </c>
      <c r="F418" s="11">
        <f t="shared" si="35"/>
        <v>34.541684573773892</v>
      </c>
      <c r="G418" s="11">
        <f t="shared" si="36"/>
        <v>34.531158156934218</v>
      </c>
    </row>
    <row r="419" spans="5:7" x14ac:dyDescent="0.25">
      <c r="E419" s="11">
        <f t="shared" si="34"/>
        <v>107</v>
      </c>
      <c r="F419" s="11">
        <f t="shared" si="35"/>
        <v>34.990382669467834</v>
      </c>
      <c r="G419" s="11">
        <f t="shared" si="36"/>
        <v>34.983799558096301</v>
      </c>
    </row>
    <row r="420" spans="5:7" x14ac:dyDescent="0.25">
      <c r="E420" s="11">
        <f t="shared" si="34"/>
        <v>108</v>
      </c>
      <c r="F420" s="11">
        <f t="shared" si="35"/>
        <v>35.436929084692181</v>
      </c>
      <c r="G420" s="11">
        <f t="shared" si="36"/>
        <v>35.43663633420627</v>
      </c>
    </row>
    <row r="421" spans="5:7" x14ac:dyDescent="0.25">
      <c r="E421" s="11">
        <f t="shared" si="34"/>
        <v>109</v>
      </c>
      <c r="F421" s="11">
        <f t="shared" si="35"/>
        <v>35.880758921498924</v>
      </c>
      <c r="G421" s="11">
        <f t="shared" si="36"/>
        <v>35.889603360281491</v>
      </c>
    </row>
    <row r="422" spans="5:7" x14ac:dyDescent="0.25">
      <c r="E422" s="11">
        <f t="shared" si="34"/>
        <v>110</v>
      </c>
      <c r="F422" s="11">
        <f t="shared" si="35"/>
        <v>36.321246598255719</v>
      </c>
      <c r="G422" s="11">
        <f t="shared" si="36"/>
        <v>36.342635511339353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2022-01-08T10:07:38Z</dcterms:modified>
</cp:coreProperties>
</file>