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O29" i="11"/>
  <c r="N29" i="11"/>
  <c r="P29" i="11" s="1"/>
  <c r="O28" i="11"/>
  <c r="N28" i="11"/>
  <c r="P28" i="11" s="1"/>
  <c r="P27" i="11"/>
  <c r="O27" i="11"/>
  <c r="N27" i="11"/>
  <c r="O26" i="11"/>
  <c r="N26" i="11"/>
  <c r="O25" i="11"/>
  <c r="P25" i="11" s="1"/>
  <c r="N25" i="11"/>
  <c r="O24" i="11"/>
  <c r="N24" i="11"/>
  <c r="P24" i="11" s="1"/>
  <c r="O23" i="11"/>
  <c r="N23" i="11"/>
  <c r="P23" i="11" s="1"/>
  <c r="O22" i="11"/>
  <c r="N22" i="11"/>
  <c r="P21" i="11"/>
  <c r="O21" i="11"/>
  <c r="N21" i="11"/>
  <c r="O20" i="11"/>
  <c r="N20" i="11"/>
  <c r="O19" i="11"/>
  <c r="N19" i="11"/>
  <c r="P19" i="11" s="1"/>
  <c r="O18" i="11"/>
  <c r="N18" i="11"/>
  <c r="P18" i="11" s="1"/>
  <c r="O17" i="11"/>
  <c r="N17" i="11"/>
  <c r="P17" i="11" s="1"/>
  <c r="O16" i="11"/>
  <c r="N16" i="11"/>
  <c r="P16" i="11" s="1"/>
  <c r="P15" i="11"/>
  <c r="O15" i="11"/>
  <c r="N15" i="11"/>
  <c r="O14" i="11"/>
  <c r="N14" i="11"/>
  <c r="O13" i="11"/>
  <c r="N13" i="11"/>
  <c r="P13" i="11" s="1"/>
  <c r="O12" i="11"/>
  <c r="N12" i="11"/>
  <c r="P12" i="11" s="1"/>
  <c r="O11" i="11"/>
  <c r="N11" i="11"/>
  <c r="P11" i="11" s="1"/>
  <c r="O10" i="11"/>
  <c r="N10" i="11"/>
  <c r="P9" i="11"/>
  <c r="O9" i="11"/>
  <c r="N9" i="11"/>
  <c r="O8" i="11"/>
  <c r="N8" i="11"/>
  <c r="O7" i="11"/>
  <c r="N7" i="11"/>
  <c r="P7" i="11" s="1"/>
  <c r="O6" i="11"/>
  <c r="N6" i="11"/>
  <c r="P6" i="11" s="1"/>
  <c r="O5" i="11"/>
  <c r="N5" i="11"/>
  <c r="P5" i="11" s="1"/>
  <c r="O4" i="11"/>
  <c r="N4" i="11"/>
  <c r="P4" i="11" s="1"/>
  <c r="P3" i="11"/>
  <c r="O3" i="11"/>
  <c r="N3" i="11"/>
  <c r="P14" i="11" l="1"/>
  <c r="P26"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P5" i="37" s="1"/>
  <c r="B30" i="39" s="1"/>
  <c r="R6" i="37"/>
  <c r="R7" i="37"/>
  <c r="P6" i="37" s="1"/>
  <c r="B31" i="39" s="1"/>
  <c r="R8" i="37"/>
  <c r="R9" i="37"/>
  <c r="P7" i="37" s="1"/>
  <c r="R10" i="37"/>
  <c r="R11" i="37"/>
  <c r="P8" i="37" s="1"/>
  <c r="B32" i="39" s="1"/>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E403" i="43"/>
  <c r="H403" i="43"/>
  <c r="D403" i="43"/>
  <c r="C403" i="43"/>
  <c r="B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11" i="43"/>
  <c r="D416" i="43"/>
  <c r="D423" i="43"/>
  <c r="D428" i="43"/>
  <c r="D404" i="43"/>
  <c r="D431" i="43"/>
  <c r="D415" i="43"/>
  <c r="D424" i="43"/>
  <c r="D433" i="43"/>
  <c r="D409" i="43"/>
  <c r="D421" i="43"/>
  <c r="D434" i="43"/>
  <c r="D410" i="43"/>
  <c r="D420" i="43"/>
  <c r="D405" i="43"/>
  <c r="D413" i="43"/>
  <c r="D407" i="43"/>
  <c r="D414" i="43"/>
  <c r="D418" i="43"/>
  <c r="D425" i="43"/>
  <c r="D427" i="43"/>
  <c r="D429" i="43"/>
  <c r="D432" i="43"/>
  <c r="D412" i="43"/>
  <c r="D422" i="43"/>
  <c r="D408" i="43"/>
  <c r="H434" i="43"/>
  <c r="H418" i="43"/>
  <c r="H415" i="43"/>
  <c r="H410" i="43"/>
  <c r="H424" i="43"/>
  <c r="H405" i="43"/>
  <c r="H413" i="43"/>
  <c r="H409" i="43"/>
  <c r="H421" i="43"/>
  <c r="H433" i="43"/>
  <c r="H408" i="43"/>
  <c r="H420" i="43"/>
  <c r="H417" i="43"/>
  <c r="H414" i="43"/>
  <c r="H430" i="43"/>
  <c r="H423" i="43"/>
  <c r="H416" i="43"/>
  <c r="H404" i="43"/>
  <c r="H427" i="43"/>
  <c r="H422" i="43"/>
  <c r="H428" i="43"/>
  <c r="H426" i="43"/>
  <c r="H432" i="43"/>
  <c r="H412" i="43"/>
  <c r="H425" i="43"/>
  <c r="H407" i="43"/>
  <c r="H419" i="43"/>
  <c r="H431" i="43"/>
  <c r="H411" i="43"/>
  <c r="H429" i="43"/>
  <c r="H406" i="43"/>
  <c r="E405" i="43"/>
  <c r="E408" i="43"/>
  <c r="E413" i="43"/>
  <c r="E415" i="43"/>
  <c r="E424" i="43"/>
  <c r="E433" i="43"/>
  <c r="E427" i="43"/>
  <c r="E410" i="43"/>
  <c r="E406" i="43"/>
  <c r="E417" i="43"/>
  <c r="E419" i="43"/>
  <c r="E426" i="43"/>
  <c r="E430" i="43"/>
  <c r="E411" i="43"/>
  <c r="E416" i="43"/>
  <c r="E423" i="43"/>
  <c r="E404" i="43"/>
  <c r="E429" i="43"/>
  <c r="E420" i="43"/>
  <c r="E431" i="43"/>
  <c r="E434" i="43"/>
  <c r="E418" i="43"/>
  <c r="E425" i="43"/>
  <c r="E422" i="43"/>
  <c r="E412" i="43"/>
  <c r="E421" i="43"/>
  <c r="E409" i="43"/>
  <c r="E432" i="43"/>
  <c r="E407" i="43"/>
  <c r="E428" i="43"/>
  <c r="E414" i="43"/>
  <c r="C406" i="43"/>
  <c r="C423" i="43"/>
  <c r="C428" i="43"/>
  <c r="C404" i="43"/>
  <c r="C419" i="43"/>
  <c r="C409" i="43"/>
  <c r="C421" i="43"/>
  <c r="C434" i="43"/>
  <c r="C407" i="43"/>
  <c r="C414" i="43"/>
  <c r="C418" i="43"/>
  <c r="C425" i="43"/>
  <c r="C427" i="43"/>
  <c r="C429" i="43"/>
  <c r="C432" i="43"/>
  <c r="C415" i="43"/>
  <c r="C424" i="43"/>
  <c r="C426" i="43"/>
  <c r="C410" i="43"/>
  <c r="C412" i="43"/>
  <c r="C420" i="43"/>
  <c r="C422" i="43"/>
  <c r="C431" i="43"/>
  <c r="C405" i="43"/>
  <c r="C408" i="43"/>
  <c r="C433" i="43"/>
  <c r="C417" i="43"/>
  <c r="C430" i="43"/>
  <c r="C413" i="43"/>
  <c r="C411" i="43"/>
  <c r="C416" i="43"/>
  <c r="G410" i="43"/>
  <c r="G413" i="43"/>
  <c r="G431" i="43"/>
  <c r="G416" i="43"/>
  <c r="G434" i="43"/>
  <c r="G428" i="43"/>
  <c r="G429" i="43"/>
  <c r="G411" i="43"/>
  <c r="G427" i="43"/>
  <c r="G409" i="43"/>
  <c r="G405" i="43"/>
  <c r="G421" i="43"/>
  <c r="G404" i="43"/>
  <c r="G422" i="43"/>
  <c r="G426" i="43"/>
  <c r="G408" i="43"/>
  <c r="G424" i="43"/>
  <c r="G406" i="43"/>
  <c r="G419" i="43"/>
  <c r="G423" i="43"/>
  <c r="G407" i="43"/>
  <c r="G420" i="43"/>
  <c r="G418" i="43"/>
  <c r="G430" i="43"/>
  <c r="G417" i="43"/>
  <c r="G433" i="43"/>
  <c r="G415" i="43"/>
  <c r="G425" i="43"/>
  <c r="G432" i="43"/>
  <c r="G414" i="43"/>
  <c r="G412" i="43"/>
  <c r="B405" i="43"/>
  <c r="B424" i="43"/>
  <c r="B425" i="43"/>
  <c r="B413" i="43"/>
  <c r="B414" i="43"/>
  <c r="B408" i="43"/>
  <c r="B407" i="43"/>
  <c r="B427" i="43"/>
  <c r="B415" i="43"/>
  <c r="B417" i="43"/>
  <c r="B409" i="43"/>
  <c r="B406" i="43"/>
  <c r="B429" i="43"/>
  <c r="B411" i="43"/>
  <c r="B416" i="43"/>
  <c r="B432" i="43"/>
  <c r="B404" i="43"/>
  <c r="B428" i="43"/>
  <c r="B410" i="43"/>
  <c r="B431" i="43"/>
  <c r="B420" i="43"/>
  <c r="B434" i="43"/>
  <c r="B430" i="43"/>
  <c r="B423" i="43"/>
  <c r="B418" i="43"/>
  <c r="B419" i="43"/>
  <c r="B433" i="43"/>
  <c r="B426" i="43"/>
  <c r="B421" i="43"/>
  <c r="B422" i="43"/>
  <c r="B412" i="43"/>
  <c r="F415" i="43"/>
  <c r="F410" i="43"/>
  <c r="F420" i="43"/>
  <c r="F431" i="43"/>
  <c r="F434" i="43"/>
  <c r="F427" i="43"/>
  <c r="F424" i="43"/>
  <c r="F419" i="43"/>
  <c r="F430" i="43"/>
  <c r="F416" i="43"/>
  <c r="F423" i="43"/>
  <c r="F404" i="43"/>
  <c r="F421" i="43"/>
  <c r="F425" i="43"/>
  <c r="F426" i="43"/>
  <c r="F412" i="43"/>
  <c r="F432" i="43"/>
  <c r="F418" i="43"/>
  <c r="F417" i="43"/>
  <c r="F414" i="43"/>
  <c r="F422" i="43"/>
  <c r="F411" i="43"/>
  <c r="F405" i="43"/>
  <c r="F409"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D169" i="43"/>
  <c r="K406" i="43"/>
  <c r="Y169" i="43"/>
  <c r="K427" i="43"/>
  <c r="G208" i="43"/>
  <c r="K409" i="43"/>
  <c r="Z169" i="43"/>
  <c r="K428" i="43"/>
  <c r="N169" i="43"/>
  <c r="K416" i="43"/>
  <c r="H169" i="43"/>
  <c r="K410" i="43"/>
  <c r="K208" i="43"/>
  <c r="K413" i="43"/>
  <c r="AD169" i="43"/>
  <c r="K432" i="43"/>
  <c r="R169" i="43"/>
  <c r="K420" i="43"/>
  <c r="L169" i="43"/>
  <c r="K414" i="43"/>
  <c r="F169" i="43"/>
  <c r="K408"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M247" i="43"/>
  <c r="L415" i="43"/>
  <c r="D247" i="43"/>
  <c r="L406" i="43"/>
  <c r="V247" i="43"/>
  <c r="L424" i="43"/>
  <c r="AE247" i="43"/>
  <c r="L433" i="43"/>
  <c r="AD130" i="43"/>
  <c r="J432" i="43"/>
  <c r="AC130" i="43"/>
  <c r="J431" i="43"/>
  <c r="I130" i="43"/>
  <c r="J411" i="43"/>
  <c r="M130" i="43"/>
  <c r="J415" i="43"/>
  <c r="AE130" i="43"/>
  <c r="J433"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G130" i="43"/>
  <c r="J409" i="43"/>
  <c r="T130" i="43"/>
  <c r="J422" i="43"/>
  <c r="X130" i="43"/>
  <c r="J426" i="43"/>
  <c r="J130" i="43"/>
  <c r="J412" i="43"/>
  <c r="C130" i="43"/>
  <c r="J405" i="43"/>
  <c r="V130" i="43"/>
  <c r="J424"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<sst xmlns="http://schemas.openxmlformats.org/spreadsheetml/2006/main" count="311" uniqueCount="164">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</sst>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-5.8877197142857146E-4</c:v>
                </c:pt>
                <c:pt idx="1">
                  <c:v>-5.8876137142857153E-4</c:v>
                </c:pt>
                <c:pt idx="2">
                  <c:v>-5.8876434285714293E-4</c:v>
                </c:pt>
                <c:pt idx="3">
                  <c:v>-5.8876520000000006E-4</c:v>
                </c:pt>
                <c:pt idx="4">
                  <c:v>-5.8876548571428573E-4</c:v>
                </c:pt>
                <c:pt idx="5">
                  <c:v>-5.8876557142857144E-4</c:v>
                </c:pt>
                <c:pt idx="6">
                  <c:v>-5.8876560000000009E-4</c:v>
                </c:pt>
                <c:pt idx="7">
                  <c:v>-5.8876562857142862E-4</c:v>
                </c:pt>
                <c:pt idx="8">
                  <c:v>-5.8876562857142862E-4</c:v>
                </c:pt>
                <c:pt idx="9">
                  <c:v>-5.8876574285714287E-4</c:v>
                </c:pt>
                <c:pt idx="10">
                  <c:v>-5.8876685714285724E-4</c:v>
                </c:pt>
                <c:pt idx="11">
                  <c:v>-5.8877782857142866E-4</c:v>
                </c:pt>
                <c:pt idx="12">
                  <c:v>-5.8888685714285718E-4</c:v>
                </c:pt>
                <c:pt idx="13">
                  <c:v>-5.8992980000000005E-4</c:v>
                </c:pt>
                <c:pt idx="14">
                  <c:v>-5.9760871428571425E-4</c:v>
                </c:pt>
                <c:pt idx="15">
                  <c:v>-6.1165974285714295E-4</c:v>
                </c:pt>
                <c:pt idx="16">
                  <c:v>-6.217541714285715E-4</c:v>
                </c:pt>
                <c:pt idx="17">
                  <c:v>-6.3232454285714289E-4</c:v>
                </c:pt>
                <c:pt idx="18">
                  <c:v>-6.4453840000000008E-4</c:v>
                </c:pt>
                <c:pt idx="19">
                  <c:v>-6.5914294285714299E-4</c:v>
                </c:pt>
                <c:pt idx="20">
                  <c:v>-6.8338014285714292E-4</c:v>
                </c:pt>
                <c:pt idx="21">
                  <c:v>-7.3237931428571433E-4</c:v>
                </c:pt>
                <c:pt idx="22">
                  <c:v>-8.0223320000000003E-4</c:v>
                </c:pt>
                <c:pt idx="23">
                  <c:v>-8.7572668571428566E-4</c:v>
                </c:pt>
                <c:pt idx="24">
                  <c:v>-9.4835420000000006E-4</c:v>
                </c:pt>
                <c:pt idx="25">
                  <c:v>-1.0240924285714287E-3</c:v>
                </c:pt>
                <c:pt idx="26">
                  <c:v>-1.1011418E-3</c:v>
                </c:pt>
                <c:pt idx="27">
                  <c:v>-1.1713409714285714E-3</c:v>
                </c:pt>
                <c:pt idx="28">
                  <c:v>-1.2363355714285714E-3</c:v>
                </c:pt>
                <c:pt idx="29">
                  <c:v>-1.3030356000000001E-3</c:v>
                </c:pt>
                <c:pt idx="30">
                  <c:v>-1.3688019142857144E-3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-5.9160908571428571E-4</c:v>
                </c:pt>
                <c:pt idx="1">
                  <c:v>-5.9159825714285717E-4</c:v>
                </c:pt>
                <c:pt idx="2">
                  <c:v>-5.9160122857142858E-4</c:v>
                </c:pt>
                <c:pt idx="3">
                  <c:v>-5.9160217142857153E-4</c:v>
                </c:pt>
                <c:pt idx="4">
                  <c:v>-5.9160320000000008E-4</c:v>
                </c:pt>
                <c:pt idx="5">
                  <c:v>-5.9161108571428574E-4</c:v>
                </c:pt>
                <c:pt idx="6">
                  <c:v>-5.9168837142857143E-4</c:v>
                </c:pt>
                <c:pt idx="7">
                  <c:v>-5.9243437142857147E-4</c:v>
                </c:pt>
                <c:pt idx="8">
                  <c:v>-5.9841365714285717E-4</c:v>
                </c:pt>
                <c:pt idx="9">
                  <c:v>-6.1306185714285716E-4</c:v>
                </c:pt>
                <c:pt idx="10">
                  <c:v>-6.2334308571428576E-4</c:v>
                </c:pt>
                <c:pt idx="11">
                  <c:v>-6.3367045714285723E-4</c:v>
                </c:pt>
                <c:pt idx="12">
                  <c:v>-6.4572300000000007E-4</c:v>
                </c:pt>
                <c:pt idx="13">
                  <c:v>-6.5901885714285716E-4</c:v>
                </c:pt>
                <c:pt idx="14">
                  <c:v>-6.7475328571428572E-4</c:v>
                </c:pt>
                <c:pt idx="15">
                  <c:v>-6.9269217142857149E-4</c:v>
                </c:pt>
                <c:pt idx="16">
                  <c:v>-7.1229297142857138E-4</c:v>
                </c:pt>
                <c:pt idx="17">
                  <c:v>-7.3301334285714298E-4</c:v>
                </c:pt>
                <c:pt idx="18">
                  <c:v>-7.6305660000000001E-4</c:v>
                </c:pt>
                <c:pt idx="19">
                  <c:v>-8.2490088571428571E-4</c:v>
                </c:pt>
                <c:pt idx="20">
                  <c:v>-9.2024928571428583E-4</c:v>
                </c:pt>
                <c:pt idx="21">
                  <c:v>-1.0236987142857143E-3</c:v>
                </c:pt>
                <c:pt idx="22">
                  <c:v>-1.1206177714285716E-3</c:v>
                </c:pt>
                <c:pt idx="23">
                  <c:v>-1.2143814285714286E-3</c:v>
                </c:pt>
                <c:pt idx="24">
                  <c:v>-1.3023213714285717E-3</c:v>
                </c:pt>
                <c:pt idx="25">
                  <c:v>-1.3911255428571429E-3</c:v>
                </c:pt>
                <c:pt idx="26">
                  <c:v>-1.4851434571428572E-3</c:v>
                </c:pt>
                <c:pt idx="27">
                  <c:v>-1.5992756571428573E-3</c:v>
                </c:pt>
                <c:pt idx="28">
                  <c:v>-1.7374714000000003E-3</c:v>
                </c:pt>
                <c:pt idx="29">
                  <c:v>-1.9202233714285717E-3</c:v>
                </c:pt>
                <c:pt idx="30">
                  <c:v>-2.1752863428571431E-3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-5.934536285714286E-4</c:v>
                </c:pt>
                <c:pt idx="1">
                  <c:v>-5.9344317142857146E-4</c:v>
                </c:pt>
                <c:pt idx="2">
                  <c:v>-5.9345080000000009E-4</c:v>
                </c:pt>
                <c:pt idx="3">
                  <c:v>-5.9349871428571437E-4</c:v>
                </c:pt>
                <c:pt idx="4">
                  <c:v>-5.9395762857142862E-4</c:v>
                </c:pt>
                <c:pt idx="5">
                  <c:v>-5.9794577142857142E-4</c:v>
                </c:pt>
                <c:pt idx="6">
                  <c:v>-6.1261734285714294E-4</c:v>
                </c:pt>
                <c:pt idx="7">
                  <c:v>-6.2334517142857151E-4</c:v>
                </c:pt>
                <c:pt idx="8">
                  <c:v>-6.3342908571428574E-4</c:v>
                </c:pt>
                <c:pt idx="9">
                  <c:v>-6.4530211428571441E-4</c:v>
                </c:pt>
                <c:pt idx="10">
                  <c:v>-6.5823382857142863E-4</c:v>
                </c:pt>
                <c:pt idx="11">
                  <c:v>-6.735650000000001E-4</c:v>
                </c:pt>
                <c:pt idx="12">
                  <c:v>-6.9111602857142862E-4</c:v>
                </c:pt>
                <c:pt idx="13">
                  <c:v>-7.1057262857142855E-4</c:v>
                </c:pt>
                <c:pt idx="14">
                  <c:v>-7.3035582857142861E-4</c:v>
                </c:pt>
                <c:pt idx="15">
                  <c:v>-7.5229188571428575E-4</c:v>
                </c:pt>
                <c:pt idx="16">
                  <c:v>-7.8178842857142862E-4</c:v>
                </c:pt>
                <c:pt idx="17">
                  <c:v>-8.2380834285714283E-4</c:v>
                </c:pt>
                <c:pt idx="18">
                  <c:v>-8.9115057142857151E-4</c:v>
                </c:pt>
                <c:pt idx="19">
                  <c:v>-9.8592488571428577E-4</c:v>
                </c:pt>
                <c:pt idx="20">
                  <c:v>-1.0965926E-3</c:v>
                </c:pt>
                <c:pt idx="21">
                  <c:v>-1.2054398E-3</c:v>
                </c:pt>
                <c:pt idx="22">
                  <c:v>-1.3127762000000002E-3</c:v>
                </c:pt>
                <c:pt idx="23">
                  <c:v>-1.4189503714285715E-3</c:v>
                </c:pt>
                <c:pt idx="24">
                  <c:v>-1.5404469428571428E-3</c:v>
                </c:pt>
                <c:pt idx="25">
                  <c:v>-1.6803034285714285E-3</c:v>
                </c:pt>
                <c:pt idx="26">
                  <c:v>-1.8581241142857144E-3</c:v>
                </c:pt>
                <c:pt idx="27">
                  <c:v>-2.0974273428571431E-3</c:v>
                </c:pt>
                <c:pt idx="28">
                  <c:v>-2.4615841142857147E-3</c:v>
                </c:pt>
                <c:pt idx="29">
                  <c:v>-3.0629088571428572E-3</c:v>
                </c:pt>
                <c:pt idx="30">
                  <c:v>-4.0903985714285714E-3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-5.9536148571428572E-4</c:v>
                </c:pt>
                <c:pt idx="1">
                  <c:v>-5.9543777142857151E-4</c:v>
                </c:pt>
                <c:pt idx="2">
                  <c:v>-5.9628371428571431E-4</c:v>
                </c:pt>
                <c:pt idx="3">
                  <c:v>-6.0286894285714295E-4</c:v>
                </c:pt>
                <c:pt idx="4">
                  <c:v>-6.1746420000000004E-4</c:v>
                </c:pt>
                <c:pt idx="5">
                  <c:v>-6.2775097142857153E-4</c:v>
                </c:pt>
                <c:pt idx="6">
                  <c:v>-6.3823085714285717E-4</c:v>
                </c:pt>
                <c:pt idx="7">
                  <c:v>-6.5039645714285723E-4</c:v>
                </c:pt>
                <c:pt idx="8">
                  <c:v>-6.6388451428571439E-4</c:v>
                </c:pt>
                <c:pt idx="9">
                  <c:v>-6.7981608571428579E-4</c:v>
                </c:pt>
                <c:pt idx="10">
                  <c:v>-6.9795571428571434E-4</c:v>
                </c:pt>
                <c:pt idx="11">
                  <c:v>-7.1760502857142871E-4</c:v>
                </c:pt>
                <c:pt idx="12">
                  <c:v>-7.3769400000000011E-4</c:v>
                </c:pt>
                <c:pt idx="13">
                  <c:v>-7.6103954285714284E-4</c:v>
                </c:pt>
                <c:pt idx="14">
                  <c:v>-7.9177825714285717E-4</c:v>
                </c:pt>
                <c:pt idx="15">
                  <c:v>-8.2826005714285722E-4</c:v>
                </c:pt>
                <c:pt idx="16">
                  <c:v>-8.6721111428571436E-4</c:v>
                </c:pt>
                <c:pt idx="17">
                  <c:v>-9.2485631428571426E-4</c:v>
                </c:pt>
                <c:pt idx="18">
                  <c:v>-1.0218747142857142E-3</c:v>
                </c:pt>
                <c:pt idx="19">
                  <c:v>-1.1385113428571429E-3</c:v>
                </c:pt>
                <c:pt idx="20">
                  <c:v>-1.2614412857142859E-3</c:v>
                </c:pt>
                <c:pt idx="21">
                  <c:v>-1.3867968571428572E-3</c:v>
                </c:pt>
                <c:pt idx="22">
                  <c:v>-1.5257593428571429E-3</c:v>
                </c:pt>
                <c:pt idx="23">
                  <c:v>-1.6832314857142859E-3</c:v>
                </c:pt>
                <c:pt idx="24">
                  <c:v>-1.880858142857143E-3</c:v>
                </c:pt>
                <c:pt idx="25">
                  <c:v>-2.1486687142857142E-3</c:v>
                </c:pt>
                <c:pt idx="26">
                  <c:v>-2.5609889142857146E-3</c:v>
                </c:pt>
                <c:pt idx="27">
                  <c:v>-3.2503691428571431E-3</c:v>
                </c:pt>
                <c:pt idx="28">
                  <c:v>-4.4178185714285716E-3</c:v>
                </c:pt>
                <c:pt idx="29">
                  <c:v>-6.2202845714285715E-3</c:v>
                </c:pt>
                <c:pt idx="30">
                  <c:v>-8.5340465714285729E-3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-6.0283625714285718E-4</c:v>
                </c:pt>
                <c:pt idx="1">
                  <c:v>-6.2035448571428578E-4</c:v>
                </c:pt>
                <c:pt idx="2">
                  <c:v>-6.3083748571428583E-4</c:v>
                </c:pt>
                <c:pt idx="3">
                  <c:v>-6.4150442857142866E-4</c:v>
                </c:pt>
                <c:pt idx="4">
                  <c:v>-6.5377100000000004E-4</c:v>
                </c:pt>
                <c:pt idx="5">
                  <c:v>-6.6746720000000011E-4</c:v>
                </c:pt>
                <c:pt idx="6">
                  <c:v>-6.8359874285714287E-4</c:v>
                </c:pt>
                <c:pt idx="7">
                  <c:v>-7.0194282857142859E-4</c:v>
                </c:pt>
                <c:pt idx="8">
                  <c:v>-7.2167434285714291E-4</c:v>
                </c:pt>
                <c:pt idx="9">
                  <c:v>-7.4192622857142856E-4</c:v>
                </c:pt>
                <c:pt idx="10">
                  <c:v>-7.6578771428571432E-4</c:v>
                </c:pt>
                <c:pt idx="11">
                  <c:v>-7.9705840000000004E-4</c:v>
                </c:pt>
                <c:pt idx="12">
                  <c:v>-8.3327611428571434E-4</c:v>
                </c:pt>
                <c:pt idx="13">
                  <c:v>-8.6778671428571429E-4</c:v>
                </c:pt>
                <c:pt idx="14">
                  <c:v>-9.0126648571428581E-4</c:v>
                </c:pt>
                <c:pt idx="15">
                  <c:v>-9.4053385714285714E-4</c:v>
                </c:pt>
                <c:pt idx="16">
                  <c:v>-9.9863294285714279E-4</c:v>
                </c:pt>
                <c:pt idx="17">
                  <c:v>-1.1006983428571428E-3</c:v>
                </c:pt>
                <c:pt idx="18">
                  <c:v>-1.2385272000000002E-3</c:v>
                </c:pt>
                <c:pt idx="19">
                  <c:v>-1.4016256857142858E-3</c:v>
                </c:pt>
                <c:pt idx="20">
                  <c:v>-1.5852084571428573E-3</c:v>
                </c:pt>
                <c:pt idx="21">
                  <c:v>-1.8057158285714285E-3</c:v>
                </c:pt>
                <c:pt idx="22">
                  <c:v>-2.0945822285714285E-3</c:v>
                </c:pt>
                <c:pt idx="23">
                  <c:v>-2.5257706571428572E-3</c:v>
                </c:pt>
                <c:pt idx="24">
                  <c:v>-3.2390602857142858E-3</c:v>
                </c:pt>
                <c:pt idx="25">
                  <c:v>-4.4360648571428575E-3</c:v>
                </c:pt>
                <c:pt idx="26">
                  <c:v>-6.2720205714285717E-3</c:v>
                </c:pt>
                <c:pt idx="27">
                  <c:v>-8.5922840000000004E-3</c:v>
                </c:pt>
                <c:pt idx="28">
                  <c:v>-1.0661270285714288E-2</c:v>
                </c:pt>
                <c:pt idx="29">
                  <c:v>-1.2127562571428573E-2</c:v>
                </c:pt>
                <c:pt idx="30">
                  <c:v>-1.3023203428571429E-2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-7.0526622857142857E-4</c:v>
                </c:pt>
                <c:pt idx="1">
                  <c:v>-7.3043777142857143E-4</c:v>
                </c:pt>
                <c:pt idx="2">
                  <c:v>-7.5170254285714284E-4</c:v>
                </c:pt>
                <c:pt idx="3">
                  <c:v>-7.775506E-4</c:v>
                </c:pt>
                <c:pt idx="4">
                  <c:v>-8.1077094285714288E-4</c:v>
                </c:pt>
                <c:pt idx="5">
                  <c:v>-8.4718411428571431E-4</c:v>
                </c:pt>
                <c:pt idx="6">
                  <c:v>-8.8078625714285718E-4</c:v>
                </c:pt>
                <c:pt idx="7">
                  <c:v>-9.1534202857142873E-4</c:v>
                </c:pt>
                <c:pt idx="8">
                  <c:v>-9.5182240000000009E-4</c:v>
                </c:pt>
                <c:pt idx="9">
                  <c:v>-9.9130274285714288E-4</c:v>
                </c:pt>
                <c:pt idx="10">
                  <c:v>-1.0350352285714286E-3</c:v>
                </c:pt>
                <c:pt idx="11">
                  <c:v>-1.0893498000000001E-3</c:v>
                </c:pt>
                <c:pt idx="12">
                  <c:v>-1.1579898857142857E-3</c:v>
                </c:pt>
                <c:pt idx="13">
                  <c:v>-1.2473456857142859E-3</c:v>
                </c:pt>
                <c:pt idx="14">
                  <c:v>-1.3732833142857143E-3</c:v>
                </c:pt>
                <c:pt idx="15">
                  <c:v>-1.5868948285714289E-3</c:v>
                </c:pt>
                <c:pt idx="16">
                  <c:v>-1.9887996857142856E-3</c:v>
                </c:pt>
                <c:pt idx="17">
                  <c:v>-2.6920593142857143E-3</c:v>
                </c:pt>
                <c:pt idx="18">
                  <c:v>-3.8643142857142858E-3</c:v>
                </c:pt>
                <c:pt idx="19">
                  <c:v>-5.6697557142857151E-3</c:v>
                </c:pt>
                <c:pt idx="20">
                  <c:v>-7.9366008571428569E-3</c:v>
                </c:pt>
                <c:pt idx="21">
                  <c:v>-1.0034396571428572E-2</c:v>
                </c:pt>
                <c:pt idx="22">
                  <c:v>-1.1571610571428572E-2</c:v>
                </c:pt>
                <c:pt idx="23">
                  <c:v>-1.2645109714285716E-2</c:v>
                </c:pt>
                <c:pt idx="24">
                  <c:v>-1.3425689142857142E-2</c:v>
                </c:pt>
                <c:pt idx="25">
                  <c:v>-1.3859122857142856E-2</c:v>
                </c:pt>
                <c:pt idx="26">
                  <c:v>-1.4569994857142858E-2</c:v>
                </c:pt>
                <c:pt idx="27">
                  <c:v>-1.5130473714285716E-2</c:v>
                </c:pt>
                <c:pt idx="28">
                  <c:v>-1.5214697714285715E-2</c:v>
                </c:pt>
                <c:pt idx="29">
                  <c:v>-1.5286342571428571E-2</c:v>
                </c:pt>
                <c:pt idx="30">
                  <c:v>-1.5293883142857144E-2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-8.8388737142857158E-4</c:v>
                </c:pt>
                <c:pt idx="1">
                  <c:v>-9.2886351428571442E-4</c:v>
                </c:pt>
                <c:pt idx="2">
                  <c:v>-9.6647917142857144E-4</c:v>
                </c:pt>
                <c:pt idx="3">
                  <c:v>-1.0076338285714287E-3</c:v>
                </c:pt>
                <c:pt idx="4">
                  <c:v>-1.0529890571428571E-3</c:v>
                </c:pt>
                <c:pt idx="5">
                  <c:v>-1.1117907999999999E-3</c:v>
                </c:pt>
                <c:pt idx="6">
                  <c:v>-1.1846882285714286E-3</c:v>
                </c:pt>
                <c:pt idx="7">
                  <c:v>-1.2814318857142857E-3</c:v>
                </c:pt>
                <c:pt idx="8">
                  <c:v>-1.413941342857143E-3</c:v>
                </c:pt>
                <c:pt idx="9">
                  <c:v>-1.6153537714285713E-3</c:v>
                </c:pt>
                <c:pt idx="10">
                  <c:v>-1.9474615714285715E-3</c:v>
                </c:pt>
                <c:pt idx="11">
                  <c:v>-2.5180249714285715E-3</c:v>
                </c:pt>
                <c:pt idx="12">
                  <c:v>-3.4481725714285718E-3</c:v>
                </c:pt>
                <c:pt idx="13">
                  <c:v>-4.790646571428572E-3</c:v>
                </c:pt>
                <c:pt idx="14">
                  <c:v>-6.2620148571428573E-3</c:v>
                </c:pt>
                <c:pt idx="15">
                  <c:v>-7.5590860000000005E-3</c:v>
                </c:pt>
                <c:pt idx="16">
                  <c:v>-8.5773737142857149E-3</c:v>
                </c:pt>
                <c:pt idx="17">
                  <c:v>-9.6307237142857147E-3</c:v>
                </c:pt>
                <c:pt idx="18">
                  <c:v>-1.0780699142857144E-2</c:v>
                </c:pt>
                <c:pt idx="19">
                  <c:v>-1.1842520857142857E-2</c:v>
                </c:pt>
                <c:pt idx="20">
                  <c:v>-1.3219097142857144E-2</c:v>
                </c:pt>
                <c:pt idx="21">
                  <c:v>-1.4078526000000001E-2</c:v>
                </c:pt>
                <c:pt idx="22">
                  <c:v>-1.4530700857142857E-2</c:v>
                </c:pt>
                <c:pt idx="23">
                  <c:v>-1.4819218E-2</c:v>
                </c:pt>
                <c:pt idx="24">
                  <c:v>-1.5014377428571431E-2</c:v>
                </c:pt>
                <c:pt idx="25">
                  <c:v>-1.5071447428571428E-2</c:v>
                </c:pt>
                <c:pt idx="26">
                  <c:v>-1.521412542857143E-2</c:v>
                </c:pt>
                <c:pt idx="27">
                  <c:v>-1.5223256000000001E-2</c:v>
                </c:pt>
                <c:pt idx="28">
                  <c:v>-1.5323545428571429E-2</c:v>
                </c:pt>
                <c:pt idx="29">
                  <c:v>-1.5326008000000002E-2</c:v>
                </c:pt>
                <c:pt idx="30">
                  <c:v>-1.5351484857142859E-2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90631392"/>
        <c:axId val="490625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06313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5904"/>
        <c:crossesAt val="-8.0000000000000019E-3"/>
        <c:crossBetween val="midCat"/>
      </c:valAx>
      <c:valAx>
        <c:axId val="490625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16984.504163362977</c:v>
                </c:pt>
                <c:pt idx="1">
                  <c:v>16984.809950652816</c:v>
                </c:pt>
                <c:pt idx="2">
                  <c:v>16984.724230194061</c:v>
                </c:pt>
                <c:pt idx="3">
                  <c:v>16984.699503299445</c:v>
                </c:pt>
                <c:pt idx="4">
                  <c:v>16984.69126101724</c:v>
                </c:pt>
                <c:pt idx="5">
                  <c:v>16984.688788334141</c:v>
                </c:pt>
                <c:pt idx="6">
                  <c:v>16984.687964106597</c:v>
                </c:pt>
                <c:pt idx="7">
                  <c:v>16984.687139879137</c:v>
                </c:pt>
                <c:pt idx="8">
                  <c:v>16984.687139879137</c:v>
                </c:pt>
                <c:pt idx="9">
                  <c:v>16984.683842970095</c:v>
                </c:pt>
                <c:pt idx="10">
                  <c:v>16984.651698174002</c:v>
                </c:pt>
                <c:pt idx="11">
                  <c:v>16984.335202063117</c:v>
                </c:pt>
                <c:pt idx="12">
                  <c:v>16981.190662868055</c:v>
                </c:pt>
                <c:pt idx="13">
                  <c:v>16951.169444228788</c:v>
                </c:pt>
                <c:pt idx="14">
                  <c:v>16733.357062827301</c:v>
                </c:pt>
                <c:pt idx="15">
                  <c:v>16348.958905303605</c:v>
                </c:pt>
                <c:pt idx="16">
                  <c:v>16083.526994315987</c:v>
                </c:pt>
                <c:pt idx="17">
                  <c:v>15814.663708631719</c:v>
                </c:pt>
                <c:pt idx="18">
                  <c:v>15514.979402313344</c:v>
                </c:pt>
                <c:pt idx="19">
                  <c:v>15171.216059226344</c:v>
                </c:pt>
                <c:pt idx="20">
                  <c:v>14633.143945609856</c:v>
                </c:pt>
                <c:pt idx="21">
                  <c:v>13654.12676865805</c:v>
                </c:pt>
                <c:pt idx="22">
                  <c:v>12465.203384751467</c:v>
                </c:pt>
                <c:pt idx="23">
                  <c:v>11419.087899375259</c:v>
                </c:pt>
                <c:pt idx="24">
                  <c:v>10544.583447829935</c:v>
                </c:pt>
                <c:pt idx="25">
                  <c:v>9764.7436120093498</c:v>
                </c:pt>
                <c:pt idx="26">
                  <c:v>9081.4825120615715</c:v>
                </c:pt>
                <c:pt idx="27">
                  <c:v>8537.2237836126969</c:v>
                </c:pt>
                <c:pt idx="28">
                  <c:v>8088.4188978281327</c:v>
                </c:pt>
                <c:pt idx="29">
                  <c:v>7674.3874073739807</c:v>
                </c:pt>
                <c:pt idx="30">
                  <c:v>7305.6589822336173</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16903.053454506011</c:v>
                </c:pt>
                <c:pt idx="1">
                  <c:v>16903.362846765849</c:v>
                </c:pt>
                <c:pt idx="2">
                  <c:v>16903.277946442977</c:v>
                </c:pt>
                <c:pt idx="3">
                  <c:v>16903.251007095692</c:v>
                </c:pt>
                <c:pt idx="4">
                  <c:v>16903.221618814772</c:v>
                </c:pt>
                <c:pt idx="5">
                  <c:v>16902.99631205597</c:v>
                </c:pt>
                <c:pt idx="6">
                  <c:v>16900.788460412052</c:v>
                </c:pt>
                <c:pt idx="7">
                  <c:v>16879.506798173134</c:v>
                </c:pt>
                <c:pt idx="8">
                  <c:v>16710.848558746606</c:v>
                </c:pt>
                <c:pt idx="9">
                  <c:v>16311.567721085241</c:v>
                </c:pt>
                <c:pt idx="10">
                  <c:v>16042.529754767473</c:v>
                </c:pt>
                <c:pt idx="11">
                  <c:v>15781.073406970525</c:v>
                </c:pt>
                <c:pt idx="12">
                  <c:v>15486.516664266255</c:v>
                </c:pt>
                <c:pt idx="13">
                  <c:v>15174.072625712855</c:v>
                </c:pt>
                <c:pt idx="14">
                  <c:v>14820.231648689372</c:v>
                </c:pt>
                <c:pt idx="15">
                  <c:v>14436.427048650676</c:v>
                </c:pt>
                <c:pt idx="16">
                  <c:v>14039.167029746268</c:v>
                </c:pt>
                <c:pt idx="17">
                  <c:v>13642.316470013971</c:v>
                </c:pt>
                <c:pt idx="18">
                  <c:v>13105.187740988022</c:v>
                </c:pt>
                <c:pt idx="19">
                  <c:v>12122.668520765317</c:v>
                </c:pt>
                <c:pt idx="20">
                  <c:v>10866.620768130373</c:v>
                </c:pt>
                <c:pt idx="21">
                  <c:v>9768.4991301151531</c:v>
                </c:pt>
                <c:pt idx="22">
                  <c:v>8923.6493075171638</c:v>
                </c:pt>
                <c:pt idx="23">
                  <c:v>8234.6450338620361</c:v>
                </c:pt>
                <c:pt idx="24">
                  <c:v>7678.5962508091034</c:v>
                </c:pt>
                <c:pt idx="25">
                  <c:v>7188.4238279901365</c:v>
                </c:pt>
                <c:pt idx="26">
                  <c:v>6733.3562639384081</c:v>
                </c:pt>
                <c:pt idx="27">
                  <c:v>6252.8307458047784</c:v>
                </c:pt>
                <c:pt idx="28">
                  <c:v>5755.4904213099553</c:v>
                </c:pt>
                <c:pt idx="29">
                  <c:v>5207.7274700392736</c:v>
                </c:pt>
                <c:pt idx="30">
                  <c:v>4597.095933064812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16850.516230008005</c:v>
                </c:pt>
                <c:pt idx="1">
                  <c:v>16850.813155246877</c:v>
                </c:pt>
                <c:pt idx="2">
                  <c:v>16850.596544818876</c:v>
                </c:pt>
                <c:pt idx="3">
                  <c:v>16849.236163948841</c:v>
                </c:pt>
                <c:pt idx="4">
                  <c:v>16836.217802356943</c:v>
                </c:pt>
                <c:pt idx="5">
                  <c:v>16723.92460625431</c:v>
                </c:pt>
                <c:pt idx="6">
                  <c:v>16323.403371771527</c:v>
                </c:pt>
                <c:pt idx="7">
                  <c:v>16042.476076428371</c:v>
                </c:pt>
                <c:pt idx="8">
                  <c:v>15787.086866596139</c:v>
                </c:pt>
                <c:pt idx="9">
                  <c:v>15496.617442620673</c:v>
                </c:pt>
                <c:pt idx="10">
                  <c:v>15192.169660594775</c:v>
                </c:pt>
                <c:pt idx="11">
                  <c:v>14846.377112825041</c:v>
                </c:pt>
                <c:pt idx="12">
                  <c:v>14469.350422490563</c:v>
                </c:pt>
                <c:pt idx="13">
                  <c:v>14073.156772312648</c:v>
                </c:pt>
                <c:pt idx="14">
                  <c:v>13691.956179168086</c:v>
                </c:pt>
                <c:pt idx="15">
                  <c:v>13292.712828485721</c:v>
                </c:pt>
                <c:pt idx="16">
                  <c:v>12791.184461853854</c:v>
                </c:pt>
                <c:pt idx="17">
                  <c:v>12138.745724907167</c:v>
                </c:pt>
                <c:pt idx="18">
                  <c:v>11221.448227283699</c:v>
                </c:pt>
                <c:pt idx="19">
                  <c:v>10142.760513398716</c:v>
                </c:pt>
                <c:pt idx="20">
                  <c:v>9119.1569229994802</c:v>
                </c:pt>
                <c:pt idx="21">
                  <c:v>8295.7274183248301</c:v>
                </c:pt>
                <c:pt idx="22">
                  <c:v>7617.4446185115166</c:v>
                </c:pt>
                <c:pt idx="23">
                  <c:v>7047.4628298184916</c:v>
                </c:pt>
                <c:pt idx="24">
                  <c:v>6491.6224777287734</c:v>
                </c:pt>
                <c:pt idx="25">
                  <c:v>5951.3060736309189</c:v>
                </c:pt>
                <c:pt idx="26">
                  <c:v>5381.7718219776307</c:v>
                </c:pt>
                <c:pt idx="27">
                  <c:v>4767.7456070434691</c:v>
                </c:pt>
                <c:pt idx="28">
                  <c:v>4062.4246565312801</c:v>
                </c:pt>
                <c:pt idx="29">
                  <c:v>3264.8702479930143</c:v>
                </c:pt>
                <c:pt idx="30">
                  <c:v>2444.7495336640263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16796.518148973792</c:v>
                </c:pt>
                <c:pt idx="1">
                  <c:v>16794.366229082254</c:v>
                </c:pt>
                <c:pt idx="2">
                  <c:v>16770.540198266117</c:v>
                </c:pt>
                <c:pt idx="3">
                  <c:v>16587.353053231705</c:v>
                </c:pt>
                <c:pt idx="4">
                  <c:v>16195.270916111411</c:v>
                </c:pt>
                <c:pt idx="5">
                  <c:v>15929.883751900888</c:v>
                </c:pt>
                <c:pt idx="6">
                  <c:v>15668.311690172119</c:v>
                </c:pt>
                <c:pt idx="7">
                  <c:v>15375.237503490176</c:v>
                </c:pt>
                <c:pt idx="8">
                  <c:v>15062.860760894815</c:v>
                </c:pt>
                <c:pt idx="9">
                  <c:v>14709.86081403613</c:v>
                </c:pt>
                <c:pt idx="10">
                  <c:v>14327.55659896555</c:v>
                </c:pt>
                <c:pt idx="11">
                  <c:v>13935.242371290913</c:v>
                </c:pt>
                <c:pt idx="12">
                  <c:v>13555.756180747028</c:v>
                </c:pt>
                <c:pt idx="13">
                  <c:v>13139.92169507693</c:v>
                </c:pt>
                <c:pt idx="14">
                  <c:v>12629.798696525388</c:v>
                </c:pt>
                <c:pt idx="15">
                  <c:v>12073.50265627407</c:v>
                </c:pt>
                <c:pt idx="16">
                  <c:v>11531.217526238213</c:v>
                </c:pt>
                <c:pt idx="17">
                  <c:v>10812.490378814366</c:v>
                </c:pt>
                <c:pt idx="18">
                  <c:v>9785.9354578412822</c:v>
                </c:pt>
                <c:pt idx="19">
                  <c:v>8783.3995354886611</c:v>
                </c:pt>
                <c:pt idx="20">
                  <c:v>7927.4399159510158</c:v>
                </c:pt>
                <c:pt idx="21">
                  <c:v>7210.8614527743166</c:v>
                </c:pt>
                <c:pt idx="22">
                  <c:v>6554.1135611032614</c:v>
                </c:pt>
                <c:pt idx="23">
                  <c:v>5940.9535081007953</c:v>
                </c:pt>
                <c:pt idx="24">
                  <c:v>5316.7220707083015</c:v>
                </c:pt>
                <c:pt idx="25">
                  <c:v>4654.0445874757934</c:v>
                </c:pt>
                <c:pt idx="26">
                  <c:v>3904.7416192307496</c:v>
                </c:pt>
                <c:pt idx="27">
                  <c:v>3076.5736322520552</c:v>
                </c:pt>
                <c:pt idx="28">
                  <c:v>2263.5605872710935</c:v>
                </c:pt>
                <c:pt idx="29">
                  <c:v>1607.6434904494033</c:v>
                </c:pt>
                <c:pt idx="30">
                  <c:v>1171.7770598392729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16588.252417654847</c:v>
                </c:pt>
                <c:pt idx="1">
                  <c:v>16119.815734846899</c:v>
                </c:pt>
                <c:pt idx="2">
                  <c:v>15851.943212723292</c:v>
                </c:pt>
                <c:pt idx="3">
                  <c:v>15588.35692260002</c:v>
                </c:pt>
                <c:pt idx="4">
                  <c:v>15295.875773015321</c:v>
                </c:pt>
                <c:pt idx="5">
                  <c:v>14982.009602868873</c:v>
                </c:pt>
                <c:pt idx="6">
                  <c:v>14628.464584654423</c:v>
                </c:pt>
                <c:pt idx="7">
                  <c:v>14246.174464595182</c:v>
                </c:pt>
                <c:pt idx="8">
                  <c:v>13856.665543089042</c:v>
                </c:pt>
                <c:pt idx="9">
                  <c:v>13478.429006688304</c:v>
                </c:pt>
                <c:pt idx="10">
                  <c:v>13058.449245725316</c:v>
                </c:pt>
                <c:pt idx="11">
                  <c:v>12546.132127834046</c:v>
                </c:pt>
                <c:pt idx="12">
                  <c:v>12000.824010864653</c:v>
                </c:pt>
                <c:pt idx="13">
                  <c:v>11523.568908555048</c:v>
                </c:pt>
                <c:pt idx="14">
                  <c:v>11095.497456642519</c:v>
                </c:pt>
                <c:pt idx="15">
                  <c:v>10632.259459938938</c:v>
                </c:pt>
                <c:pt idx="16">
                  <c:v>10013.689285464046</c:v>
                </c:pt>
                <c:pt idx="17">
                  <c:v>9085.1413240456532</c:v>
                </c:pt>
                <c:pt idx="18">
                  <c:v>8074.1060834190794</c:v>
                </c:pt>
                <c:pt idx="19">
                  <c:v>7134.5724482095775</c:v>
                </c:pt>
                <c:pt idx="20">
                  <c:v>6308.3186031089981</c:v>
                </c:pt>
                <c:pt idx="21">
                  <c:v>5537.9699517345352</c:v>
                </c:pt>
                <c:pt idx="22">
                  <c:v>4774.2217343361672</c:v>
                </c:pt>
                <c:pt idx="23">
                  <c:v>3959.1876529724059</c:v>
                </c:pt>
                <c:pt idx="24">
                  <c:v>3087.315183389609</c:v>
                </c:pt>
                <c:pt idx="25">
                  <c:v>2254.2501793900087</c:v>
                </c:pt>
                <c:pt idx="26">
                  <c:v>1594.3825257132903</c:v>
                </c:pt>
                <c:pt idx="27">
                  <c:v>1163.8349011741232</c:v>
                </c:pt>
                <c:pt idx="28">
                  <c:v>937.97453136514457</c:v>
                </c:pt>
                <c:pt idx="29">
                  <c:v>824.56799881281052</c:v>
                </c:pt>
                <c:pt idx="30">
                  <c:v>767.86023153574763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14179.042742845882</c:v>
                </c:pt>
                <c:pt idx="1">
                  <c:v>13690.42017151202</c:v>
                </c:pt>
                <c:pt idx="2">
                  <c:v>13303.13445793471</c:v>
                </c:pt>
                <c:pt idx="3">
                  <c:v>12860.899342113555</c:v>
                </c:pt>
                <c:pt idx="4">
                  <c:v>12333.939799026555</c:v>
                </c:pt>
                <c:pt idx="5">
                  <c:v>11803.809622222783</c:v>
                </c:pt>
                <c:pt idx="6">
                  <c:v>11353.492313150467</c:v>
                </c:pt>
                <c:pt idx="7">
                  <c:v>10924.878010471088</c:v>
                </c:pt>
                <c:pt idx="8">
                  <c:v>10506.161653686653</c:v>
                </c:pt>
                <c:pt idx="9">
                  <c:v>10087.735630769968</c:v>
                </c:pt>
                <c:pt idx="10">
                  <c:v>9661.5068975015965</c:v>
                </c:pt>
                <c:pt idx="11">
                  <c:v>9179.7877963533829</c:v>
                </c:pt>
                <c:pt idx="12">
                  <c:v>8635.6540099067242</c:v>
                </c:pt>
                <c:pt idx="13">
                  <c:v>8017.0237605572456</c:v>
                </c:pt>
                <c:pt idx="14">
                  <c:v>7281.8186138097071</c:v>
                </c:pt>
                <c:pt idx="15">
                  <c:v>6301.6148392154664</c:v>
                </c:pt>
                <c:pt idx="16">
                  <c:v>5028.158477613827</c:v>
                </c:pt>
                <c:pt idx="17">
                  <c:v>3714.6284061921965</c:v>
                </c:pt>
                <c:pt idx="18">
                  <c:v>2587.7812363679382</c:v>
                </c:pt>
                <c:pt idx="19">
                  <c:v>1763.7444193236845</c:v>
                </c:pt>
                <c:pt idx="20">
                  <c:v>1259.9852480927154</c:v>
                </c:pt>
                <c:pt idx="21">
                  <c:v>996.57213354248813</c:v>
                </c:pt>
                <c:pt idx="22">
                  <c:v>864.18393863780454</c:v>
                </c:pt>
                <c:pt idx="23">
                  <c:v>790.81955205992222</c:v>
                </c:pt>
                <c:pt idx="24">
                  <c:v>744.84072240867363</c:v>
                </c:pt>
                <c:pt idx="25">
                  <c:v>721.54638522784273</c:v>
                </c:pt>
                <c:pt idx="26">
                  <c:v>686.34204047762967</c:v>
                </c:pt>
                <c:pt idx="27">
                  <c:v>660.91783964161777</c:v>
                </c:pt>
                <c:pt idx="28">
                  <c:v>657.2591968495426</c:v>
                </c:pt>
                <c:pt idx="29">
                  <c:v>654.17871889714297</c:v>
                </c:pt>
                <c:pt idx="30">
                  <c:v>653.85617940139684</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11313.658643903498</c:v>
                </c:pt>
                <c:pt idx="1">
                  <c:v>10765.844331489205</c:v>
                </c:pt>
                <c:pt idx="2">
                  <c:v>10346.834464335954</c:v>
                </c:pt>
                <c:pt idx="3">
                  <c:v>9924.2400527357095</c:v>
                </c:pt>
                <c:pt idx="4">
                  <c:v>9496.7748545589275</c:v>
                </c:pt>
                <c:pt idx="5">
                  <c:v>8994.4978857533279</c:v>
                </c:pt>
                <c:pt idx="6">
                  <c:v>8441.0393881085711</c:v>
                </c:pt>
                <c:pt idx="7">
                  <c:v>7803.7702288217042</c:v>
                </c:pt>
                <c:pt idx="8">
                  <c:v>7072.4291714909887</c:v>
                </c:pt>
                <c:pt idx="9">
                  <c:v>6190.5943929274972</c:v>
                </c:pt>
                <c:pt idx="10">
                  <c:v>5134.8895129491275</c:v>
                </c:pt>
                <c:pt idx="11">
                  <c:v>3971.3664929727124</c:v>
                </c:pt>
                <c:pt idx="12">
                  <c:v>2900.086870030701</c:v>
                </c:pt>
                <c:pt idx="13">
                  <c:v>2087.4009073514262</c:v>
                </c:pt>
                <c:pt idx="14">
                  <c:v>1596.9300980807091</c:v>
                </c:pt>
                <c:pt idx="15">
                  <c:v>1322.9112620229482</c:v>
                </c:pt>
                <c:pt idx="16">
                  <c:v>1165.8580275387658</c:v>
                </c:pt>
                <c:pt idx="17">
                  <c:v>1038.3435655169424</c:v>
                </c:pt>
                <c:pt idx="18">
                  <c:v>927.58362583799556</c:v>
                </c:pt>
                <c:pt idx="19">
                  <c:v>844.41481004177126</c:v>
                </c:pt>
                <c:pt idx="20">
                  <c:v>756.48131577605034</c:v>
                </c:pt>
                <c:pt idx="21">
                  <c:v>710.30163242941762</c:v>
                </c:pt>
                <c:pt idx="22">
                  <c:v>688.19805034278852</c:v>
                </c:pt>
                <c:pt idx="23">
                  <c:v>674.79943948459356</c:v>
                </c:pt>
                <c:pt idx="24">
                  <c:v>666.02828173019145</c:v>
                </c:pt>
                <c:pt idx="25">
                  <c:v>663.50627883574589</c:v>
                </c:pt>
                <c:pt idx="26">
                  <c:v>657.28391993012349</c:v>
                </c:pt>
                <c:pt idx="27">
                  <c:v>656.88969560782527</c:v>
                </c:pt>
                <c:pt idx="28">
                  <c:v>652.59048870991421</c:v>
                </c:pt>
                <c:pt idx="29">
                  <c:v>652.48563096143494</c:v>
                </c:pt>
                <c:pt idx="30">
                  <c:v>651.40278566259485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90626296"/>
        <c:axId val="4906317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062629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1784"/>
        <c:crosses val="autoZero"/>
        <c:crossBetween val="midCat"/>
      </c:valAx>
      <c:valAx>
        <c:axId val="49063178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629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20461.849192032314</c:v>
                </c:pt>
                <c:pt idx="1">
                  <c:v>20464.207989135575</c:v>
                </c:pt>
                <c:pt idx="2">
                  <c:v>20464.106763607124</c:v>
                </c:pt>
                <c:pt idx="3">
                  <c:v>20464.084508483389</c:v>
                </c:pt>
                <c:pt idx="4">
                  <c:v>20464.077329421547</c:v>
                </c:pt>
                <c:pt idx="5">
                  <c:v>20464.07589360977</c:v>
                </c:pt>
                <c:pt idx="6">
                  <c:v>20464.07589360977</c:v>
                </c:pt>
                <c:pt idx="7">
                  <c:v>20464.073739892501</c:v>
                </c:pt>
                <c:pt idx="8">
                  <c:v>20464.075893609766</c:v>
                </c:pt>
                <c:pt idx="9">
                  <c:v>20464.079483139569</c:v>
                </c:pt>
                <c:pt idx="10">
                  <c:v>20464.117532232762</c:v>
                </c:pt>
                <c:pt idx="11">
                  <c:v>20464.517415222446</c:v>
                </c:pt>
                <c:pt idx="12">
                  <c:v>20468.453183670812</c:v>
                </c:pt>
                <c:pt idx="13">
                  <c:v>20506.244813604513</c:v>
                </c:pt>
                <c:pt idx="14">
                  <c:v>20792.297506458181</c:v>
                </c:pt>
                <c:pt idx="15">
                  <c:v>21296.123189237787</c:v>
                </c:pt>
                <c:pt idx="16">
                  <c:v>21716.654371937904</c:v>
                </c:pt>
                <c:pt idx="17">
                  <c:v>22192.772202150238</c:v>
                </c:pt>
                <c:pt idx="18">
                  <c:v>22784.114951510386</c:v>
                </c:pt>
                <c:pt idx="19">
                  <c:v>23430.274689042741</c:v>
                </c:pt>
                <c:pt idx="20">
                  <c:v>23580.465096512202</c:v>
                </c:pt>
                <c:pt idx="21">
                  <c:v>21907.26666538979</c:v>
                </c:pt>
                <c:pt idx="22">
                  <c:v>19035.374251773832</c:v>
                </c:pt>
                <c:pt idx="23">
                  <c:v>16543.094477518032</c:v>
                </c:pt>
                <c:pt idx="24">
                  <c:v>14790.757061519442</c:v>
                </c:pt>
                <c:pt idx="25">
                  <c:v>13554.488365504903</c:v>
                </c:pt>
                <c:pt idx="26">
                  <c:v>12598.628815634231</c:v>
                </c:pt>
                <c:pt idx="27">
                  <c:v>11827.561719765328</c:v>
                </c:pt>
                <c:pt idx="28">
                  <c:v>11209.516790078649</c:v>
                </c:pt>
                <c:pt idx="29">
                  <c:v>10689.422553728698</c:v>
                </c:pt>
                <c:pt idx="30">
                  <c:v>10291.653401460546</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20295.862647807524</c:v>
                </c:pt>
                <c:pt idx="1">
                  <c:v>20298.277975289693</c:v>
                </c:pt>
                <c:pt idx="2">
                  <c:v>20298.180503576743</c:v>
                </c:pt>
                <c:pt idx="3">
                  <c:v>20298.160020509709</c:v>
                </c:pt>
                <c:pt idx="4">
                  <c:v>20298.184035144197</c:v>
                </c:pt>
                <c:pt idx="5">
                  <c:v>20298.448906205904</c:v>
                </c:pt>
                <c:pt idx="6">
                  <c:v>20301.125551243724</c:v>
                </c:pt>
                <c:pt idx="7">
                  <c:v>20327.022768460814</c:v>
                </c:pt>
                <c:pt idx="8">
                  <c:v>20538.938458932229</c:v>
                </c:pt>
                <c:pt idx="9">
                  <c:v>21039.725526561222</c:v>
                </c:pt>
                <c:pt idx="10">
                  <c:v>21445.869491835223</c:v>
                </c:pt>
                <c:pt idx="11">
                  <c:v>21886.986955580895</c:v>
                </c:pt>
                <c:pt idx="12">
                  <c:v>22450.152419216236</c:v>
                </c:pt>
                <c:pt idx="13">
                  <c:v>23139.311135038486</c:v>
                </c:pt>
                <c:pt idx="14">
                  <c:v>24059.646916844922</c:v>
                </c:pt>
                <c:pt idx="15">
                  <c:v>25271.484335795365</c:v>
                </c:pt>
                <c:pt idx="16">
                  <c:v>26823.142148705356</c:v>
                </c:pt>
                <c:pt idx="17">
                  <c:v>28604.060550709873</c:v>
                </c:pt>
                <c:pt idx="18">
                  <c:v>29942.176524187249</c:v>
                </c:pt>
                <c:pt idx="19">
                  <c:v>28103.179136007129</c:v>
                </c:pt>
                <c:pt idx="20">
                  <c:v>23058.025124946482</c:v>
                </c:pt>
                <c:pt idx="21">
                  <c:v>18386.30348569118</c:v>
                </c:pt>
                <c:pt idx="22">
                  <c:v>15239.066557537524</c:v>
                </c:pt>
                <c:pt idx="23">
                  <c:v>13250.297128448607</c:v>
                </c:pt>
                <c:pt idx="24">
                  <c:v>11920.263112221299</c:v>
                </c:pt>
                <c:pt idx="25">
                  <c:v>10969.02154008698</c:v>
                </c:pt>
                <c:pt idx="26">
                  <c:v>10224.331472592645</c:v>
                </c:pt>
                <c:pt idx="27">
                  <c:v>9574.8697639893071</c:v>
                </c:pt>
                <c:pt idx="28">
                  <c:v>8964.6116831173676</c:v>
                </c:pt>
                <c:pt idx="29">
                  <c:v>8348.7964971312267</c:v>
                </c:pt>
                <c:pt idx="30">
                  <c:v>7694.3007698653582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20189.865728047891</c:v>
                </c:pt>
                <c:pt idx="1">
                  <c:v>20192.326486703885</c:v>
                </c:pt>
                <c:pt idx="2">
                  <c:v>20192.395684555038</c:v>
                </c:pt>
                <c:pt idx="3">
                  <c:v>20193.957305612348</c:v>
                </c:pt>
                <c:pt idx="4">
                  <c:v>20209.428576097358</c:v>
                </c:pt>
                <c:pt idx="5">
                  <c:v>20345.795039785866</c:v>
                </c:pt>
                <c:pt idx="6">
                  <c:v>20828.237110031871</c:v>
                </c:pt>
                <c:pt idx="7">
                  <c:v>21234.204785097703</c:v>
                </c:pt>
                <c:pt idx="8">
                  <c:v>21646.318014493834</c:v>
                </c:pt>
                <c:pt idx="9">
                  <c:v>22174.914049399562</c:v>
                </c:pt>
                <c:pt idx="10">
                  <c:v>22811.948904050092</c:v>
                </c:pt>
                <c:pt idx="11">
                  <c:v>23659.711482121515</c:v>
                </c:pt>
                <c:pt idx="12">
                  <c:v>24775.418266043791</c:v>
                </c:pt>
                <c:pt idx="13">
                  <c:v>26230.75056369885</c:v>
                </c:pt>
                <c:pt idx="14">
                  <c:v>28003.122908266745</c:v>
                </c:pt>
                <c:pt idx="15">
                  <c:v>30390.143451896583</c:v>
                </c:pt>
                <c:pt idx="16">
                  <c:v>34341.653334746246</c:v>
                </c:pt>
                <c:pt idx="17">
                  <c:v>39409.88760300057</c:v>
                </c:pt>
                <c:pt idx="18">
                  <c:v>37286.775573880812</c:v>
                </c:pt>
                <c:pt idx="19">
                  <c:v>27522.46757322528</c:v>
                </c:pt>
                <c:pt idx="20">
                  <c:v>20260.964698626551</c:v>
                </c:pt>
                <c:pt idx="21">
                  <c:v>15935.163008749987</c:v>
                </c:pt>
                <c:pt idx="22">
                  <c:v>13409.001478016768</c:v>
                </c:pt>
                <c:pt idx="23">
                  <c:v>11795.455345860442</c:v>
                </c:pt>
                <c:pt idx="24">
                  <c:v>10672.327024981811</c:v>
                </c:pt>
                <c:pt idx="25">
                  <c:v>9761.2264562704095</c:v>
                </c:pt>
                <c:pt idx="26">
                  <c:v>8954.6078646734604</c:v>
                </c:pt>
                <c:pt idx="27">
                  <c:v>8184.3081884962148</c:v>
                </c:pt>
                <c:pt idx="28">
                  <c:v>7374.3730255379533</c:v>
                </c:pt>
                <c:pt idx="29">
                  <c:v>6494.5788822273034</c:v>
                </c:pt>
                <c:pt idx="30">
                  <c:v>5582.1051107202566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20082.208528833642</c:v>
                </c:pt>
                <c:pt idx="1">
                  <c:v>20087.563180121124</c:v>
                </c:pt>
                <c:pt idx="2">
                  <c:v>20115.165876439511</c:v>
                </c:pt>
                <c:pt idx="3">
                  <c:v>20336.312405547997</c:v>
                </c:pt>
                <c:pt idx="4">
                  <c:v>20808.068622299317</c:v>
                </c:pt>
                <c:pt idx="5">
                  <c:v>21192.908876910245</c:v>
                </c:pt>
                <c:pt idx="6">
                  <c:v>21616.789876810362</c:v>
                </c:pt>
                <c:pt idx="7">
                  <c:v>22155.146566485888</c:v>
                </c:pt>
                <c:pt idx="8">
                  <c:v>22816.894823228577</c:v>
                </c:pt>
                <c:pt idx="9">
                  <c:v>23698.752936410892</c:v>
                </c:pt>
                <c:pt idx="10">
                  <c:v>24858.277279338545</c:v>
                </c:pt>
                <c:pt idx="11">
                  <c:v>26341.596315789047</c:v>
                </c:pt>
                <c:pt idx="12">
                  <c:v>28161.525498571627</c:v>
                </c:pt>
                <c:pt idx="13">
                  <c:v>30770.794331351513</c:v>
                </c:pt>
                <c:pt idx="14">
                  <c:v>35353.374656377826</c:v>
                </c:pt>
                <c:pt idx="15">
                  <c:v>43384.862153897251</c:v>
                </c:pt>
                <c:pt idx="16">
                  <c:v>53874.143535803138</c:v>
                </c:pt>
                <c:pt idx="17">
                  <c:v>52998.383549301849</c:v>
                </c:pt>
                <c:pt idx="18">
                  <c:v>36498.173370703298</c:v>
                </c:pt>
                <c:pt idx="19">
                  <c:v>24014.079660740073</c:v>
                </c:pt>
                <c:pt idx="20">
                  <c:v>17583.338872085071</c:v>
                </c:pt>
                <c:pt idx="21">
                  <c:v>14139.621408808858</c:v>
                </c:pt>
                <c:pt idx="22">
                  <c:v>12092.994296909343</c:v>
                </c:pt>
                <c:pt idx="23">
                  <c:v>10670.72520077731</c:v>
                </c:pt>
                <c:pt idx="24">
                  <c:v>9549.5684127124878</c:v>
                </c:pt>
                <c:pt idx="25">
                  <c:v>8557.8014079050445</c:v>
                </c:pt>
                <c:pt idx="26">
                  <c:v>7594.6158947065069</c:v>
                </c:pt>
                <c:pt idx="27">
                  <c:v>6605.5752867234887</c:v>
                </c:pt>
                <c:pt idx="28">
                  <c:v>5637.2429642698035</c:v>
                </c:pt>
                <c:pt idx="29">
                  <c:v>4793.9711457177418</c:v>
                </c:pt>
                <c:pt idx="30">
                  <c:v>4158.9414329549427</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20097.34695497057</c:v>
                </c:pt>
                <c:pt idx="1">
                  <c:v>20664.285456108664</c:v>
                </c:pt>
                <c:pt idx="2">
                  <c:v>21044.833154939279</c:v>
                </c:pt>
                <c:pt idx="3">
                  <c:v>21463.275881172329</c:v>
                </c:pt>
                <c:pt idx="4">
                  <c:v>21989.885883927007</c:v>
                </c:pt>
                <c:pt idx="5">
                  <c:v>22641.606884414752</c:v>
                </c:pt>
                <c:pt idx="6">
                  <c:v>23507.975020076487</c:v>
                </c:pt>
                <c:pt idx="7">
                  <c:v>24645.624091984777</c:v>
                </c:pt>
                <c:pt idx="8">
                  <c:v>26089.676329984613</c:v>
                </c:pt>
                <c:pt idx="9">
                  <c:v>27865.540962504463</c:v>
                </c:pt>
                <c:pt idx="10">
                  <c:v>30447.740107833732</c:v>
                </c:pt>
                <c:pt idx="11">
                  <c:v>34982.152105995483</c:v>
                </c:pt>
                <c:pt idx="12">
                  <c:v>42964.754661430336</c:v>
                </c:pt>
                <c:pt idx="13">
                  <c:v>55984.906469216003</c:v>
                </c:pt>
                <c:pt idx="14">
                  <c:v>80460.935411248283</c:v>
                </c:pt>
                <c:pt idx="15">
                  <c:v>146443.45337094023</c:v>
                </c:pt>
                <c:pt idx="16">
                  <c:v>204077.22982069908</c:v>
                </c:pt>
                <c:pt idx="17">
                  <c:v>81701.062814111574</c:v>
                </c:pt>
                <c:pt idx="18">
                  <c:v>36638.181004338308</c:v>
                </c:pt>
                <c:pt idx="19">
                  <c:v>22443.256234335819</c:v>
                </c:pt>
                <c:pt idx="20">
                  <c:v>16318.239614419575</c:v>
                </c:pt>
                <c:pt idx="21">
                  <c:v>13070.053169723167</c:v>
                </c:pt>
                <c:pt idx="22">
                  <c:v>10968.425475628535</c:v>
                </c:pt>
                <c:pt idx="23">
                  <c:v>9395.9123647012184</c:v>
                </c:pt>
                <c:pt idx="24">
                  <c:v>7964.2016870818779</c:v>
                </c:pt>
                <c:pt idx="25">
                  <c:v>6701.9572587462926</c:v>
                </c:pt>
                <c:pt idx="26">
                  <c:v>5629.4004218897853</c:v>
                </c:pt>
                <c:pt idx="27">
                  <c:v>4778.9568602198897</c:v>
                </c:pt>
                <c:pt idx="28">
                  <c:v>4161.1531387578061</c:v>
                </c:pt>
                <c:pt idx="29">
                  <c:v>3758.8538459894426</c:v>
                </c:pt>
                <c:pt idx="30">
                  <c:v>3514.6215284827986</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24091.995076697567</c:v>
                </c:pt>
                <c:pt idx="1">
                  <c:v>25848.323514663021</c:v>
                </c:pt>
                <c:pt idx="2">
                  <c:v>27673.271644076194</c:v>
                </c:pt>
                <c:pt idx="3">
                  <c:v>30434.420042126472</c:v>
                </c:pt>
                <c:pt idx="4">
                  <c:v>35275.554997865853</c:v>
                </c:pt>
                <c:pt idx="5">
                  <c:v>43446.450511886032</c:v>
                </c:pt>
                <c:pt idx="6">
                  <c:v>56312.801846673734</c:v>
                </c:pt>
                <c:pt idx="7">
                  <c:v>82880.50974828699</c:v>
                </c:pt>
                <c:pt idx="8">
                  <c:v>174351.58644999197</c:v>
                </c:pt>
                <c:pt idx="9">
                  <c:v>-693099.50136442133</c:v>
                </c:pt>
                <c:pt idx="10">
                  <c:v>-102310.91116635899</c:v>
                </c:pt>
                <c:pt idx="11">
                  <c:v>-48549.917985317086</c:v>
                </c:pt>
                <c:pt idx="12">
                  <c:v>-28592.472631285204</c:v>
                </c:pt>
                <c:pt idx="13">
                  <c:v>-18356.592972288541</c:v>
                </c:pt>
                <c:pt idx="14">
                  <c:v>-12327.119197325614</c:v>
                </c:pt>
                <c:pt idx="15">
                  <c:v>-8779.5984407332944</c:v>
                </c:pt>
                <c:pt idx="16">
                  <c:v>-6700.2148337740755</c:v>
                </c:pt>
                <c:pt idx="17">
                  <c:v>-5050.3725602119102</c:v>
                </c:pt>
                <c:pt idx="18">
                  <c:v>-3676.8792934525554</c:v>
                </c:pt>
                <c:pt idx="19">
                  <c:v>-2873.0317782761535</c:v>
                </c:pt>
                <c:pt idx="20">
                  <c:v>-2859.0783948676435</c:v>
                </c:pt>
                <c:pt idx="21">
                  <c:v>-4088.5720206634032</c:v>
                </c:pt>
                <c:pt idx="22">
                  <c:v>-11238.101659867592</c:v>
                </c:pt>
                <c:pt idx="23">
                  <c:v>20738.823551719001</c:v>
                </c:pt>
                <c:pt idx="24">
                  <c:v>6640.9302159668605</c:v>
                </c:pt>
                <c:pt idx="25">
                  <c:v>4450.0353841385022</c:v>
                </c:pt>
                <c:pt idx="26">
                  <c:v>3930.8202588636177</c:v>
                </c:pt>
                <c:pt idx="27">
                  <c:v>3566.9567723566106</c:v>
                </c:pt>
                <c:pt idx="28">
                  <c:v>3451.3273114574445</c:v>
                </c:pt>
                <c:pt idx="29">
                  <c:v>3194.3507815161752</c:v>
                </c:pt>
                <c:pt idx="30">
                  <c:v>3193.5603224765923</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52809.702500313113</c:v>
                </c:pt>
                <c:pt idx="1">
                  <c:v>86086.058018559372</c:v>
                </c:pt>
                <c:pt idx="2">
                  <c:v>196922.05206281488</c:v>
                </c:pt>
                <c:pt idx="3">
                  <c:v>-414811.86504155898</c:v>
                </c:pt>
                <c:pt idx="4">
                  <c:v>-90422.944279573261</c:v>
                </c:pt>
                <c:pt idx="5">
                  <c:v>-43853.186547947276</c:v>
                </c:pt>
                <c:pt idx="6">
                  <c:v>-26208.79453323481</c:v>
                </c:pt>
                <c:pt idx="7">
                  <c:v>-16765.492057132582</c:v>
                </c:pt>
                <c:pt idx="8">
                  <c:v>-11013.365915275059</c:v>
                </c:pt>
                <c:pt idx="9">
                  <c:v>-7093.5595100595956</c:v>
                </c:pt>
                <c:pt idx="10">
                  <c:v>-4370.7270133694674</c:v>
                </c:pt>
                <c:pt idx="11">
                  <c:v>-2576.0212198202357</c:v>
                </c:pt>
                <c:pt idx="12">
                  <c:v>-1517.8871025410456</c:v>
                </c:pt>
                <c:pt idx="13">
                  <c:v>-947.22826260664078</c:v>
                </c:pt>
                <c:pt idx="14">
                  <c:v>-679.93503550989863</c:v>
                </c:pt>
                <c:pt idx="15">
                  <c:v>-571.76282631055824</c:v>
                </c:pt>
                <c:pt idx="16">
                  <c:v>-555.51201399483955</c:v>
                </c:pt>
                <c:pt idx="17">
                  <c:v>-602.94056871662838</c:v>
                </c:pt>
                <c:pt idx="18">
                  <c:v>-767.11180411260909</c:v>
                </c:pt>
                <c:pt idx="19">
                  <c:v>-1160.09346110669</c:v>
                </c:pt>
                <c:pt idx="20">
                  <c:v>-1855.2260073426671</c:v>
                </c:pt>
                <c:pt idx="21">
                  <c:v>-4262.5605785975458</c:v>
                </c:pt>
                <c:pt idx="22">
                  <c:v>-102107.2008915356</c:v>
                </c:pt>
                <c:pt idx="23">
                  <c:v>7344.1081892052171</c:v>
                </c:pt>
                <c:pt idx="24">
                  <c:v>4407.3571635357312</c:v>
                </c:pt>
                <c:pt idx="25">
                  <c:v>3991.7537211128301</c:v>
                </c:pt>
                <c:pt idx="26">
                  <c:v>3302.4478970436417</c:v>
                </c:pt>
                <c:pt idx="27">
                  <c:v>3296.661273328823</c:v>
                </c:pt>
                <c:pt idx="28">
                  <c:v>3100.505727918573</c:v>
                </c:pt>
                <c:pt idx="29">
                  <c:v>3100.6697092209688</c:v>
                </c:pt>
                <c:pt idx="30">
                  <c:v>3056.9797441901865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90628648"/>
        <c:axId val="4906325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906286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2568"/>
        <c:crosses val="autoZero"/>
        <c:crossBetween val="midCat"/>
        <c:majorUnit val="10000"/>
      </c:valAx>
      <c:valAx>
        <c:axId val="4906325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2864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0.36165714216112482</c:v>
                </c:pt>
                <c:pt idx="1">
                  <c:v>0.36167059776048965</c:v>
                </c:pt>
                <c:pt idx="2">
                  <c:v>0.36167061165194786</c:v>
                </c:pt>
                <c:pt idx="3">
                  <c:v>0.36167066260030317</c:v>
                </c:pt>
                <c:pt idx="4">
                  <c:v>0.36167068120064499</c:v>
                </c:pt>
                <c:pt idx="5">
                  <c:v>0.36167069163351212</c:v>
                </c:pt>
                <c:pt idx="6">
                  <c:v>0.36167069834631255</c:v>
                </c:pt>
                <c:pt idx="7">
                  <c:v>0.36167069050080902</c:v>
                </c:pt>
                <c:pt idx="8">
                  <c:v>0.36167070505911225</c:v>
                </c:pt>
                <c:pt idx="9">
                  <c:v>0.36167075617413885</c:v>
                </c:pt>
                <c:pt idx="10">
                  <c:v>0.36167127516882741</c:v>
                </c:pt>
                <c:pt idx="11">
                  <c:v>0.36167655575539909</c:v>
                </c:pt>
                <c:pt idx="12">
                  <c:v>0.3617287579860114</c:v>
                </c:pt>
                <c:pt idx="13">
                  <c:v>0.36222758320445203</c:v>
                </c:pt>
                <c:pt idx="14">
                  <c:v>0.36586894291319622</c:v>
                </c:pt>
                <c:pt idx="15">
                  <c:v>0.37205058592099588</c:v>
                </c:pt>
                <c:pt idx="16">
                  <c:v>0.37656534075295534</c:v>
                </c:pt>
                <c:pt idx="17">
                  <c:v>0.38123262561508314</c:v>
                </c:pt>
                <c:pt idx="18">
                  <c:v>0.38650733610286059</c:v>
                </c:pt>
                <c:pt idx="19">
                  <c:v>0.39208252812104089</c:v>
                </c:pt>
                <c:pt idx="20">
                  <c:v>0.39657297622051391</c:v>
                </c:pt>
                <c:pt idx="21">
                  <c:v>0.3961217832632864</c:v>
                </c:pt>
                <c:pt idx="22">
                  <c:v>0.39085930909580197</c:v>
                </c:pt>
                <c:pt idx="23">
                  <c:v>0.38495614776612952</c:v>
                </c:pt>
                <c:pt idx="24">
                  <c:v>0.38118048539850852</c:v>
                </c:pt>
                <c:pt idx="25">
                  <c:v>0.37993222430955237</c:v>
                </c:pt>
                <c:pt idx="26">
                  <c:v>0.37986149597497026</c:v>
                </c:pt>
                <c:pt idx="27">
                  <c:v>0.37969873552007577</c:v>
                </c:pt>
                <c:pt idx="28">
                  <c:v>0.37973881108792823</c:v>
                </c:pt>
                <c:pt idx="29">
                  <c:v>0.38034296881177193</c:v>
                </c:pt>
                <c:pt idx="30">
                  <c:v>0.3816895805877536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0.36119458804795718</c:v>
                </c:pt>
                <c:pt idx="1">
                  <c:v>0.36120856436406967</c:v>
                </c:pt>
                <c:pt idx="2">
                  <c:v>0.36120859499808822</c:v>
                </c:pt>
                <c:pt idx="3">
                  <c:v>0.36120867613931285</c:v>
                </c:pt>
                <c:pt idx="4">
                  <c:v>0.36120908164700349</c:v>
                </c:pt>
                <c:pt idx="5">
                  <c:v>0.36121274265700037</c:v>
                </c:pt>
                <c:pt idx="6">
                  <c:v>0.36124916721364869</c:v>
                </c:pt>
                <c:pt idx="7">
                  <c:v>0.36160043381297013</c:v>
                </c:pt>
                <c:pt idx="8">
                  <c:v>0.3643970119474928</c:v>
                </c:pt>
                <c:pt idx="9">
                  <c:v>0.37078754346158971</c:v>
                </c:pt>
                <c:pt idx="10">
                  <c:v>0.37532541125712565</c:v>
                </c:pt>
                <c:pt idx="11">
                  <c:v>0.37982910089453437</c:v>
                </c:pt>
                <c:pt idx="12">
                  <c:v>0.38503035246648221</c:v>
                </c:pt>
                <c:pt idx="13">
                  <c:v>0.39070495273059608</c:v>
                </c:pt>
                <c:pt idx="14">
                  <c:v>0.39733687212236091</c:v>
                </c:pt>
                <c:pt idx="15">
                  <c:v>0.40479106241626361</c:v>
                </c:pt>
                <c:pt idx="16">
                  <c:v>0.41276707409399038</c:v>
                </c:pt>
                <c:pt idx="17">
                  <c:v>0.42051060695952247</c:v>
                </c:pt>
                <c:pt idx="18">
                  <c:v>0.42705279941600288</c:v>
                </c:pt>
                <c:pt idx="19">
                  <c:v>0.4281061852937415</c:v>
                </c:pt>
                <c:pt idx="20">
                  <c:v>0.42145452823730212</c:v>
                </c:pt>
                <c:pt idx="21">
                  <c:v>0.41145130452026135</c:v>
                </c:pt>
                <c:pt idx="22">
                  <c:v>0.40240380675740534</c:v>
                </c:pt>
                <c:pt idx="23">
                  <c:v>0.39642188203988626</c:v>
                </c:pt>
                <c:pt idx="24">
                  <c:v>0.39263944681813007</c:v>
                </c:pt>
                <c:pt idx="25">
                  <c:v>0.3907768907536619</c:v>
                </c:pt>
                <c:pt idx="26">
                  <c:v>0.39023966535142418</c:v>
                </c:pt>
                <c:pt idx="27">
                  <c:v>0.39115899397884557</c:v>
                </c:pt>
                <c:pt idx="28">
                  <c:v>0.39299610095123622</c:v>
                </c:pt>
                <c:pt idx="29">
                  <c:v>0.39603835970392604</c:v>
                </c:pt>
                <c:pt idx="30">
                  <c:v>0.40042205543724679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0.36089955180996935</c:v>
                </c:pt>
                <c:pt idx="1">
                  <c:v>0.36091405262008242</c:v>
                </c:pt>
                <c:pt idx="2">
                  <c:v>0.36091631714517386</c:v>
                </c:pt>
                <c:pt idx="3">
                  <c:v>0.36093830026349794</c:v>
                </c:pt>
                <c:pt idx="4">
                  <c:v>0.36115212066353747</c:v>
                </c:pt>
                <c:pt idx="5">
                  <c:v>0.36300261246815413</c:v>
                </c:pt>
                <c:pt idx="6">
                  <c:v>0.3693808211296849</c:v>
                </c:pt>
                <c:pt idx="7">
                  <c:v>0.37408306363257299</c:v>
                </c:pt>
                <c:pt idx="8">
                  <c:v>0.37844671122955337</c:v>
                </c:pt>
                <c:pt idx="9">
                  <c:v>0.38352741444605298</c:v>
                </c:pt>
                <c:pt idx="10">
                  <c:v>0.38900429825545274</c:v>
                </c:pt>
                <c:pt idx="11">
                  <c:v>0.39541731363289784</c:v>
                </c:pt>
                <c:pt idx="12">
                  <c:v>0.40266326171156458</c:v>
                </c:pt>
                <c:pt idx="13">
                  <c:v>0.41058105169263492</c:v>
                </c:pt>
                <c:pt idx="14">
                  <c:v>0.41850934968919656</c:v>
                </c:pt>
                <c:pt idx="15">
                  <c:v>0.42709964855586452</c:v>
                </c:pt>
                <c:pt idx="16">
                  <c:v>0.43792191493533417</c:v>
                </c:pt>
                <c:pt idx="17">
                  <c:v>0.44866455068675476</c:v>
                </c:pt>
                <c:pt idx="18">
                  <c:v>0.44984169742679375</c:v>
                </c:pt>
                <c:pt idx="19">
                  <c:v>0.43857890535908978</c:v>
                </c:pt>
                <c:pt idx="20">
                  <c:v>0.42498582817877334</c:v>
                </c:pt>
                <c:pt idx="21">
                  <c:v>0.41323457214536963</c:v>
                </c:pt>
                <c:pt idx="22">
                  <c:v>0.40531926592993212</c:v>
                </c:pt>
                <c:pt idx="23">
                  <c:v>0.40042121275841258</c:v>
                </c:pt>
                <c:pt idx="24">
                  <c:v>0.39862219578833546</c:v>
                </c:pt>
                <c:pt idx="25">
                  <c:v>0.39838527463237089</c:v>
                </c:pt>
                <c:pt idx="26">
                  <c:v>0.39983235627009628</c:v>
                </c:pt>
                <c:pt idx="27">
                  <c:v>0.40290880431928328</c:v>
                </c:pt>
                <c:pt idx="28">
                  <c:v>0.40818598764345054</c:v>
                </c:pt>
                <c:pt idx="29">
                  <c:v>0.41621550046589695</c:v>
                </c:pt>
                <c:pt idx="30">
                  <c:v>0.42700634482353972</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0.36060200064767378</c:v>
                </c:pt>
                <c:pt idx="1">
                  <c:v>0.36065701384076504</c:v>
                </c:pt>
                <c:pt idx="2">
                  <c:v>0.36104563838977904</c:v>
                </c:pt>
                <c:pt idx="3">
                  <c:v>0.36405800682669104</c:v>
                </c:pt>
                <c:pt idx="4">
                  <c:v>0.37028052106387011</c:v>
                </c:pt>
                <c:pt idx="5">
                  <c:v>0.37472316137736872</c:v>
                </c:pt>
                <c:pt idx="6">
                  <c:v>0.37919643496665784</c:v>
                </c:pt>
                <c:pt idx="7">
                  <c:v>0.38433659979521934</c:v>
                </c:pt>
                <c:pt idx="8">
                  <c:v>0.38997289890091896</c:v>
                </c:pt>
                <c:pt idx="9">
                  <c:v>0.39654968446718125</c:v>
                </c:pt>
                <c:pt idx="10">
                  <c:v>0.40393839150662447</c:v>
                </c:pt>
                <c:pt idx="11">
                  <c:v>0.41182992984282313</c:v>
                </c:pt>
                <c:pt idx="12">
                  <c:v>0.41977378154085565</c:v>
                </c:pt>
                <c:pt idx="13">
                  <c:v>0.42882904075868555</c:v>
                </c:pt>
                <c:pt idx="14">
                  <c:v>0.44045924979212253</c:v>
                </c:pt>
                <c:pt idx="15">
                  <c:v>0.4536186046742669</c:v>
                </c:pt>
                <c:pt idx="16">
                  <c:v>0.46432667952430368</c:v>
                </c:pt>
                <c:pt idx="17">
                  <c:v>0.46599742088122359</c:v>
                </c:pt>
                <c:pt idx="18">
                  <c:v>0.45531312686780306</c:v>
                </c:pt>
                <c:pt idx="19">
                  <c:v>0.43903993227045335</c:v>
                </c:pt>
                <c:pt idx="20">
                  <c:v>0.42485841309187256</c:v>
                </c:pt>
                <c:pt idx="21">
                  <c:v>0.41500407207647472</c:v>
                </c:pt>
                <c:pt idx="22">
                  <c:v>0.40967065448273188</c:v>
                </c:pt>
                <c:pt idx="23">
                  <c:v>0.40720790767391601</c:v>
                </c:pt>
                <c:pt idx="24">
                  <c:v>0.40720833583029392</c:v>
                </c:pt>
                <c:pt idx="25">
                  <c:v>0.40936058679789838</c:v>
                </c:pt>
                <c:pt idx="26">
                  <c:v>0.41430899483337974</c:v>
                </c:pt>
                <c:pt idx="27">
                  <c:v>0.42237432020908044</c:v>
                </c:pt>
                <c:pt idx="28">
                  <c:v>0.43307719744036571</c:v>
                </c:pt>
                <c:pt idx="29">
                  <c:v>0.44410884554845359</c:v>
                </c:pt>
                <c:pt idx="30">
                  <c:v>0.45304185457088292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0.36243414404546431</c:v>
                </c:pt>
                <c:pt idx="1">
                  <c:v>0.3699865058719653</c:v>
                </c:pt>
                <c:pt idx="2">
                  <c:v>0.37445894600338991</c:v>
                </c:pt>
                <c:pt idx="3">
                  <c:v>0.37895326410172869</c:v>
                </c:pt>
                <c:pt idx="4">
                  <c:v>0.38406885591437984</c:v>
                </c:pt>
                <c:pt idx="5">
                  <c:v>0.38971623731366234</c:v>
                </c:pt>
                <c:pt idx="6">
                  <c:v>0.39628722045631115</c:v>
                </c:pt>
                <c:pt idx="7">
                  <c:v>0.4036598788529745</c:v>
                </c:pt>
                <c:pt idx="8">
                  <c:v>0.41148053245385474</c:v>
                </c:pt>
                <c:pt idx="9">
                  <c:v>0.41938412975829947</c:v>
                </c:pt>
                <c:pt idx="10">
                  <c:v>0.42851987701179406</c:v>
                </c:pt>
                <c:pt idx="11">
                  <c:v>0.44022603255025866</c:v>
                </c:pt>
                <c:pt idx="12">
                  <c:v>0.45344702068228865</c:v>
                </c:pt>
                <c:pt idx="13">
                  <c:v>0.46569441767043818</c:v>
                </c:pt>
                <c:pt idx="14">
                  <c:v>0.47701680241902128</c:v>
                </c:pt>
                <c:pt idx="15">
                  <c:v>0.48789947107546977</c:v>
                </c:pt>
                <c:pt idx="16">
                  <c:v>0.49182197731853605</c:v>
                </c:pt>
                <c:pt idx="17">
                  <c:v>0.48146670106214651</c:v>
                </c:pt>
                <c:pt idx="18">
                  <c:v>0.46327098370202463</c:v>
                </c:pt>
                <c:pt idx="19">
                  <c:v>0.44701769673619202</c:v>
                </c:pt>
                <c:pt idx="20">
                  <c:v>0.43556986178077417</c:v>
                </c:pt>
                <c:pt idx="21">
                  <c:v>0.42938093059224292</c:v>
                </c:pt>
                <c:pt idx="22">
                  <c:v>0.42745507327761972</c:v>
                </c:pt>
                <c:pt idx="23">
                  <c:v>0.42977109798216839</c:v>
                </c:pt>
                <c:pt idx="24">
                  <c:v>0.43539182572440988</c:v>
                </c:pt>
                <c:pt idx="25">
                  <c:v>0.44394050144957947</c:v>
                </c:pt>
                <c:pt idx="26">
                  <c:v>0.45279596386163457</c:v>
                </c:pt>
                <c:pt idx="27">
                  <c:v>0.45941112481184954</c:v>
                </c:pt>
                <c:pt idx="28">
                  <c:v>0.46243130609523181</c:v>
                </c:pt>
                <c:pt idx="29">
                  <c:v>0.46343885518486821</c:v>
                </c:pt>
                <c:pt idx="30">
                  <c:v>0.46358734383807088</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0.40191041534953492</c:v>
                </c:pt>
                <c:pt idx="1">
                  <c:v>0.41172593093096971</c:v>
                </c:pt>
                <c:pt idx="2">
                  <c:v>0.41987976323005277</c:v>
                </c:pt>
                <c:pt idx="3">
                  <c:v>0.42957042648689731</c:v>
                </c:pt>
                <c:pt idx="4">
                  <c:v>0.44172574653196928</c:v>
                </c:pt>
                <c:pt idx="5">
                  <c:v>0.45471893375580624</c:v>
                </c:pt>
                <c:pt idx="6">
                  <c:v>0.46639753915973581</c:v>
                </c:pt>
                <c:pt idx="7">
                  <c:v>0.4780308662763405</c:v>
                </c:pt>
                <c:pt idx="8">
                  <c:v>0.4899569199344031</c:v>
                </c:pt>
                <c:pt idx="9">
                  <c:v>0.50242575455397853</c:v>
                </c:pt>
                <c:pt idx="10">
                  <c:v>0.51573880176832076</c:v>
                </c:pt>
                <c:pt idx="11">
                  <c:v>0.53151322795618872</c:v>
                </c:pt>
                <c:pt idx="12">
                  <c:v>0.55033757264990668</c:v>
                </c:pt>
                <c:pt idx="13">
                  <c:v>0.57278968536136576</c:v>
                </c:pt>
                <c:pt idx="14">
                  <c:v>0.5984525594510558</c:v>
                </c:pt>
                <c:pt idx="15">
                  <c:v>0.61962610214568348</c:v>
                </c:pt>
                <c:pt idx="16">
                  <c:v>0.62507455861136874</c:v>
                </c:pt>
                <c:pt idx="17">
                  <c:v>0.6225859532112199</c:v>
                </c:pt>
                <c:pt idx="18">
                  <c:v>0.61729970942913548</c:v>
                </c:pt>
                <c:pt idx="19">
                  <c:v>0.60231609877875814</c:v>
                </c:pt>
                <c:pt idx="20">
                  <c:v>0.57344938205463492</c:v>
                </c:pt>
                <c:pt idx="21">
                  <c:v>0.54062429492521558</c:v>
                </c:pt>
                <c:pt idx="22">
                  <c:v>0.51281627990196799</c:v>
                </c:pt>
                <c:pt idx="23">
                  <c:v>0.49364461256213693</c:v>
                </c:pt>
                <c:pt idx="24">
                  <c:v>0.48130681751436355</c:v>
                </c:pt>
                <c:pt idx="25">
                  <c:v>0.47297600569650566</c:v>
                </c:pt>
                <c:pt idx="26">
                  <c:v>0.47089911709352117</c:v>
                </c:pt>
                <c:pt idx="27">
                  <c:v>0.46911850064254429</c:v>
                </c:pt>
                <c:pt idx="28">
                  <c:v>0.46826055902861752</c:v>
                </c:pt>
                <c:pt idx="29">
                  <c:v>0.46586793563382323</c:v>
                </c:pt>
                <c:pt idx="30">
                  <c:v>0.46587632018933578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0.46429425494353549</c:v>
                </c:pt>
                <c:pt idx="1">
                  <c:v>0.47915681784157549</c:v>
                </c:pt>
                <c:pt idx="2">
                  <c:v>0.49124286796395672</c:v>
                </c:pt>
                <c:pt idx="3">
                  <c:v>0.50398744623330283</c:v>
                </c:pt>
                <c:pt idx="4">
                  <c:v>0.51750436044417447</c:v>
                </c:pt>
                <c:pt idx="5">
                  <c:v>0.5341841288846787</c:v>
                </c:pt>
                <c:pt idx="6">
                  <c:v>0.55367816120783853</c:v>
                </c:pt>
                <c:pt idx="7">
                  <c:v>0.57757770347795756</c:v>
                </c:pt>
                <c:pt idx="8">
                  <c:v>0.60702796986102492</c:v>
                </c:pt>
                <c:pt idx="9">
                  <c:v>0.64545105749679044</c:v>
                </c:pt>
                <c:pt idx="10">
                  <c:v>0.69580607899029878</c:v>
                </c:pt>
                <c:pt idx="11">
                  <c:v>0.75694447328412984</c:v>
                </c:pt>
                <c:pt idx="12">
                  <c:v>0.81843462591033722</c:v>
                </c:pt>
                <c:pt idx="13">
                  <c:v>0.86728227499025923</c:v>
                </c:pt>
                <c:pt idx="14">
                  <c:v>0.89144183259682919</c:v>
                </c:pt>
                <c:pt idx="15">
                  <c:v>0.88562354912069685</c:v>
                </c:pt>
                <c:pt idx="16">
                  <c:v>0.84978482258039156</c:v>
                </c:pt>
                <c:pt idx="17">
                  <c:v>0.78702208791132833</c:v>
                </c:pt>
                <c:pt idx="18">
                  <c:v>0.70153160223083333</c:v>
                </c:pt>
                <c:pt idx="19">
                  <c:v>0.62131419268527843</c:v>
                </c:pt>
                <c:pt idx="20">
                  <c:v>0.56795949323532791</c:v>
                </c:pt>
                <c:pt idx="21">
                  <c:v>0.52777288515248577</c:v>
                </c:pt>
                <c:pt idx="22">
                  <c:v>0.50112332601477316</c:v>
                </c:pt>
                <c:pt idx="23">
                  <c:v>0.48468614972029661</c:v>
                </c:pt>
                <c:pt idx="24">
                  <c:v>0.47481376945347292</c:v>
                </c:pt>
                <c:pt idx="25">
                  <c:v>0.47229679295567145</c:v>
                </c:pt>
                <c:pt idx="26">
                  <c:v>0.46682844865276424</c:v>
                </c:pt>
                <c:pt idx="27">
                  <c:v>0.46679015317091166</c:v>
                </c:pt>
                <c:pt idx="28">
                  <c:v>0.46492021270198769</c:v>
                </c:pt>
                <c:pt idx="29">
                  <c:v>0.46492770421924057</c:v>
                </c:pt>
                <c:pt idx="30">
                  <c:v>0.46448549220841306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90629040"/>
        <c:axId val="490627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06290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0627080"/>
        <c:crosses val="autoZero"/>
        <c:crossBetween val="midCat"/>
        <c:majorUnit val="10000"/>
      </c:valAx>
      <c:valAx>
        <c:axId val="49062708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9062904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91935088"/>
        <c:axId val="491933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9193508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3912"/>
        <c:crosses val="autoZero"/>
        <c:crossBetween val="midCat"/>
        <c:majorUnit val="10000"/>
      </c:valAx>
      <c:valAx>
        <c:axId val="4919339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508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1.6811535584605235E-2</c:v>
                </c:pt>
                <c:pt idx="1">
                  <c:v>2.3082035937746687E-2</c:v>
                </c:pt>
                <c:pt idx="2">
                  <c:v>6.4078332170452454E-3</c:v>
                </c:pt>
                <c:pt idx="3">
                  <c:v>1.0974737347652804E-3</c:v>
                </c:pt>
                <c:pt idx="4">
                  <c:v>1.6072935071196703E-4</c:v>
                </c:pt>
                <c:pt idx="5">
                  <c:v>2.3766557837987756E-5</c:v>
                </c:pt>
                <c:pt idx="6">
                  <c:v>9.5942490266437223E-6</c:v>
                </c:pt>
                <c:pt idx="7">
                  <c:v>1.7845787238125572E-5</c:v>
                </c:pt>
                <c:pt idx="8">
                  <c:v>4.6641280977789757E-5</c:v>
                </c:pt>
                <c:pt idx="9">
                  <c:v>1.1609836505943202E-4</c:v>
                </c:pt>
                <c:pt idx="10">
                  <c:v>2.507385624314299E-4</c:v>
                </c:pt>
                <c:pt idx="11">
                  <c:v>4.8359145845065663E-4</c:v>
                </c:pt>
                <c:pt idx="12">
                  <c:v>8.43610662328905E-4</c:v>
                </c:pt>
                <c:pt idx="13">
                  <c:v>1.2654671221505804E-3</c:v>
                </c:pt>
                <c:pt idx="14">
                  <c:v>1.4926916153197467E-3</c:v>
                </c:pt>
                <c:pt idx="15">
                  <c:v>1.3679604771956247E-3</c:v>
                </c:pt>
                <c:pt idx="16">
                  <c:v>1.0231133977685709E-3</c:v>
                </c:pt>
                <c:pt idx="17">
                  <c:v>6.7681104861514146E-4</c:v>
                </c:pt>
                <c:pt idx="18">
                  <c:v>3.8545310389676799E-4</c:v>
                </c:pt>
                <c:pt idx="19">
                  <c:v>1.8456081743264559E-4</c:v>
                </c:pt>
                <c:pt idx="20">
                  <c:v>1.0386595250049286E-4</c:v>
                </c:pt>
                <c:pt idx="21">
                  <c:v>8.0405323958952085E-5</c:v>
                </c:pt>
                <c:pt idx="22">
                  <c:v>2.7530493558182685E-5</c:v>
                </c:pt>
                <c:pt idx="23">
                  <c:v>5.51636291279385E-5</c:v>
                </c:pt>
                <c:pt idx="24">
                  <c:v>2.9088002504129752E-4</c:v>
                </c:pt>
                <c:pt idx="25">
                  <c:v>5.7321597290113885E-4</c:v>
                </c:pt>
                <c:pt idx="26">
                  <c:v>7.4876824786072058E-4</c:v>
                </c:pt>
                <c:pt idx="27">
                  <c:v>9.4868330647042019E-4</c:v>
                </c:pt>
                <c:pt idx="28">
                  <c:v>1.2123477825527632E-3</c:v>
                </c:pt>
                <c:pt idx="29">
                  <c:v>8.1200816480578569E-4</c:v>
                </c:pt>
                <c:pt idx="30">
                  <c:v>1.3573663252065384E-4</c:v>
                </c:pt>
              </c:numCache>
            </c:numRef>
          </c:yVal>
          <c:smooth val="1"/>
        </c:ser>
        <c:dLbls>
          <c:showLegendKey val="0"/>
          <c:showVal val="0"/>
          <c:showCatName val="0"/>
          <c:showSerName val="0"/>
          <c:showPercent val="0"/>
          <c:showBubbleSize val="0"/>
        </c:dLbls>
        <c:axId val="491935480"/>
        <c:axId val="491929600"/>
      </c:scatterChart>
      <c:valAx>
        <c:axId val="491935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9600"/>
        <c:crossesAt val="-1.5000000000000005E-3"/>
        <c:crossBetween val="midCat"/>
      </c:valAx>
      <c:valAx>
        <c:axId val="49192960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548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3798.2320259285484</c:v>
                </c:pt>
                <c:pt idx="1">
                  <c:v>3723.1826282358766</c:v>
                </c:pt>
                <c:pt idx="2">
                  <c:v>3446.968262386551</c:v>
                </c:pt>
                <c:pt idx="3">
                  <c:v>3302.9303769833218</c:v>
                </c:pt>
                <c:pt idx="4">
                  <c:v>3128.5736936279482</c:v>
                </c:pt>
                <c:pt idx="5">
                  <c:v>2931.4315943766574</c:v>
                </c:pt>
                <c:pt idx="6">
                  <c:v>2716.4436668507292</c:v>
                </c:pt>
                <c:pt idx="7">
                  <c:v>2473.3835537990353</c:v>
                </c:pt>
                <c:pt idx="8">
                  <c:v>2200.3659665445643</c:v>
                </c:pt>
                <c:pt idx="9">
                  <c:v>1881.3422260744874</c:v>
                </c:pt>
                <c:pt idx="10">
                  <c:v>1513.6170526027977</c:v>
                </c:pt>
                <c:pt idx="11">
                  <c:v>1130.7377871937272</c:v>
                </c:pt>
                <c:pt idx="12">
                  <c:v>796.74030744296306</c:v>
                </c:pt>
                <c:pt idx="13">
                  <c:v>559.6482311656199</c:v>
                </c:pt>
                <c:pt idx="14">
                  <c:v>421.5161012178317</c:v>
                </c:pt>
                <c:pt idx="15">
                  <c:v>351.26866997444318</c:v>
                </c:pt>
                <c:pt idx="16">
                  <c:v>314.81100081311718</c:v>
                </c:pt>
                <c:pt idx="17">
                  <c:v>290.72005739133874</c:v>
                </c:pt>
                <c:pt idx="18">
                  <c:v>272.46807659482516</c:v>
                </c:pt>
                <c:pt idx="19">
                  <c:v>260.45866363834045</c:v>
                </c:pt>
                <c:pt idx="20">
                  <c:v>241.2060854846693</c:v>
                </c:pt>
                <c:pt idx="21">
                  <c:v>232.48178815249148</c:v>
                </c:pt>
                <c:pt idx="22">
                  <c:v>229.22137441491736</c:v>
                </c:pt>
                <c:pt idx="23">
                  <c:v>227.2406916524742</c:v>
                </c:pt>
                <c:pt idx="24">
                  <c:v>225.86648899418117</c:v>
                </c:pt>
                <c:pt idx="25">
                  <c:v>225.20117873358797</c:v>
                </c:pt>
                <c:pt idx="26">
                  <c:v>224.21711068644163</c:v>
                </c:pt>
                <c:pt idx="27">
                  <c:v>223.70838592715211</c:v>
                </c:pt>
                <c:pt idx="28">
                  <c:v>223.00929759740291</c:v>
                </c:pt>
                <c:pt idx="29">
                  <c:v>222.5214955741271</c:v>
                </c:pt>
                <c:pt idx="30">
                  <c:v>222.4300644660878</c:v>
                </c:pt>
              </c:numCache>
            </c:numRef>
          </c:yVal>
          <c:smooth val="1"/>
        </c:ser>
        <c:dLbls>
          <c:showLegendKey val="0"/>
          <c:showVal val="0"/>
          <c:showCatName val="0"/>
          <c:showSerName val="0"/>
          <c:showPercent val="0"/>
          <c:showBubbleSize val="0"/>
        </c:dLbls>
        <c:axId val="491934696"/>
        <c:axId val="491930384"/>
      </c:scatterChart>
      <c:valAx>
        <c:axId val="491934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0384"/>
        <c:crosses val="autoZero"/>
        <c:crossBetween val="midCat"/>
      </c:valAx>
      <c:valAx>
        <c:axId val="4919303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46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7.3363530047124269E-3</c:v>
                </c:pt>
                <c:pt idx="1">
                  <c:v>7.3444153891529355E-3</c:v>
                </c:pt>
                <c:pt idx="2">
                  <c:v>7.3393954139350775E-3</c:v>
                </c:pt>
                <c:pt idx="3">
                  <c:v>7.3379131238603366E-3</c:v>
                </c:pt>
                <c:pt idx="4">
                  <c:v>7.33741784794036E-3</c:v>
                </c:pt>
                <c:pt idx="5">
                  <c:v>7.3372657274796546E-3</c:v>
                </c:pt>
                <c:pt idx="6">
                  <c:v>7.3372126622050894E-3</c:v>
                </c:pt>
                <c:pt idx="7">
                  <c:v>7.3371702100090593E-3</c:v>
                </c:pt>
                <c:pt idx="8">
                  <c:v>7.3371595972123831E-3</c:v>
                </c:pt>
                <c:pt idx="9">
                  <c:v>7.3369296502643101E-3</c:v>
                </c:pt>
                <c:pt idx="10">
                  <c:v>7.3346726330051661E-3</c:v>
                </c:pt>
                <c:pt idx="11">
                  <c:v>7.3123253345846687E-3</c:v>
                </c:pt>
                <c:pt idx="12">
                  <c:v>7.0904407716456189E-3</c:v>
                </c:pt>
                <c:pt idx="13">
                  <c:v>4.9676185908938937E-3</c:v>
                </c:pt>
                <c:pt idx="14">
                  <c:v>1.0678549040270982E-2</c:v>
                </c:pt>
                <c:pt idx="15">
                  <c:v>3.9120675868912602E-2</c:v>
                </c:pt>
                <c:pt idx="16">
                  <c:v>5.9717701298941203E-2</c:v>
                </c:pt>
                <c:pt idx="17">
                  <c:v>8.110630125734003E-2</c:v>
                </c:pt>
                <c:pt idx="18">
                  <c:v>0.10332612825754423</c:v>
                </c:pt>
                <c:pt idx="19">
                  <c:v>0.10445713181780107</c:v>
                </c:pt>
                <c:pt idx="20">
                  <c:v>5.8735795345835895E-2</c:v>
                </c:pt>
                <c:pt idx="21">
                  <c:v>0.22107824502654164</c:v>
                </c:pt>
                <c:pt idx="22">
                  <c:v>0.15029111890282876</c:v>
                </c:pt>
                <c:pt idx="23">
                  <c:v>7.6400752050001644E-2</c:v>
                </c:pt>
                <c:pt idx="24">
                  <c:v>2.6986098799311768E-3</c:v>
                </c:pt>
                <c:pt idx="25">
                  <c:v>7.4169860526988429E-2</c:v>
                </c:pt>
                <c:pt idx="26">
                  <c:v>0.13720564210357797</c:v>
                </c:pt>
                <c:pt idx="27">
                  <c:v>0.12421242412336471</c:v>
                </c:pt>
                <c:pt idx="28">
                  <c:v>0.13299226928253907</c:v>
                </c:pt>
                <c:pt idx="29">
                  <c:v>0.13435257727935834</c:v>
                </c:pt>
                <c:pt idx="30">
                  <c:v>0.11933702377972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2.9956828364761244E-3</c:v>
                </c:pt>
                <c:pt idx="1">
                  <c:v>3.164759149084775E-3</c:v>
                </c:pt>
                <c:pt idx="2">
                  <c:v>4.8768863506134285E-3</c:v>
                </c:pt>
                <c:pt idx="3">
                  <c:v>1.8223133065500396E-2</c:v>
                </c:pt>
                <c:pt idx="4">
                  <c:v>4.7631039510915775E-2</c:v>
                </c:pt>
                <c:pt idx="5">
                  <c:v>6.8534502773519718E-2</c:v>
                </c:pt>
                <c:pt idx="6">
                  <c:v>8.9878269911964029E-2</c:v>
                </c:pt>
                <c:pt idx="7">
                  <c:v>0.11448852169159328</c:v>
                </c:pt>
                <c:pt idx="8">
                  <c:v>0.13913200404564827</c:v>
                </c:pt>
                <c:pt idx="9">
                  <c:v>0.14129795732299269</c:v>
                </c:pt>
                <c:pt idx="10">
                  <c:v>4.1101189692883421E-2</c:v>
                </c:pt>
                <c:pt idx="11">
                  <c:v>0.22828117261607828</c:v>
                </c:pt>
                <c:pt idx="12">
                  <c:v>0.20240634547490174</c:v>
                </c:pt>
                <c:pt idx="13">
                  <c:v>0.1719318547596648</c:v>
                </c:pt>
                <c:pt idx="14">
                  <c:v>0.13162722638593946</c:v>
                </c:pt>
                <c:pt idx="15">
                  <c:v>8.4926173618923032E-2</c:v>
                </c:pt>
                <c:pt idx="16">
                  <c:v>5.0258367895973197E-2</c:v>
                </c:pt>
                <c:pt idx="17">
                  <c:v>5.8296958258349789E-2</c:v>
                </c:pt>
                <c:pt idx="18">
                  <c:v>1.3104390121269925E-2</c:v>
                </c:pt>
                <c:pt idx="19">
                  <c:v>3.1959649934712543E-2</c:v>
                </c:pt>
                <c:pt idx="20">
                  <c:v>6.2167505700715116E-2</c:v>
                </c:pt>
                <c:pt idx="21">
                  <c:v>7.6333037823873628E-2</c:v>
                </c:pt>
                <c:pt idx="22">
                  <c:v>7.6839688797607858E-2</c:v>
                </c:pt>
                <c:pt idx="23">
                  <c:v>5.83996034819E-2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1.6955843875996461E-2</c:v>
                </c:pt>
                <c:pt idx="1">
                  <c:v>5.2309143050845018E-2</c:v>
                </c:pt>
                <c:pt idx="2">
                  <c:v>7.3582788911429331E-2</c:v>
                </c:pt>
                <c:pt idx="3">
                  <c:v>9.5284566471637758E-2</c:v>
                </c:pt>
                <c:pt idx="4">
                  <c:v>0.12014949111425847</c:v>
                </c:pt>
                <c:pt idx="5">
                  <c:v>0.14603773238752685</c:v>
                </c:pt>
                <c:pt idx="6">
                  <c:v>0.15682323720358984</c:v>
                </c:pt>
                <c:pt idx="7">
                  <c:v>1.7033016484480891E-2</c:v>
                </c:pt>
                <c:pt idx="8">
                  <c:v>0.22258945913504674</c:v>
                </c:pt>
                <c:pt idx="9">
                  <c:v>0.19805017522745264</c:v>
                </c:pt>
                <c:pt idx="10">
                  <c:v>0.16694117259331073</c:v>
                </c:pt>
                <c:pt idx="11">
                  <c:v>0.12592955795336969</c:v>
                </c:pt>
                <c:pt idx="12">
                  <c:v>7.8991402416854595E-2</c:v>
                </c:pt>
                <c:pt idx="13">
                  <c:v>4.4208923793404166E-2</c:v>
                </c:pt>
                <c:pt idx="14">
                  <c:v>6.4087954882132522E-2</c:v>
                </c:pt>
                <c:pt idx="15">
                  <c:v>6.543975886543843E-2</c:v>
                </c:pt>
                <c:pt idx="16">
                  <c:v>5.2840802604974146E-2</c:v>
                </c:pt>
                <c:pt idx="17">
                  <c:v>2.5750099253460432E-2</c:v>
                </c:pt>
                <c:pt idx="18">
                  <c:v>6.8929178407674974E-3</c:v>
                </c:pt>
                <c:pt idx="19">
                  <c:v>3.1673534729564454E-2</c:v>
                </c:pt>
                <c:pt idx="20">
                  <c:v>3.6958089842180637E-2</c:v>
                </c:pt>
                <c:pt idx="21">
                  <c:v>1.8230005769159081E-2</c:v>
                </c:pt>
                <c:pt idx="22">
                  <c:v>3.4347576905487329E-2</c:v>
                </c:pt>
                <c:pt idx="23">
                  <c:v>0.11346613019642002</c:v>
                </c:pt>
                <c:pt idx="24">
                  <c:v>0.19145179393626888</c:v>
                </c:pt>
                <c:pt idx="25">
                  <c:v>0.22728220620949058</c:v>
                </c:pt>
                <c:pt idx="26">
                  <c:v>0.19246468302628361</c:v>
                </c:pt>
                <c:pt idx="27">
                  <c:v>9.2445854979447337E-2</c:v>
                </c:pt>
                <c:pt idx="28">
                  <c:v>1.313933695531593E-5</c:v>
                </c:pt>
                <c:pt idx="29">
                  <c:v>4.9802538307968477E-2</c:v>
                </c:pt>
                <c:pt idx="30">
                  <c:v>4.7969190703544135E-2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1.685613483837748E-2</c:v>
                </c:pt>
                <c:pt idx="1">
                  <c:v>2.270385527894514E-2</c:v>
                </c:pt>
                <c:pt idx="2">
                  <c:v>6.9160599126286259E-3</c:v>
                </c:pt>
                <c:pt idx="3">
                  <c:v>7.5031129185060253E-4</c:v>
                </c:pt>
                <c:pt idx="4">
                  <c:v>6.5414672593136741E-4</c:v>
                </c:pt>
                <c:pt idx="5">
                  <c:v>5.7131572290126638E-4</c:v>
                </c:pt>
                <c:pt idx="6">
                  <c:v>7.3420738676439944E-4</c:v>
                </c:pt>
                <c:pt idx="7">
                  <c:v>9.0372621346427207E-4</c:v>
                </c:pt>
                <c:pt idx="8">
                  <c:v>1.2298485742018952E-3</c:v>
                </c:pt>
                <c:pt idx="9">
                  <c:v>1.5284154927229477E-3</c:v>
                </c:pt>
                <c:pt idx="10">
                  <c:v>2.5434267567733702E-3</c:v>
                </c:pt>
                <c:pt idx="11">
                  <c:v>2.4699354199876852E-3</c:v>
                </c:pt>
                <c:pt idx="12">
                  <c:v>4.0034578776406409E-3</c:v>
                </c:pt>
                <c:pt idx="13">
                  <c:v>1.4105010879615952E-3</c:v>
                </c:pt>
                <c:pt idx="14">
                  <c:v>3.2099303607726094E-3</c:v>
                </c:pt>
                <c:pt idx="15">
                  <c:v>3.8082377318654297E-4</c:v>
                </c:pt>
                <c:pt idx="16">
                  <c:v>1.6245582578904168E-3</c:v>
                </c:pt>
                <c:pt idx="17">
                  <c:v>1.007907173219273E-4</c:v>
                </c:pt>
                <c:pt idx="18">
                  <c:v>6.2097676391887637E-4</c:v>
                </c:pt>
                <c:pt idx="19">
                  <c:v>3.6877884227341215E-4</c:v>
                </c:pt>
                <c:pt idx="20">
                  <c:v>4.4184502149260089E-4</c:v>
                </c:pt>
                <c:pt idx="21">
                  <c:v>6.740565684821919E-5</c:v>
                </c:pt>
                <c:pt idx="22">
                  <c:v>8.4266130188752027E-5</c:v>
                </c:pt>
                <c:pt idx="23">
                  <c:v>1.5899585428076762E-4</c:v>
                </c:pt>
                <c:pt idx="24">
                  <c:v>2.8197495005227664E-4</c:v>
                </c:pt>
                <c:pt idx="25">
                  <c:v>6.1327295600861319E-4</c:v>
                </c:pt>
                <c:pt idx="26">
                  <c:v>7.1507379794919271E-4</c:v>
                </c:pt>
                <c:pt idx="27">
                  <c:v>9.5845228603181286E-4</c:v>
                </c:pt>
                <c:pt idx="28">
                  <c:v>1.1728474610615575E-3</c:v>
                </c:pt>
                <c:pt idx="29">
                  <c:v>8.1293599933440373E-4</c:v>
                </c:pt>
                <c:pt idx="30">
                  <c:v>1.2766222611772501E-4</c:v>
                </c:pt>
              </c:numCache>
            </c:numRef>
          </c:yVal>
          <c:smooth val="1"/>
        </c:ser>
        <c:dLbls>
          <c:showLegendKey val="0"/>
          <c:showVal val="0"/>
          <c:showCatName val="0"/>
          <c:showSerName val="0"/>
          <c:showPercent val="0"/>
          <c:showBubbleSize val="0"/>
        </c:dLbls>
        <c:axId val="491935872"/>
        <c:axId val="491929992"/>
      </c:scatterChart>
      <c:valAx>
        <c:axId val="4919358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29992"/>
        <c:crossesAt val="1.0000000000000005E-9"/>
        <c:crossBetween val="midCat"/>
      </c:valAx>
      <c:valAx>
        <c:axId val="4919299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58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-57.849695376367158</c:v>
                </c:pt>
                <c:pt idx="1">
                  <c:v>-46.11051752249567</c:v>
                </c:pt>
                <c:pt idx="2">
                  <c:v>-41.17116132313857</c:v>
                </c:pt>
                <c:pt idx="3">
                  <c:v>-34.778722441922618</c:v>
                </c:pt>
                <c:pt idx="4">
                  <c:v>-28.200471206277161</c:v>
                </c:pt>
                <c:pt idx="5">
                  <c:v>-13.834226390176307</c:v>
                </c:pt>
                <c:pt idx="6">
                  <c:v>0</c:v>
                </c:pt>
              </c:numCache>
            </c:numRef>
          </c:yVal>
          <c:smooth val="0"/>
        </c:ser>
        <c:dLbls>
          <c:showLegendKey val="0"/>
          <c:showVal val="0"/>
          <c:showCatName val="0"/>
          <c:showSerName val="0"/>
          <c:showPercent val="0"/>
          <c:showBubbleSize val="0"/>
        </c:dLbls>
        <c:axId val="491936656"/>
        <c:axId val="491931952"/>
      </c:scatterChart>
      <c:valAx>
        <c:axId val="491936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1952"/>
        <c:crossesAt val="-100"/>
        <c:crossBetween val="midCat"/>
      </c:valAx>
      <c:valAx>
        <c:axId val="491931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665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0"/>
        </c:ser>
        <c:dLbls>
          <c:showLegendKey val="0"/>
          <c:showVal val="0"/>
          <c:showCatName val="0"/>
          <c:showSerName val="0"/>
          <c:showPercent val="0"/>
          <c:showBubbleSize val="0"/>
        </c:dLbls>
        <c:axId val="491932344"/>
        <c:axId val="491932736"/>
      </c:scatterChart>
      <c:valAx>
        <c:axId val="49193234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2736"/>
        <c:crosses val="autoZero"/>
        <c:crossBetween val="midCat"/>
      </c:valAx>
      <c:valAx>
        <c:axId val="491932736"/>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234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7.5196308035056324E-41</c:v>
                </c:pt>
                <c:pt idx="1">
                  <c:v>7.5196308035056324E-40</c:v>
                </c:pt>
                <c:pt idx="2">
                  <c:v>7.519630803505632E-39</c:v>
                </c:pt>
                <c:pt idx="3">
                  <c:v>7.5196308035056318E-38</c:v>
                </c:pt>
                <c:pt idx="4">
                  <c:v>7.5196308035056312E-37</c:v>
                </c:pt>
                <c:pt idx="5">
                  <c:v>7.5196308035056325E-36</c:v>
                </c:pt>
                <c:pt idx="6">
                  <c:v>7.5196308035056325E-35</c:v>
                </c:pt>
                <c:pt idx="7">
                  <c:v>7.5196308035056325E-34</c:v>
                </c:pt>
                <c:pt idx="8">
                  <c:v>7.5196308035056318E-33</c:v>
                </c:pt>
                <c:pt idx="9">
                  <c:v>7.5196308035056321E-32</c:v>
                </c:pt>
                <c:pt idx="10">
                  <c:v>7.5196308035056327E-31</c:v>
                </c:pt>
                <c:pt idx="11">
                  <c:v>7.5196308035056317E-30</c:v>
                </c:pt>
                <c:pt idx="12">
                  <c:v>7.5196308035056322E-29</c:v>
                </c:pt>
                <c:pt idx="13">
                  <c:v>7.5196308035056322E-28</c:v>
                </c:pt>
                <c:pt idx="14">
                  <c:v>7.519630803505633E-27</c:v>
                </c:pt>
                <c:pt idx="15">
                  <c:v>7.5196308035056324E-26</c:v>
                </c:pt>
                <c:pt idx="16">
                  <c:v>7.5196308035056317E-25</c:v>
                </c:pt>
                <c:pt idx="17">
                  <c:v>7.5196308035056326E-24</c:v>
                </c:pt>
                <c:pt idx="18">
                  <c:v>7.519630803505632E-23</c:v>
                </c:pt>
                <c:pt idx="19">
                  <c:v>7.5196308035056318E-22</c:v>
                </c:pt>
                <c:pt idx="20">
                  <c:v>7.5196308035056322E-21</c:v>
                </c:pt>
                <c:pt idx="21">
                  <c:v>7.5196308035056316E-20</c:v>
                </c:pt>
                <c:pt idx="22">
                  <c:v>7.5196308035056321E-19</c:v>
                </c:pt>
                <c:pt idx="23">
                  <c:v>7.5196308035056322E-18</c:v>
                </c:pt>
                <c:pt idx="24">
                  <c:v>7.5196308035056316E-17</c:v>
                </c:pt>
                <c:pt idx="25">
                  <c:v>7.5196308035056321E-16</c:v>
                </c:pt>
                <c:pt idx="26">
                  <c:v>7.5196308035056325E-15</c:v>
                </c:pt>
                <c:pt idx="27">
                  <c:v>7.5196308035056316E-14</c:v>
                </c:pt>
                <c:pt idx="28">
                  <c:v>7.5196308035056318E-13</c:v>
                </c:pt>
                <c:pt idx="29">
                  <c:v>7.5196308035056322E-12</c:v>
                </c:pt>
                <c:pt idx="30">
                  <c:v>7.5196308035056325E-11</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9.4288056127567843E-36</c:v>
                </c:pt>
                <c:pt idx="1">
                  <c:v>9.4288056127567838E-35</c:v>
                </c:pt>
                <c:pt idx="2">
                  <c:v>9.4288056127567842E-34</c:v>
                </c:pt>
                <c:pt idx="3">
                  <c:v>9.4288056127567832E-33</c:v>
                </c:pt>
                <c:pt idx="4">
                  <c:v>9.4288056127567835E-32</c:v>
                </c:pt>
                <c:pt idx="5">
                  <c:v>9.4288056127567846E-31</c:v>
                </c:pt>
                <c:pt idx="6">
                  <c:v>9.4288056127567839E-30</c:v>
                </c:pt>
                <c:pt idx="7">
                  <c:v>9.4288056127567844E-29</c:v>
                </c:pt>
                <c:pt idx="8">
                  <c:v>9.428805612756784E-28</c:v>
                </c:pt>
                <c:pt idx="9">
                  <c:v>9.4288056127567829E-27</c:v>
                </c:pt>
                <c:pt idx="10">
                  <c:v>9.4288056127567846E-26</c:v>
                </c:pt>
                <c:pt idx="11">
                  <c:v>9.4288056127567844E-25</c:v>
                </c:pt>
                <c:pt idx="12">
                  <c:v>9.428805612756784E-24</c:v>
                </c:pt>
                <c:pt idx="13">
                  <c:v>9.428805612756784E-23</c:v>
                </c:pt>
                <c:pt idx="14">
                  <c:v>9.4288056127567835E-22</c:v>
                </c:pt>
                <c:pt idx="15">
                  <c:v>9.4288056127567843E-21</c:v>
                </c:pt>
                <c:pt idx="16">
                  <c:v>9.428805612756784E-20</c:v>
                </c:pt>
                <c:pt idx="17">
                  <c:v>9.428805612756784E-19</c:v>
                </c:pt>
                <c:pt idx="18">
                  <c:v>9.428805612756784E-18</c:v>
                </c:pt>
                <c:pt idx="19">
                  <c:v>9.4288056127567843E-17</c:v>
                </c:pt>
                <c:pt idx="20">
                  <c:v>9.4288056127567836E-16</c:v>
                </c:pt>
                <c:pt idx="21">
                  <c:v>9.4288056127567844E-15</c:v>
                </c:pt>
                <c:pt idx="22">
                  <c:v>9.4288056127567837E-14</c:v>
                </c:pt>
                <c:pt idx="23">
                  <c:v>9.4288056127567842E-13</c:v>
                </c:pt>
                <c:pt idx="24">
                  <c:v>9.428805612756783E-12</c:v>
                </c:pt>
                <c:pt idx="25">
                  <c:v>9.428805612756784E-11</c:v>
                </c:pt>
                <c:pt idx="26">
                  <c:v>9.4288056127567832E-10</c:v>
                </c:pt>
                <c:pt idx="27">
                  <c:v>9.4288056127567832E-9</c:v>
                </c:pt>
                <c:pt idx="28">
                  <c:v>9.4288056127567842E-8</c:v>
                </c:pt>
                <c:pt idx="29">
                  <c:v>9.4288056127567842E-7</c:v>
                </c:pt>
                <c:pt idx="30">
                  <c:v>9.428805612756784E-6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1.3170183432946665E-33</c:v>
                </c:pt>
                <c:pt idx="1">
                  <c:v>1.3170183432946663E-32</c:v>
                </c:pt>
                <c:pt idx="2">
                  <c:v>1.3170183432946664E-31</c:v>
                </c:pt>
                <c:pt idx="3">
                  <c:v>1.3170183432946663E-30</c:v>
                </c:pt>
                <c:pt idx="4">
                  <c:v>1.3170183432946661E-29</c:v>
                </c:pt>
                <c:pt idx="5">
                  <c:v>1.3170183432946663E-28</c:v>
                </c:pt>
                <c:pt idx="6">
                  <c:v>1.3170183432946664E-27</c:v>
                </c:pt>
                <c:pt idx="7">
                  <c:v>1.3170183432946663E-26</c:v>
                </c:pt>
                <c:pt idx="8">
                  <c:v>1.3170183432946662E-25</c:v>
                </c:pt>
                <c:pt idx="9">
                  <c:v>1.3170183432946663E-24</c:v>
                </c:pt>
                <c:pt idx="10">
                  <c:v>1.3170183432946663E-23</c:v>
                </c:pt>
                <c:pt idx="11">
                  <c:v>1.3170183432946664E-22</c:v>
                </c:pt>
                <c:pt idx="12">
                  <c:v>1.3170183432946664E-21</c:v>
                </c:pt>
                <c:pt idx="13">
                  <c:v>1.3170183432946663E-20</c:v>
                </c:pt>
                <c:pt idx="14">
                  <c:v>1.3170183432946665E-19</c:v>
                </c:pt>
                <c:pt idx="15">
                  <c:v>1.3170183432946663E-18</c:v>
                </c:pt>
                <c:pt idx="16">
                  <c:v>1.3170183432946663E-17</c:v>
                </c:pt>
                <c:pt idx="17">
                  <c:v>1.3170183432946664E-16</c:v>
                </c:pt>
                <c:pt idx="18">
                  <c:v>1.3170183432946663E-15</c:v>
                </c:pt>
                <c:pt idx="19">
                  <c:v>1.3170183432946663E-14</c:v>
                </c:pt>
                <c:pt idx="20">
                  <c:v>1.3170183432946663E-13</c:v>
                </c:pt>
                <c:pt idx="21">
                  <c:v>1.3170183432946664E-12</c:v>
                </c:pt>
                <c:pt idx="22">
                  <c:v>1.3170183432946663E-11</c:v>
                </c:pt>
                <c:pt idx="23">
                  <c:v>1.3170183432946664E-10</c:v>
                </c:pt>
                <c:pt idx="24">
                  <c:v>1.3170183432946663E-9</c:v>
                </c:pt>
                <c:pt idx="25">
                  <c:v>1.3170183432946664E-8</c:v>
                </c:pt>
                <c:pt idx="26">
                  <c:v>1.3170183432946662E-7</c:v>
                </c:pt>
                <c:pt idx="27">
                  <c:v>1.3170183432946662E-6</c:v>
                </c:pt>
                <c:pt idx="28">
                  <c:v>1.3170183432946662E-5</c:v>
                </c:pt>
                <c:pt idx="29">
                  <c:v>1.3170183432946664E-4</c:v>
                </c:pt>
                <c:pt idx="30">
                  <c:v>1.3170183432946662E-3</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7.8667030313508309E-31</c:v>
                </c:pt>
                <c:pt idx="1">
                  <c:v>7.8667030313508297E-30</c:v>
                </c:pt>
                <c:pt idx="2">
                  <c:v>7.8667030313508302E-29</c:v>
                </c:pt>
                <c:pt idx="3">
                  <c:v>7.86670303135083E-28</c:v>
                </c:pt>
                <c:pt idx="4">
                  <c:v>7.8667030313508289E-27</c:v>
                </c:pt>
                <c:pt idx="5">
                  <c:v>7.8667030313508301E-26</c:v>
                </c:pt>
                <c:pt idx="6">
                  <c:v>7.8667030313508305E-25</c:v>
                </c:pt>
                <c:pt idx="7">
                  <c:v>7.86670303135083E-24</c:v>
                </c:pt>
                <c:pt idx="8">
                  <c:v>7.86670303135083E-23</c:v>
                </c:pt>
                <c:pt idx="9">
                  <c:v>7.8667030313508293E-22</c:v>
                </c:pt>
                <c:pt idx="10">
                  <c:v>7.86670303135083E-21</c:v>
                </c:pt>
                <c:pt idx="11">
                  <c:v>7.8667030313508297E-20</c:v>
                </c:pt>
                <c:pt idx="12">
                  <c:v>7.86670303135083E-19</c:v>
                </c:pt>
                <c:pt idx="13">
                  <c:v>7.86670303135083E-18</c:v>
                </c:pt>
                <c:pt idx="14">
                  <c:v>7.8667030313508309E-17</c:v>
                </c:pt>
                <c:pt idx="15">
                  <c:v>7.8667030313508299E-16</c:v>
                </c:pt>
                <c:pt idx="16">
                  <c:v>7.8667030313508305E-15</c:v>
                </c:pt>
                <c:pt idx="17">
                  <c:v>7.8667030313508305E-14</c:v>
                </c:pt>
                <c:pt idx="18">
                  <c:v>7.8667030313508297E-13</c:v>
                </c:pt>
                <c:pt idx="19">
                  <c:v>7.8667030313508295E-12</c:v>
                </c:pt>
                <c:pt idx="20">
                  <c:v>7.8667030313508305E-11</c:v>
                </c:pt>
                <c:pt idx="21">
                  <c:v>7.86670303135083E-10</c:v>
                </c:pt>
                <c:pt idx="22">
                  <c:v>7.86670303135083E-9</c:v>
                </c:pt>
                <c:pt idx="23">
                  <c:v>7.8667030313508296E-8</c:v>
                </c:pt>
                <c:pt idx="24">
                  <c:v>7.8667030313508299E-7</c:v>
                </c:pt>
                <c:pt idx="25">
                  <c:v>7.8667030313508293E-6</c:v>
                </c:pt>
                <c:pt idx="26">
                  <c:v>7.8667030313508293E-5</c:v>
                </c:pt>
                <c:pt idx="27">
                  <c:v>7.8667030313508295E-4</c:v>
                </c:pt>
                <c:pt idx="28">
                  <c:v>7.8667030313508291E-3</c:v>
                </c:pt>
                <c:pt idx="29">
                  <c:v>7.8667030313508302E-2</c:v>
                </c:pt>
                <c:pt idx="30">
                  <c:v>0.78667030313508302</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5.6583651211968195E-28</c:v>
                </c:pt>
                <c:pt idx="1">
                  <c:v>5.6583651211968195E-27</c:v>
                </c:pt>
                <c:pt idx="2">
                  <c:v>5.6583651211968199E-26</c:v>
                </c:pt>
                <c:pt idx="3">
                  <c:v>5.6583651211968195E-25</c:v>
                </c:pt>
                <c:pt idx="4">
                  <c:v>5.6583651211968193E-24</c:v>
                </c:pt>
                <c:pt idx="5">
                  <c:v>5.6583651211968202E-23</c:v>
                </c:pt>
                <c:pt idx="6">
                  <c:v>5.6583651211968197E-22</c:v>
                </c:pt>
                <c:pt idx="7">
                  <c:v>5.6583651211968195E-21</c:v>
                </c:pt>
                <c:pt idx="8">
                  <c:v>5.6583651211968188E-20</c:v>
                </c:pt>
                <c:pt idx="9">
                  <c:v>5.6583651211968195E-19</c:v>
                </c:pt>
                <c:pt idx="10">
                  <c:v>5.6583651211968201E-18</c:v>
                </c:pt>
                <c:pt idx="11">
                  <c:v>5.6583651211968198E-17</c:v>
                </c:pt>
                <c:pt idx="12">
                  <c:v>5.6583651211968195E-16</c:v>
                </c:pt>
                <c:pt idx="13">
                  <c:v>5.6583651211968193E-15</c:v>
                </c:pt>
                <c:pt idx="14">
                  <c:v>5.6583651211968196E-14</c:v>
                </c:pt>
                <c:pt idx="15">
                  <c:v>5.6583651211968195E-13</c:v>
                </c:pt>
                <c:pt idx="16">
                  <c:v>5.6583651211968193E-12</c:v>
                </c:pt>
                <c:pt idx="17">
                  <c:v>5.6583651211968193E-11</c:v>
                </c:pt>
                <c:pt idx="18">
                  <c:v>5.658365121196819E-10</c:v>
                </c:pt>
                <c:pt idx="19">
                  <c:v>5.658365121196819E-9</c:v>
                </c:pt>
                <c:pt idx="20">
                  <c:v>5.6583651211968192E-8</c:v>
                </c:pt>
                <c:pt idx="21">
                  <c:v>5.6583651211968199E-7</c:v>
                </c:pt>
                <c:pt idx="22">
                  <c:v>5.658365121196819E-6</c:v>
                </c:pt>
                <c:pt idx="23">
                  <c:v>5.6583651211968197E-5</c:v>
                </c:pt>
                <c:pt idx="24">
                  <c:v>5.6583651211968196E-4</c:v>
                </c:pt>
                <c:pt idx="25">
                  <c:v>5.6583651211968193E-3</c:v>
                </c:pt>
                <c:pt idx="26">
                  <c:v>5.6583651211968192E-2</c:v>
                </c:pt>
                <c:pt idx="27">
                  <c:v>0.56583651211968189</c:v>
                </c:pt>
                <c:pt idx="28">
                  <c:v>5.6583651211968196</c:v>
                </c:pt>
                <c:pt idx="29">
                  <c:v>56.583651211968196</c:v>
                </c:pt>
                <c:pt idx="30">
                  <c:v>565.83651211968197</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9.8145822143129694E-22</c:v>
                </c:pt>
                <c:pt idx="1">
                  <c:v>9.8145822143129679E-21</c:v>
                </c:pt>
                <c:pt idx="2">
                  <c:v>9.8145822143129685E-20</c:v>
                </c:pt>
                <c:pt idx="3">
                  <c:v>9.8145822143129688E-19</c:v>
                </c:pt>
                <c:pt idx="4">
                  <c:v>9.814582214312968E-18</c:v>
                </c:pt>
                <c:pt idx="5">
                  <c:v>9.8145822143129683E-17</c:v>
                </c:pt>
                <c:pt idx="6">
                  <c:v>9.814582214312969E-16</c:v>
                </c:pt>
                <c:pt idx="7">
                  <c:v>9.814582214312969E-15</c:v>
                </c:pt>
                <c:pt idx="8">
                  <c:v>9.8145822143129671E-14</c:v>
                </c:pt>
                <c:pt idx="9">
                  <c:v>9.8145822143129679E-13</c:v>
                </c:pt>
                <c:pt idx="10">
                  <c:v>9.8145822143129695E-12</c:v>
                </c:pt>
                <c:pt idx="11">
                  <c:v>9.8145822143129682E-11</c:v>
                </c:pt>
                <c:pt idx="12">
                  <c:v>9.8145822143129685E-10</c:v>
                </c:pt>
                <c:pt idx="13">
                  <c:v>9.8145822143129689E-9</c:v>
                </c:pt>
                <c:pt idx="14">
                  <c:v>9.8145822143129682E-8</c:v>
                </c:pt>
                <c:pt idx="15">
                  <c:v>9.814582214312969E-7</c:v>
                </c:pt>
                <c:pt idx="16">
                  <c:v>9.8145822143129677E-6</c:v>
                </c:pt>
                <c:pt idx="17">
                  <c:v>9.8145822143129688E-5</c:v>
                </c:pt>
                <c:pt idx="18">
                  <c:v>9.8145822143129685E-4</c:v>
                </c:pt>
                <c:pt idx="19">
                  <c:v>9.8145822143129689E-3</c:v>
                </c:pt>
                <c:pt idx="20">
                  <c:v>9.8145822143129682E-2</c:v>
                </c:pt>
                <c:pt idx="21">
                  <c:v>0.9814582214312968</c:v>
                </c:pt>
                <c:pt idx="22">
                  <c:v>9.8145822143129688</c:v>
                </c:pt>
                <c:pt idx="23">
                  <c:v>98.145822143129678</c:v>
                </c:pt>
                <c:pt idx="24">
                  <c:v>981.45822143129681</c:v>
                </c:pt>
                <c:pt idx="25">
                  <c:v>9814.5822143129681</c:v>
                </c:pt>
                <c:pt idx="26">
                  <c:v>98145.822143129684</c:v>
                </c:pt>
                <c:pt idx="27">
                  <c:v>981458.22143129678</c:v>
                </c:pt>
                <c:pt idx="28">
                  <c:v>9814582.2143129688</c:v>
                </c:pt>
                <c:pt idx="29">
                  <c:v>98145822.143129677</c:v>
                </c:pt>
                <c:pt idx="30">
                  <c:v>981458221.43129683</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1933520"/>
        <c:axId val="490632960"/>
      </c:scatterChart>
      <c:valAx>
        <c:axId val="49193352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0632960"/>
        <c:crosses val="autoZero"/>
        <c:crossBetween val="midCat"/>
      </c:valAx>
      <c:valAx>
        <c:axId val="490632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193352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7.5196308035056324E-41</c:v>
                </c:pt>
                <c:pt idx="1">
                  <c:v>7.5196308035056324E-40</c:v>
                </c:pt>
                <c:pt idx="2">
                  <c:v>7.519630803505632E-39</c:v>
                </c:pt>
                <c:pt idx="3">
                  <c:v>7.5196308035056318E-38</c:v>
                </c:pt>
                <c:pt idx="4">
                  <c:v>7.5196308035056312E-37</c:v>
                </c:pt>
                <c:pt idx="5">
                  <c:v>7.5196308035056325E-36</c:v>
                </c:pt>
                <c:pt idx="6">
                  <c:v>7.5196308035056325E-35</c:v>
                </c:pt>
                <c:pt idx="7">
                  <c:v>7.5196308035056325E-34</c:v>
                </c:pt>
                <c:pt idx="8">
                  <c:v>7.5196308035056318E-33</c:v>
                </c:pt>
                <c:pt idx="9">
                  <c:v>7.5196308035056321E-32</c:v>
                </c:pt>
                <c:pt idx="10">
                  <c:v>7.5196308035056327E-31</c:v>
                </c:pt>
                <c:pt idx="11">
                  <c:v>7.5196308035056317E-30</c:v>
                </c:pt>
                <c:pt idx="12">
                  <c:v>7.5196308035056322E-29</c:v>
                </c:pt>
                <c:pt idx="13">
                  <c:v>7.5196308035056322E-28</c:v>
                </c:pt>
                <c:pt idx="14">
                  <c:v>7.519630803505633E-27</c:v>
                </c:pt>
                <c:pt idx="15">
                  <c:v>7.5196308035056324E-26</c:v>
                </c:pt>
                <c:pt idx="16">
                  <c:v>7.5196308035056317E-25</c:v>
                </c:pt>
                <c:pt idx="17">
                  <c:v>7.5196308035056326E-24</c:v>
                </c:pt>
                <c:pt idx="18">
                  <c:v>7.519630803505632E-23</c:v>
                </c:pt>
                <c:pt idx="19">
                  <c:v>7.5196308035056318E-22</c:v>
                </c:pt>
                <c:pt idx="20">
                  <c:v>7.5196308035056322E-21</c:v>
                </c:pt>
                <c:pt idx="21">
                  <c:v>7.5196308035056316E-20</c:v>
                </c:pt>
                <c:pt idx="22">
                  <c:v>7.5196308035056321E-19</c:v>
                </c:pt>
                <c:pt idx="23">
                  <c:v>7.5196308035056322E-18</c:v>
                </c:pt>
                <c:pt idx="24">
                  <c:v>7.5196308035056316E-17</c:v>
                </c:pt>
                <c:pt idx="25">
                  <c:v>7.5196308035056321E-16</c:v>
                </c:pt>
                <c:pt idx="26">
                  <c:v>7.5196308035056325E-15</c:v>
                </c:pt>
                <c:pt idx="27">
                  <c:v>7.5196308035056316E-14</c:v>
                </c:pt>
                <c:pt idx="28">
                  <c:v>7.5196308035056318E-13</c:v>
                </c:pt>
                <c:pt idx="29">
                  <c:v>7.5196308035056322E-12</c:v>
                </c:pt>
                <c:pt idx="30">
                  <c:v>7.5196308035056325E-11</c:v>
                </c:pt>
              </c:numCache>
            </c:numRef>
          </c:xVal>
          <c:yVal>
            <c:numRef>
              <c:f>'Mastercurve bestimmen'!$J$404:$J$434</c:f>
              <c:numCache>
                <c:formatCode>0.00E+00</c:formatCode>
                <c:ptCount val="31"/>
                <c:pt idx="0">
                  <c:v>6236.7036596328453</c:v>
                </c:pt>
                <c:pt idx="1">
                  <c:v>6236.7543143647836</c:v>
                </c:pt>
                <c:pt idx="2">
                  <c:v>6236.7227745293621</c:v>
                </c:pt>
                <c:pt idx="3">
                  <c:v>6236.7134615593295</c:v>
                </c:pt>
                <c:pt idx="4">
                  <c:v>6236.7103498332981</c:v>
                </c:pt>
                <c:pt idx="5">
                  <c:v>6236.7093940894983</c:v>
                </c:pt>
                <c:pt idx="6">
                  <c:v>6236.7090606905667</c:v>
                </c:pt>
                <c:pt idx="7">
                  <c:v>6236.7087939714465</c:v>
                </c:pt>
                <c:pt idx="8">
                  <c:v>6236.7087272916715</c:v>
                </c:pt>
                <c:pt idx="9">
                  <c:v>6236.707282563535</c:v>
                </c:pt>
                <c:pt idx="10">
                  <c:v>6236.6931020367429</c:v>
                </c:pt>
                <c:pt idx="11">
                  <c:v>6236.5527005203321</c:v>
                </c:pt>
                <c:pt idx="12">
                  <c:v>6235.1590077245392</c:v>
                </c:pt>
                <c:pt idx="13">
                  <c:v>6221.8566314570962</c:v>
                </c:pt>
                <c:pt idx="14">
                  <c:v>6125.5353779175648</c:v>
                </c:pt>
                <c:pt idx="15">
                  <c:v>5957.8557354462564</c:v>
                </c:pt>
                <c:pt idx="16">
                  <c:v>5841.9046732349807</c:v>
                </c:pt>
                <c:pt idx="17">
                  <c:v>5724.8371546354174</c:v>
                </c:pt>
                <c:pt idx="18">
                  <c:v>5594.9864087709147</c:v>
                </c:pt>
                <c:pt idx="19">
                  <c:v>5449.107992075601</c:v>
                </c:pt>
                <c:pt idx="20">
                  <c:v>5238.9471208339255</c:v>
                </c:pt>
                <c:pt idx="21">
                  <c:v>4890.0199582671721</c:v>
                </c:pt>
                <c:pt idx="22">
                  <c:v>4481.1158480346585</c:v>
                </c:pt>
                <c:pt idx="23">
                  <c:v>4122.5449332073522</c:v>
                </c:pt>
                <c:pt idx="24">
                  <c:v>3817.2358932466136</c:v>
                </c:pt>
                <c:pt idx="25">
                  <c:v>3538.1243513228083</c:v>
                </c:pt>
                <c:pt idx="26">
                  <c:v>3290.7224886526956</c:v>
                </c:pt>
                <c:pt idx="27">
                  <c:v>3093.8724388968149</c:v>
                </c:pt>
                <c:pt idx="28">
                  <c:v>2931.1413264697503</c:v>
                </c:pt>
                <c:pt idx="29">
                  <c:v>2779.8842681758483</c:v>
                </c:pt>
                <c:pt idx="30">
                  <c:v>2643.7410706701139</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9.4288056127567843E-36</c:v>
                </c:pt>
                <c:pt idx="1">
                  <c:v>9.4288056127567838E-35</c:v>
                </c:pt>
                <c:pt idx="2">
                  <c:v>9.4288056127567842E-34</c:v>
                </c:pt>
                <c:pt idx="3">
                  <c:v>9.4288056127567832E-33</c:v>
                </c:pt>
                <c:pt idx="4">
                  <c:v>9.4288056127567835E-32</c:v>
                </c:pt>
                <c:pt idx="5">
                  <c:v>9.4288056127567846E-31</c:v>
                </c:pt>
                <c:pt idx="6">
                  <c:v>9.4288056127567839E-30</c:v>
                </c:pt>
                <c:pt idx="7">
                  <c:v>9.4288056127567844E-29</c:v>
                </c:pt>
                <c:pt idx="8">
                  <c:v>9.428805612756784E-28</c:v>
                </c:pt>
                <c:pt idx="9">
                  <c:v>9.4288056127567829E-27</c:v>
                </c:pt>
                <c:pt idx="10">
                  <c:v>9.4288056127567846E-26</c:v>
                </c:pt>
                <c:pt idx="11">
                  <c:v>9.4288056127567844E-25</c:v>
                </c:pt>
                <c:pt idx="12">
                  <c:v>9.428805612756784E-24</c:v>
                </c:pt>
                <c:pt idx="13">
                  <c:v>9.428805612756784E-23</c:v>
                </c:pt>
                <c:pt idx="14">
                  <c:v>9.4288056127567835E-22</c:v>
                </c:pt>
                <c:pt idx="15">
                  <c:v>9.4288056127567843E-21</c:v>
                </c:pt>
                <c:pt idx="16">
                  <c:v>9.428805612756784E-20</c:v>
                </c:pt>
                <c:pt idx="17">
                  <c:v>9.428805612756784E-19</c:v>
                </c:pt>
                <c:pt idx="18">
                  <c:v>9.428805612756784E-18</c:v>
                </c:pt>
                <c:pt idx="19">
                  <c:v>9.4288056127567843E-17</c:v>
                </c:pt>
                <c:pt idx="20">
                  <c:v>9.4288056127567836E-16</c:v>
                </c:pt>
                <c:pt idx="21">
                  <c:v>9.4288056127567844E-15</c:v>
                </c:pt>
                <c:pt idx="22">
                  <c:v>9.4288056127567837E-14</c:v>
                </c:pt>
                <c:pt idx="23">
                  <c:v>9.4288056127567842E-13</c:v>
                </c:pt>
                <c:pt idx="24">
                  <c:v>9.428805612756783E-12</c:v>
                </c:pt>
                <c:pt idx="25">
                  <c:v>9.428805612756784E-11</c:v>
                </c:pt>
                <c:pt idx="26">
                  <c:v>9.4288056127567832E-10</c:v>
                </c:pt>
                <c:pt idx="27">
                  <c:v>9.4288056127567832E-9</c:v>
                </c:pt>
                <c:pt idx="28">
                  <c:v>9.4288056127567842E-8</c:v>
                </c:pt>
                <c:pt idx="29">
                  <c:v>9.4288056127567842E-7</c:v>
                </c:pt>
                <c:pt idx="30">
                  <c:v>9.428805612756784E-6</c:v>
                </c:pt>
              </c:numCache>
            </c:numRef>
          </c:xVal>
          <c:yVal>
            <c:numRef>
              <c:f>'Mastercurve bestimmen'!$K$404:$K$434</c:f>
              <c:numCache>
                <c:formatCode>0.00E+00</c:formatCode>
                <c:ptCount val="31"/>
                <c:pt idx="0">
                  <c:v>6208.9041504147117</c:v>
                </c:pt>
                <c:pt idx="1">
                  <c:v>6208.954046165135</c:v>
                </c:pt>
                <c:pt idx="2">
                  <c:v>6208.9227207923695</c:v>
                </c:pt>
                <c:pt idx="3">
                  <c:v>6208.9124553029696</c:v>
                </c:pt>
                <c:pt idx="4">
                  <c:v>6208.8998107339294</c:v>
                </c:pt>
                <c:pt idx="5">
                  <c:v>6208.8003522000536</c:v>
                </c:pt>
                <c:pt idx="6">
                  <c:v>6207.823250686135</c:v>
                </c:pt>
                <c:pt idx="7">
                  <c:v>6198.4068082676995</c:v>
                </c:pt>
                <c:pt idx="8">
                  <c:v>6123.8951758235389</c:v>
                </c:pt>
                <c:pt idx="9">
                  <c:v>5949.706721106596</c:v>
                </c:pt>
                <c:pt idx="10">
                  <c:v>5832.266903330059</c:v>
                </c:pt>
                <c:pt idx="11">
                  <c:v>5718.4883971282225</c:v>
                </c:pt>
                <c:pt idx="12">
                  <c:v>5590.6777193321577</c:v>
                </c:pt>
                <c:pt idx="13">
                  <c:v>5455.5326764024039</c:v>
                </c:pt>
                <c:pt idx="14">
                  <c:v>5303.027474748983</c:v>
                </c:pt>
                <c:pt idx="15">
                  <c:v>5138.2826367857815</c:v>
                </c:pt>
                <c:pt idx="16">
                  <c:v>4968.6771751633605</c:v>
                </c:pt>
                <c:pt idx="17">
                  <c:v>4801.9058791873949</c:v>
                </c:pt>
                <c:pt idx="18">
                  <c:v>4591.6968686621467</c:v>
                </c:pt>
                <c:pt idx="19">
                  <c:v>4244.316229983926</c:v>
                </c:pt>
                <c:pt idx="20">
                  <c:v>3822.3596155431378</c:v>
                </c:pt>
                <c:pt idx="21">
                  <c:v>3460.4449685337781</c:v>
                </c:pt>
                <c:pt idx="22">
                  <c:v>3181.5548647682826</c:v>
                </c:pt>
                <c:pt idx="23">
                  <c:v>2948.4803768016395</c:v>
                </c:pt>
                <c:pt idx="24">
                  <c:v>2756.8500477108341</c:v>
                </c:pt>
                <c:pt idx="25">
                  <c:v>2584.3195539777521</c:v>
                </c:pt>
                <c:pt idx="26">
                  <c:v>2421.6530544164675</c:v>
                </c:pt>
                <c:pt idx="27">
                  <c:v>2247.3458364097887</c:v>
                </c:pt>
                <c:pt idx="28">
                  <c:v>2065.8673837563865</c:v>
                </c:pt>
                <c:pt idx="29">
                  <c:v>1865.1806498869187</c:v>
                </c:pt>
                <c:pt idx="30">
                  <c:v>1641.3251688004455</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1.3170183432946665E-33</c:v>
                </c:pt>
                <c:pt idx="1">
                  <c:v>1.3170183432946663E-32</c:v>
                </c:pt>
                <c:pt idx="2">
                  <c:v>1.3170183432946664E-31</c:v>
                </c:pt>
                <c:pt idx="3">
                  <c:v>1.3170183432946663E-30</c:v>
                </c:pt>
                <c:pt idx="4">
                  <c:v>1.3170183432946661E-29</c:v>
                </c:pt>
                <c:pt idx="5">
                  <c:v>1.3170183432946663E-28</c:v>
                </c:pt>
                <c:pt idx="6">
                  <c:v>1.3170183432946664E-27</c:v>
                </c:pt>
                <c:pt idx="7">
                  <c:v>1.3170183432946663E-26</c:v>
                </c:pt>
                <c:pt idx="8">
                  <c:v>1.3170183432946662E-25</c:v>
                </c:pt>
                <c:pt idx="9">
                  <c:v>1.3170183432946663E-24</c:v>
                </c:pt>
                <c:pt idx="10">
                  <c:v>1.3170183432946663E-23</c:v>
                </c:pt>
                <c:pt idx="11">
                  <c:v>1.3170183432946664E-22</c:v>
                </c:pt>
                <c:pt idx="12">
                  <c:v>1.3170183432946664E-21</c:v>
                </c:pt>
                <c:pt idx="13">
                  <c:v>1.3170183432946663E-20</c:v>
                </c:pt>
                <c:pt idx="14">
                  <c:v>1.3170183432946665E-19</c:v>
                </c:pt>
                <c:pt idx="15">
                  <c:v>1.3170183432946663E-18</c:v>
                </c:pt>
                <c:pt idx="16">
                  <c:v>1.3170183432946663E-17</c:v>
                </c:pt>
                <c:pt idx="17">
                  <c:v>1.3170183432946664E-16</c:v>
                </c:pt>
                <c:pt idx="18">
                  <c:v>1.3170183432946663E-15</c:v>
                </c:pt>
                <c:pt idx="19">
                  <c:v>1.3170183432946663E-14</c:v>
                </c:pt>
                <c:pt idx="20">
                  <c:v>1.3170183432946663E-13</c:v>
                </c:pt>
                <c:pt idx="21">
                  <c:v>1.3170183432946664E-12</c:v>
                </c:pt>
                <c:pt idx="22">
                  <c:v>1.3170183432946663E-11</c:v>
                </c:pt>
                <c:pt idx="23">
                  <c:v>1.3170183432946664E-10</c:v>
                </c:pt>
                <c:pt idx="24">
                  <c:v>1.3170183432946663E-9</c:v>
                </c:pt>
                <c:pt idx="25">
                  <c:v>1.3170183432946664E-8</c:v>
                </c:pt>
                <c:pt idx="26">
                  <c:v>1.3170183432946662E-7</c:v>
                </c:pt>
                <c:pt idx="27">
                  <c:v>1.3170183432946662E-6</c:v>
                </c:pt>
                <c:pt idx="28">
                  <c:v>1.3170183432946662E-5</c:v>
                </c:pt>
                <c:pt idx="29">
                  <c:v>1.3170183432946664E-4</c:v>
                </c:pt>
                <c:pt idx="30">
                  <c:v>1.3170183432946662E-3</c:v>
                </c:pt>
              </c:numCache>
            </c:numRef>
          </c:xVal>
          <c:yVal>
            <c:numRef>
              <c:f>'Mastercurve bestimmen'!$L$404:$L$434</c:f>
              <c:numCache>
                <c:formatCode>0.00E+00</c:formatCode>
                <c:ptCount val="31"/>
                <c:pt idx="0">
                  <c:v>6190.94782109273</c:v>
                </c:pt>
                <c:pt idx="1">
                  <c:v>6190.9909456828163</c:v>
                </c:pt>
                <c:pt idx="2">
                  <c:v>6190.9010614872959</c:v>
                </c:pt>
                <c:pt idx="3">
                  <c:v>6190.3012651957024</c:v>
                </c:pt>
                <c:pt idx="4">
                  <c:v>6184.546733156315</c:v>
                </c:pt>
                <c:pt idx="5">
                  <c:v>6134.9569154421024</c:v>
                </c:pt>
                <c:pt idx="6">
                  <c:v>5960.1402034772782</c:v>
                </c:pt>
                <c:pt idx="7">
                  <c:v>5837.5204894884346</c:v>
                </c:pt>
                <c:pt idx="8">
                  <c:v>5726.4044877419674</c:v>
                </c:pt>
                <c:pt idx="9">
                  <c:v>5600.4012933944368</c:v>
                </c:pt>
                <c:pt idx="10">
                  <c:v>5468.7266553730897</c:v>
                </c:pt>
                <c:pt idx="11">
                  <c:v>5319.6907361616632</c:v>
                </c:pt>
                <c:pt idx="12">
                  <c:v>5157.813288998067</c:v>
                </c:pt>
                <c:pt idx="13">
                  <c:v>4988.4254277432274</c:v>
                </c:pt>
                <c:pt idx="14">
                  <c:v>4826.1776287086414</c:v>
                </c:pt>
                <c:pt idx="15">
                  <c:v>4657.2476007324067</c:v>
                </c:pt>
                <c:pt idx="16">
                  <c:v>4447.8021820917502</c:v>
                </c:pt>
                <c:pt idx="17">
                  <c:v>4189.6330379426572</c:v>
                </c:pt>
                <c:pt idx="18">
                  <c:v>3869.887397775818</c:v>
                </c:pt>
                <c:pt idx="19">
                  <c:v>3525.2708334642716</c:v>
                </c:pt>
                <c:pt idx="20">
                  <c:v>3199.7360053237758</c:v>
                </c:pt>
                <c:pt idx="21">
                  <c:v>2935.0143216958841</c:v>
                </c:pt>
                <c:pt idx="22">
                  <c:v>2710.2185258489567</c:v>
                </c:pt>
                <c:pt idx="23">
                  <c:v>2516.1939727894755</c:v>
                </c:pt>
                <c:pt idx="24">
                  <c:v>2320.7205267001218</c:v>
                </c:pt>
                <c:pt idx="25">
                  <c:v>2127.9207460173989</c:v>
                </c:pt>
                <c:pt idx="26">
                  <c:v>1922.2915507959665</c:v>
                </c:pt>
                <c:pt idx="27">
                  <c:v>1699.2357565810794</c:v>
                </c:pt>
                <c:pt idx="28">
                  <c:v>1442.431856366361</c:v>
                </c:pt>
                <c:pt idx="29">
                  <c:v>1152.6742388142764</c:v>
                </c:pt>
                <c:pt idx="30">
                  <c:v>856.60079316828069</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7.8667030313508309E-31</c:v>
                </c:pt>
                <c:pt idx="1">
                  <c:v>7.8667030313508297E-30</c:v>
                </c:pt>
                <c:pt idx="2">
                  <c:v>7.8667030313508302E-29</c:v>
                </c:pt>
                <c:pt idx="3">
                  <c:v>7.86670303135083E-28</c:v>
                </c:pt>
                <c:pt idx="4">
                  <c:v>7.8667030313508289E-27</c:v>
                </c:pt>
                <c:pt idx="5">
                  <c:v>7.8667030313508301E-26</c:v>
                </c:pt>
                <c:pt idx="6">
                  <c:v>7.8667030313508305E-25</c:v>
                </c:pt>
                <c:pt idx="7">
                  <c:v>7.86670303135083E-24</c:v>
                </c:pt>
                <c:pt idx="8">
                  <c:v>7.86670303135083E-23</c:v>
                </c:pt>
                <c:pt idx="9">
                  <c:v>7.8667030313508293E-22</c:v>
                </c:pt>
                <c:pt idx="10">
                  <c:v>7.86670303135083E-21</c:v>
                </c:pt>
                <c:pt idx="11">
                  <c:v>7.8667030313508297E-20</c:v>
                </c:pt>
                <c:pt idx="12">
                  <c:v>7.86670303135083E-19</c:v>
                </c:pt>
                <c:pt idx="13">
                  <c:v>7.86670303135083E-18</c:v>
                </c:pt>
                <c:pt idx="14">
                  <c:v>7.8667030313508309E-17</c:v>
                </c:pt>
                <c:pt idx="15">
                  <c:v>7.8667030313508299E-16</c:v>
                </c:pt>
                <c:pt idx="16">
                  <c:v>7.8667030313508305E-15</c:v>
                </c:pt>
                <c:pt idx="17">
                  <c:v>7.8667030313508305E-14</c:v>
                </c:pt>
                <c:pt idx="18">
                  <c:v>7.8667030313508297E-13</c:v>
                </c:pt>
                <c:pt idx="19">
                  <c:v>7.8667030313508295E-12</c:v>
                </c:pt>
                <c:pt idx="20">
                  <c:v>7.8667030313508305E-11</c:v>
                </c:pt>
                <c:pt idx="21">
                  <c:v>7.86670303135083E-10</c:v>
                </c:pt>
                <c:pt idx="22">
                  <c:v>7.86670303135083E-9</c:v>
                </c:pt>
                <c:pt idx="23">
                  <c:v>7.8667030313508296E-8</c:v>
                </c:pt>
                <c:pt idx="24">
                  <c:v>7.8667030313508299E-7</c:v>
                </c:pt>
                <c:pt idx="25">
                  <c:v>7.8667030313508293E-6</c:v>
                </c:pt>
                <c:pt idx="26">
                  <c:v>7.8667030313508293E-5</c:v>
                </c:pt>
                <c:pt idx="27">
                  <c:v>7.8667030313508295E-4</c:v>
                </c:pt>
                <c:pt idx="28">
                  <c:v>7.8667030313508291E-3</c:v>
                </c:pt>
                <c:pt idx="29">
                  <c:v>7.8667030313508302E-2</c:v>
                </c:pt>
                <c:pt idx="30">
                  <c:v>0.78667030313508302</c:v>
                </c:pt>
              </c:numCache>
            </c:numRef>
          </c:xVal>
          <c:yVal>
            <c:numRef>
              <c:f>'Mastercurve bestimmen'!$M$404:$M$434</c:f>
              <c:numCache>
                <c:formatCode>0.00E+00</c:formatCode>
                <c:ptCount val="31"/>
                <c:pt idx="0">
                  <c:v>6172.4582725066966</c:v>
                </c:pt>
                <c:pt idx="1">
                  <c:v>6171.4179467154336</c:v>
                </c:pt>
                <c:pt idx="2">
                  <c:v>6160.9029577093925</c:v>
                </c:pt>
                <c:pt idx="3">
                  <c:v>6080.1494402060262</c:v>
                </c:pt>
                <c:pt idx="4">
                  <c:v>5909.4727930371473</c:v>
                </c:pt>
                <c:pt idx="5">
                  <c:v>5793.8515184178423</c:v>
                </c:pt>
                <c:pt idx="6">
                  <c:v>5680.232087661574</c:v>
                </c:pt>
                <c:pt idx="7">
                  <c:v>5553.2872228346014</c:v>
                </c:pt>
                <c:pt idx="8">
                  <c:v>5418.4008813428445</c:v>
                </c:pt>
                <c:pt idx="9">
                  <c:v>5266.5010696158342</c:v>
                </c:pt>
                <c:pt idx="10">
                  <c:v>5102.6301031593184</c:v>
                </c:pt>
                <c:pt idx="11">
                  <c:v>4935.1703334559215</c:v>
                </c:pt>
                <c:pt idx="12">
                  <c:v>4773.9141111745284</c:v>
                </c:pt>
                <c:pt idx="13">
                  <c:v>4598.1434168288733</c:v>
                </c:pt>
                <c:pt idx="14">
                  <c:v>4383.948625533154</c:v>
                </c:pt>
                <c:pt idx="15">
                  <c:v>4152.9128127042486</c:v>
                </c:pt>
                <c:pt idx="16">
                  <c:v>3937.3787582645855</c:v>
                </c:pt>
                <c:pt idx="17">
                  <c:v>3687.7590044854528</c:v>
                </c:pt>
                <c:pt idx="18">
                  <c:v>3362.1408606761684</c:v>
                </c:pt>
                <c:pt idx="19">
                  <c:v>3051.8261997186564</c:v>
                </c:pt>
                <c:pt idx="20">
                  <c:v>2781.8342661671418</c:v>
                </c:pt>
                <c:pt idx="21">
                  <c:v>2548.0002478694637</c:v>
                </c:pt>
                <c:pt idx="22">
                  <c:v>2324.6967439739478</c:v>
                </c:pt>
                <c:pt idx="23">
                  <c:v>2110.9011240283112</c:v>
                </c:pt>
                <c:pt idx="24">
                  <c:v>1889.1026777393556</c:v>
                </c:pt>
                <c:pt idx="25">
                  <c:v>1651.1191781124999</c:v>
                </c:pt>
                <c:pt idx="26">
                  <c:v>1380.4414853809117</c:v>
                </c:pt>
                <c:pt idx="27">
                  <c:v>1081.4922585918935</c:v>
                </c:pt>
                <c:pt idx="28">
                  <c:v>789.75528719390093</c:v>
                </c:pt>
                <c:pt idx="29">
                  <c:v>556.62130157468891</c:v>
                </c:pt>
                <c:pt idx="30">
                  <c:v>403.21517792249892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5.6583651211968195E-28</c:v>
                </c:pt>
                <c:pt idx="1">
                  <c:v>5.6583651211968195E-27</c:v>
                </c:pt>
                <c:pt idx="2">
                  <c:v>5.6583651211968199E-26</c:v>
                </c:pt>
                <c:pt idx="3">
                  <c:v>5.6583651211968195E-25</c:v>
                </c:pt>
                <c:pt idx="4">
                  <c:v>5.6583651211968193E-24</c:v>
                </c:pt>
                <c:pt idx="5">
                  <c:v>5.6583651211968202E-23</c:v>
                </c:pt>
                <c:pt idx="6">
                  <c:v>5.6583651211968197E-22</c:v>
                </c:pt>
                <c:pt idx="7">
                  <c:v>5.6583651211968195E-21</c:v>
                </c:pt>
                <c:pt idx="8">
                  <c:v>5.6583651211968188E-20</c:v>
                </c:pt>
                <c:pt idx="9">
                  <c:v>5.6583651211968195E-19</c:v>
                </c:pt>
                <c:pt idx="10">
                  <c:v>5.6583651211968201E-18</c:v>
                </c:pt>
                <c:pt idx="11">
                  <c:v>5.6583651211968198E-17</c:v>
                </c:pt>
                <c:pt idx="12">
                  <c:v>5.6583651211968195E-16</c:v>
                </c:pt>
                <c:pt idx="13">
                  <c:v>5.6583651211968193E-15</c:v>
                </c:pt>
                <c:pt idx="14">
                  <c:v>5.6583651211968196E-14</c:v>
                </c:pt>
                <c:pt idx="15">
                  <c:v>5.6583651211968195E-13</c:v>
                </c:pt>
                <c:pt idx="16">
                  <c:v>5.6583651211968193E-12</c:v>
                </c:pt>
                <c:pt idx="17">
                  <c:v>5.6583651211968193E-11</c:v>
                </c:pt>
                <c:pt idx="18">
                  <c:v>5.658365121196819E-10</c:v>
                </c:pt>
                <c:pt idx="19">
                  <c:v>5.658365121196819E-9</c:v>
                </c:pt>
                <c:pt idx="20">
                  <c:v>5.6583651211968192E-8</c:v>
                </c:pt>
                <c:pt idx="21">
                  <c:v>5.6583651211968199E-7</c:v>
                </c:pt>
                <c:pt idx="22">
                  <c:v>5.658365121196819E-6</c:v>
                </c:pt>
                <c:pt idx="23">
                  <c:v>5.6583651211968197E-5</c:v>
                </c:pt>
                <c:pt idx="24">
                  <c:v>5.6583651211968196E-4</c:v>
                </c:pt>
                <c:pt idx="25">
                  <c:v>5.6583651211968193E-3</c:v>
                </c:pt>
                <c:pt idx="26">
                  <c:v>5.6583651211968192E-2</c:v>
                </c:pt>
                <c:pt idx="27">
                  <c:v>0.56583651211968189</c:v>
                </c:pt>
                <c:pt idx="28">
                  <c:v>5.6583651211968196</c:v>
                </c:pt>
                <c:pt idx="29">
                  <c:v>56.583651211968196</c:v>
                </c:pt>
                <c:pt idx="30">
                  <c:v>565.83651211968197</c:v>
                </c:pt>
              </c:numCache>
            </c:numRef>
          </c:xVal>
          <c:yVal>
            <c:numRef>
              <c:f>'Mastercurve bestimmen'!$N$404:$N$434</c:f>
              <c:numCache>
                <c:formatCode>0.00E+00</c:formatCode>
                <c:ptCount val="31"/>
                <c:pt idx="0">
                  <c:v>6087.7263279674889</c:v>
                </c:pt>
                <c:pt idx="1">
                  <c:v>5883.2023767223172</c:v>
                </c:pt>
                <c:pt idx="2">
                  <c:v>5766.612112648796</c:v>
                </c:pt>
                <c:pt idx="3">
                  <c:v>5652.2426569527415</c:v>
                </c:pt>
                <c:pt idx="4">
                  <c:v>5525.6917701938164</c:v>
                </c:pt>
                <c:pt idx="5">
                  <c:v>5390.3124971142561</c:v>
                </c:pt>
                <c:pt idx="6">
                  <c:v>5238.3436481907338</c:v>
                </c:pt>
                <c:pt idx="7">
                  <c:v>5074.6532971494116</c:v>
                </c:pt>
                <c:pt idx="8">
                  <c:v>4908.5570875707617</c:v>
                </c:pt>
                <c:pt idx="9">
                  <c:v>4747.9849619649776</c:v>
                </c:pt>
                <c:pt idx="10">
                  <c:v>4570.6221718948836</c:v>
                </c:pt>
                <c:pt idx="11">
                  <c:v>4355.6121901289935</c:v>
                </c:pt>
                <c:pt idx="12">
                  <c:v>4128.400911796266</c:v>
                </c:pt>
                <c:pt idx="13">
                  <c:v>3931.0953121014495</c:v>
                </c:pt>
                <c:pt idx="14">
                  <c:v>3756.0498426526324</c:v>
                </c:pt>
                <c:pt idx="15">
                  <c:v>3572.9092141735305</c:v>
                </c:pt>
                <c:pt idx="16">
                  <c:v>3356.1944513859066</c:v>
                </c:pt>
                <c:pt idx="17">
                  <c:v>3066.2657883339552</c:v>
                </c:pt>
                <c:pt idx="18">
                  <c:v>2758.9237309250375</c:v>
                </c:pt>
                <c:pt idx="19">
                  <c:v>2465.267862411738</c:v>
                </c:pt>
                <c:pt idx="20">
                  <c:v>2197.1478961266816</c:v>
                </c:pt>
                <c:pt idx="21">
                  <c:v>1937.1917706499551</c:v>
                </c:pt>
                <c:pt idx="22">
                  <c:v>1672.2844115065361</c:v>
                </c:pt>
                <c:pt idx="23">
                  <c:v>1384.5529744446492</c:v>
                </c:pt>
                <c:pt idx="24">
                  <c:v>1075.4259318118629</c:v>
                </c:pt>
                <c:pt idx="25">
                  <c:v>780.58970474439741</c:v>
                </c:pt>
                <c:pt idx="26">
                  <c:v>548.72899064067769</c:v>
                </c:pt>
                <c:pt idx="27">
                  <c:v>398.73442150311388</c:v>
                </c:pt>
                <c:pt idx="28">
                  <c:v>320.69011633427954</c:v>
                </c:pt>
                <c:pt idx="29">
                  <c:v>281.72273678924813</c:v>
                </c:pt>
                <c:pt idx="30">
                  <c:v>262.32128706515465</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9.8145822143129694E-22</c:v>
                </c:pt>
                <c:pt idx="1">
                  <c:v>9.8145822143129679E-21</c:v>
                </c:pt>
                <c:pt idx="2">
                  <c:v>9.8145822143129685E-20</c:v>
                </c:pt>
                <c:pt idx="3">
                  <c:v>9.8145822143129688E-19</c:v>
                </c:pt>
                <c:pt idx="4">
                  <c:v>9.814582214312968E-18</c:v>
                </c:pt>
                <c:pt idx="5">
                  <c:v>9.8145822143129683E-17</c:v>
                </c:pt>
                <c:pt idx="6">
                  <c:v>9.814582214312969E-16</c:v>
                </c:pt>
                <c:pt idx="7">
                  <c:v>9.814582214312969E-15</c:v>
                </c:pt>
                <c:pt idx="8">
                  <c:v>9.8145822143129671E-14</c:v>
                </c:pt>
                <c:pt idx="9">
                  <c:v>9.8145822143129679E-13</c:v>
                </c:pt>
                <c:pt idx="10">
                  <c:v>9.8145822143129695E-12</c:v>
                </c:pt>
                <c:pt idx="11">
                  <c:v>9.8145822143129682E-11</c:v>
                </c:pt>
                <c:pt idx="12">
                  <c:v>9.8145822143129685E-10</c:v>
                </c:pt>
                <c:pt idx="13">
                  <c:v>9.8145822143129689E-9</c:v>
                </c:pt>
                <c:pt idx="14">
                  <c:v>9.8145822143129682E-8</c:v>
                </c:pt>
                <c:pt idx="15">
                  <c:v>9.814582214312969E-7</c:v>
                </c:pt>
                <c:pt idx="16">
                  <c:v>9.8145822143129677E-6</c:v>
                </c:pt>
                <c:pt idx="17">
                  <c:v>9.8145822143129688E-5</c:v>
                </c:pt>
                <c:pt idx="18">
                  <c:v>9.8145822143129685E-4</c:v>
                </c:pt>
                <c:pt idx="19">
                  <c:v>9.8145822143129689E-3</c:v>
                </c:pt>
                <c:pt idx="20">
                  <c:v>9.8145822143129682E-2</c:v>
                </c:pt>
                <c:pt idx="21">
                  <c:v>0.9814582214312968</c:v>
                </c:pt>
                <c:pt idx="22">
                  <c:v>9.8145822143129688</c:v>
                </c:pt>
                <c:pt idx="23">
                  <c:v>98.145822143129678</c:v>
                </c:pt>
                <c:pt idx="24">
                  <c:v>981.45822143129681</c:v>
                </c:pt>
                <c:pt idx="25">
                  <c:v>9814.5822143129681</c:v>
                </c:pt>
                <c:pt idx="26">
                  <c:v>98145.822143129684</c:v>
                </c:pt>
                <c:pt idx="27">
                  <c:v>981458.22143129678</c:v>
                </c:pt>
                <c:pt idx="28">
                  <c:v>9814582.2143129688</c:v>
                </c:pt>
                <c:pt idx="29">
                  <c:v>98145822.143129677</c:v>
                </c:pt>
                <c:pt idx="30">
                  <c:v>981458221.43129683</c:v>
                </c:pt>
              </c:numCache>
            </c:numRef>
          </c:xVal>
          <c:yVal>
            <c:numRef>
              <c:f>'Mastercurve bestimmen'!$O$404:$O$434</c:f>
              <c:numCache>
                <c:formatCode>0.00E+00</c:formatCode>
                <c:ptCount val="31"/>
                <c:pt idx="0">
                  <c:v>5057.043084778943</c:v>
                </c:pt>
                <c:pt idx="1">
                  <c:v>4848.8236532156789</c:v>
                </c:pt>
                <c:pt idx="2">
                  <c:v>4684.5989366281638</c:v>
                </c:pt>
                <c:pt idx="3">
                  <c:v>4498.1692065771867</c:v>
                </c:pt>
                <c:pt idx="4">
                  <c:v>4277.4916896280383</c:v>
                </c:pt>
                <c:pt idx="5">
                  <c:v>4057.0756825676294</c:v>
                </c:pt>
                <c:pt idx="6">
                  <c:v>3871.2190964450751</c:v>
                </c:pt>
                <c:pt idx="7">
                  <c:v>3695.7543511911053</c:v>
                </c:pt>
                <c:pt idx="8">
                  <c:v>3525.6595385822288</c:v>
                </c:pt>
                <c:pt idx="9">
                  <c:v>3357.1494631908417</c:v>
                </c:pt>
                <c:pt idx="10">
                  <c:v>3187.0619417508151</c:v>
                </c:pt>
                <c:pt idx="11">
                  <c:v>2996.966538971345</c:v>
                </c:pt>
                <c:pt idx="12">
                  <c:v>2785.0882808530132</c:v>
                </c:pt>
                <c:pt idx="13">
                  <c:v>2548.6636373493402</c:v>
                </c:pt>
                <c:pt idx="14">
                  <c:v>2277.7712640750647</c:v>
                </c:pt>
                <c:pt idx="15">
                  <c:v>1945.3918502755284</c:v>
                </c:pt>
                <c:pt idx="16">
                  <c:v>1547.0547031117155</c:v>
                </c:pt>
                <c:pt idx="17">
                  <c:v>1144.6630604809154</c:v>
                </c:pt>
                <c:pt idx="18">
                  <c:v>800.03144169281939</c:v>
                </c:pt>
                <c:pt idx="19">
                  <c:v>550.37343151827611</c:v>
                </c:pt>
                <c:pt idx="20">
                  <c:v>400.38950806520603</c:v>
                </c:pt>
                <c:pt idx="21">
                  <c:v>323.43126641101793</c:v>
                </c:pt>
                <c:pt idx="22">
                  <c:v>285.62091448863987</c:v>
                </c:pt>
                <c:pt idx="23">
                  <c:v>264.72815066208511</c:v>
                </c:pt>
                <c:pt idx="24">
                  <c:v>251.4133849928937</c:v>
                </c:pt>
                <c:pt idx="25">
                  <c:v>244.9280851953373</c:v>
                </c:pt>
                <c:pt idx="26">
                  <c:v>233.30697275617146</c:v>
                </c:pt>
                <c:pt idx="27">
                  <c:v>224.93687178827099</c:v>
                </c:pt>
                <c:pt idx="28">
                  <c:v>223.82239746478544</c:v>
                </c:pt>
                <c:pt idx="29">
                  <c:v>223.13699037774649</c:v>
                </c:pt>
                <c:pt idx="30">
                  <c:v>223.02569814244063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3863.1779800091354</c:v>
                </c:pt>
                <c:pt idx="1">
                  <c:v>3639.1828782559405</c:v>
                </c:pt>
                <c:pt idx="2">
                  <c:v>3469.1983065316617</c:v>
                </c:pt>
                <c:pt idx="3">
                  <c:v>3299.3094714954932</c:v>
                </c:pt>
                <c:pt idx="4">
                  <c:v>3129.0766280827079</c:v>
                </c:pt>
                <c:pt idx="5">
                  <c:v>2931.3619259938991</c:v>
                </c:pt>
                <c:pt idx="6">
                  <c:v>2716.4697293377858</c:v>
                </c:pt>
                <c:pt idx="7">
                  <c:v>2473.3394151100656</c:v>
                </c:pt>
                <c:pt idx="8">
                  <c:v>2200.4685992187833</c:v>
                </c:pt>
                <c:pt idx="9">
                  <c:v>1881.1238306732719</c:v>
                </c:pt>
                <c:pt idx="10">
                  <c:v>1513.9966699513473</c:v>
                </c:pt>
                <c:pt idx="11">
                  <c:v>1130.1912363654051</c:v>
                </c:pt>
                <c:pt idx="12">
                  <c:v>797.41301356348504</c:v>
                </c:pt>
                <c:pt idx="13">
                  <c:v>558.94090982101648</c:v>
                </c:pt>
                <c:pt idx="14">
                  <c:v>422.14623536379804</c:v>
                </c:pt>
                <c:pt idx="15">
                  <c:v>350.78880475369743</c:v>
                </c:pt>
                <c:pt idx="16">
                  <c:v>315.13341803519359</c:v>
                </c:pt>
                <c:pt idx="17">
                  <c:v>290.52342792543726</c:v>
                </c:pt>
                <c:pt idx="18">
                  <c:v>272.57314075796921</c:v>
                </c:pt>
                <c:pt idx="19">
                  <c:v>260.41060204475895</c:v>
                </c:pt>
                <c:pt idx="20">
                  <c:v>241.23114118692146</c:v>
                </c:pt>
                <c:pt idx="21">
                  <c:v>232.46309688187819</c:v>
                </c:pt>
                <c:pt idx="22">
                  <c:v>229.22768516622719</c:v>
                </c:pt>
                <c:pt idx="23">
                  <c:v>227.25322776524877</c:v>
                </c:pt>
                <c:pt idx="24">
                  <c:v>225.80080804948139</c:v>
                </c:pt>
                <c:pt idx="25">
                  <c:v>225.33034168462086</c:v>
                </c:pt>
                <c:pt idx="26">
                  <c:v>224.04934964747176</c:v>
                </c:pt>
                <c:pt idx="27">
                  <c:v>223.9208158671365</c:v>
                </c:pt>
                <c:pt idx="28">
                  <c:v>222.73926014927349</c:v>
                </c:pt>
                <c:pt idx="29">
                  <c:v>222.70233168577724</c:v>
                </c:pt>
                <c:pt idx="30">
                  <c:v>222.39987665575754</c:v>
                </c:pt>
              </c:numCache>
            </c:numRef>
          </c:yVal>
          <c:smooth val="1"/>
        </c:ser>
        <c:dLbls>
          <c:showLegendKey val="0"/>
          <c:showVal val="0"/>
          <c:showCatName val="0"/>
          <c:showSerName val="0"/>
          <c:showPercent val="0"/>
          <c:showBubbleSize val="0"/>
        </c:dLbls>
        <c:axId val="494021000"/>
        <c:axId val="494022960"/>
      </c:scatterChart>
      <c:valAx>
        <c:axId val="49402100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2960"/>
        <c:crosses val="autoZero"/>
        <c:crossBetween val="midCat"/>
      </c:valAx>
      <c:valAx>
        <c:axId val="494022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1000"/>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-57.849695376367158</c:v>
                </c:pt>
                <c:pt idx="1">
                  <c:v>-57.582574426538052</c:v>
                </c:pt>
                <c:pt idx="2">
                  <c:v>-57.315354570530651</c:v>
                </c:pt>
                <c:pt idx="3">
                  <c:v>-57.04793690216664</c:v>
                </c:pt>
                <c:pt idx="4">
                  <c:v>-56.780222515267724</c:v>
                </c:pt>
                <c:pt idx="5">
                  <c:v>-56.512112503655601</c:v>
                </c:pt>
                <c:pt idx="6">
                  <c:v>-56.243507961151948</c:v>
                </c:pt>
                <c:pt idx="7">
                  <c:v>-55.974309981578493</c:v>
                </c:pt>
                <c:pt idx="8">
                  <c:v>-55.704419658756912</c:v>
                </c:pt>
                <c:pt idx="9">
                  <c:v>-55.43373808650891</c:v>
                </c:pt>
                <c:pt idx="10">
                  <c:v>-55.162166358656194</c:v>
                </c:pt>
                <c:pt idx="11">
                  <c:v>-54.889605569020432</c:v>
                </c:pt>
                <c:pt idx="12">
                  <c:v>-54.615956811423352</c:v>
                </c:pt>
                <c:pt idx="13">
                  <c:v>-54.341121179686631</c:v>
                </c:pt>
                <c:pt idx="14">
                  <c:v>-54.064999767631981</c:v>
                </c:pt>
                <c:pt idx="15">
                  <c:v>-53.787493669081087</c:v>
                </c:pt>
                <c:pt idx="16">
                  <c:v>-53.508503977855653</c:v>
                </c:pt>
                <c:pt idx="17">
                  <c:v>-53.227931787777379</c:v>
                </c:pt>
                <c:pt idx="18">
                  <c:v>-52.945678192667955</c:v>
                </c:pt>
                <c:pt idx="19">
                  <c:v>-52.66164428634908</c:v>
                </c:pt>
                <c:pt idx="20">
                  <c:v>-52.375731162642452</c:v>
                </c:pt>
                <c:pt idx="21">
                  <c:v>-52.087839915369777</c:v>
                </c:pt>
                <c:pt idx="22">
                  <c:v>-51.797871638352731</c:v>
                </c:pt>
                <c:pt idx="23">
                  <c:v>-51.505727425413035</c:v>
                </c:pt>
                <c:pt idx="24">
                  <c:v>-51.211308370372379</c:v>
                </c:pt>
                <c:pt idx="25">
                  <c:v>-50.914515567052447</c:v>
                </c:pt>
                <c:pt idx="26">
                  <c:v>-50.615250109274946</c:v>
                </c:pt>
                <c:pt idx="27">
                  <c:v>-50.313413090861573</c:v>
                </c:pt>
                <c:pt idx="28">
                  <c:v>-50.008905605634027</c:v>
                </c:pt>
                <c:pt idx="29">
                  <c:v>-49.701628747414013</c:v>
                </c:pt>
                <c:pt idx="30">
                  <c:v>-49.391483610023208</c:v>
                </c:pt>
                <c:pt idx="31">
                  <c:v>-49.078371287283318</c:v>
                </c:pt>
                <c:pt idx="32">
                  <c:v>-48.762192873016048</c:v>
                </c:pt>
                <c:pt idx="33">
                  <c:v>-48.442849461043089</c:v>
                </c:pt>
                <c:pt idx="34">
                  <c:v>-48.12024214518614</c:v>
                </c:pt>
                <c:pt idx="35">
                  <c:v>-47.794272019266892</c:v>
                </c:pt>
                <c:pt idx="36">
                  <c:v>-47.464840177107057</c:v>
                </c:pt>
                <c:pt idx="37">
                  <c:v>-47.131847712528312</c:v>
                </c:pt>
                <c:pt idx="38">
                  <c:v>-46.795195719352371</c:v>
                </c:pt>
                <c:pt idx="39">
                  <c:v>-46.454785291400924</c:v>
                </c:pt>
                <c:pt idx="40">
                  <c:v>-46.11051752249567</c:v>
                </c:pt>
                <c:pt idx="41">
                  <c:v>-45.958462095411804</c:v>
                </c:pt>
                <c:pt idx="42">
                  <c:v>-45.802469230279428</c:v>
                </c:pt>
                <c:pt idx="43">
                  <c:v>-45.642557736182155</c:v>
                </c:pt>
                <c:pt idx="44">
                  <c:v>-45.478746422203585</c:v>
                </c:pt>
                <c:pt idx="45">
                  <c:v>-45.311054097427316</c:v>
                </c:pt>
                <c:pt idx="46">
                  <c:v>-45.139499570936977</c:v>
                </c:pt>
                <c:pt idx="47">
                  <c:v>-44.964101651816136</c:v>
                </c:pt>
                <c:pt idx="48">
                  <c:v>-44.784879149148438</c:v>
                </c:pt>
                <c:pt idx="49">
                  <c:v>-44.601850872017465</c:v>
                </c:pt>
                <c:pt idx="50">
                  <c:v>-44.415035629506818</c:v>
                </c:pt>
                <c:pt idx="51">
                  <c:v>-44.224452230700116</c:v>
                </c:pt>
                <c:pt idx="52">
                  <c:v>-44.030119484680959</c:v>
                </c:pt>
                <c:pt idx="53">
                  <c:v>-43.832056200532946</c:v>
                </c:pt>
                <c:pt idx="54">
                  <c:v>-43.630281187339691</c:v>
                </c:pt>
                <c:pt idx="55">
                  <c:v>-43.424813254184784</c:v>
                </c:pt>
                <c:pt idx="56">
                  <c:v>-43.215671210151854</c:v>
                </c:pt>
                <c:pt idx="57">
                  <c:v>-43.002873864324485</c:v>
                </c:pt>
                <c:pt idx="58">
                  <c:v>-42.786440025786291</c:v>
                </c:pt>
                <c:pt idx="59">
                  <c:v>-42.566388503620871</c:v>
                </c:pt>
                <c:pt idx="60">
                  <c:v>-42.342738106911831</c:v>
                </c:pt>
                <c:pt idx="61">
                  <c:v>-42.115507644742785</c:v>
                </c:pt>
                <c:pt idx="62">
                  <c:v>-41.88471592619733</c:v>
                </c:pt>
                <c:pt idx="63">
                  <c:v>-41.650381760359075</c:v>
                </c:pt>
                <c:pt idx="64">
                  <c:v>-41.412523956311624</c:v>
                </c:pt>
                <c:pt idx="65">
                  <c:v>-41.171161323138577</c:v>
                </c:pt>
                <c:pt idx="66">
                  <c:v>-40.926359113433577</c:v>
                </c:pt>
                <c:pt idx="67">
                  <c:v>-40.678368353830443</c:v>
                </c:pt>
                <c:pt idx="68">
                  <c:v>-40.42748651447301</c:v>
                </c:pt>
                <c:pt idx="69">
                  <c:v>-40.174011065505141</c:v>
                </c:pt>
                <c:pt idx="70">
                  <c:v>-39.918239477070678</c:v>
                </c:pt>
                <c:pt idx="71">
                  <c:v>-39.66046921931347</c:v>
                </c:pt>
                <c:pt idx="72">
                  <c:v>-39.400997762377358</c:v>
                </c:pt>
                <c:pt idx="73">
                  <c:v>-39.140122576406199</c:v>
                </c:pt>
                <c:pt idx="74">
                  <c:v>-38.878141131543828</c:v>
                </c:pt>
                <c:pt idx="75">
                  <c:v>-38.615350897934114</c:v>
                </c:pt>
                <c:pt idx="76">
                  <c:v>-38.352049345720886</c:v>
                </c:pt>
                <c:pt idx="77">
                  <c:v>-38.088533945048013</c:v>
                </c:pt>
                <c:pt idx="78">
                  <c:v>-37.825102166059317</c:v>
                </c:pt>
                <c:pt idx="79">
                  <c:v>-37.562051478898667</c:v>
                </c:pt>
                <c:pt idx="80">
                  <c:v>-37.299679353709898</c:v>
                </c:pt>
                <c:pt idx="81">
                  <c:v>-37.038283260636874</c:v>
                </c:pt>
                <c:pt idx="82">
                  <c:v>-36.778160669823421</c:v>
                </c:pt>
                <c:pt idx="83">
                  <c:v>-36.519609051413404</c:v>
                </c:pt>
                <c:pt idx="84">
                  <c:v>-36.262925875550671</c:v>
                </c:pt>
                <c:pt idx="85">
                  <c:v>-36.008408612379057</c:v>
                </c:pt>
                <c:pt idx="86">
                  <c:v>-35.756354732042425</c:v>
                </c:pt>
                <c:pt idx="87">
                  <c:v>-35.507061704684617</c:v>
                </c:pt>
                <c:pt idx="88">
                  <c:v>-35.260827000449481</c:v>
                </c:pt>
                <c:pt idx="89">
                  <c:v>-35.017948089480861</c:v>
                </c:pt>
                <c:pt idx="90">
                  <c:v>-34.778722441922618</c:v>
                </c:pt>
                <c:pt idx="91">
                  <c:v>-34.543352131577549</c:v>
                </c:pt>
                <c:pt idx="92">
                  <c:v>-34.311657646884264</c:v>
                </c:pt>
                <c:pt idx="93">
                  <c:v>-34.083364079940367</c:v>
                </c:pt>
                <c:pt idx="94">
                  <c:v>-33.858196522843421</c:v>
                </c:pt>
                <c:pt idx="95">
                  <c:v>-33.635880067691012</c:v>
                </c:pt>
                <c:pt idx="96">
                  <c:v>-33.416139806580723</c:v>
                </c:pt>
                <c:pt idx="97">
                  <c:v>-33.198700831610125</c:v>
                </c:pt>
                <c:pt idx="98">
                  <c:v>-32.983288234876809</c:v>
                </c:pt>
                <c:pt idx="99">
                  <c:v>-32.769627108478353</c:v>
                </c:pt>
                <c:pt idx="100">
                  <c:v>-32.557442544512334</c:v>
                </c:pt>
                <c:pt idx="101">
                  <c:v>-32.346459635076329</c:v>
                </c:pt>
                <c:pt idx="102">
                  <c:v>-32.136403472267929</c:v>
                </c:pt>
                <c:pt idx="103">
                  <c:v>-31.926999148184699</c:v>
                </c:pt>
                <c:pt idx="104">
                  <c:v>-31.717971754924228</c:v>
                </c:pt>
                <c:pt idx="105">
                  <c:v>-31.509046384584096</c:v>
                </c:pt>
                <c:pt idx="106">
                  <c:v>-31.299948129261885</c:v>
                </c:pt>
                <c:pt idx="107">
                  <c:v>-31.090402081055171</c:v>
                </c:pt>
                <c:pt idx="108">
                  <c:v>-30.88013333206154</c:v>
                </c:pt>
                <c:pt idx="109">
                  <c:v>-30.66886697437856</c:v>
                </c:pt>
                <c:pt idx="110">
                  <c:v>-30.456328100103818</c:v>
                </c:pt>
                <c:pt idx="111">
                  <c:v>-30.242241801334899</c:v>
                </c:pt>
                <c:pt idx="112">
                  <c:v>-30.026333170169377</c:v>
                </c:pt>
                <c:pt idx="113">
                  <c:v>-29.808327298704832</c:v>
                </c:pt>
                <c:pt idx="114">
                  <c:v>-29.587949279038849</c:v>
                </c:pt>
                <c:pt idx="115">
                  <c:v>-29.364924203269002</c:v>
                </c:pt>
                <c:pt idx="116">
                  <c:v>-29.138977163492875</c:v>
                </c:pt>
                <c:pt idx="117">
                  <c:v>-28.909833251808045</c:v>
                </c:pt>
                <c:pt idx="118">
                  <c:v>-28.677217560312101</c:v>
                </c:pt>
                <c:pt idx="119">
                  <c:v>-28.440855181102613</c:v>
                </c:pt>
                <c:pt idx="120">
                  <c:v>-28.200471206277161</c:v>
                </c:pt>
                <c:pt idx="121">
                  <c:v>-27.95584637695557</c:v>
                </c:pt>
                <c:pt idx="122">
                  <c:v>-27.706984030346593</c:v>
                </c:pt>
                <c:pt idx="123">
                  <c:v>-27.453943152681234</c:v>
                </c:pt>
                <c:pt idx="124">
                  <c:v>-27.196782730190495</c:v>
                </c:pt>
                <c:pt idx="125">
                  <c:v>-26.935561749105375</c:v>
                </c:pt>
                <c:pt idx="126">
                  <c:v>-26.670339195656865</c:v>
                </c:pt>
                <c:pt idx="127">
                  <c:v>-26.401174056075973</c:v>
                </c:pt>
                <c:pt idx="128">
                  <c:v>-26.128125316593692</c:v>
                </c:pt>
                <c:pt idx="129">
                  <c:v>-25.85125196344103</c:v>
                </c:pt>
                <c:pt idx="130">
                  <c:v>-25.570612982848971</c:v>
                </c:pt>
                <c:pt idx="131">
                  <c:v>-25.28626736104853</c:v>
                </c:pt>
                <c:pt idx="132">
                  <c:v>-24.998274084270697</c:v>
                </c:pt>
                <c:pt idx="133">
                  <c:v>-24.706692138746476</c:v>
                </c:pt>
                <c:pt idx="134">
                  <c:v>-24.411580510706859</c:v>
                </c:pt>
                <c:pt idx="135">
                  <c:v>-24.112998186382853</c:v>
                </c:pt>
                <c:pt idx="136">
                  <c:v>-23.811004152005452</c:v>
                </c:pt>
                <c:pt idx="137">
                  <c:v>-23.505657393805656</c:v>
                </c:pt>
                <c:pt idx="138">
                  <c:v>-23.197016898014475</c:v>
                </c:pt>
                <c:pt idx="139">
                  <c:v>-22.885141650862892</c:v>
                </c:pt>
                <c:pt idx="140">
                  <c:v>-22.570090638581913</c:v>
                </c:pt>
                <c:pt idx="141">
                  <c:v>-22.251922847402536</c:v>
                </c:pt>
                <c:pt idx="142">
                  <c:v>-21.930697263555764</c:v>
                </c:pt>
                <c:pt idx="143">
                  <c:v>-21.60647287327259</c:v>
                </c:pt>
                <c:pt idx="144">
                  <c:v>-21.279308662784018</c:v>
                </c:pt>
                <c:pt idx="145">
                  <c:v>-20.949263618321048</c:v>
                </c:pt>
                <c:pt idx="146">
                  <c:v>-20.616396726114676</c:v>
                </c:pt>
                <c:pt idx="147">
                  <c:v>-20.280766972395902</c:v>
                </c:pt>
                <c:pt idx="148">
                  <c:v>-19.942433343395724</c:v>
                </c:pt>
                <c:pt idx="149">
                  <c:v>-19.601454825345144</c:v>
                </c:pt>
                <c:pt idx="150">
                  <c:v>-19.257890404475162</c:v>
                </c:pt>
                <c:pt idx="151">
                  <c:v>-18.911799067016769</c:v>
                </c:pt>
                <c:pt idx="152">
                  <c:v>-18.563239799200971</c:v>
                </c:pt>
                <c:pt idx="153">
                  <c:v>-18.212271587258769</c:v>
                </c:pt>
                <c:pt idx="154">
                  <c:v>-17.858953417421162</c:v>
                </c:pt>
                <c:pt idx="155">
                  <c:v>-17.50334427591914</c:v>
                </c:pt>
                <c:pt idx="156">
                  <c:v>-17.145503148983714</c:v>
                </c:pt>
                <c:pt idx="157">
                  <c:v>-16.785489022845873</c:v>
                </c:pt>
                <c:pt idx="158">
                  <c:v>-16.423360883736628</c:v>
                </c:pt>
                <c:pt idx="159">
                  <c:v>-16.059177717886964</c:v>
                </c:pt>
                <c:pt idx="160">
                  <c:v>-15.692998511527891</c:v>
                </c:pt>
                <c:pt idx="161">
                  <c:v>-15.324882250890404</c:v>
                </c:pt>
                <c:pt idx="162">
                  <c:v>-14.954887922205504</c:v>
                </c:pt>
                <c:pt idx="163">
                  <c:v>-14.583074511704188</c:v>
                </c:pt>
                <c:pt idx="164">
                  <c:v>-14.209501005617456</c:v>
                </c:pt>
                <c:pt idx="165">
                  <c:v>-13.834226390176308</c:v>
                </c:pt>
                <c:pt idx="166">
                  <c:v>-13.45730764020716</c:v>
                </c:pt>
                <c:pt idx="167">
                  <c:v>-13.078793684918127</c:v>
                </c:pt>
                <c:pt idx="168">
                  <c:v>-12.698731442112724</c:v>
                </c:pt>
                <c:pt idx="169">
                  <c:v>-12.317167829594483</c:v>
                </c:pt>
                <c:pt idx="170">
                  <c:v>-11.934149765166932</c:v>
                </c:pt>
                <c:pt idx="171">
                  <c:v>-11.549724166633593</c:v>
                </c:pt>
                <c:pt idx="172">
                  <c:v>-11.163937951797994</c:v>
                </c:pt>
                <c:pt idx="173">
                  <c:v>-10.77683803846366</c:v>
                </c:pt>
                <c:pt idx="174">
                  <c:v>-10.388471344434119</c:v>
                </c:pt>
                <c:pt idx="175">
                  <c:v>-9.9988847875128961</c:v>
                </c:pt>
                <c:pt idx="176">
                  <c:v>-9.6081252855035189</c:v>
                </c:pt>
                <c:pt idx="177">
                  <c:v>-9.2162397562095126</c:v>
                </c:pt>
                <c:pt idx="178">
                  <c:v>-8.8232751174344024</c:v>
                </c:pt>
                <c:pt idx="179">
                  <c:v>-8.4292782869817149</c:v>
                </c:pt>
                <c:pt idx="180">
                  <c:v>-8.0342961826549768</c:v>
                </c:pt>
                <c:pt idx="181">
                  <c:v>-7.6383757222577158</c:v>
                </c:pt>
                <c:pt idx="182">
                  <c:v>-7.2415638235934567</c:v>
                </c:pt>
                <c:pt idx="183">
                  <c:v>-6.8439074044657247</c:v>
                </c:pt>
                <c:pt idx="184">
                  <c:v>-6.445453382678048</c:v>
                </c:pt>
                <c:pt idx="185">
                  <c:v>-6.0462486760339527</c:v>
                </c:pt>
                <c:pt idx="186">
                  <c:v>-5.6463402023369618</c:v>
                </c:pt>
                <c:pt idx="187">
                  <c:v>-5.2457748793906056</c:v>
                </c:pt>
                <c:pt idx="188">
                  <c:v>-4.8445996249984082</c:v>
                </c:pt>
                <c:pt idx="189">
                  <c:v>-4.4428613569638964</c:v>
                </c:pt>
                <c:pt idx="190">
                  <c:v>-4.0406069930905959</c:v>
                </c:pt>
                <c:pt idx="191">
                  <c:v>-3.6378834511820335</c:v>
                </c:pt>
                <c:pt idx="192">
                  <c:v>-3.234737649041735</c:v>
                </c:pt>
                <c:pt idx="193">
                  <c:v>-2.8312165044732267</c:v>
                </c:pt>
                <c:pt idx="194">
                  <c:v>-2.4273669352800349</c:v>
                </c:pt>
                <c:pt idx="195">
                  <c:v>-2.0232358592656863</c:v>
                </c:pt>
                <c:pt idx="196">
                  <c:v>-1.6188701942337063</c:v>
                </c:pt>
                <c:pt idx="197">
                  <c:v>-1.2143168579876213</c:v>
                </c:pt>
                <c:pt idx="198">
                  <c:v>-0.80962276833095803</c:v>
                </c:pt>
                <c:pt idx="199">
                  <c:v>-0.4048348430672421</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-57.849695376367158</c:v>
                </c:pt>
                <c:pt idx="1">
                  <c:v>-46.11051752249567</c:v>
                </c:pt>
                <c:pt idx="2">
                  <c:v>-41.17116132313857</c:v>
                </c:pt>
                <c:pt idx="3">
                  <c:v>-34.778722441922618</c:v>
                </c:pt>
                <c:pt idx="4">
                  <c:v>-28.200471206277161</c:v>
                </c:pt>
                <c:pt idx="5">
                  <c:v>-13.834226390176307</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-57.573599158697107</c:v>
                </c:pt>
                <c:pt idx="1">
                  <c:v>-57.442695771042963</c:v>
                </c:pt>
                <c:pt idx="2">
                  <c:v>-57.28244046963755</c:v>
                </c:pt>
                <c:pt idx="3">
                  <c:v>-57.096214564440743</c:v>
                </c:pt>
                <c:pt idx="4">
                  <c:v>-56.887144494083259</c:v>
                </c:pt>
                <c:pt idx="5">
                  <c:v>-56.658115168272161</c:v>
                </c:pt>
                <c:pt idx="6">
                  <c:v>-56.4117828375729</c:v>
                </c:pt>
                <c:pt idx="7">
                  <c:v>-56.150587500728761</c:v>
                </c:pt>
                <c:pt idx="8">
                  <c:v>-55.876764859576724</c:v>
                </c:pt>
                <c:pt idx="9">
                  <c:v>-55.592357831864319</c:v>
                </c:pt>
                <c:pt idx="10">
                  <c:v>-55.299227631754547</c:v>
                </c:pt>
                <c:pt idx="11">
                  <c:v>-54.999064427941448</c:v>
                </c:pt>
                <c:pt idx="12">
                  <c:v>-54.693397589192045</c:v>
                </c:pt>
                <c:pt idx="13">
                  <c:v>-54.383605526816609</c:v>
                </c:pt>
                <c:pt idx="14">
                  <c:v>-54.070925143838394</c:v>
                </c:pt>
                <c:pt idx="15">
                  <c:v>-53.756460900088769</c:v>
                </c:pt>
                <c:pt idx="16">
                  <c:v>-53.441193502706028</c:v>
                </c:pt>
                <c:pt idx="17">
                  <c:v>-53.12598823122562</c:v>
                </c:pt>
                <c:pt idx="18">
                  <c:v>-52.811602906437201</c:v>
                </c:pt>
                <c:pt idx="19">
                  <c:v>-52.498695511935239</c:v>
                </c:pt>
                <c:pt idx="20">
                  <c:v>-52.187831477416694</c:v>
                </c:pt>
                <c:pt idx="21">
                  <c:v>-51.879490632440593</c:v>
                </c:pt>
                <c:pt idx="22">
                  <c:v>-51.574073839436551</c:v>
                </c:pt>
                <c:pt idx="23">
                  <c:v>-51.271909314506047</c:v>
                </c:pt>
                <c:pt idx="24">
                  <c:v>-50.97325864459026</c:v>
                </c:pt>
                <c:pt idx="25">
                  <c:v>-50.678322509336795</c:v>
                </c:pt>
                <c:pt idx="26">
                  <c:v>-50.387246116031292</c:v>
                </c:pt>
                <c:pt idx="27">
                  <c:v>-50.100124355703429</c:v>
                </c:pt>
                <c:pt idx="28">
                  <c:v>-49.817006688602305</c:v>
                </c:pt>
                <c:pt idx="29">
                  <c:v>-49.537901766903587</c:v>
                </c:pt>
                <c:pt idx="30">
                  <c:v>-49.262781802617383</c:v>
                </c:pt>
                <c:pt idx="31">
                  <c:v>-48.99158668843188</c:v>
                </c:pt>
                <c:pt idx="32">
                  <c:v>-48.724227879185037</c:v>
                </c:pt>
                <c:pt idx="33">
                  <c:v>-48.460592041474683</c:v>
                </c:pt>
                <c:pt idx="34">
                  <c:v>-48.200544478953589</c:v>
                </c:pt>
                <c:pt idx="35">
                  <c:v>-47.943932340571109</c:v>
                </c:pt>
                <c:pt idx="36">
                  <c:v>-47.69058761911424</c:v>
                </c:pt>
                <c:pt idx="37">
                  <c:v>-47.44032994707959</c:v>
                </c:pt>
                <c:pt idx="38">
                  <c:v>-47.192969197034927</c:v>
                </c:pt>
                <c:pt idx="39">
                  <c:v>-46.948307893307174</c:v>
                </c:pt>
                <c:pt idx="40">
                  <c:v>-46.706143441917902</c:v>
                </c:pt>
                <c:pt idx="41">
                  <c:v>-46.466270185414942</c:v>
                </c:pt>
                <c:pt idx="42">
                  <c:v>-46.228481289291608</c:v>
                </c:pt>
                <c:pt idx="43">
                  <c:v>-45.992570466464599</c:v>
                </c:pt>
                <c:pt idx="44">
                  <c:v>-45.758333546263088</c:v>
                </c:pt>
                <c:pt idx="45">
                  <c:v>-45.525569894220098</c:v>
                </c:pt>
                <c:pt idx="46">
                  <c:v>-45.294083688854926</c:v>
                </c:pt>
                <c:pt idx="47">
                  <c:v>-45.063685061598903</c:v>
                </c:pt>
                <c:pt idx="48">
                  <c:v>-44.834191105812351</c:v>
                </c:pt>
                <c:pt idx="49">
                  <c:v>-44.605426760829914</c:v>
                </c:pt>
                <c:pt idx="50">
                  <c:v>-44.377225576751925</c:v>
                </c:pt>
                <c:pt idx="51">
                  <c:v>-44.149430365769831</c:v>
                </c:pt>
                <c:pt idx="52">
                  <c:v>-43.921893745505599</c:v>
                </c:pt>
                <c:pt idx="53">
                  <c:v>-43.694478579909628</c:v>
                </c:pt>
                <c:pt idx="54">
                  <c:v>-43.467058323035872</c:v>
                </c:pt>
                <c:pt idx="55">
                  <c:v>-43.239517271007912</c:v>
                </c:pt>
                <c:pt idx="56">
                  <c:v>-43.011750727305468</c:v>
                </c:pt>
                <c:pt idx="57">
                  <c:v>-42.783665086434667</c:v>
                </c:pt>
                <c:pt idx="58">
                  <c:v>-42.55517784094036</c:v>
                </c:pt>
                <c:pt idx="59">
                  <c:v>-42.326217516608779</c:v>
                </c:pt>
                <c:pt idx="60">
                  <c:v>-42.096723540599157</c:v>
                </c:pt>
                <c:pt idx="61">
                  <c:v>-41.866646047144513</c:v>
                </c:pt>
                <c:pt idx="62">
                  <c:v>-41.635945625358715</c:v>
                </c:pt>
                <c:pt idx="63">
                  <c:v>-41.404593013581007</c:v>
                </c:pt>
                <c:pt idx="64">
                  <c:v>-41.172568744575472</c:v>
                </c:pt>
                <c:pt idx="65">
                  <c:v>-40.939862745818687</c:v>
                </c:pt>
                <c:pt idx="66">
                  <c:v>-40.706473898983347</c:v>
                </c:pt>
                <c:pt idx="67">
                  <c:v>-40.47240956262948</c:v>
                </c:pt>
                <c:pt idx="68">
                  <c:v>-40.237685062021654</c:v>
                </c:pt>
                <c:pt idx="69">
                  <c:v>-40.002323149861866</c:v>
                </c:pt>
                <c:pt idx="70">
                  <c:v>-39.766353441644611</c:v>
                </c:pt>
                <c:pt idx="71">
                  <c:v>-39.529811829228578</c:v>
                </c:pt>
                <c:pt idx="72">
                  <c:v>-39.292739876108016</c:v>
                </c:pt>
                <c:pt idx="73">
                  <c:v>-39.055184197780761</c:v>
                </c:pt>
                <c:pt idx="74">
                  <c:v>-38.817195830479562</c:v>
                </c:pt>
                <c:pt idx="75">
                  <c:v>-38.578829591456127</c:v>
                </c:pt>
                <c:pt idx="76">
                  <c:v>-38.340143433878836</c:v>
                </c:pt>
                <c:pt idx="77">
                  <c:v>-38.101197799321142</c:v>
                </c:pt>
                <c:pt idx="78">
                  <c:v>-37.862054970692</c:v>
                </c:pt>
                <c:pt idx="79">
                  <c:v>-37.622778428382787</c:v>
                </c:pt>
                <c:pt idx="80">
                  <c:v>-37.383432212263472</c:v>
                </c:pt>
                <c:pt idx="81">
                  <c:v>-37.144080292098124</c:v>
                </c:pt>
                <c:pt idx="82">
                  <c:v>-36.904785948811792</c:v>
                </c:pt>
                <c:pt idx="83">
                  <c:v>-36.665611168951457</c:v>
                </c:pt>
                <c:pt idx="84">
                  <c:v>-36.426616054580748</c:v>
                </c:pt>
                <c:pt idx="85">
                  <c:v>-36.187858250734649</c:v>
                </c:pt>
                <c:pt idx="86">
                  <c:v>-35.949392392466038</c:v>
                </c:pt>
                <c:pt idx="87">
                  <c:v>-35.711269573400941</c:v>
                </c:pt>
                <c:pt idx="88">
                  <c:v>-35.473536837626654</c:v>
                </c:pt>
                <c:pt idx="89">
                  <c:v>-35.236236696621361</c:v>
                </c:pt>
                <c:pt idx="90">
                  <c:v>-34.999406672834255</c:v>
                </c:pt>
                <c:pt idx="91">
                  <c:v>-34.763078871424909</c:v>
                </c:pt>
                <c:pt idx="92">
                  <c:v>-34.527279581558474</c:v>
                </c:pt>
                <c:pt idx="93">
                  <c:v>-34.29202890854922</c:v>
                </c:pt>
                <c:pt idx="94">
                  <c:v>-34.057340438051597</c:v>
                </c:pt>
                <c:pt idx="95">
                  <c:v>-33.823220933377932</c:v>
                </c:pt>
                <c:pt idx="96">
                  <c:v>-33.589670066926381</c:v>
                </c:pt>
                <c:pt idx="97">
                  <c:v>-33.356680186600713</c:v>
                </c:pt>
                <c:pt idx="98">
                  <c:v>-33.124236117988985</c:v>
                </c:pt>
                <c:pt idx="99">
                  <c:v>-32.89231500297327</c:v>
                </c:pt>
                <c:pt idx="100">
                  <c:v>-32.660886175332941</c:v>
                </c:pt>
                <c:pt idx="101">
                  <c:v>-32.429911073803439</c:v>
                </c:pt>
                <c:pt idx="102">
                  <c:v>-32.199343192942116</c:v>
                </c:pt>
                <c:pt idx="103">
                  <c:v>-31.969128072053685</c:v>
                </c:pt>
                <c:pt idx="104">
                  <c:v>-31.739203322321522</c:v>
                </c:pt>
                <c:pt idx="105">
                  <c:v>-31.509498692185055</c:v>
                </c:pt>
                <c:pt idx="106">
                  <c:v>-31.279936170901671</c:v>
                </c:pt>
                <c:pt idx="107">
                  <c:v>-31.050430130125648</c:v>
                </c:pt>
                <c:pt idx="108">
                  <c:v>-30.820887503230516</c:v>
                </c:pt>
                <c:pt idx="109">
                  <c:v>-30.591208002000137</c:v>
                </c:pt>
                <c:pt idx="110">
                  <c:v>-30.361284370208601</c:v>
                </c:pt>
                <c:pt idx="111">
                  <c:v>-30.131002673498983</c:v>
                </c:pt>
                <c:pt idx="112">
                  <c:v>-29.900242624877478</c:v>
                </c:pt>
                <c:pt idx="113">
                  <c:v>-29.668877945023176</c:v>
                </c:pt>
                <c:pt idx="114">
                  <c:v>-29.436776756517592</c:v>
                </c:pt>
                <c:pt idx="115">
                  <c:v>-29.203802010989605</c:v>
                </c:pt>
                <c:pt idx="116">
                  <c:v>-28.969811948068127</c:v>
                </c:pt>
                <c:pt idx="117">
                  <c:v>-28.734660584930257</c:v>
                </c:pt>
                <c:pt idx="118">
                  <c:v>-28.498198235127777</c:v>
                </c:pt>
                <c:pt idx="119">
                  <c:v>-28.2602720552715</c:v>
                </c:pt>
                <c:pt idx="120">
                  <c:v>-28.020726618046346</c:v>
                </c:pt>
                <c:pt idx="121">
                  <c:v>-27.779404509928618</c:v>
                </c:pt>
                <c:pt idx="122">
                  <c:v>-27.536146951868666</c:v>
                </c:pt>
                <c:pt idx="123">
                  <c:v>-27.290794441102161</c:v>
                </c:pt>
                <c:pt idx="124">
                  <c:v>-27.043187412142927</c:v>
                </c:pt>
                <c:pt idx="125">
                  <c:v>-26.79316691491324</c:v>
                </c:pt>
                <c:pt idx="126">
                  <c:v>-26.540575307854418</c:v>
                </c:pt>
                <c:pt idx="127">
                  <c:v>-26.285256963764432</c:v>
                </c:pt>
                <c:pt idx="128">
                  <c:v>-26.027058985997879</c:v>
                </c:pt>
                <c:pt idx="129">
                  <c:v>-25.7658319325642</c:v>
                </c:pt>
                <c:pt idx="130">
                  <c:v>-25.501430545551717</c:v>
                </c:pt>
                <c:pt idx="131">
                  <c:v>-25.233714483203858</c:v>
                </c:pt>
                <c:pt idx="132">
                  <c:v>-24.962549051866787</c:v>
                </c:pt>
                <c:pt idx="133">
                  <c:v>-24.687805934924786</c:v>
                </c:pt>
                <c:pt idx="134">
                  <c:v>-24.409363915734634</c:v>
                </c:pt>
                <c:pt idx="135">
                  <c:v>-24.127109591465892</c:v>
                </c:pt>
                <c:pt idx="136">
                  <c:v>-23.840938074649273</c:v>
                </c:pt>
                <c:pt idx="137">
                  <c:v>-23.550753679131194</c:v>
                </c:pt>
                <c:pt idx="138">
                  <c:v>-23.256470587027827</c:v>
                </c:pt>
                <c:pt idx="139">
                  <c:v>-22.958013493167364</c:v>
                </c:pt>
                <c:pt idx="140">
                  <c:v>-22.655318223405349</c:v>
                </c:pt>
                <c:pt idx="141">
                  <c:v>-22.34833232309234</c:v>
                </c:pt>
                <c:pt idx="142">
                  <c:v>-22.037015611870082</c:v>
                </c:pt>
                <c:pt idx="143">
                  <c:v>-21.721340700866339</c:v>
                </c:pt>
                <c:pt idx="144">
                  <c:v>-21.401293468255652</c:v>
                </c:pt>
                <c:pt idx="145">
                  <c:v>-21.076873489047134</c:v>
                </c:pt>
                <c:pt idx="146">
                  <c:v>-20.74809441485742</c:v>
                </c:pt>
                <c:pt idx="147">
                  <c:v>-20.414984299321585</c:v>
                </c:pt>
                <c:pt idx="148">
                  <c:v>-20.077585864690157</c:v>
                </c:pt>
                <c:pt idx="149">
                  <c:v>-19.735956705056786</c:v>
                </c:pt>
                <c:pt idx="150">
                  <c:v>-19.390169421555647</c:v>
                </c:pt>
                <c:pt idx="151">
                  <c:v>-19.040311684763719</c:v>
                </c:pt>
                <c:pt idx="152">
                  <c:v>-18.686486219438532</c:v>
                </c:pt>
                <c:pt idx="153">
                  <c:v>-18.328810706617372</c:v>
                </c:pt>
                <c:pt idx="154">
                  <c:v>-17.967417597999408</c:v>
                </c:pt>
                <c:pt idx="155">
                  <c:v>-17.602453837427902</c:v>
                </c:pt>
                <c:pt idx="156">
                  <c:v>-17.234080484185021</c:v>
                </c:pt>
                <c:pt idx="157">
                  <c:v>-16.862472232707312</c:v>
                </c:pt>
                <c:pt idx="158">
                  <c:v>-16.48781682322544</c:v>
                </c:pt>
                <c:pt idx="159">
                  <c:v>-16.110314337727264</c:v>
                </c:pt>
                <c:pt idx="160">
                  <c:v>-15.730176375538912</c:v>
                </c:pt>
                <c:pt idx="161">
                  <c:v>-15.347625102713796</c:v>
                </c:pt>
                <c:pt idx="162">
                  <c:v>-14.96289216931549</c:v>
                </c:pt>
                <c:pt idx="163">
                  <c:v>-14.576217488575246</c:v>
                </c:pt>
                <c:pt idx="164">
                  <c:v>-14.187847871801063</c:v>
                </c:pt>
                <c:pt idx="165">
                  <c:v>-13.798035512810355</c:v>
                </c:pt>
                <c:pt idx="166">
                  <c:v>-13.407036315553826</c:v>
                </c:pt>
                <c:pt idx="167">
                  <c:v>-13.015108058493846</c:v>
                </c:pt>
                <c:pt idx="168">
                  <c:v>-12.622508389195895</c:v>
                </c:pt>
                <c:pt idx="169">
                  <c:v>-12.229492642487324</c:v>
                </c:pt>
                <c:pt idx="170">
                  <c:v>-11.836311475433138</c:v>
                </c:pt>
                <c:pt idx="171">
                  <c:v>-11.443208312273949</c:v>
                </c:pt>
                <c:pt idx="172">
                  <c:v>-11.05041659236689</c:v>
                </c:pt>
                <c:pt idx="173">
                  <c:v>-10.658156814065682</c:v>
                </c:pt>
                <c:pt idx="174">
                  <c:v>-10.266633367371597</c:v>
                </c:pt>
                <c:pt idx="175">
                  <c:v>-9.8760311480825447</c:v>
                </c:pt>
                <c:pt idx="176">
                  <c:v>-9.4865119460631036</c:v>
                </c:pt>
                <c:pt idx="177">
                  <c:v>-9.0982106001537009</c:v>
                </c:pt>
                <c:pt idx="178">
                  <c:v>-8.7112309121327147</c:v>
                </c:pt>
                <c:pt idx="179">
                  <c:v>-8.3256413120408688</c:v>
                </c:pt>
                <c:pt idx="180">
                  <c:v>-7.9414702670725967</c:v>
                </c:pt>
                <c:pt idx="181">
                  <c:v>-7.5587014261348031</c:v>
                </c:pt>
                <c:pt idx="182">
                  <c:v>-7.1772684920687366</c:v>
                </c:pt>
                <c:pt idx="183">
                  <c:v>-6.7970498134263737</c:v>
                </c:pt>
                <c:pt idx="184">
                  <c:v>-6.417862687588098</c:v>
                </c:pt>
                <c:pt idx="185">
                  <c:v>-6.0394573669040623</c:v>
                </c:pt>
                <c:pt idx="186">
                  <c:v>-5.6615107594370633</c:v>
                </c:pt>
                <c:pt idx="187">
                  <c:v>-5.2836198157803054</c:v>
                </c:pt>
                <c:pt idx="188">
                  <c:v>-4.9052945933189109</c:v>
                </c:pt>
                <c:pt idx="189">
                  <c:v>-4.5259509891995968</c:v>
                </c:pt>
                <c:pt idx="190">
                  <c:v>-4.1449031331683859</c:v>
                </c:pt>
                <c:pt idx="191">
                  <c:v>-3.7613554313317428</c:v>
                </c:pt>
                <c:pt idx="192">
                  <c:v>-3.3743942517921108</c:v>
                </c:pt>
                <c:pt idx="193">
                  <c:v>-2.9829792430041882</c:v>
                </c:pt>
                <c:pt idx="194">
                  <c:v>-2.5859342755939547</c:v>
                </c:pt>
                <c:pt idx="195">
                  <c:v>-2.1819379982778444</c:v>
                </c:pt>
                <c:pt idx="196">
                  <c:v>-1.7695139984150332</c:v>
                </c:pt>
                <c:pt idx="197">
                  <c:v>-1.3470205576213174</c:v>
                </c:pt>
                <c:pt idx="198">
                  <c:v>-0.9126399927685287</c:v>
                </c:pt>
                <c:pt idx="199">
                  <c:v>-0.46436757258898964</c:v>
                </c:pt>
                <c:pt idx="200">
                  <c:v>0</c:v>
                </c:pt>
              </c:numCache>
            </c:numRef>
          </c:yVal>
          <c:smooth val="1"/>
        </c:ser>
        <c:dLbls>
          <c:showLegendKey val="0"/>
          <c:showVal val="0"/>
          <c:showCatName val="0"/>
          <c:showSerName val="0"/>
          <c:showPercent val="0"/>
          <c:showBubbleSize val="0"/>
        </c:dLbls>
        <c:axId val="494024528"/>
        <c:axId val="494024920"/>
      </c:scatterChart>
      <c:valAx>
        <c:axId val="49402452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4920"/>
        <c:crossesAt val="-1000"/>
        <c:crossBetween val="midCat"/>
      </c:valAx>
      <c:valAx>
        <c:axId val="494024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9402452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2.435217942857143E-5</v>
      </c>
    </row>
    <row r="26" spans="1:2" s="11" customFormat="1" x14ac:dyDescent="0.25">
      <c r="A26" s="61" t="s">
        <v>148</v>
      </c>
      <c r="B26" s="53">
        <f>CTE!O6</f>
        <v>2.6707577714285715E-5</v>
      </c>
    </row>
    <row r="27" spans="1:2" s="11" customFormat="1" x14ac:dyDescent="0.25">
      <c r="A27" s="61" t="s">
        <v>149</v>
      </c>
      <c r="B27" s="53">
        <f>CTE!O8</f>
        <v>7.3205957142857147E-5</v>
      </c>
    </row>
    <row r="28" spans="1:2" s="11" customFormat="1" x14ac:dyDescent="0.25">
      <c r="A28" s="61" t="s">
        <v>150</v>
      </c>
      <c r="B28" s="53">
        <f>CTE!O9</f>
        <v>7.3014565714285708E-5</v>
      </c>
    </row>
    <row r="29" spans="1:2" s="11" customFormat="1" x14ac:dyDescent="0.25">
      <c r="A29" s="61"/>
    </row>
    <row r="30" spans="1:2" s="11" customFormat="1" x14ac:dyDescent="0.25">
      <c r="A30" s="61" t="s">
        <v>151</v>
      </c>
      <c r="B30" s="52">
        <f>CTE!P5</f>
        <v>2.2198400000000001E-5</v>
      </c>
    </row>
    <row r="31" spans="1:2" s="11" customFormat="1" x14ac:dyDescent="0.25">
      <c r="A31" s="61" t="s">
        <v>152</v>
      </c>
      <c r="B31" s="52">
        <f>CTE!P6</f>
        <v>2.3660627368421052E-5</v>
      </c>
    </row>
    <row r="32" spans="1:2" s="11" customFormat="1" x14ac:dyDescent="0.25">
      <c r="A32" s="61" t="s">
        <v>153</v>
      </c>
      <c r="B32" s="52">
        <f>CTE!P8</f>
        <v>4.695368947368421E-5</v>
      </c>
    </row>
    <row r="33" spans="1:2" s="11" customFormat="1" x14ac:dyDescent="0.25">
      <c r="A33" s="61" t="s">
        <v>154</v>
      </c>
      <c r="B33" s="52">
        <f>CTE!P9</f>
        <v>4.7641571578947367E-5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0.4732015999486755</v>
      </c>
      <c r="D59" s="55">
        <v>1</v>
      </c>
    </row>
    <row r="60" spans="1:4" s="11" customFormat="1" x14ac:dyDescent="0.25">
      <c r="A60" s="54">
        <v>2</v>
      </c>
      <c r="B60" s="56">
        <f>'Shiftfunktion bestimmen'!N2</f>
        <v>9.2452018707024925E-3</v>
      </c>
      <c r="D60" s="55">
        <v>2</v>
      </c>
    </row>
    <row r="61" spans="1:4" s="11" customFormat="1" x14ac:dyDescent="0.25">
      <c r="A61" s="54">
        <v>3</v>
      </c>
      <c r="B61" s="56">
        <f>'Shiftfunktion bestimmen'!N3</f>
        <v>4.2035588792462746E-4</v>
      </c>
      <c r="D61" s="55">
        <v>3</v>
      </c>
    </row>
    <row r="62" spans="1:4" s="11" customFormat="1" x14ac:dyDescent="0.25">
      <c r="A62" s="54">
        <v>4</v>
      </c>
      <c r="B62" s="56">
        <f>'Shiftfunktion bestimmen'!N4</f>
        <v>9.2861101882017133E-6</v>
      </c>
      <c r="D62" s="55">
        <v>4</v>
      </c>
    </row>
    <row r="63" spans="1:4" s="11" customFormat="1" x14ac:dyDescent="0.25">
      <c r="A63" s="54">
        <v>5</v>
      </c>
      <c r="B63" s="56">
        <f>'Shiftfunktion bestimmen'!N5</f>
        <v>1.0537643755548572E-7</v>
      </c>
      <c r="D63" s="55">
        <v>5</v>
      </c>
    </row>
    <row r="64" spans="1:4" s="11" customFormat="1" x14ac:dyDescent="0.25">
      <c r="A64" s="54">
        <v>6</v>
      </c>
      <c r="B64" s="56">
        <f>'Shiftfunktion bestimmen'!N6</f>
        <v>6.4518863031154023E-10</v>
      </c>
      <c r="D64" s="55">
        <v>6</v>
      </c>
    </row>
    <row r="65" spans="1:5" s="11" customFormat="1" x14ac:dyDescent="0.25">
      <c r="A65" s="54">
        <v>7</v>
      </c>
      <c r="B65" s="56">
        <f>'Shiftfunktion bestimmen'!N7</f>
        <v>2.0338736362704435E-12</v>
      </c>
      <c r="D65" s="55">
        <v>7</v>
      </c>
    </row>
    <row r="66" spans="1:5" x14ac:dyDescent="0.25">
      <c r="A66" s="54">
        <v>8</v>
      </c>
      <c r="B66" s="56">
        <f>'Shiftfunktion bestimmen'!N8</f>
        <v>2.5915233087327144E-15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0.38496487301991561</v>
      </c>
      <c r="D74" s="51">
        <v>1</v>
      </c>
      <c r="E74" s="56">
        <f>'Mastercurve bestimmen'!A18</f>
        <v>1.0000000000000001E-20</v>
      </c>
    </row>
    <row r="75" spans="1:5" x14ac:dyDescent="0.25">
      <c r="A75" s="50">
        <f>A74+1</f>
        <v>2</v>
      </c>
      <c r="B75" s="56">
        <f>'Mastercurve bestimmen'!C19</f>
        <v>5.8157909381167036E-2</v>
      </c>
      <c r="D75" s="51">
        <v>2</v>
      </c>
      <c r="E75" s="56">
        <f>'Mastercurve bestimmen'!A19</f>
        <v>3.9038946506297401E-14</v>
      </c>
    </row>
    <row r="76" spans="1:5" x14ac:dyDescent="0.25">
      <c r="A76" s="50">
        <f t="shared" ref="A76:A104" si="0">A75+1</f>
        <v>3</v>
      </c>
      <c r="B76" s="56">
        <f>'Mastercurve bestimmen'!C20</f>
        <v>1.8919132746280987E-2</v>
      </c>
      <c r="D76" s="51">
        <v>3</v>
      </c>
      <c r="E76" s="56">
        <f>'Mastercurve bestimmen'!A20</f>
        <v>4.3276437088188502E-13</v>
      </c>
    </row>
    <row r="77" spans="1:5" x14ac:dyDescent="0.25">
      <c r="A77" s="50">
        <f t="shared" si="0"/>
        <v>4</v>
      </c>
      <c r="B77" s="56">
        <f>'Mastercurve bestimmen'!C21</f>
        <v>2.9962799778578724E-2</v>
      </c>
      <c r="D77" s="51">
        <v>4</v>
      </c>
      <c r="E77" s="56">
        <f>'Mastercurve bestimmen'!A21</f>
        <v>4.7973886968128502E-12</v>
      </c>
    </row>
    <row r="78" spans="1:5" x14ac:dyDescent="0.25">
      <c r="A78" s="50">
        <f t="shared" si="0"/>
        <v>5</v>
      </c>
      <c r="B78" s="56">
        <f>'Mastercurve bestimmen'!C22</f>
        <v>3.3253137152511318E-2</v>
      </c>
      <c r="D78" s="51">
        <v>5</v>
      </c>
      <c r="E78" s="56">
        <f>'Mastercurve bestimmen'!A22</f>
        <v>5.31812225239524E-11</v>
      </c>
    </row>
    <row r="79" spans="1:5" x14ac:dyDescent="0.25">
      <c r="A79" s="50">
        <f t="shared" si="0"/>
        <v>6</v>
      </c>
      <c r="B79" s="56">
        <f>'Mastercurve bestimmen'!C23</f>
        <v>3.5952334962287925E-2</v>
      </c>
      <c r="D79" s="51">
        <v>6</v>
      </c>
      <c r="E79" s="56">
        <f>'Mastercurve bestimmen'!A23</f>
        <v>5.8953789402578301E-10</v>
      </c>
    </row>
    <row r="80" spans="1:5" x14ac:dyDescent="0.25">
      <c r="A80" s="50">
        <f t="shared" si="0"/>
        <v>7</v>
      </c>
      <c r="B80" s="56">
        <f>'Mastercurve bestimmen'!C24</f>
        <v>4.1559944347360683E-2</v>
      </c>
      <c r="D80" s="51">
        <v>7</v>
      </c>
      <c r="E80" s="56">
        <f>'Mastercurve bestimmen'!A24</f>
        <v>6.5352940755699598E-9</v>
      </c>
    </row>
    <row r="81" spans="1:5" x14ac:dyDescent="0.25">
      <c r="A81" s="50">
        <f t="shared" si="0"/>
        <v>8</v>
      </c>
      <c r="B81" s="56">
        <f>'Mastercurve bestimmen'!C25</f>
        <v>4.609677170559115E-2</v>
      </c>
      <c r="D81" s="51">
        <v>8</v>
      </c>
      <c r="E81" s="56">
        <f>'Mastercurve bestimmen'!A25</f>
        <v>7.2446689325643296E-8</v>
      </c>
    </row>
    <row r="82" spans="1:5" x14ac:dyDescent="0.25">
      <c r="A82" s="50">
        <f t="shared" si="0"/>
        <v>9</v>
      </c>
      <c r="B82" s="56">
        <f>'Mastercurve bestimmen'!C26</f>
        <v>5.5576139774485327E-2</v>
      </c>
      <c r="D82" s="51">
        <f>A82</f>
        <v>9</v>
      </c>
      <c r="E82" s="56">
        <f>'Mastercurve bestimmen'!A26</f>
        <v>8.03104303120212E-7</v>
      </c>
    </row>
    <row r="83" spans="1:5" x14ac:dyDescent="0.25">
      <c r="A83" s="50">
        <f t="shared" si="0"/>
        <v>10</v>
      </c>
      <c r="B83" s="56">
        <f>'Mastercurve bestimmen'!C27</f>
        <v>6.5368051844924516E-2</v>
      </c>
      <c r="C83" s="11"/>
      <c r="D83" s="51">
        <f t="shared" ref="D83:D104" si="1">A83</f>
        <v>10</v>
      </c>
      <c r="E83" s="56">
        <f>'Mastercurve bestimmen'!A27</f>
        <v>8.9027742702096099E-6</v>
      </c>
    </row>
    <row r="84" spans="1:5" x14ac:dyDescent="0.25">
      <c r="A84" s="50">
        <f t="shared" si="0"/>
        <v>11</v>
      </c>
      <c r="B84" s="56">
        <f>'Mastercurve bestimmen'!C28</f>
        <v>6.6907973989911038E-2</v>
      </c>
      <c r="C84" s="11"/>
      <c r="D84" s="51">
        <f t="shared" si="1"/>
        <v>11</v>
      </c>
      <c r="E84" s="56">
        <f>'Mastercurve bestimmen'!A28</f>
        <v>9.86912775817142E-5</v>
      </c>
    </row>
    <row r="85" spans="1:5" x14ac:dyDescent="0.25">
      <c r="A85" s="50">
        <f t="shared" si="0"/>
        <v>12</v>
      </c>
      <c r="B85" s="56">
        <f>'Mastercurve bestimmen'!C29</f>
        <v>5.3174535073566002E-2</v>
      </c>
      <c r="C85" s="11"/>
      <c r="D85" s="51">
        <f t="shared" si="1"/>
        <v>12</v>
      </c>
      <c r="E85" s="56">
        <f>'Mastercurve bestimmen'!A29</f>
        <v>1.0940374286813801E-3</v>
      </c>
    </row>
    <row r="86" spans="1:5" x14ac:dyDescent="0.25">
      <c r="A86" s="50">
        <f t="shared" si="0"/>
        <v>13</v>
      </c>
      <c r="B86" s="56">
        <f>'Mastercurve bestimmen'!C30</f>
        <v>3.2923061735419888E-2</v>
      </c>
      <c r="C86" s="11"/>
      <c r="D86" s="51">
        <f t="shared" si="1"/>
        <v>13</v>
      </c>
      <c r="E86" s="56">
        <f>'Mastercurve bestimmen'!A30</f>
        <v>1.2127899493091E-2</v>
      </c>
    </row>
    <row r="87" spans="1:5" x14ac:dyDescent="0.25">
      <c r="A87" s="50">
        <f t="shared" si="0"/>
        <v>14</v>
      </c>
      <c r="B87" s="56">
        <f>'Mastercurve bestimmen'!C31</f>
        <v>1.6325787748200139E-2</v>
      </c>
      <c r="C87" s="11"/>
      <c r="D87" s="51">
        <f t="shared" si="1"/>
        <v>14</v>
      </c>
      <c r="E87" s="56">
        <f>'Mastercurve bestimmen'!A31</f>
        <v>0.13444324870292301</v>
      </c>
    </row>
    <row r="88" spans="1:5" x14ac:dyDescent="0.25">
      <c r="A88" s="50">
        <f t="shared" si="0"/>
        <v>15</v>
      </c>
      <c r="B88" s="56">
        <f>'Mastercurve bestimmen'!C32</f>
        <v>7.8974635041155969E-3</v>
      </c>
      <c r="C88" s="11"/>
      <c r="D88" s="51">
        <f t="shared" si="1"/>
        <v>15</v>
      </c>
      <c r="E88" s="56">
        <f>'Mastercurve bestimmen'!A32</f>
        <v>1.49036419143257</v>
      </c>
    </row>
    <row r="89" spans="1:5" x14ac:dyDescent="0.25">
      <c r="A89" s="50">
        <f t="shared" si="0"/>
        <v>16</v>
      </c>
      <c r="B89" s="56">
        <f>'Mastercurve bestimmen'!C33</f>
        <v>4.1550471728530186E-3</v>
      </c>
      <c r="C89" s="11"/>
      <c r="D89" s="51">
        <f t="shared" si="1"/>
        <v>16</v>
      </c>
      <c r="E89" s="56">
        <f>'Mastercurve bestimmen'!A33</f>
        <v>16.521360830937301</v>
      </c>
    </row>
    <row r="90" spans="1:5" x14ac:dyDescent="0.25">
      <c r="A90" s="50">
        <f t="shared" si="0"/>
        <v>17</v>
      </c>
      <c r="B90" s="56">
        <f>'Mastercurve bestimmen'!C34</f>
        <v>4.2575321437709054E-3</v>
      </c>
      <c r="C90" s="11"/>
      <c r="D90" s="51">
        <f t="shared" si="1"/>
        <v>17</v>
      </c>
      <c r="E90" s="56">
        <f>'Mastercurve bestimmen'!A34</f>
        <v>183.146753843879</v>
      </c>
    </row>
    <row r="91" spans="1:5" x14ac:dyDescent="0.25">
      <c r="A91" s="50">
        <f t="shared" si="0"/>
        <v>18</v>
      </c>
      <c r="B91" s="56">
        <f>'Mastercurve bestimmen'!C35</f>
        <v>9.5394971617709327E-4</v>
      </c>
      <c r="C91" s="11"/>
      <c r="D91" s="51">
        <f t="shared" si="1"/>
        <v>18</v>
      </c>
      <c r="E91" s="56">
        <f>'Mastercurve bestimmen'!A35</f>
        <v>2030.26456396616</v>
      </c>
    </row>
    <row r="92" spans="1:5" x14ac:dyDescent="0.25">
      <c r="A92" s="50">
        <f t="shared" si="0"/>
        <v>19</v>
      </c>
      <c r="B92" s="56">
        <f>'Mastercurve bestimmen'!C36</f>
        <v>4.0589760414466262E-3</v>
      </c>
      <c r="C92" s="11"/>
      <c r="D92" s="51">
        <f t="shared" si="1"/>
        <v>19</v>
      </c>
      <c r="E92" s="56">
        <f>'Mastercurve bestimmen'!A36</f>
        <v>22506.400540467101</v>
      </c>
    </row>
    <row r="93" spans="1:5" x14ac:dyDescent="0.25">
      <c r="A93" s="50">
        <f t="shared" si="0"/>
        <v>20</v>
      </c>
      <c r="B93" s="56">
        <f>'Mastercurve bestimmen'!C37</f>
        <v>1.8079022275700322E-3</v>
      </c>
      <c r="C93" s="11"/>
      <c r="D93" s="51">
        <f t="shared" si="1"/>
        <v>20</v>
      </c>
      <c r="E93" s="56">
        <f>'Mastercurve bestimmen'!A37</f>
        <v>249493.62476110301</v>
      </c>
    </row>
    <row r="94" spans="1:5" x14ac:dyDescent="0.25">
      <c r="A94" s="50">
        <f t="shared" si="0"/>
        <v>21</v>
      </c>
      <c r="B94" s="56">
        <f>'Mastercurve bestimmen'!C38</f>
        <v>6.6593482592524332E-4</v>
      </c>
      <c r="C94" s="11"/>
      <c r="D94" s="51">
        <f t="shared" si="1"/>
        <v>21</v>
      </c>
      <c r="E94" s="56">
        <f>'Mastercurve bestimmen'!A38</f>
        <v>2765749.6224023802</v>
      </c>
    </row>
    <row r="95" spans="1:5" x14ac:dyDescent="0.25">
      <c r="A95" s="50">
        <f t="shared" si="0"/>
        <v>22</v>
      </c>
      <c r="B95" s="56">
        <f>'Mastercurve bestimmen'!C39</f>
        <v>0</v>
      </c>
      <c r="C95" s="11"/>
      <c r="D95" s="51">
        <f t="shared" si="1"/>
        <v>22</v>
      </c>
      <c r="E95" s="56">
        <f>'Mastercurve bestimmen'!A39</f>
        <v>10000000</v>
      </c>
    </row>
    <row r="96" spans="1:5" x14ac:dyDescent="0.25">
      <c r="A96" s="50">
        <f t="shared" si="0"/>
        <v>23</v>
      </c>
      <c r="B96" s="56">
        <f>'Mastercurve bestimmen'!C40</f>
        <v>5.5929921649114952E-4</v>
      </c>
      <c r="C96" s="11"/>
      <c r="D96" s="51">
        <f t="shared" si="1"/>
        <v>23</v>
      </c>
      <c r="E96" s="56">
        <f>'Mastercurve bestimmen'!A40</f>
        <v>100000000</v>
      </c>
    </row>
    <row r="97" spans="1:5" x14ac:dyDescent="0.25">
      <c r="A97" s="50">
        <f t="shared" si="0"/>
        <v>24</v>
      </c>
      <c r="B97" s="56">
        <f>'Mastercurve bestimmen'!C41</f>
        <v>0</v>
      </c>
      <c r="C97" s="11"/>
      <c r="D97" s="51">
        <f t="shared" si="1"/>
        <v>24</v>
      </c>
      <c r="E97" s="56">
        <f>'Mastercurve bestimmen'!A41</f>
        <v>1000000000</v>
      </c>
    </row>
    <row r="98" spans="1:5" x14ac:dyDescent="0.25">
      <c r="A98" s="50">
        <f t="shared" si="0"/>
        <v>25</v>
      </c>
      <c r="B98" s="56">
        <f>'Mastercurve bestimmen'!C42</f>
        <v>1.7201579278298637E-4</v>
      </c>
      <c r="C98" s="11"/>
      <c r="D98" s="51">
        <f t="shared" si="1"/>
        <v>25</v>
      </c>
      <c r="E98" s="56">
        <f>'Mastercurve bestimmen'!A42</f>
        <v>10000000000</v>
      </c>
    </row>
    <row r="99" spans="1:5" x14ac:dyDescent="0.25">
      <c r="A99" s="50">
        <f t="shared" si="0"/>
        <v>26</v>
      </c>
      <c r="B99" s="56">
        <f>'Mastercurve bestimmen'!C43</f>
        <v>1.7468461922378131E-4</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2.0999278642033111E-4</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1.7320221207897527E-4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16850.699000000001</v>
      </c>
    </row>
    <row r="108" spans="1:5" s="11" customFormat="1" x14ac:dyDescent="0.25">
      <c r="A108" s="61" t="str">
        <f>STUTT!B3</f>
        <v>mp,PRXY,MatID,</v>
      </c>
      <c r="B108" s="52">
        <f>STUTT!C3</f>
        <v>0.28373431999999998</v>
      </c>
    </row>
    <row r="109" spans="1:5" s="11" customFormat="1" x14ac:dyDescent="0.25">
      <c r="A109" s="61" t="str">
        <f>STUTT!B4</f>
        <v>mp,ey,MatID,</v>
      </c>
      <c r="B109" s="52">
        <f>STUTT!C4</f>
        <v>21270.188999999998</v>
      </c>
    </row>
    <row r="110" spans="1:5" s="11" customFormat="1" x14ac:dyDescent="0.25">
      <c r="A110" s="61" t="str">
        <f>STUTT!B5</f>
        <v>mp,PRYZ,MatID,</v>
      </c>
      <c r="B110" s="52">
        <f>STUTT!C5</f>
        <v>0.35820963</v>
      </c>
    </row>
    <row r="111" spans="1:5" s="11" customFormat="1" x14ac:dyDescent="0.25">
      <c r="A111" s="61" t="str">
        <f>STUTT!B6</f>
        <v>mp,ez,MatID,</v>
      </c>
      <c r="B111" s="52">
        <f>STUTT!C6</f>
        <v>16850.699000000001</v>
      </c>
    </row>
    <row r="112" spans="1:5" s="11" customFormat="1" x14ac:dyDescent="0.25">
      <c r="A112" s="61" t="str">
        <f>STUTT!B7</f>
        <v>mp,PRXZ,MatID,</v>
      </c>
      <c r="B112" s="52">
        <f>STUTT!C7</f>
        <v>0.36091401000000001</v>
      </c>
    </row>
    <row r="113" spans="1:4" s="11" customFormat="1" x14ac:dyDescent="0.25">
      <c r="A113" s="61" t="str">
        <f>STUTT!B8</f>
        <v>MP,GXZ,</v>
      </c>
      <c r="B113" s="52" t="str">
        <f>STUTT!C8</f>
        <v>MatID,</v>
      </c>
      <c r="C113" s="112">
        <f>STUTT!D8</f>
        <v>6190.9489999999996</v>
      </c>
      <c r="D113" s="112"/>
    </row>
    <row r="114" spans="1:4" s="11" customFormat="1" x14ac:dyDescent="0.25">
      <c r="A114" s="61" t="str">
        <f>STUTT!B9</f>
        <v>MP,GXY,</v>
      </c>
      <c r="B114" s="52" t="str">
        <f>STUTT!C9</f>
        <v>MatID,</v>
      </c>
      <c r="C114" s="112">
        <f>STUTT!D9</f>
        <v>7910.6138000000001</v>
      </c>
      <c r="D114" s="112"/>
    </row>
    <row r="115" spans="1:4" x14ac:dyDescent="0.25">
      <c r="A115" s="61" t="str">
        <f>STUTT!B10</f>
        <v>MP,GYZ,</v>
      </c>
      <c r="B115" s="52" t="str">
        <f>STUTT!C10</f>
        <v>MatID,</v>
      </c>
      <c r="C115" s="112">
        <f>STUTT!D10</f>
        <v>7910.6138000000001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-1.762E-7</v>
      </c>
      <c r="C3" s="3">
        <v>2.1770000000000001E-6</v>
      </c>
      <c r="D3" s="3">
        <v>-1.762E-7</v>
      </c>
      <c r="E3" s="3">
        <v>-1.3499999999999999E-5</v>
      </c>
      <c r="F3" s="3">
        <v>-1.3499999999999999E-5</v>
      </c>
      <c r="G3" s="3">
        <v>-1.3499999999999999E-5</v>
      </c>
      <c r="H3" s="3">
        <v>-4.2661276999999998E-6</v>
      </c>
      <c r="I3" s="3">
        <v>-1.0512201000000001E-6</v>
      </c>
      <c r="J3" s="3">
        <v>-4.2661276999999998E-6</v>
      </c>
      <c r="L3" s="48">
        <f>ABS(H3/(-0.5)/$L$1)</f>
        <v>2.4377872571428571E-5</v>
      </c>
      <c r="R3">
        <f>ABS(I3/(-0.5)/$R$1)</f>
        <v>2.2130949473684212E-5</v>
      </c>
    </row>
    <row r="4" spans="1:18" x14ac:dyDescent="0.25">
      <c r="A4">
        <v>-39</v>
      </c>
      <c r="B4" s="3">
        <v>1.7599999999999999E-7</v>
      </c>
      <c r="C4" s="3">
        <v>-2.176E-6</v>
      </c>
      <c r="D4" s="3">
        <v>1.7599999999999999E-7</v>
      </c>
      <c r="E4" s="3">
        <v>1.3499999999999999E-5</v>
      </c>
      <c r="F4" s="3">
        <v>1.3499999999999999E-5</v>
      </c>
      <c r="G4" s="3">
        <v>1.3499999999999999E-5</v>
      </c>
      <c r="H4" s="3">
        <v>4.2660189999999998E-6</v>
      </c>
      <c r="I4" s="3">
        <v>1.0512974000000001E-6</v>
      </c>
      <c r="J4" s="3">
        <v>4.2660189999999998E-6</v>
      </c>
      <c r="L4" s="48">
        <f t="shared" ref="L4:L14" si="0">ABS(H4/(-0.5)/$L$1)</f>
        <v>2.4377251428571428E-5</v>
      </c>
      <c r="N4" s="39" t="s">
        <v>27</v>
      </c>
      <c r="O4" s="39" t="s">
        <v>131</v>
      </c>
      <c r="P4" s="85" t="s">
        <v>132</v>
      </c>
      <c r="R4" s="11">
        <f t="shared" ref="R4:R14" si="1">ABS(I4/(-0.5)/$R$1)</f>
        <v>2.2132576842105265E-5</v>
      </c>
    </row>
    <row r="5" spans="1:18" x14ac:dyDescent="0.25">
      <c r="A5">
        <v>0</v>
      </c>
      <c r="B5" s="3">
        <v>-1.666E-7</v>
      </c>
      <c r="C5" s="3">
        <v>2.1469999999999999E-6</v>
      </c>
      <c r="D5" s="3">
        <v>-1.666E-7</v>
      </c>
      <c r="E5" s="3">
        <v>-1.3499999999999999E-5</v>
      </c>
      <c r="F5" s="3">
        <v>-1.3499999999999999E-5</v>
      </c>
      <c r="G5" s="3">
        <v>-1.3499999999999999E-5</v>
      </c>
      <c r="H5" s="3">
        <v>-4.2616880999999998E-6</v>
      </c>
      <c r="I5" s="3">
        <v>-1.0543835000000001E-6</v>
      </c>
      <c r="J5" s="3">
        <v>-4.2616880999999998E-6</v>
      </c>
      <c r="L5" s="48">
        <f t="shared" si="0"/>
        <v>2.435250342857143E-5</v>
      </c>
      <c r="M5" s="48"/>
      <c r="N5" s="10">
        <f>(INDEX(A:A,ROW(A2)*2+1)+INDEX(A:A,ROW(A2)*2+2))/2</f>
        <v>0.5</v>
      </c>
      <c r="O5" s="89">
        <f>(INDEX(L:L,ROW(L2)*2+1)+INDEX(L:L,ROW(L2)*2+2))/2</f>
        <v>2.435217942857143E-5</v>
      </c>
      <c r="P5" s="89">
        <f>(INDEX(R:R,ROW(M2)*2+1)+INDEX(R:R,ROW(R2)*2+2))/2</f>
        <v>2.2198400000000001E-5</v>
      </c>
      <c r="R5" s="11">
        <f t="shared" si="1"/>
        <v>2.2197547368421054E-5</v>
      </c>
    </row>
    <row r="6" spans="1:18" x14ac:dyDescent="0.25">
      <c r="A6">
        <v>1</v>
      </c>
      <c r="B6" s="3">
        <v>1.6640000000000001E-7</v>
      </c>
      <c r="C6" s="3">
        <v>-2.1459999999999999E-6</v>
      </c>
      <c r="D6" s="3">
        <v>1.6640000000000001E-7</v>
      </c>
      <c r="E6" s="3">
        <v>1.3499999999999999E-5</v>
      </c>
      <c r="F6" s="3">
        <v>1.3499999999999999E-5</v>
      </c>
      <c r="G6" s="3">
        <v>1.3499999999999999E-5</v>
      </c>
      <c r="H6" s="3">
        <v>4.2615747000000001E-6</v>
      </c>
      <c r="I6" s="3">
        <v>1.0544645E-6</v>
      </c>
      <c r="J6" s="3">
        <v>4.2615747000000001E-6</v>
      </c>
      <c r="L6" s="48">
        <f t="shared" si="0"/>
        <v>2.4351855428571431E-5</v>
      </c>
      <c r="M6" s="49"/>
      <c r="N6" s="10">
        <f>(INDEX(A:A,ROW(A3)*2+1)+INDEX(A:A,ROW(A3)*2+2))/2</f>
        <v>130.5</v>
      </c>
      <c r="O6" s="89">
        <f t="shared" ref="O6:O7" si="2">(INDEX(L:L,ROW(L3)*2+1)+INDEX(L:L,ROW(L3)*2+2))/2</f>
        <v>2.6707577714285715E-5</v>
      </c>
      <c r="P6" s="89">
        <f t="shared" ref="P6:P9" si="3">(INDEX(R:R,ROW(M3)*2+1)+INDEX(R:R,ROW(R3)*2+2))/2</f>
        <v>2.3660627368421052E-5</v>
      </c>
      <c r="R6" s="11">
        <f t="shared" si="1"/>
        <v>2.2199252631578948E-5</v>
      </c>
    </row>
    <row r="7" spans="1:18" x14ac:dyDescent="0.25">
      <c r="A7">
        <v>130</v>
      </c>
      <c r="B7" s="3">
        <v>-1.998E-7</v>
      </c>
      <c r="C7" s="3">
        <v>2.554E-6</v>
      </c>
      <c r="D7" s="3">
        <v>-1.998E-7</v>
      </c>
      <c r="E7" s="3">
        <v>-1.435E-5</v>
      </c>
      <c r="F7" s="3">
        <v>-1.435E-5</v>
      </c>
      <c r="G7" s="3">
        <v>-1.435E-5</v>
      </c>
      <c r="H7" s="3">
        <v>-4.4598642E-6</v>
      </c>
      <c r="I7" s="3">
        <v>-1.0948242E-6</v>
      </c>
      <c r="J7" s="3">
        <v>-4.4598642E-6</v>
      </c>
      <c r="L7" s="48">
        <f t="shared" si="0"/>
        <v>2.5484938285714287E-5</v>
      </c>
      <c r="M7" s="48"/>
      <c r="N7" s="10">
        <f>(INDEX(A:A,ROW(A4)*2+1)+INDEX(A:A,ROW(A4)*2+2))/2</f>
        <v>135.5</v>
      </c>
      <c r="O7" s="89">
        <f t="shared" si="2"/>
        <v>5.1160801428571433E-5</v>
      </c>
      <c r="P7" s="89">
        <f t="shared" si="3"/>
        <v>3.5911997894736843E-5</v>
      </c>
      <c r="R7" s="11">
        <f t="shared" si="1"/>
        <v>2.3048930526315788E-5</v>
      </c>
    </row>
    <row r="8" spans="1:18" x14ac:dyDescent="0.25">
      <c r="A8">
        <v>131</v>
      </c>
      <c r="B8" s="3">
        <v>3.347E-7</v>
      </c>
      <c r="C8" s="3">
        <v>-3.5810000000000001E-6</v>
      </c>
      <c r="D8" s="3">
        <v>3.347E-7</v>
      </c>
      <c r="E8" s="3">
        <v>1.605E-5</v>
      </c>
      <c r="F8" s="3">
        <v>1.605E-5</v>
      </c>
      <c r="G8" s="3">
        <v>1.605E-5</v>
      </c>
      <c r="H8" s="3">
        <v>4.8877879999999997E-6</v>
      </c>
      <c r="I8" s="3">
        <v>1.1529354000000001E-6</v>
      </c>
      <c r="J8" s="3">
        <v>4.8877879999999997E-6</v>
      </c>
      <c r="L8" s="48">
        <f t="shared" si="0"/>
        <v>2.7930217142857144E-5</v>
      </c>
      <c r="M8" s="49"/>
      <c r="N8" s="10">
        <f>(INDEX(A:A,ROW(A5)*2+1)+INDEX(A:A,ROW(A5)*2+2))/2</f>
        <v>140.5</v>
      </c>
      <c r="O8" s="89">
        <f t="shared" ref="O8:O9" si="4">(INDEX(L:L,ROW(L5)*2+1)+INDEX(L:L,ROW(L5)*2+2))/2</f>
        <v>7.3205957142857147E-5</v>
      </c>
      <c r="P8" s="89">
        <f t="shared" si="3"/>
        <v>4.695368947368421E-5</v>
      </c>
      <c r="R8" s="11">
        <f t="shared" si="1"/>
        <v>2.4272324210526316E-5</v>
      </c>
    </row>
    <row r="9" spans="1:18" x14ac:dyDescent="0.25">
      <c r="A9">
        <v>135</v>
      </c>
      <c r="B9" s="3">
        <v>-1.547E-6</v>
      </c>
      <c r="C9" s="3">
        <v>1.2809999999999999E-5</v>
      </c>
      <c r="D9" s="3">
        <v>-1.547E-6</v>
      </c>
      <c r="E9" s="3">
        <v>-3.1350000000000003E-5</v>
      </c>
      <c r="F9" s="3">
        <v>-3.1350000000000003E-5</v>
      </c>
      <c r="G9" s="3">
        <v>-3.1350000000000003E-5</v>
      </c>
      <c r="H9" s="3">
        <v>-8.7392245999999996E-6</v>
      </c>
      <c r="I9" s="3">
        <v>-1.676562E-6</v>
      </c>
      <c r="J9" s="3">
        <v>-8.7392245999999996E-6</v>
      </c>
      <c r="L9" s="48">
        <f t="shared" si="0"/>
        <v>4.9938426285714283E-5</v>
      </c>
      <c r="M9" s="48"/>
      <c r="N9" s="10">
        <f>(INDEX(A:A,ROW(A6)*2+1)+INDEX(A:A,ROW(A6)*2+2))/2</f>
        <v>180.5</v>
      </c>
      <c r="O9" s="89">
        <f t="shared" si="4"/>
        <v>7.3014565714285708E-5</v>
      </c>
      <c r="P9" s="89">
        <f t="shared" si="3"/>
        <v>4.7641571578947367E-5</v>
      </c>
      <c r="R9" s="11">
        <f t="shared" si="1"/>
        <v>3.529604210526316E-5</v>
      </c>
    </row>
    <row r="10" spans="1:18" x14ac:dyDescent="0.25">
      <c r="A10">
        <v>136</v>
      </c>
      <c r="B10" s="3">
        <v>1.6810000000000001E-6</v>
      </c>
      <c r="C10" s="3">
        <v>-1.384E-5</v>
      </c>
      <c r="D10" s="3">
        <v>1.6810000000000001E-6</v>
      </c>
      <c r="E10" s="3">
        <v>3.3049999999999997E-5</v>
      </c>
      <c r="F10" s="3">
        <v>3.3049999999999997E-5</v>
      </c>
      <c r="G10" s="3">
        <v>3.3049999999999997E-5</v>
      </c>
      <c r="H10" s="3">
        <v>9.1670559000000004E-6</v>
      </c>
      <c r="I10" s="3">
        <v>1.7350778000000001E-6</v>
      </c>
      <c r="J10" s="3">
        <v>9.1670559000000004E-6</v>
      </c>
      <c r="L10" s="48">
        <f t="shared" si="0"/>
        <v>5.2383176571428577E-5</v>
      </c>
      <c r="M10" s="49"/>
      <c r="N10" s="10"/>
      <c r="O10" s="3"/>
      <c r="R10" s="11">
        <f t="shared" si="1"/>
        <v>3.6527953684210526E-5</v>
      </c>
    </row>
    <row r="11" spans="1:18" x14ac:dyDescent="0.25">
      <c r="A11">
        <v>140</v>
      </c>
      <c r="B11" s="3">
        <v>-2.8370000000000001E-6</v>
      </c>
      <c r="C11" s="3">
        <v>2.2560000000000001E-5</v>
      </c>
      <c r="D11" s="3">
        <v>-2.8370000000000001E-6</v>
      </c>
      <c r="E11" s="3">
        <v>-4.7500000000000003E-5</v>
      </c>
      <c r="F11" s="3">
        <v>-4.7500000000000003E-5</v>
      </c>
      <c r="G11" s="3">
        <v>-4.7500000000000003E-5</v>
      </c>
      <c r="H11" s="3">
        <v>-1.2811473E-5</v>
      </c>
      <c r="I11" s="3">
        <v>-2.2298981999999999E-6</v>
      </c>
      <c r="J11" s="3">
        <v>-1.2811473E-5</v>
      </c>
      <c r="L11" s="48">
        <f t="shared" si="0"/>
        <v>7.3208417142857143E-5</v>
      </c>
      <c r="M11" s="48"/>
      <c r="N11" s="10"/>
      <c r="O11" s="3"/>
      <c r="R11" s="11">
        <f t="shared" si="1"/>
        <v>4.6945225263157891E-5</v>
      </c>
    </row>
    <row r="12" spans="1:18" x14ac:dyDescent="0.25">
      <c r="A12">
        <v>141</v>
      </c>
      <c r="B12" s="3">
        <v>2.835E-6</v>
      </c>
      <c r="C12" s="3">
        <v>-2.2549999999999999E-5</v>
      </c>
      <c r="D12" s="3">
        <v>2.835E-6</v>
      </c>
      <c r="E12" s="3">
        <v>4.7500000000000003E-5</v>
      </c>
      <c r="F12" s="3">
        <v>4.7500000000000003E-5</v>
      </c>
      <c r="G12" s="3">
        <v>4.7500000000000003E-5</v>
      </c>
      <c r="H12" s="3">
        <v>1.2810612E-5</v>
      </c>
      <c r="I12" s="3">
        <v>2.2307023E-6</v>
      </c>
      <c r="J12" s="3">
        <v>1.2810612E-5</v>
      </c>
      <c r="L12" s="48">
        <f t="shared" si="0"/>
        <v>7.3203497142857151E-5</v>
      </c>
      <c r="M12" s="49"/>
      <c r="N12" s="10"/>
      <c r="O12" s="3"/>
      <c r="R12" s="11">
        <f t="shared" si="1"/>
        <v>4.6962153684210522E-5</v>
      </c>
    </row>
    <row r="13" spans="1:18" x14ac:dyDescent="0.25">
      <c r="A13">
        <v>180</v>
      </c>
      <c r="B13" s="3">
        <v>-2.7489999999999999E-6</v>
      </c>
      <c r="C13" s="3">
        <v>2.226E-5</v>
      </c>
      <c r="D13" s="3">
        <v>-2.7489999999999999E-6</v>
      </c>
      <c r="E13" s="3">
        <v>-4.7500000000000003E-5</v>
      </c>
      <c r="F13" s="3">
        <v>-4.7500000000000003E-5</v>
      </c>
      <c r="G13" s="3">
        <v>-4.7500000000000003E-5</v>
      </c>
      <c r="H13" s="3">
        <v>-1.2777967E-5</v>
      </c>
      <c r="I13" s="3">
        <v>-2.2625585E-6</v>
      </c>
      <c r="J13" s="3">
        <v>-1.2777967E-5</v>
      </c>
      <c r="L13" s="48">
        <f t="shared" si="0"/>
        <v>7.3016954285714286E-5</v>
      </c>
      <c r="M13" s="48"/>
      <c r="N13" s="10"/>
      <c r="O13" s="3"/>
      <c r="R13" s="11">
        <f t="shared" si="1"/>
        <v>4.763281052631579E-5</v>
      </c>
    </row>
    <row r="14" spans="1:18" x14ac:dyDescent="0.25">
      <c r="A14" s="11">
        <v>181</v>
      </c>
      <c r="B14" s="3">
        <v>2.7470000000000001E-6</v>
      </c>
      <c r="C14" s="3">
        <v>-2.2249999999999999E-5</v>
      </c>
      <c r="D14" s="3">
        <v>2.7470000000000001E-6</v>
      </c>
      <c r="E14" s="3">
        <v>4.7500000000000003E-5</v>
      </c>
      <c r="F14" s="3">
        <v>4.7500000000000003E-5</v>
      </c>
      <c r="G14" s="3">
        <v>4.7500000000000003E-5</v>
      </c>
      <c r="H14" s="3">
        <v>1.2777131E-5</v>
      </c>
      <c r="I14" s="3">
        <v>2.2633907999999999E-6</v>
      </c>
      <c r="J14" s="3">
        <v>1.2777131E-5</v>
      </c>
      <c r="L14" s="48">
        <f t="shared" si="0"/>
        <v>7.3012177142857144E-5</v>
      </c>
      <c r="M14" s="49"/>
      <c r="N14" s="10"/>
      <c r="O14" s="3"/>
      <c r="R14" s="11">
        <f t="shared" si="1"/>
        <v>4.7650332631578944E-5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16850.699000000001</v>
      </c>
    </row>
    <row r="3" spans="2:4" x14ac:dyDescent="0.25">
      <c r="B3" t="s">
        <v>119</v>
      </c>
      <c r="C3" s="3">
        <v>0.28373431999999998</v>
      </c>
    </row>
    <row r="4" spans="2:4" x14ac:dyDescent="0.25">
      <c r="B4" t="s">
        <v>120</v>
      </c>
      <c r="C4" s="3">
        <v>21270.188999999998</v>
      </c>
    </row>
    <row r="5" spans="2:4" x14ac:dyDescent="0.25">
      <c r="B5" t="s">
        <v>121</v>
      </c>
      <c r="C5" s="3">
        <v>0.35820963</v>
      </c>
    </row>
    <row r="6" spans="2:4" x14ac:dyDescent="0.25">
      <c r="B6" t="s">
        <v>122</v>
      </c>
      <c r="C6" s="3">
        <v>16850.699000000001</v>
      </c>
    </row>
    <row r="7" spans="2:4" x14ac:dyDescent="0.25">
      <c r="B7" t="s">
        <v>123</v>
      </c>
      <c r="C7" s="3">
        <v>0.36091401000000001</v>
      </c>
    </row>
    <row r="8" spans="2:4" x14ac:dyDescent="0.25">
      <c r="B8" t="s">
        <v>124</v>
      </c>
      <c r="C8" t="s">
        <v>125</v>
      </c>
      <c r="D8" s="3">
        <v>6190.9489999999996</v>
      </c>
    </row>
    <row r="9" spans="2:4" x14ac:dyDescent="0.25">
      <c r="B9" t="s">
        <v>126</v>
      </c>
      <c r="C9" t="s">
        <v>125</v>
      </c>
      <c r="D9" s="3">
        <v>7910.6138000000001</v>
      </c>
    </row>
    <row r="10" spans="2:4" x14ac:dyDescent="0.25">
      <c r="B10" t="s">
        <v>127</v>
      </c>
      <c r="C10" t="s">
        <v>125</v>
      </c>
      <c r="D10" s="3">
        <v>7910.6138000000001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-5.8877197142857146E-4</v>
      </c>
      <c r="C3" s="2">
        <f>IF('Modell einstellen'!$B$2="Ja",creep_res0!O3,creep_res0!C3)</f>
        <v>-5.9160908571428571E-4</v>
      </c>
      <c r="D3" s="2">
        <f>IF('Modell einstellen'!$B$2="Ja",creep_res25!O3,creep_res25!C3)</f>
        <v>-5.934536285714286E-4</v>
      </c>
      <c r="E3" s="2">
        <f>IF('Modell einstellen'!$B$2="Ja",creep_res50!O3,creep_res50!C3)</f>
        <v>-5.9536148571428572E-4</v>
      </c>
      <c r="F3" s="2">
        <f>IF('Modell einstellen'!$B$2="Ja",creep_res80!O3,creep_res80!C3)</f>
        <v>-6.0283625714285718E-4</v>
      </c>
      <c r="G3" s="2">
        <f>IF('Modell einstellen'!$B$2="Ja",creep_res125!O3,creep_res125!C3)</f>
        <v>-7.0526622857142857E-4</v>
      </c>
      <c r="H3" s="2">
        <f>IF('Modell einstellen'!$B$2="Ja",creep_res160!O3,creep_res160!C3)</f>
        <v>-8.8388737142857158E-4</v>
      </c>
      <c r="M3" s="9">
        <v>-10</v>
      </c>
      <c r="N3" s="2">
        <f t="shared" ref="N3:N33" si="4">A3</f>
        <v>1.0000000000000001E-15</v>
      </c>
      <c r="O3" s="2">
        <f t="shared" ref="O3:O33" si="5">$M$3/B3</f>
        <v>16984.504163362977</v>
      </c>
      <c r="P3" s="2">
        <f t="shared" ref="P3:P33" si="6">$M$3/C3</f>
        <v>16903.053454506011</v>
      </c>
      <c r="Q3" s="2">
        <f t="shared" ref="Q3:Q33" si="7">$M$3/D3</f>
        <v>16850.516230008005</v>
      </c>
      <c r="R3" s="2">
        <f t="shared" ref="R3:R33" si="8">$M$3/E3</f>
        <v>16796.518148973792</v>
      </c>
      <c r="S3" s="2">
        <f t="shared" ref="S3:S33" si="9">$M$3/F3</f>
        <v>16588.252417654847</v>
      </c>
      <c r="T3" s="2">
        <f t="shared" ref="T3:T33" si="10">$M$3/G3</f>
        <v>14179.042742845882</v>
      </c>
      <c r="U3" s="2">
        <f t="shared" ref="U3:U33" si="11">$M$3/H3</f>
        <v>11313.658643903498</v>
      </c>
      <c r="Z3" s="2">
        <v>1.0000000000000001E-15</v>
      </c>
      <c r="AA3" s="3">
        <f>IF('Modell einstellen'!$B$2="Ja",'creep_res-40'!P3,'creep_res-40'!L3)</f>
        <v>0.36165714216112482</v>
      </c>
      <c r="AB3" s="2">
        <f>IF('Modell einstellen'!$B$2="Ja",creep_res0!P3,creep_res0!L3)</f>
        <v>0.36119458804795718</v>
      </c>
      <c r="AC3" s="2">
        <f>IF('Modell einstellen'!$B$2="Ja",creep_res25!P3,creep_res25!L3)</f>
        <v>0.36089955180996935</v>
      </c>
      <c r="AD3" s="2">
        <f>IF('Modell einstellen'!$B$2="Ja",creep_res50!P3,creep_res50!L3)</f>
        <v>0.36060200064767378</v>
      </c>
      <c r="AE3" s="2">
        <f>IF('Modell einstellen'!$B$2="Ja",creep_res80!P3,creep_res80!L3)</f>
        <v>0.36243414404546431</v>
      </c>
      <c r="AF3" s="2">
        <f>IF('Modell einstellen'!$B$2="Ja",creep_res125!P3,creep_res125!L3)</f>
        <v>0.40191041534953492</v>
      </c>
      <c r="AG3" s="2">
        <f>IF('Modell einstellen'!$B$2="Ja",creep_res160!P3,creep_res160!L3)</f>
        <v>0.46429425494353549</v>
      </c>
      <c r="AL3" s="2">
        <f t="shared" ref="AL3:AL33" si="12">Z3</f>
        <v>1.0000000000000001E-15</v>
      </c>
      <c r="AM3" s="2">
        <f t="shared" ref="AM3:AM33" si="13">O3/(2*(1+AA3))</f>
        <v>6236.7036596328453</v>
      </c>
      <c r="AN3" s="2">
        <f t="shared" ref="AN3:AN33" si="14">P3/(2*(1+AB3))</f>
        <v>6208.9041504147117</v>
      </c>
      <c r="AO3" s="2">
        <f t="shared" ref="AO3:AO33" si="15">Q3/(2*(1+AC3))</f>
        <v>6190.94782109273</v>
      </c>
      <c r="AP3" s="2">
        <f t="shared" ref="AP3:AP33" si="16">R3/(2*(1+AD3))</f>
        <v>6172.4582725066966</v>
      </c>
      <c r="AQ3" s="2">
        <f t="shared" ref="AQ3:AQ33" si="17">S3/(2*(1+AE3))</f>
        <v>6087.7263279674889</v>
      </c>
      <c r="AR3" s="2">
        <f t="shared" ref="AR3:AR33" si="18">T3/(2*(1+AF3))</f>
        <v>5057.043084778943</v>
      </c>
      <c r="AS3" s="2">
        <f t="shared" ref="AS3:AS33" si="19">U3/(2*(1+AG3))</f>
        <v>3863.1779800091354</v>
      </c>
      <c r="AX3" s="2">
        <f>AL3</f>
        <v>1.0000000000000001E-15</v>
      </c>
      <c r="AY3" s="37">
        <f t="shared" ref="AY3:AY33" si="20">O3/(3*(1-(2*AA3)))</f>
        <v>20461.849192032314</v>
      </c>
      <c r="AZ3" s="37">
        <f t="shared" ref="AZ3:AZ33" si="21">P3/(3*(1-(2*AB3)))</f>
        <v>20295.862647807524</v>
      </c>
      <c r="BA3" s="37">
        <f t="shared" ref="BA3:BA33" si="22">Q3/(3*(1-(2*AC3)))</f>
        <v>20189.865728047891</v>
      </c>
      <c r="BB3" s="37">
        <f t="shared" ref="BB3:BB33" si="23">R3/(3*(1-(2*AD3)))</f>
        <v>20082.208528833642</v>
      </c>
      <c r="BC3" s="37">
        <f t="shared" ref="BC3:BC33" si="24">S3/(3*(1-(2*AE3)))</f>
        <v>20097.34695497057</v>
      </c>
      <c r="BD3" s="37">
        <f t="shared" ref="BD3:BD33" si="25">T3/(3*(1-(2*AF3)))</f>
        <v>24091.995076697567</v>
      </c>
      <c r="BE3" s="37">
        <f t="shared" ref="BE3:BE33" si="26">U3/(3*(1-(2*AG3)))</f>
        <v>52809.702500313113</v>
      </c>
    </row>
    <row r="4" spans="1:308" x14ac:dyDescent="0.25">
      <c r="A4" s="2">
        <f>'creep_res-40'!A4</f>
        <v>1E-14</v>
      </c>
      <c r="B4" s="3">
        <f>'creep_res-40'!O4</f>
        <v>-5.8876137142857153E-4</v>
      </c>
      <c r="C4" s="2">
        <f>IF('Modell einstellen'!$B$2="Ja",creep_res0!O4,creep_res0!C4)</f>
        <v>-5.9159825714285717E-4</v>
      </c>
      <c r="D4" s="2">
        <f>IF('Modell einstellen'!$B$2="Ja",creep_res25!O4,creep_res25!C4)</f>
        <v>-5.9344317142857146E-4</v>
      </c>
      <c r="E4" s="2">
        <f>IF('Modell einstellen'!$B$2="Ja",creep_res50!O4,creep_res50!C4)</f>
        <v>-5.9543777142857151E-4</v>
      </c>
      <c r="F4" s="2">
        <f>IF('Modell einstellen'!$B$2="Ja",creep_res80!O4,creep_res80!C4)</f>
        <v>-6.2035448571428578E-4</v>
      </c>
      <c r="G4" s="2">
        <f>IF('Modell einstellen'!$B$2="Ja",creep_res125!O4,creep_res125!C4)</f>
        <v>-7.3043777142857143E-4</v>
      </c>
      <c r="H4" s="2">
        <f>IF('Modell einstellen'!$B$2="Ja",creep_res160!O4,creep_res160!C4)</f>
        <v>-9.2886351428571442E-4</v>
      </c>
      <c r="M4" s="9">
        <f t="shared" ref="M4:M31" si="27">M3</f>
        <v>-10</v>
      </c>
      <c r="N4" s="2">
        <f t="shared" si="4"/>
        <v>1E-14</v>
      </c>
      <c r="O4" s="2">
        <f t="shared" si="5"/>
        <v>16984.809950652816</v>
      </c>
      <c r="P4" s="2">
        <f t="shared" si="6"/>
        <v>16903.362846765849</v>
      </c>
      <c r="Q4" s="2">
        <f t="shared" si="7"/>
        <v>16850.813155246877</v>
      </c>
      <c r="R4" s="2">
        <f t="shared" si="8"/>
        <v>16794.366229082254</v>
      </c>
      <c r="S4" s="2">
        <f t="shared" si="9"/>
        <v>16119.815734846899</v>
      </c>
      <c r="T4" s="2">
        <f t="shared" si="10"/>
        <v>13690.42017151202</v>
      </c>
      <c r="U4" s="2">
        <f t="shared" si="11"/>
        <v>10765.844331489205</v>
      </c>
      <c r="Z4" s="2">
        <v>1E-14</v>
      </c>
      <c r="AA4" s="3">
        <f>IF('Modell einstellen'!$B$2="Ja",'creep_res-40'!P4,'creep_res-40'!L4)</f>
        <v>0.36167059776048965</v>
      </c>
      <c r="AB4" s="2">
        <f>IF('Modell einstellen'!$B$2="Ja",creep_res0!P4,creep_res0!L4)</f>
        <v>0.36120856436406967</v>
      </c>
      <c r="AC4" s="2">
        <f>IF('Modell einstellen'!$B$2="Ja",creep_res25!P4,creep_res25!L4)</f>
        <v>0.36091405262008242</v>
      </c>
      <c r="AD4" s="2">
        <f>IF('Modell einstellen'!$B$2="Ja",creep_res50!P4,creep_res50!L4)</f>
        <v>0.36065701384076504</v>
      </c>
      <c r="AE4" s="2">
        <f>IF('Modell einstellen'!$B$2="Ja",creep_res80!P4,creep_res80!L4)</f>
        <v>0.3699865058719653</v>
      </c>
      <c r="AF4" s="2">
        <f>IF('Modell einstellen'!$B$2="Ja",creep_res125!P4,creep_res125!L4)</f>
        <v>0.41172593093096971</v>
      </c>
      <c r="AG4" s="2">
        <f>IF('Modell einstellen'!$B$2="Ja",creep_res160!P4,creep_res160!L4)</f>
        <v>0.47915681784157549</v>
      </c>
      <c r="AL4" s="2">
        <f t="shared" si="12"/>
        <v>1E-14</v>
      </c>
      <c r="AM4" s="2">
        <f t="shared" si="13"/>
        <v>6236.7543143647836</v>
      </c>
      <c r="AN4" s="2">
        <f t="shared" si="14"/>
        <v>6208.954046165135</v>
      </c>
      <c r="AO4" s="2">
        <f t="shared" si="15"/>
        <v>6190.9909456828163</v>
      </c>
      <c r="AP4" s="2">
        <f t="shared" si="16"/>
        <v>6171.4179467154336</v>
      </c>
      <c r="AQ4" s="2">
        <f t="shared" si="17"/>
        <v>5883.2023767223172</v>
      </c>
      <c r="AR4" s="2">
        <f t="shared" si="18"/>
        <v>4848.8236532156789</v>
      </c>
      <c r="AS4" s="2">
        <f t="shared" si="19"/>
        <v>3639.1828782559405</v>
      </c>
      <c r="AX4" s="2">
        <f t="shared" ref="AX4:AX32" si="28">AL4</f>
        <v>1E-14</v>
      </c>
      <c r="AY4" s="37">
        <f t="shared" si="20"/>
        <v>20464.207989135575</v>
      </c>
      <c r="AZ4" s="37">
        <f t="shared" si="21"/>
        <v>20298.277975289693</v>
      </c>
      <c r="BA4" s="37">
        <f t="shared" si="22"/>
        <v>20192.326486703885</v>
      </c>
      <c r="BB4" s="37">
        <f t="shared" si="23"/>
        <v>20087.563180121124</v>
      </c>
      <c r="BC4" s="37">
        <f t="shared" si="24"/>
        <v>20664.285456108664</v>
      </c>
      <c r="BD4" s="37">
        <f t="shared" si="25"/>
        <v>25848.323514663021</v>
      </c>
      <c r="BE4" s="37">
        <f t="shared" si="26"/>
        <v>86086.058018559372</v>
      </c>
      <c r="BF4" s="5"/>
      <c r="BG4" s="5"/>
    </row>
    <row r="5" spans="1:308" x14ac:dyDescent="0.25">
      <c r="A5" s="2">
        <f>'creep_res-40'!A5</f>
        <v>1E-13</v>
      </c>
      <c r="B5" s="3">
        <f>'creep_res-40'!O5</f>
        <v>-5.8876434285714293E-4</v>
      </c>
      <c r="C5" s="2">
        <f>IF('Modell einstellen'!$B$2="Ja",creep_res0!O5,creep_res0!C5)</f>
        <v>-5.9160122857142858E-4</v>
      </c>
      <c r="D5" s="2">
        <f>IF('Modell einstellen'!$B$2="Ja",creep_res25!O5,creep_res25!C5)</f>
        <v>-5.9345080000000009E-4</v>
      </c>
      <c r="E5" s="2">
        <f>IF('Modell einstellen'!$B$2="Ja",creep_res50!O5,creep_res50!C5)</f>
        <v>-5.9628371428571431E-4</v>
      </c>
      <c r="F5" s="2">
        <f>IF('Modell einstellen'!$B$2="Ja",creep_res80!O5,creep_res80!C5)</f>
        <v>-6.3083748571428583E-4</v>
      </c>
      <c r="G5" s="2">
        <f>IF('Modell einstellen'!$B$2="Ja",creep_res125!O5,creep_res125!C5)</f>
        <v>-7.5170254285714284E-4</v>
      </c>
      <c r="H5" s="2">
        <f>IF('Modell einstellen'!$B$2="Ja",creep_res160!O5,creep_res160!C5)</f>
        <v>-9.6647917142857144E-4</v>
      </c>
      <c r="M5" s="9">
        <f t="shared" si="27"/>
        <v>-10</v>
      </c>
      <c r="N5" s="2">
        <f t="shared" si="4"/>
        <v>1E-13</v>
      </c>
      <c r="O5" s="2">
        <f t="shared" si="5"/>
        <v>16984.724230194061</v>
      </c>
      <c r="P5" s="2">
        <f t="shared" si="6"/>
        <v>16903.277946442977</v>
      </c>
      <c r="Q5" s="2">
        <f t="shared" si="7"/>
        <v>16850.596544818876</v>
      </c>
      <c r="R5" s="2">
        <f t="shared" si="8"/>
        <v>16770.540198266117</v>
      </c>
      <c r="S5" s="2">
        <f t="shared" si="9"/>
        <v>15851.943212723292</v>
      </c>
      <c r="T5" s="2">
        <f t="shared" si="10"/>
        <v>13303.13445793471</v>
      </c>
      <c r="U5" s="2">
        <f t="shared" si="11"/>
        <v>10346.834464335954</v>
      </c>
      <c r="Z5" s="2">
        <v>1E-13</v>
      </c>
      <c r="AA5" s="3">
        <f>IF('Modell einstellen'!$B$2="Ja",'creep_res-40'!P5,'creep_res-40'!L5)</f>
        <v>0.36167061165194786</v>
      </c>
      <c r="AB5" s="2">
        <f>IF('Modell einstellen'!$B$2="Ja",creep_res0!P5,creep_res0!L5)</f>
        <v>0.36120859499808822</v>
      </c>
      <c r="AC5" s="2">
        <f>IF('Modell einstellen'!$B$2="Ja",creep_res25!P5,creep_res25!L5)</f>
        <v>0.36091631714517386</v>
      </c>
      <c r="AD5" s="2">
        <f>IF('Modell einstellen'!$B$2="Ja",creep_res50!P5,creep_res50!L5)</f>
        <v>0.36104563838977904</v>
      </c>
      <c r="AE5" s="2">
        <f>IF('Modell einstellen'!$B$2="Ja",creep_res80!P5,creep_res80!L5)</f>
        <v>0.37445894600338991</v>
      </c>
      <c r="AF5" s="2">
        <f>IF('Modell einstellen'!$B$2="Ja",creep_res125!P5,creep_res125!L5)</f>
        <v>0.41987976323005277</v>
      </c>
      <c r="AG5" s="2">
        <f>IF('Modell einstellen'!$B$2="Ja",creep_res160!P5,creep_res160!L5)</f>
        <v>0.49124286796395672</v>
      </c>
      <c r="AL5" s="2">
        <f t="shared" si="12"/>
        <v>1E-13</v>
      </c>
      <c r="AM5" s="2">
        <f t="shared" si="13"/>
        <v>6236.7227745293621</v>
      </c>
      <c r="AN5" s="2">
        <f t="shared" si="14"/>
        <v>6208.9227207923695</v>
      </c>
      <c r="AO5" s="2">
        <f t="shared" si="15"/>
        <v>6190.9010614872959</v>
      </c>
      <c r="AP5" s="2">
        <f t="shared" si="16"/>
        <v>6160.9029577093925</v>
      </c>
      <c r="AQ5" s="2">
        <f t="shared" si="17"/>
        <v>5766.612112648796</v>
      </c>
      <c r="AR5" s="2">
        <f t="shared" si="18"/>
        <v>4684.5989366281638</v>
      </c>
      <c r="AS5" s="2">
        <f t="shared" si="19"/>
        <v>3469.1983065316617</v>
      </c>
      <c r="AX5" s="2">
        <f t="shared" si="28"/>
        <v>1E-13</v>
      </c>
      <c r="AY5" s="37">
        <f t="shared" si="20"/>
        <v>20464.106763607124</v>
      </c>
      <c r="AZ5" s="37">
        <f t="shared" si="21"/>
        <v>20298.180503576743</v>
      </c>
      <c r="BA5" s="37">
        <f t="shared" si="22"/>
        <v>20192.395684555038</v>
      </c>
      <c r="BB5" s="37">
        <f t="shared" si="23"/>
        <v>20115.165876439511</v>
      </c>
      <c r="BC5" s="37">
        <f t="shared" si="24"/>
        <v>21044.833154939279</v>
      </c>
      <c r="BD5" s="37">
        <f t="shared" si="25"/>
        <v>27673.271644076194</v>
      </c>
      <c r="BE5" s="37">
        <f t="shared" si="26"/>
        <v>196922.05206281488</v>
      </c>
    </row>
    <row r="6" spans="1:308" x14ac:dyDescent="0.25">
      <c r="A6" s="2">
        <f>'creep_res-40'!A6</f>
        <v>9.9999999999999998E-13</v>
      </c>
      <c r="B6" s="3">
        <f>'creep_res-40'!O6</f>
        <v>-5.8876520000000006E-4</v>
      </c>
      <c r="C6" s="2">
        <f>IF('Modell einstellen'!$B$2="Ja",creep_res0!O6,creep_res0!C6)</f>
        <v>-5.9160217142857153E-4</v>
      </c>
      <c r="D6" s="2">
        <f>IF('Modell einstellen'!$B$2="Ja",creep_res25!O6,creep_res25!C6)</f>
        <v>-5.9349871428571437E-4</v>
      </c>
      <c r="E6" s="2">
        <f>IF('Modell einstellen'!$B$2="Ja",creep_res50!O6,creep_res50!C6)</f>
        <v>-6.0286894285714295E-4</v>
      </c>
      <c r="F6" s="2">
        <f>IF('Modell einstellen'!$B$2="Ja",creep_res80!O6,creep_res80!C6)</f>
        <v>-6.4150442857142866E-4</v>
      </c>
      <c r="G6" s="2">
        <f>IF('Modell einstellen'!$B$2="Ja",creep_res125!O6,creep_res125!C6)</f>
        <v>-7.775506E-4</v>
      </c>
      <c r="H6" s="2">
        <f>IF('Modell einstellen'!$B$2="Ja",creep_res160!O6,creep_res160!C6)</f>
        <v>-1.0076338285714287E-3</v>
      </c>
      <c r="M6" s="9">
        <f t="shared" si="27"/>
        <v>-10</v>
      </c>
      <c r="N6" s="2">
        <f t="shared" si="4"/>
        <v>9.9999999999999998E-13</v>
      </c>
      <c r="O6" s="2">
        <f t="shared" si="5"/>
        <v>16984.699503299445</v>
      </c>
      <c r="P6" s="2">
        <f t="shared" si="6"/>
        <v>16903.251007095692</v>
      </c>
      <c r="Q6" s="2">
        <f t="shared" si="7"/>
        <v>16849.236163948841</v>
      </c>
      <c r="R6" s="2">
        <f t="shared" si="8"/>
        <v>16587.353053231705</v>
      </c>
      <c r="S6" s="2">
        <f t="shared" si="9"/>
        <v>15588.35692260002</v>
      </c>
      <c r="T6" s="2">
        <f t="shared" si="10"/>
        <v>12860.899342113555</v>
      </c>
      <c r="U6" s="2">
        <f t="shared" si="11"/>
        <v>9924.2400527357095</v>
      </c>
      <c r="Z6" s="2">
        <v>9.9999999999999998E-13</v>
      </c>
      <c r="AA6" s="3">
        <f>IF('Modell einstellen'!$B$2="Ja",'creep_res-40'!P6,'creep_res-40'!L6)</f>
        <v>0.36167066260030317</v>
      </c>
      <c r="AB6" s="2">
        <f>IF('Modell einstellen'!$B$2="Ja",creep_res0!P6,creep_res0!L6)</f>
        <v>0.36120867613931285</v>
      </c>
      <c r="AC6" s="2">
        <f>IF('Modell einstellen'!$B$2="Ja",creep_res25!P6,creep_res25!L6)</f>
        <v>0.36093830026349794</v>
      </c>
      <c r="AD6" s="2">
        <f>IF('Modell einstellen'!$B$2="Ja",creep_res50!P6,creep_res50!L6)</f>
        <v>0.36405800682669104</v>
      </c>
      <c r="AE6" s="2">
        <f>IF('Modell einstellen'!$B$2="Ja",creep_res80!P6,creep_res80!L6)</f>
        <v>0.37895326410172869</v>
      </c>
      <c r="AF6" s="2">
        <f>IF('Modell einstellen'!$B$2="Ja",creep_res125!P6,creep_res125!L6)</f>
        <v>0.42957042648689731</v>
      </c>
      <c r="AG6" s="2">
        <f>IF('Modell einstellen'!$B$2="Ja",creep_res160!P6,creep_res160!L6)</f>
        <v>0.50398744623330283</v>
      </c>
      <c r="AL6" s="2">
        <f t="shared" si="12"/>
        <v>9.9999999999999998E-13</v>
      </c>
      <c r="AM6" s="2">
        <f t="shared" si="13"/>
        <v>6236.7134615593295</v>
      </c>
      <c r="AN6" s="2">
        <f t="shared" si="14"/>
        <v>6208.9124553029696</v>
      </c>
      <c r="AO6" s="2">
        <f t="shared" si="15"/>
        <v>6190.3012651957024</v>
      </c>
      <c r="AP6" s="2">
        <f t="shared" si="16"/>
        <v>6080.1494402060262</v>
      </c>
      <c r="AQ6" s="2">
        <f t="shared" si="17"/>
        <v>5652.2426569527415</v>
      </c>
      <c r="AR6" s="2">
        <f t="shared" si="18"/>
        <v>4498.1692065771867</v>
      </c>
      <c r="AS6" s="2">
        <f t="shared" si="19"/>
        <v>3299.3094714954932</v>
      </c>
      <c r="AX6" s="2">
        <f t="shared" si="28"/>
        <v>9.9999999999999998E-13</v>
      </c>
      <c r="AY6" s="37">
        <f t="shared" si="20"/>
        <v>20464.084508483389</v>
      </c>
      <c r="AZ6" s="37">
        <f t="shared" si="21"/>
        <v>20298.160020509709</v>
      </c>
      <c r="BA6" s="37">
        <f t="shared" si="22"/>
        <v>20193.957305612348</v>
      </c>
      <c r="BB6" s="37">
        <f t="shared" si="23"/>
        <v>20336.312405547997</v>
      </c>
      <c r="BC6" s="37">
        <f t="shared" si="24"/>
        <v>21463.275881172329</v>
      </c>
      <c r="BD6" s="37">
        <f t="shared" si="25"/>
        <v>30434.420042126472</v>
      </c>
      <c r="BE6" s="37">
        <f t="shared" si="26"/>
        <v>-414811.86504155898</v>
      </c>
    </row>
    <row r="7" spans="1:308" x14ac:dyDescent="0.25">
      <c r="A7" s="2">
        <f>'creep_res-40'!A7</f>
        <v>9.9999999999999994E-12</v>
      </c>
      <c r="B7" s="3">
        <f>'creep_res-40'!O7</f>
        <v>-5.8876548571428573E-4</v>
      </c>
      <c r="C7" s="2">
        <f>IF('Modell einstellen'!$B$2="Ja",creep_res0!O7,creep_res0!C7)</f>
        <v>-5.9160320000000008E-4</v>
      </c>
      <c r="D7" s="2">
        <f>IF('Modell einstellen'!$B$2="Ja",creep_res25!O7,creep_res25!C7)</f>
        <v>-5.9395762857142862E-4</v>
      </c>
      <c r="E7" s="2">
        <f>IF('Modell einstellen'!$B$2="Ja",creep_res50!O7,creep_res50!C7)</f>
        <v>-6.1746420000000004E-4</v>
      </c>
      <c r="F7" s="2">
        <f>IF('Modell einstellen'!$B$2="Ja",creep_res80!O7,creep_res80!C7)</f>
        <v>-6.5377100000000004E-4</v>
      </c>
      <c r="G7" s="2">
        <f>IF('Modell einstellen'!$B$2="Ja",creep_res125!O7,creep_res125!C7)</f>
        <v>-8.1077094285714288E-4</v>
      </c>
      <c r="H7" s="2">
        <f>IF('Modell einstellen'!$B$2="Ja",creep_res160!O7,creep_res160!C7)</f>
        <v>-1.0529890571428571E-3</v>
      </c>
      <c r="M7" s="9">
        <f t="shared" si="27"/>
        <v>-10</v>
      </c>
      <c r="N7" s="2">
        <f t="shared" si="4"/>
        <v>9.9999999999999994E-12</v>
      </c>
      <c r="O7" s="2">
        <f t="shared" si="5"/>
        <v>16984.69126101724</v>
      </c>
      <c r="P7" s="2">
        <f t="shared" si="6"/>
        <v>16903.221618814772</v>
      </c>
      <c r="Q7" s="2">
        <f t="shared" si="7"/>
        <v>16836.217802356943</v>
      </c>
      <c r="R7" s="2">
        <f t="shared" si="8"/>
        <v>16195.270916111411</v>
      </c>
      <c r="S7" s="2">
        <f t="shared" si="9"/>
        <v>15295.875773015321</v>
      </c>
      <c r="T7" s="2">
        <f t="shared" si="10"/>
        <v>12333.939799026555</v>
      </c>
      <c r="U7" s="2">
        <f t="shared" si="11"/>
        <v>9496.7748545589275</v>
      </c>
      <c r="Z7" s="2">
        <v>9.9999999999999994E-12</v>
      </c>
      <c r="AA7" s="3">
        <f>IF('Modell einstellen'!$B$2="Ja",'creep_res-40'!P7,'creep_res-40'!L7)</f>
        <v>0.36167068120064499</v>
      </c>
      <c r="AB7" s="2">
        <f>IF('Modell einstellen'!$B$2="Ja",creep_res0!P7,creep_res0!L7)</f>
        <v>0.36120908164700349</v>
      </c>
      <c r="AC7" s="2">
        <f>IF('Modell einstellen'!$B$2="Ja",creep_res25!P7,creep_res25!L7)</f>
        <v>0.36115212066353747</v>
      </c>
      <c r="AD7" s="2">
        <f>IF('Modell einstellen'!$B$2="Ja",creep_res50!P7,creep_res50!L7)</f>
        <v>0.37028052106387011</v>
      </c>
      <c r="AE7" s="2">
        <f>IF('Modell einstellen'!$B$2="Ja",creep_res80!P7,creep_res80!L7)</f>
        <v>0.38406885591437984</v>
      </c>
      <c r="AF7" s="2">
        <f>IF('Modell einstellen'!$B$2="Ja",creep_res125!P7,creep_res125!L7)</f>
        <v>0.44172574653196928</v>
      </c>
      <c r="AG7" s="2">
        <f>IF('Modell einstellen'!$B$2="Ja",creep_res160!P7,creep_res160!L7)</f>
        <v>0.51750436044417447</v>
      </c>
      <c r="AL7" s="2">
        <f t="shared" si="12"/>
        <v>9.9999999999999994E-12</v>
      </c>
      <c r="AM7" s="2">
        <f t="shared" si="13"/>
        <v>6236.7103498332981</v>
      </c>
      <c r="AN7" s="2">
        <f t="shared" si="14"/>
        <v>6208.8998107339294</v>
      </c>
      <c r="AO7" s="2">
        <f t="shared" si="15"/>
        <v>6184.546733156315</v>
      </c>
      <c r="AP7" s="2">
        <f t="shared" si="16"/>
        <v>5909.4727930371473</v>
      </c>
      <c r="AQ7" s="2">
        <f t="shared" si="17"/>
        <v>5525.6917701938164</v>
      </c>
      <c r="AR7" s="2">
        <f t="shared" si="18"/>
        <v>4277.4916896280383</v>
      </c>
      <c r="AS7" s="2">
        <f t="shared" si="19"/>
        <v>3129.0766280827079</v>
      </c>
      <c r="AX7" s="2">
        <f t="shared" si="28"/>
        <v>9.9999999999999994E-12</v>
      </c>
      <c r="AY7" s="37">
        <f t="shared" si="20"/>
        <v>20464.077329421547</v>
      </c>
      <c r="AZ7" s="37">
        <f t="shared" si="21"/>
        <v>20298.184035144197</v>
      </c>
      <c r="BA7" s="37">
        <f t="shared" si="22"/>
        <v>20209.428576097358</v>
      </c>
      <c r="BB7" s="37">
        <f t="shared" si="23"/>
        <v>20808.068622299317</v>
      </c>
      <c r="BC7" s="37">
        <f t="shared" si="24"/>
        <v>21989.885883927007</v>
      </c>
      <c r="BD7" s="37">
        <f t="shared" si="25"/>
        <v>35275.554997865853</v>
      </c>
      <c r="BE7" s="37">
        <f t="shared" si="26"/>
        <v>-90422.944279573261</v>
      </c>
    </row>
    <row r="8" spans="1:308" x14ac:dyDescent="0.25">
      <c r="A8" s="2">
        <f>'creep_res-40'!A8</f>
        <v>1E-10</v>
      </c>
      <c r="B8" s="3">
        <f>'creep_res-40'!O8</f>
        <v>-5.8876557142857144E-4</v>
      </c>
      <c r="C8" s="2">
        <f>IF('Modell einstellen'!$B$2="Ja",creep_res0!O8,creep_res0!C8)</f>
        <v>-5.9161108571428574E-4</v>
      </c>
      <c r="D8" s="2">
        <f>IF('Modell einstellen'!$B$2="Ja",creep_res25!O8,creep_res25!C8)</f>
        <v>-5.9794577142857142E-4</v>
      </c>
      <c r="E8" s="2">
        <f>IF('Modell einstellen'!$B$2="Ja",creep_res50!O8,creep_res50!C8)</f>
        <v>-6.2775097142857153E-4</v>
      </c>
      <c r="F8" s="2">
        <f>IF('Modell einstellen'!$B$2="Ja",creep_res80!O8,creep_res80!C8)</f>
        <v>-6.6746720000000011E-4</v>
      </c>
      <c r="G8" s="2">
        <f>IF('Modell einstellen'!$B$2="Ja",creep_res125!O8,creep_res125!C8)</f>
        <v>-8.4718411428571431E-4</v>
      </c>
      <c r="H8" s="2">
        <f>IF('Modell einstellen'!$B$2="Ja",creep_res160!O8,creep_res160!C8)</f>
        <v>-1.1117907999999999E-3</v>
      </c>
      <c r="M8" s="9">
        <f t="shared" si="27"/>
        <v>-10</v>
      </c>
      <c r="N8" s="2">
        <f t="shared" si="4"/>
        <v>1E-10</v>
      </c>
      <c r="O8" s="2">
        <f t="shared" si="5"/>
        <v>16984.688788334141</v>
      </c>
      <c r="P8" s="2">
        <f t="shared" si="6"/>
        <v>16902.99631205597</v>
      </c>
      <c r="Q8" s="2">
        <f t="shared" si="7"/>
        <v>16723.92460625431</v>
      </c>
      <c r="R8" s="2">
        <f t="shared" si="8"/>
        <v>15929.883751900888</v>
      </c>
      <c r="S8" s="2">
        <f t="shared" si="9"/>
        <v>14982.009602868873</v>
      </c>
      <c r="T8" s="2">
        <f t="shared" si="10"/>
        <v>11803.809622222783</v>
      </c>
      <c r="U8" s="2">
        <f t="shared" si="11"/>
        <v>8994.4978857533279</v>
      </c>
      <c r="Z8" s="2">
        <v>1E-10</v>
      </c>
      <c r="AA8" s="3">
        <f>IF('Modell einstellen'!$B$2="Ja",'creep_res-40'!P8,'creep_res-40'!L8)</f>
        <v>0.36167069163351212</v>
      </c>
      <c r="AB8" s="2">
        <f>IF('Modell einstellen'!$B$2="Ja",creep_res0!P8,creep_res0!L8)</f>
        <v>0.36121274265700037</v>
      </c>
      <c r="AC8" s="2">
        <f>IF('Modell einstellen'!$B$2="Ja",creep_res25!P8,creep_res25!L8)</f>
        <v>0.36300261246815413</v>
      </c>
      <c r="AD8" s="2">
        <f>IF('Modell einstellen'!$B$2="Ja",creep_res50!P8,creep_res50!L8)</f>
        <v>0.37472316137736872</v>
      </c>
      <c r="AE8" s="2">
        <f>IF('Modell einstellen'!$B$2="Ja",creep_res80!P8,creep_res80!L8)</f>
        <v>0.38971623731366234</v>
      </c>
      <c r="AF8" s="2">
        <f>IF('Modell einstellen'!$B$2="Ja",creep_res125!P8,creep_res125!L8)</f>
        <v>0.45471893375580624</v>
      </c>
      <c r="AG8" s="2">
        <f>IF('Modell einstellen'!$B$2="Ja",creep_res160!P8,creep_res160!L8)</f>
        <v>0.5341841288846787</v>
      </c>
      <c r="AL8" s="2">
        <f t="shared" si="12"/>
        <v>1E-10</v>
      </c>
      <c r="AM8" s="2">
        <f t="shared" si="13"/>
        <v>6236.7093940894983</v>
      </c>
      <c r="AN8" s="2">
        <f t="shared" si="14"/>
        <v>6208.8003522000536</v>
      </c>
      <c r="AO8" s="2">
        <f t="shared" si="15"/>
        <v>6134.9569154421024</v>
      </c>
      <c r="AP8" s="2">
        <f t="shared" si="16"/>
        <v>5793.8515184178423</v>
      </c>
      <c r="AQ8" s="2">
        <f t="shared" si="17"/>
        <v>5390.3124971142561</v>
      </c>
      <c r="AR8" s="2">
        <f t="shared" si="18"/>
        <v>4057.0756825676294</v>
      </c>
      <c r="AS8" s="2">
        <f t="shared" si="19"/>
        <v>2931.3619259938991</v>
      </c>
      <c r="AX8" s="2">
        <f t="shared" si="28"/>
        <v>1E-10</v>
      </c>
      <c r="AY8" s="37">
        <f t="shared" si="20"/>
        <v>20464.07589360977</v>
      </c>
      <c r="AZ8" s="37">
        <f t="shared" si="21"/>
        <v>20298.448906205904</v>
      </c>
      <c r="BA8" s="37">
        <f t="shared" si="22"/>
        <v>20345.795039785866</v>
      </c>
      <c r="BB8" s="37">
        <f t="shared" si="23"/>
        <v>21192.908876910245</v>
      </c>
      <c r="BC8" s="37">
        <f t="shared" si="24"/>
        <v>22641.606884414752</v>
      </c>
      <c r="BD8" s="37">
        <f t="shared" si="25"/>
        <v>43446.450511886032</v>
      </c>
      <c r="BE8" s="37">
        <f t="shared" si="26"/>
        <v>-43853.186547947276</v>
      </c>
    </row>
    <row r="9" spans="1:308" x14ac:dyDescent="0.25">
      <c r="A9" s="2">
        <f>'creep_res-40'!A9</f>
        <v>1.0000000000000001E-9</v>
      </c>
      <c r="B9" s="3">
        <f>'creep_res-40'!O9</f>
        <v>-5.8876560000000009E-4</v>
      </c>
      <c r="C9" s="2">
        <f>IF('Modell einstellen'!$B$2="Ja",creep_res0!O9,creep_res0!C9)</f>
        <v>-5.9168837142857143E-4</v>
      </c>
      <c r="D9" s="2">
        <f>IF('Modell einstellen'!$B$2="Ja",creep_res25!O9,creep_res25!C9)</f>
        <v>-6.1261734285714294E-4</v>
      </c>
      <c r="E9" s="2">
        <f>IF('Modell einstellen'!$B$2="Ja",creep_res50!O9,creep_res50!C9)</f>
        <v>-6.3823085714285717E-4</v>
      </c>
      <c r="F9" s="2">
        <f>IF('Modell einstellen'!$B$2="Ja",creep_res80!O9,creep_res80!C9)</f>
        <v>-6.8359874285714287E-4</v>
      </c>
      <c r="G9" s="2">
        <f>IF('Modell einstellen'!$B$2="Ja",creep_res125!O9,creep_res125!C9)</f>
        <v>-8.8078625714285718E-4</v>
      </c>
      <c r="H9" s="2">
        <f>IF('Modell einstellen'!$B$2="Ja",creep_res160!O9,creep_res160!C9)</f>
        <v>-1.1846882285714286E-3</v>
      </c>
      <c r="M9" s="9">
        <f t="shared" si="27"/>
        <v>-10</v>
      </c>
      <c r="N9" s="2">
        <f t="shared" si="4"/>
        <v>1.0000000000000001E-9</v>
      </c>
      <c r="O9" s="2">
        <f t="shared" si="5"/>
        <v>16984.687964106597</v>
      </c>
      <c r="P9" s="2">
        <f t="shared" si="6"/>
        <v>16900.788460412052</v>
      </c>
      <c r="Q9" s="2">
        <f t="shared" si="7"/>
        <v>16323.403371771527</v>
      </c>
      <c r="R9" s="2">
        <f t="shared" si="8"/>
        <v>15668.311690172119</v>
      </c>
      <c r="S9" s="2">
        <f t="shared" si="9"/>
        <v>14628.464584654423</v>
      </c>
      <c r="T9" s="2">
        <f t="shared" si="10"/>
        <v>11353.492313150467</v>
      </c>
      <c r="U9" s="2">
        <f t="shared" si="11"/>
        <v>8441.0393881085711</v>
      </c>
      <c r="Z9" s="2">
        <v>1.0000000000000001E-9</v>
      </c>
      <c r="AA9" s="3">
        <f>IF('Modell einstellen'!$B$2="Ja",'creep_res-40'!P9,'creep_res-40'!L9)</f>
        <v>0.36167069834631255</v>
      </c>
      <c r="AB9" s="2">
        <f>IF('Modell einstellen'!$B$2="Ja",creep_res0!P9,creep_res0!L9)</f>
        <v>0.36124916721364869</v>
      </c>
      <c r="AC9" s="2">
        <f>IF('Modell einstellen'!$B$2="Ja",creep_res25!P9,creep_res25!L9)</f>
        <v>0.3693808211296849</v>
      </c>
      <c r="AD9" s="2">
        <f>IF('Modell einstellen'!$B$2="Ja",creep_res50!P9,creep_res50!L9)</f>
        <v>0.37919643496665784</v>
      </c>
      <c r="AE9" s="2">
        <f>IF('Modell einstellen'!$B$2="Ja",creep_res80!P9,creep_res80!L9)</f>
        <v>0.39628722045631115</v>
      </c>
      <c r="AF9" s="2">
        <f>IF('Modell einstellen'!$B$2="Ja",creep_res125!P9,creep_res125!L9)</f>
        <v>0.46639753915973581</v>
      </c>
      <c r="AG9" s="2">
        <f>IF('Modell einstellen'!$B$2="Ja",creep_res160!P9,creep_res160!L9)</f>
        <v>0.55367816120783853</v>
      </c>
      <c r="AL9" s="2">
        <f t="shared" si="12"/>
        <v>1.0000000000000001E-9</v>
      </c>
      <c r="AM9" s="2">
        <f t="shared" si="13"/>
        <v>6236.7090606905667</v>
      </c>
      <c r="AN9" s="2">
        <f t="shared" si="14"/>
        <v>6207.823250686135</v>
      </c>
      <c r="AO9" s="2">
        <f t="shared" si="15"/>
        <v>5960.1402034772782</v>
      </c>
      <c r="AP9" s="2">
        <f t="shared" si="16"/>
        <v>5680.232087661574</v>
      </c>
      <c r="AQ9" s="2">
        <f t="shared" si="17"/>
        <v>5238.3436481907338</v>
      </c>
      <c r="AR9" s="2">
        <f t="shared" si="18"/>
        <v>3871.2190964450751</v>
      </c>
      <c r="AS9" s="2">
        <f t="shared" si="19"/>
        <v>2716.4697293377858</v>
      </c>
      <c r="AX9" s="2">
        <f t="shared" si="28"/>
        <v>1.0000000000000001E-9</v>
      </c>
      <c r="AY9" s="37">
        <f t="shared" si="20"/>
        <v>20464.07589360977</v>
      </c>
      <c r="AZ9" s="37">
        <f t="shared" si="21"/>
        <v>20301.125551243724</v>
      </c>
      <c r="BA9" s="37">
        <f t="shared" si="22"/>
        <v>20828.237110031871</v>
      </c>
      <c r="BB9" s="37">
        <f t="shared" si="23"/>
        <v>21616.789876810362</v>
      </c>
      <c r="BC9" s="37">
        <f t="shared" si="24"/>
        <v>23507.975020076487</v>
      </c>
      <c r="BD9" s="37">
        <f t="shared" si="25"/>
        <v>56312.801846673734</v>
      </c>
      <c r="BE9" s="37">
        <f t="shared" si="26"/>
        <v>-26208.79453323481</v>
      </c>
    </row>
    <row r="10" spans="1:308" x14ac:dyDescent="0.25">
      <c r="A10" s="2">
        <f>'creep_res-40'!A10</f>
        <v>1E-8</v>
      </c>
      <c r="B10" s="3">
        <f>'creep_res-40'!O10</f>
        <v>-5.8876562857142862E-4</v>
      </c>
      <c r="C10" s="2">
        <f>IF('Modell einstellen'!$B$2="Ja",creep_res0!O10,creep_res0!C10)</f>
        <v>-5.9243437142857147E-4</v>
      </c>
      <c r="D10" s="2">
        <f>IF('Modell einstellen'!$B$2="Ja",creep_res25!O10,creep_res25!C10)</f>
        <v>-6.2334517142857151E-4</v>
      </c>
      <c r="E10" s="2">
        <f>IF('Modell einstellen'!$B$2="Ja",creep_res50!O10,creep_res50!C10)</f>
        <v>-6.5039645714285723E-4</v>
      </c>
      <c r="F10" s="2">
        <f>IF('Modell einstellen'!$B$2="Ja",creep_res80!O10,creep_res80!C10)</f>
        <v>-7.0194282857142859E-4</v>
      </c>
      <c r="G10" s="2">
        <f>IF('Modell einstellen'!$B$2="Ja",creep_res125!O10,creep_res125!C10)</f>
        <v>-9.1534202857142873E-4</v>
      </c>
      <c r="H10" s="2">
        <f>IF('Modell einstellen'!$B$2="Ja",creep_res160!O10,creep_res160!C10)</f>
        <v>-1.2814318857142857E-3</v>
      </c>
      <c r="M10" s="9">
        <f t="shared" si="27"/>
        <v>-10</v>
      </c>
      <c r="N10" s="2">
        <f t="shared" si="4"/>
        <v>1E-8</v>
      </c>
      <c r="O10" s="2">
        <f t="shared" si="5"/>
        <v>16984.687139879137</v>
      </c>
      <c r="P10" s="2">
        <f t="shared" si="6"/>
        <v>16879.506798173134</v>
      </c>
      <c r="Q10" s="2">
        <f t="shared" si="7"/>
        <v>16042.476076428371</v>
      </c>
      <c r="R10" s="2">
        <f t="shared" si="8"/>
        <v>15375.237503490176</v>
      </c>
      <c r="S10" s="2">
        <f t="shared" si="9"/>
        <v>14246.174464595182</v>
      </c>
      <c r="T10" s="2">
        <f t="shared" si="10"/>
        <v>10924.878010471088</v>
      </c>
      <c r="U10" s="2">
        <f t="shared" si="11"/>
        <v>7803.7702288217042</v>
      </c>
      <c r="Z10" s="2">
        <v>1E-8</v>
      </c>
      <c r="AA10" s="3">
        <f>IF('Modell einstellen'!$B$2="Ja",'creep_res-40'!P10,'creep_res-40'!L10)</f>
        <v>0.36167069050080902</v>
      </c>
      <c r="AB10" s="2">
        <f>IF('Modell einstellen'!$B$2="Ja",creep_res0!P10,creep_res0!L10)</f>
        <v>0.36160043381297013</v>
      </c>
      <c r="AC10" s="2">
        <f>IF('Modell einstellen'!$B$2="Ja",creep_res25!P10,creep_res25!L10)</f>
        <v>0.37408306363257299</v>
      </c>
      <c r="AD10" s="2">
        <f>IF('Modell einstellen'!$B$2="Ja",creep_res50!P10,creep_res50!L10)</f>
        <v>0.38433659979521934</v>
      </c>
      <c r="AE10" s="2">
        <f>IF('Modell einstellen'!$B$2="Ja",creep_res80!P10,creep_res80!L10)</f>
        <v>0.4036598788529745</v>
      </c>
      <c r="AF10" s="2">
        <f>IF('Modell einstellen'!$B$2="Ja",creep_res125!P10,creep_res125!L10)</f>
        <v>0.4780308662763405</v>
      </c>
      <c r="AG10" s="2">
        <f>IF('Modell einstellen'!$B$2="Ja",creep_res160!P10,creep_res160!L10)</f>
        <v>0.57757770347795756</v>
      </c>
      <c r="AL10" s="2">
        <f t="shared" si="12"/>
        <v>1E-8</v>
      </c>
      <c r="AM10" s="2">
        <f t="shared" si="13"/>
        <v>6236.7087939714465</v>
      </c>
      <c r="AN10" s="2">
        <f t="shared" si="14"/>
        <v>6198.4068082676995</v>
      </c>
      <c r="AO10" s="2">
        <f t="shared" si="15"/>
        <v>5837.5204894884346</v>
      </c>
      <c r="AP10" s="2">
        <f t="shared" si="16"/>
        <v>5553.2872228346014</v>
      </c>
      <c r="AQ10" s="2">
        <f t="shared" si="17"/>
        <v>5074.6532971494116</v>
      </c>
      <c r="AR10" s="2">
        <f t="shared" si="18"/>
        <v>3695.7543511911053</v>
      </c>
      <c r="AS10" s="2">
        <f t="shared" si="19"/>
        <v>2473.3394151100656</v>
      </c>
      <c r="AX10" s="2">
        <f t="shared" si="28"/>
        <v>1E-8</v>
      </c>
      <c r="AY10" s="37">
        <f t="shared" si="20"/>
        <v>20464.073739892501</v>
      </c>
      <c r="AZ10" s="37">
        <f t="shared" si="21"/>
        <v>20327.022768460814</v>
      </c>
      <c r="BA10" s="37">
        <f t="shared" si="22"/>
        <v>21234.204785097703</v>
      </c>
      <c r="BB10" s="37">
        <f t="shared" si="23"/>
        <v>22155.146566485888</v>
      </c>
      <c r="BC10" s="37">
        <f t="shared" si="24"/>
        <v>24645.624091984777</v>
      </c>
      <c r="BD10" s="37">
        <f t="shared" si="25"/>
        <v>82880.50974828699</v>
      </c>
      <c r="BE10" s="37">
        <f t="shared" si="26"/>
        <v>-16765.492057132582</v>
      </c>
    </row>
    <row r="11" spans="1:308" x14ac:dyDescent="0.25">
      <c r="A11" s="2">
        <f>'creep_res-40'!A11</f>
        <v>9.9999999999999995E-8</v>
      </c>
      <c r="B11" s="3">
        <f>'creep_res-40'!O11</f>
        <v>-5.8876562857142862E-4</v>
      </c>
      <c r="C11" s="2">
        <f>IF('Modell einstellen'!$B$2="Ja",creep_res0!O11,creep_res0!C11)</f>
        <v>-5.9841365714285717E-4</v>
      </c>
      <c r="D11" s="2">
        <f>IF('Modell einstellen'!$B$2="Ja",creep_res25!O11,creep_res25!C11)</f>
        <v>-6.3342908571428574E-4</v>
      </c>
      <c r="E11" s="2">
        <f>IF('Modell einstellen'!$B$2="Ja",creep_res50!O11,creep_res50!C11)</f>
        <v>-6.6388451428571439E-4</v>
      </c>
      <c r="F11" s="2">
        <f>IF('Modell einstellen'!$B$2="Ja",creep_res80!O11,creep_res80!C11)</f>
        <v>-7.2167434285714291E-4</v>
      </c>
      <c r="G11" s="2">
        <f>IF('Modell einstellen'!$B$2="Ja",creep_res125!O11,creep_res125!C11)</f>
        <v>-9.5182240000000009E-4</v>
      </c>
      <c r="H11" s="2">
        <f>IF('Modell einstellen'!$B$2="Ja",creep_res160!O11,creep_res160!C11)</f>
        <v>-1.413941342857143E-3</v>
      </c>
      <c r="M11" s="9">
        <f t="shared" si="27"/>
        <v>-10</v>
      </c>
      <c r="N11" s="2">
        <f t="shared" si="4"/>
        <v>9.9999999999999995E-8</v>
      </c>
      <c r="O11" s="2">
        <f t="shared" si="5"/>
        <v>16984.687139879137</v>
      </c>
      <c r="P11" s="2">
        <f t="shared" si="6"/>
        <v>16710.848558746606</v>
      </c>
      <c r="Q11" s="2">
        <f t="shared" si="7"/>
        <v>15787.086866596139</v>
      </c>
      <c r="R11" s="2">
        <f t="shared" si="8"/>
        <v>15062.860760894815</v>
      </c>
      <c r="S11" s="2">
        <f t="shared" si="9"/>
        <v>13856.665543089042</v>
      </c>
      <c r="T11" s="2">
        <f t="shared" si="10"/>
        <v>10506.161653686653</v>
      </c>
      <c r="U11" s="2">
        <f t="shared" si="11"/>
        <v>7072.4291714909887</v>
      </c>
      <c r="Z11" s="2">
        <v>9.9999999999999995E-8</v>
      </c>
      <c r="AA11" s="3">
        <f>IF('Modell einstellen'!$B$2="Ja",'creep_res-40'!P11,'creep_res-40'!L11)</f>
        <v>0.36167070505911225</v>
      </c>
      <c r="AB11" s="2">
        <f>IF('Modell einstellen'!$B$2="Ja",creep_res0!P11,creep_res0!L11)</f>
        <v>0.3643970119474928</v>
      </c>
      <c r="AC11" s="2">
        <f>IF('Modell einstellen'!$B$2="Ja",creep_res25!P11,creep_res25!L11)</f>
        <v>0.37844671122955337</v>
      </c>
      <c r="AD11" s="2">
        <f>IF('Modell einstellen'!$B$2="Ja",creep_res50!P11,creep_res50!L11)</f>
        <v>0.38997289890091896</v>
      </c>
      <c r="AE11" s="2">
        <f>IF('Modell einstellen'!$B$2="Ja",creep_res80!P11,creep_res80!L11)</f>
        <v>0.41148053245385474</v>
      </c>
      <c r="AF11" s="2">
        <f>IF('Modell einstellen'!$B$2="Ja",creep_res125!P11,creep_res125!L11)</f>
        <v>0.4899569199344031</v>
      </c>
      <c r="AG11" s="2">
        <f>IF('Modell einstellen'!$B$2="Ja",creep_res160!P11,creep_res160!L11)</f>
        <v>0.60702796986102492</v>
      </c>
      <c r="AL11" s="2">
        <f t="shared" si="12"/>
        <v>9.9999999999999995E-8</v>
      </c>
      <c r="AM11" s="2">
        <f t="shared" si="13"/>
        <v>6236.7087272916715</v>
      </c>
      <c r="AN11" s="2">
        <f t="shared" si="14"/>
        <v>6123.8951758235389</v>
      </c>
      <c r="AO11" s="2">
        <f t="shared" si="15"/>
        <v>5726.4044877419674</v>
      </c>
      <c r="AP11" s="2">
        <f t="shared" si="16"/>
        <v>5418.4008813428445</v>
      </c>
      <c r="AQ11" s="2">
        <f t="shared" si="17"/>
        <v>4908.5570875707617</v>
      </c>
      <c r="AR11" s="2">
        <f t="shared" si="18"/>
        <v>3525.6595385822288</v>
      </c>
      <c r="AS11" s="2">
        <f t="shared" si="19"/>
        <v>2200.4685992187833</v>
      </c>
      <c r="AX11" s="2">
        <f t="shared" si="28"/>
        <v>9.9999999999999995E-8</v>
      </c>
      <c r="AY11" s="37">
        <f t="shared" si="20"/>
        <v>20464.075893609766</v>
      </c>
      <c r="AZ11" s="37">
        <f t="shared" si="21"/>
        <v>20538.938458932229</v>
      </c>
      <c r="BA11" s="37">
        <f t="shared" si="22"/>
        <v>21646.318014493834</v>
      </c>
      <c r="BB11" s="37">
        <f t="shared" si="23"/>
        <v>22816.894823228577</v>
      </c>
      <c r="BC11" s="37">
        <f t="shared" si="24"/>
        <v>26089.676329984613</v>
      </c>
      <c r="BD11" s="37">
        <f t="shared" si="25"/>
        <v>174351.58644999197</v>
      </c>
      <c r="BE11" s="37">
        <f t="shared" si="26"/>
        <v>-11013.365915275059</v>
      </c>
    </row>
    <row r="12" spans="1:308" x14ac:dyDescent="0.25">
      <c r="A12" s="2">
        <f>'creep_res-40'!A12</f>
        <v>9.9999999999999995E-7</v>
      </c>
      <c r="B12" s="3">
        <f>'creep_res-40'!O12</f>
        <v>-5.8876574285714287E-4</v>
      </c>
      <c r="C12" s="2">
        <f>IF('Modell einstellen'!$B$2="Ja",creep_res0!O12,creep_res0!C12)</f>
        <v>-6.1306185714285716E-4</v>
      </c>
      <c r="D12" s="2">
        <f>IF('Modell einstellen'!$B$2="Ja",creep_res25!O12,creep_res25!C12)</f>
        <v>-6.4530211428571441E-4</v>
      </c>
      <c r="E12" s="2">
        <f>IF('Modell einstellen'!$B$2="Ja",creep_res50!O12,creep_res50!C12)</f>
        <v>-6.7981608571428579E-4</v>
      </c>
      <c r="F12" s="2">
        <f>IF('Modell einstellen'!$B$2="Ja",creep_res80!O12,creep_res80!C12)</f>
        <v>-7.4192622857142856E-4</v>
      </c>
      <c r="G12" s="2">
        <f>IF('Modell einstellen'!$B$2="Ja",creep_res125!O12,creep_res125!C12)</f>
        <v>-9.9130274285714288E-4</v>
      </c>
      <c r="H12" s="2">
        <f>IF('Modell einstellen'!$B$2="Ja",creep_res160!O12,creep_res160!C12)</f>
        <v>-1.6153537714285713E-3</v>
      </c>
      <c r="M12" s="9">
        <f t="shared" si="27"/>
        <v>-10</v>
      </c>
      <c r="N12" s="2">
        <f t="shared" si="4"/>
        <v>9.9999999999999995E-7</v>
      </c>
      <c r="O12" s="2">
        <f t="shared" si="5"/>
        <v>16984.683842970095</v>
      </c>
      <c r="P12" s="2">
        <f t="shared" si="6"/>
        <v>16311.567721085241</v>
      </c>
      <c r="Q12" s="2">
        <f t="shared" si="7"/>
        <v>15496.617442620673</v>
      </c>
      <c r="R12" s="2">
        <f t="shared" si="8"/>
        <v>14709.86081403613</v>
      </c>
      <c r="S12" s="2">
        <f t="shared" si="9"/>
        <v>13478.429006688304</v>
      </c>
      <c r="T12" s="2">
        <f t="shared" si="10"/>
        <v>10087.735630769968</v>
      </c>
      <c r="U12" s="2">
        <f t="shared" si="11"/>
        <v>6190.5943929274972</v>
      </c>
      <c r="Z12" s="2">
        <v>9.9999999999999995E-7</v>
      </c>
      <c r="AA12" s="3">
        <f>IF('Modell einstellen'!$B$2="Ja",'creep_res-40'!P12,'creep_res-40'!L12)</f>
        <v>0.36167075617413885</v>
      </c>
      <c r="AB12" s="2">
        <f>IF('Modell einstellen'!$B$2="Ja",creep_res0!P12,creep_res0!L12)</f>
        <v>0.37078754346158971</v>
      </c>
      <c r="AC12" s="2">
        <f>IF('Modell einstellen'!$B$2="Ja",creep_res25!P12,creep_res25!L12)</f>
        <v>0.38352741444605298</v>
      </c>
      <c r="AD12" s="2">
        <f>IF('Modell einstellen'!$B$2="Ja",creep_res50!P12,creep_res50!L12)</f>
        <v>0.39654968446718125</v>
      </c>
      <c r="AE12" s="2">
        <f>IF('Modell einstellen'!$B$2="Ja",creep_res80!P12,creep_res80!L12)</f>
        <v>0.41938412975829947</v>
      </c>
      <c r="AF12" s="2">
        <f>IF('Modell einstellen'!$B$2="Ja",creep_res125!P12,creep_res125!L12)</f>
        <v>0.50242575455397853</v>
      </c>
      <c r="AG12" s="2">
        <f>IF('Modell einstellen'!$B$2="Ja",creep_res160!P12,creep_res160!L12)</f>
        <v>0.64545105749679044</v>
      </c>
      <c r="AL12" s="2">
        <f t="shared" si="12"/>
        <v>9.9999999999999995E-7</v>
      </c>
      <c r="AM12" s="2">
        <f t="shared" si="13"/>
        <v>6236.707282563535</v>
      </c>
      <c r="AN12" s="2">
        <f t="shared" si="14"/>
        <v>5949.706721106596</v>
      </c>
      <c r="AO12" s="2">
        <f t="shared" si="15"/>
        <v>5600.4012933944368</v>
      </c>
      <c r="AP12" s="2">
        <f t="shared" si="16"/>
        <v>5266.5010696158342</v>
      </c>
      <c r="AQ12" s="2">
        <f t="shared" si="17"/>
        <v>4747.9849619649776</v>
      </c>
      <c r="AR12" s="2">
        <f t="shared" si="18"/>
        <v>3357.1494631908417</v>
      </c>
      <c r="AS12" s="2">
        <f t="shared" si="19"/>
        <v>1881.1238306732719</v>
      </c>
      <c r="AX12" s="2">
        <f t="shared" si="28"/>
        <v>9.9999999999999995E-7</v>
      </c>
      <c r="AY12" s="37">
        <f t="shared" si="20"/>
        <v>20464.079483139569</v>
      </c>
      <c r="AZ12" s="37">
        <f t="shared" si="21"/>
        <v>21039.725526561222</v>
      </c>
      <c r="BA12" s="37">
        <f t="shared" si="22"/>
        <v>22174.914049399562</v>
      </c>
      <c r="BB12" s="37">
        <f t="shared" si="23"/>
        <v>23698.752936410892</v>
      </c>
      <c r="BC12" s="37">
        <f t="shared" si="24"/>
        <v>27865.540962504463</v>
      </c>
      <c r="BD12" s="37">
        <f t="shared" si="25"/>
        <v>-693099.50136442133</v>
      </c>
      <c r="BE12" s="37">
        <f t="shared" si="26"/>
        <v>-7093.5595100595956</v>
      </c>
    </row>
    <row r="13" spans="1:308" x14ac:dyDescent="0.25">
      <c r="A13" s="2">
        <f>'creep_res-40'!A13</f>
        <v>1.0000000000000001E-5</v>
      </c>
      <c r="B13" s="3">
        <f>'creep_res-40'!O13</f>
        <v>-5.8876685714285724E-4</v>
      </c>
      <c r="C13" s="2">
        <f>IF('Modell einstellen'!$B$2="Ja",creep_res0!O13,creep_res0!C13)</f>
        <v>-6.2334308571428576E-4</v>
      </c>
      <c r="D13" s="2">
        <f>IF('Modell einstellen'!$B$2="Ja",creep_res25!O13,creep_res25!C13)</f>
        <v>-6.5823382857142863E-4</v>
      </c>
      <c r="E13" s="2">
        <f>IF('Modell einstellen'!$B$2="Ja",creep_res50!O13,creep_res50!C13)</f>
        <v>-6.9795571428571434E-4</v>
      </c>
      <c r="F13" s="2">
        <f>IF('Modell einstellen'!$B$2="Ja",creep_res80!O13,creep_res80!C13)</f>
        <v>-7.6578771428571432E-4</v>
      </c>
      <c r="G13" s="2">
        <f>IF('Modell einstellen'!$B$2="Ja",creep_res125!O13,creep_res125!C13)</f>
        <v>-1.0350352285714286E-3</v>
      </c>
      <c r="H13" s="2">
        <f>IF('Modell einstellen'!$B$2="Ja",creep_res160!O13,creep_res160!C13)</f>
        <v>-1.9474615714285715E-3</v>
      </c>
      <c r="M13" s="9">
        <f t="shared" si="27"/>
        <v>-10</v>
      </c>
      <c r="N13" s="2">
        <f t="shared" si="4"/>
        <v>1.0000000000000001E-5</v>
      </c>
      <c r="O13" s="2">
        <f t="shared" si="5"/>
        <v>16984.651698174002</v>
      </c>
      <c r="P13" s="2">
        <f t="shared" si="6"/>
        <v>16042.529754767473</v>
      </c>
      <c r="Q13" s="2">
        <f t="shared" si="7"/>
        <v>15192.169660594775</v>
      </c>
      <c r="R13" s="2">
        <f t="shared" si="8"/>
        <v>14327.55659896555</v>
      </c>
      <c r="S13" s="2">
        <f t="shared" si="9"/>
        <v>13058.449245725316</v>
      </c>
      <c r="T13" s="2">
        <f t="shared" si="10"/>
        <v>9661.5068975015965</v>
      </c>
      <c r="U13" s="2">
        <f t="shared" si="11"/>
        <v>5134.8895129491275</v>
      </c>
      <c r="Z13" s="2">
        <v>1.0000000000000001E-5</v>
      </c>
      <c r="AA13" s="3">
        <f>IF('Modell einstellen'!$B$2="Ja",'creep_res-40'!P13,'creep_res-40'!L13)</f>
        <v>0.36167127516882741</v>
      </c>
      <c r="AB13" s="2">
        <f>IF('Modell einstellen'!$B$2="Ja",creep_res0!P13,creep_res0!L13)</f>
        <v>0.37532541125712565</v>
      </c>
      <c r="AC13" s="2">
        <f>IF('Modell einstellen'!$B$2="Ja",creep_res25!P13,creep_res25!L13)</f>
        <v>0.38900429825545274</v>
      </c>
      <c r="AD13" s="2">
        <f>IF('Modell einstellen'!$B$2="Ja",creep_res50!P13,creep_res50!L13)</f>
        <v>0.40393839150662447</v>
      </c>
      <c r="AE13" s="2">
        <f>IF('Modell einstellen'!$B$2="Ja",creep_res80!P13,creep_res80!L13)</f>
        <v>0.42851987701179406</v>
      </c>
      <c r="AF13" s="2">
        <f>IF('Modell einstellen'!$B$2="Ja",creep_res125!P13,creep_res125!L13)</f>
        <v>0.51573880176832076</v>
      </c>
      <c r="AG13" s="2">
        <f>IF('Modell einstellen'!$B$2="Ja",creep_res160!P13,creep_res160!L13)</f>
        <v>0.69580607899029878</v>
      </c>
      <c r="AL13" s="2">
        <f t="shared" si="12"/>
        <v>1.0000000000000001E-5</v>
      </c>
      <c r="AM13" s="2">
        <f t="shared" si="13"/>
        <v>6236.6931020367429</v>
      </c>
      <c r="AN13" s="2">
        <f t="shared" si="14"/>
        <v>5832.266903330059</v>
      </c>
      <c r="AO13" s="2">
        <f t="shared" si="15"/>
        <v>5468.7266553730897</v>
      </c>
      <c r="AP13" s="2">
        <f t="shared" si="16"/>
        <v>5102.6301031593184</v>
      </c>
      <c r="AQ13" s="2">
        <f t="shared" si="17"/>
        <v>4570.6221718948836</v>
      </c>
      <c r="AR13" s="2">
        <f t="shared" si="18"/>
        <v>3187.0619417508151</v>
      </c>
      <c r="AS13" s="2">
        <f t="shared" si="19"/>
        <v>1513.9966699513473</v>
      </c>
      <c r="AX13" s="2">
        <f t="shared" si="28"/>
        <v>1.0000000000000001E-5</v>
      </c>
      <c r="AY13" s="37">
        <f t="shared" si="20"/>
        <v>20464.117532232762</v>
      </c>
      <c r="AZ13" s="37">
        <f t="shared" si="21"/>
        <v>21445.869491835223</v>
      </c>
      <c r="BA13" s="37">
        <f t="shared" si="22"/>
        <v>22811.948904050092</v>
      </c>
      <c r="BB13" s="37">
        <f t="shared" si="23"/>
        <v>24858.277279338545</v>
      </c>
      <c r="BC13" s="37">
        <f t="shared" si="24"/>
        <v>30447.740107833732</v>
      </c>
      <c r="BD13" s="37">
        <f t="shared" si="25"/>
        <v>-102310.91116635899</v>
      </c>
      <c r="BE13" s="37">
        <f t="shared" si="26"/>
        <v>-4370.7270133694674</v>
      </c>
    </row>
    <row r="14" spans="1:308" x14ac:dyDescent="0.25">
      <c r="A14" s="2">
        <f>'creep_res-40'!A14</f>
        <v>1E-4</v>
      </c>
      <c r="B14" s="3">
        <f>'creep_res-40'!O14</f>
        <v>-5.8877782857142866E-4</v>
      </c>
      <c r="C14" s="2">
        <f>IF('Modell einstellen'!$B$2="Ja",creep_res0!O14,creep_res0!C14)</f>
        <v>-6.3367045714285723E-4</v>
      </c>
      <c r="D14" s="2">
        <f>IF('Modell einstellen'!$B$2="Ja",creep_res25!O14,creep_res25!C14)</f>
        <v>-6.735650000000001E-4</v>
      </c>
      <c r="E14" s="2">
        <f>IF('Modell einstellen'!$B$2="Ja",creep_res50!O14,creep_res50!C14)</f>
        <v>-7.1760502857142871E-4</v>
      </c>
      <c r="F14" s="2">
        <f>IF('Modell einstellen'!$B$2="Ja",creep_res80!O14,creep_res80!C14)</f>
        <v>-7.9705840000000004E-4</v>
      </c>
      <c r="G14" s="2">
        <f>IF('Modell einstellen'!$B$2="Ja",creep_res125!O14,creep_res125!C14)</f>
        <v>-1.0893498000000001E-3</v>
      </c>
      <c r="H14" s="2">
        <f>IF('Modell einstellen'!$B$2="Ja",creep_res160!O14,creep_res160!C14)</f>
        <v>-2.5180249714285715E-3</v>
      </c>
      <c r="M14" s="9">
        <f t="shared" si="27"/>
        <v>-10</v>
      </c>
      <c r="N14" s="2">
        <f t="shared" si="4"/>
        <v>1E-4</v>
      </c>
      <c r="O14" s="2">
        <f t="shared" si="5"/>
        <v>16984.335202063117</v>
      </c>
      <c r="P14" s="2">
        <f t="shared" si="6"/>
        <v>15781.073406970525</v>
      </c>
      <c r="Q14" s="2">
        <f t="shared" si="7"/>
        <v>14846.377112825041</v>
      </c>
      <c r="R14" s="2">
        <f t="shared" si="8"/>
        <v>13935.242371290913</v>
      </c>
      <c r="S14" s="2">
        <f t="shared" si="9"/>
        <v>12546.132127834046</v>
      </c>
      <c r="T14" s="2">
        <f t="shared" si="10"/>
        <v>9179.7877963533829</v>
      </c>
      <c r="U14" s="2">
        <f t="shared" si="11"/>
        <v>3971.3664929727124</v>
      </c>
      <c r="Z14" s="2">
        <v>1E-4</v>
      </c>
      <c r="AA14" s="3">
        <f>IF('Modell einstellen'!$B$2="Ja",'creep_res-40'!P14,'creep_res-40'!L14)</f>
        <v>0.36167655575539909</v>
      </c>
      <c r="AB14" s="2">
        <f>IF('Modell einstellen'!$B$2="Ja",creep_res0!P14,creep_res0!L14)</f>
        <v>0.37982910089453437</v>
      </c>
      <c r="AC14" s="2">
        <f>IF('Modell einstellen'!$B$2="Ja",creep_res25!P14,creep_res25!L14)</f>
        <v>0.39541731363289784</v>
      </c>
      <c r="AD14" s="2">
        <f>IF('Modell einstellen'!$B$2="Ja",creep_res50!P14,creep_res50!L14)</f>
        <v>0.41182992984282313</v>
      </c>
      <c r="AE14" s="2">
        <f>IF('Modell einstellen'!$B$2="Ja",creep_res80!P14,creep_res80!L14)</f>
        <v>0.44022603255025866</v>
      </c>
      <c r="AF14" s="2">
        <f>IF('Modell einstellen'!$B$2="Ja",creep_res125!P14,creep_res125!L14)</f>
        <v>0.53151322795618872</v>
      </c>
      <c r="AG14" s="2">
        <f>IF('Modell einstellen'!$B$2="Ja",creep_res160!P14,creep_res160!L14)</f>
        <v>0.75694447328412984</v>
      </c>
      <c r="AL14" s="2">
        <f t="shared" si="12"/>
        <v>1E-4</v>
      </c>
      <c r="AM14" s="2">
        <f t="shared" si="13"/>
        <v>6236.5527005203321</v>
      </c>
      <c r="AN14" s="2">
        <f t="shared" si="14"/>
        <v>5718.4883971282225</v>
      </c>
      <c r="AO14" s="2">
        <f t="shared" si="15"/>
        <v>5319.6907361616632</v>
      </c>
      <c r="AP14" s="2">
        <f t="shared" si="16"/>
        <v>4935.1703334559215</v>
      </c>
      <c r="AQ14" s="2">
        <f t="shared" si="17"/>
        <v>4355.6121901289935</v>
      </c>
      <c r="AR14" s="2">
        <f t="shared" si="18"/>
        <v>2996.966538971345</v>
      </c>
      <c r="AS14" s="2">
        <f t="shared" si="19"/>
        <v>1130.1912363654051</v>
      </c>
      <c r="AX14" s="2">
        <f t="shared" si="28"/>
        <v>1E-4</v>
      </c>
      <c r="AY14" s="37">
        <f t="shared" si="20"/>
        <v>20464.517415222446</v>
      </c>
      <c r="AZ14" s="37">
        <f t="shared" si="21"/>
        <v>21886.986955580895</v>
      </c>
      <c r="BA14" s="37">
        <f t="shared" si="22"/>
        <v>23659.711482121515</v>
      </c>
      <c r="BB14" s="37">
        <f t="shared" si="23"/>
        <v>26341.596315789047</v>
      </c>
      <c r="BC14" s="37">
        <f t="shared" si="24"/>
        <v>34982.152105995483</v>
      </c>
      <c r="BD14" s="37">
        <f t="shared" si="25"/>
        <v>-48549.917985317086</v>
      </c>
      <c r="BE14" s="37">
        <f t="shared" si="26"/>
        <v>-2576.0212198202357</v>
      </c>
    </row>
    <row r="15" spans="1:308" x14ac:dyDescent="0.25">
      <c r="A15" s="2">
        <f>'creep_res-40'!A15</f>
        <v>1E-3</v>
      </c>
      <c r="B15" s="3">
        <f>'creep_res-40'!O15</f>
        <v>-5.8888685714285718E-4</v>
      </c>
      <c r="C15" s="2">
        <f>IF('Modell einstellen'!$B$2="Ja",creep_res0!O15,creep_res0!C15)</f>
        <v>-6.4572300000000007E-4</v>
      </c>
      <c r="D15" s="2">
        <f>IF('Modell einstellen'!$B$2="Ja",creep_res25!O15,creep_res25!C15)</f>
        <v>-6.9111602857142862E-4</v>
      </c>
      <c r="E15" s="2">
        <f>IF('Modell einstellen'!$B$2="Ja",creep_res50!O15,creep_res50!C15)</f>
        <v>-7.3769400000000011E-4</v>
      </c>
      <c r="F15" s="2">
        <f>IF('Modell einstellen'!$B$2="Ja",creep_res80!O15,creep_res80!C15)</f>
        <v>-8.3327611428571434E-4</v>
      </c>
      <c r="G15" s="2">
        <f>IF('Modell einstellen'!$B$2="Ja",creep_res125!O15,creep_res125!C15)</f>
        <v>-1.1579898857142857E-3</v>
      </c>
      <c r="H15" s="2">
        <f>IF('Modell einstellen'!$B$2="Ja",creep_res160!O15,creep_res160!C15)</f>
        <v>-3.4481725714285718E-3</v>
      </c>
      <c r="M15" s="9">
        <f t="shared" si="27"/>
        <v>-10</v>
      </c>
      <c r="N15" s="2">
        <f t="shared" si="4"/>
        <v>1E-3</v>
      </c>
      <c r="O15" s="2">
        <f t="shared" si="5"/>
        <v>16981.190662868055</v>
      </c>
      <c r="P15" s="2">
        <f t="shared" si="6"/>
        <v>15486.516664266255</v>
      </c>
      <c r="Q15" s="2">
        <f t="shared" si="7"/>
        <v>14469.350422490563</v>
      </c>
      <c r="R15" s="2">
        <f t="shared" si="8"/>
        <v>13555.756180747028</v>
      </c>
      <c r="S15" s="2">
        <f t="shared" si="9"/>
        <v>12000.824010864653</v>
      </c>
      <c r="T15" s="2">
        <f t="shared" si="10"/>
        <v>8635.6540099067242</v>
      </c>
      <c r="U15" s="2">
        <f t="shared" si="11"/>
        <v>2900.086870030701</v>
      </c>
      <c r="Z15" s="2">
        <v>1E-3</v>
      </c>
      <c r="AA15" s="3">
        <f>IF('Modell einstellen'!$B$2="Ja",'creep_res-40'!P15,'creep_res-40'!L15)</f>
        <v>0.3617287579860114</v>
      </c>
      <c r="AB15" s="2">
        <f>IF('Modell einstellen'!$B$2="Ja",creep_res0!P15,creep_res0!L15)</f>
        <v>0.38503035246648221</v>
      </c>
      <c r="AC15" s="2">
        <f>IF('Modell einstellen'!$B$2="Ja",creep_res25!P15,creep_res25!L15)</f>
        <v>0.40266326171156458</v>
      </c>
      <c r="AD15" s="2">
        <f>IF('Modell einstellen'!$B$2="Ja",creep_res50!P15,creep_res50!L15)</f>
        <v>0.41977378154085565</v>
      </c>
      <c r="AE15" s="2">
        <f>IF('Modell einstellen'!$B$2="Ja",creep_res80!P15,creep_res80!L15)</f>
        <v>0.45344702068228865</v>
      </c>
      <c r="AF15" s="2">
        <f>IF('Modell einstellen'!$B$2="Ja",creep_res125!P15,creep_res125!L15)</f>
        <v>0.55033757264990668</v>
      </c>
      <c r="AG15" s="2">
        <f>IF('Modell einstellen'!$B$2="Ja",creep_res160!P15,creep_res160!L15)</f>
        <v>0.81843462591033722</v>
      </c>
      <c r="AL15" s="2">
        <f t="shared" si="12"/>
        <v>1E-3</v>
      </c>
      <c r="AM15" s="2">
        <f t="shared" si="13"/>
        <v>6235.1590077245392</v>
      </c>
      <c r="AN15" s="2">
        <f t="shared" si="14"/>
        <v>5590.6777193321577</v>
      </c>
      <c r="AO15" s="2">
        <f t="shared" si="15"/>
        <v>5157.813288998067</v>
      </c>
      <c r="AP15" s="2">
        <f t="shared" si="16"/>
        <v>4773.9141111745284</v>
      </c>
      <c r="AQ15" s="2">
        <f t="shared" si="17"/>
        <v>4128.400911796266</v>
      </c>
      <c r="AR15" s="2">
        <f t="shared" si="18"/>
        <v>2785.0882808530132</v>
      </c>
      <c r="AS15" s="2">
        <f t="shared" si="19"/>
        <v>797.41301356348504</v>
      </c>
      <c r="AX15" s="2">
        <f t="shared" si="28"/>
        <v>1E-3</v>
      </c>
      <c r="AY15" s="37">
        <f t="shared" si="20"/>
        <v>20468.453183670812</v>
      </c>
      <c r="AZ15" s="37">
        <f t="shared" si="21"/>
        <v>22450.152419216236</v>
      </c>
      <c r="BA15" s="37">
        <f t="shared" si="22"/>
        <v>24775.418266043791</v>
      </c>
      <c r="BB15" s="37">
        <f t="shared" si="23"/>
        <v>28161.525498571627</v>
      </c>
      <c r="BC15" s="37">
        <f t="shared" si="24"/>
        <v>42964.754661430336</v>
      </c>
      <c r="BD15" s="37">
        <f t="shared" si="25"/>
        <v>-28592.472631285204</v>
      </c>
      <c r="BE15" s="37">
        <f t="shared" si="26"/>
        <v>-1517.8871025410456</v>
      </c>
    </row>
    <row r="16" spans="1:308" x14ac:dyDescent="0.25">
      <c r="A16" s="2">
        <f>'creep_res-40'!A16</f>
        <v>0.01</v>
      </c>
      <c r="B16" s="3">
        <f>'creep_res-40'!O16</f>
        <v>-5.8992980000000005E-4</v>
      </c>
      <c r="C16" s="2">
        <f>IF('Modell einstellen'!$B$2="Ja",creep_res0!O16,creep_res0!C16)</f>
        <v>-6.5901885714285716E-4</v>
      </c>
      <c r="D16" s="2">
        <f>IF('Modell einstellen'!$B$2="Ja",creep_res25!O16,creep_res25!C16)</f>
        <v>-7.1057262857142855E-4</v>
      </c>
      <c r="E16" s="2">
        <f>IF('Modell einstellen'!$B$2="Ja",creep_res50!O16,creep_res50!C16)</f>
        <v>-7.6103954285714284E-4</v>
      </c>
      <c r="F16" s="2">
        <f>IF('Modell einstellen'!$B$2="Ja",creep_res80!O16,creep_res80!C16)</f>
        <v>-8.6778671428571429E-4</v>
      </c>
      <c r="G16" s="2">
        <f>IF('Modell einstellen'!$B$2="Ja",creep_res125!O16,creep_res125!C16)</f>
        <v>-1.2473456857142859E-3</v>
      </c>
      <c r="H16" s="2">
        <f>IF('Modell einstellen'!$B$2="Ja",creep_res160!O16,creep_res160!C16)</f>
        <v>-4.790646571428572E-3</v>
      </c>
      <c r="M16" s="9">
        <f t="shared" si="27"/>
        <v>-10</v>
      </c>
      <c r="N16" s="2">
        <f t="shared" si="4"/>
        <v>0.01</v>
      </c>
      <c r="O16" s="2">
        <f t="shared" si="5"/>
        <v>16951.169444228788</v>
      </c>
      <c r="P16" s="2">
        <f t="shared" si="6"/>
        <v>15174.072625712855</v>
      </c>
      <c r="Q16" s="2">
        <f t="shared" si="7"/>
        <v>14073.156772312648</v>
      </c>
      <c r="R16" s="2">
        <f t="shared" si="8"/>
        <v>13139.92169507693</v>
      </c>
      <c r="S16" s="2">
        <f t="shared" si="9"/>
        <v>11523.568908555048</v>
      </c>
      <c r="T16" s="2">
        <f t="shared" si="10"/>
        <v>8017.0237605572456</v>
      </c>
      <c r="U16" s="2">
        <f t="shared" si="11"/>
        <v>2087.4009073514262</v>
      </c>
      <c r="Z16" s="2">
        <v>0.01</v>
      </c>
      <c r="AA16" s="3">
        <f>IF('Modell einstellen'!$B$2="Ja",'creep_res-40'!P16,'creep_res-40'!L16)</f>
        <v>0.36222758320445203</v>
      </c>
      <c r="AB16" s="2">
        <f>IF('Modell einstellen'!$B$2="Ja",creep_res0!P16,creep_res0!L16)</f>
        <v>0.39070495273059608</v>
      </c>
      <c r="AC16" s="2">
        <f>IF('Modell einstellen'!$B$2="Ja",creep_res25!P16,creep_res25!L16)</f>
        <v>0.41058105169263492</v>
      </c>
      <c r="AD16" s="2">
        <f>IF('Modell einstellen'!$B$2="Ja",creep_res50!P16,creep_res50!L16)</f>
        <v>0.42882904075868555</v>
      </c>
      <c r="AE16" s="2">
        <f>IF('Modell einstellen'!$B$2="Ja",creep_res80!P16,creep_res80!L16)</f>
        <v>0.46569441767043818</v>
      </c>
      <c r="AF16" s="2">
        <f>IF('Modell einstellen'!$B$2="Ja",creep_res125!P16,creep_res125!L16)</f>
        <v>0.57278968536136576</v>
      </c>
      <c r="AG16" s="2">
        <f>IF('Modell einstellen'!$B$2="Ja",creep_res160!P16,creep_res160!L16)</f>
        <v>0.86728227499025923</v>
      </c>
      <c r="AL16" s="2">
        <f t="shared" si="12"/>
        <v>0.01</v>
      </c>
      <c r="AM16" s="2">
        <f t="shared" si="13"/>
        <v>6221.8566314570962</v>
      </c>
      <c r="AN16" s="2">
        <f t="shared" si="14"/>
        <v>5455.5326764024039</v>
      </c>
      <c r="AO16" s="2">
        <f t="shared" si="15"/>
        <v>4988.4254277432274</v>
      </c>
      <c r="AP16" s="2">
        <f t="shared" si="16"/>
        <v>4598.1434168288733</v>
      </c>
      <c r="AQ16" s="2">
        <f t="shared" si="17"/>
        <v>3931.0953121014495</v>
      </c>
      <c r="AR16" s="2">
        <f t="shared" si="18"/>
        <v>2548.6636373493402</v>
      </c>
      <c r="AS16" s="2">
        <f t="shared" si="19"/>
        <v>558.94090982101648</v>
      </c>
      <c r="AX16" s="2">
        <f t="shared" si="28"/>
        <v>0.01</v>
      </c>
      <c r="AY16" s="37">
        <f t="shared" si="20"/>
        <v>20506.244813604513</v>
      </c>
      <c r="AZ16" s="37">
        <f t="shared" si="21"/>
        <v>23139.311135038486</v>
      </c>
      <c r="BA16" s="37">
        <f t="shared" si="22"/>
        <v>26230.75056369885</v>
      </c>
      <c r="BB16" s="37">
        <f t="shared" si="23"/>
        <v>30770.794331351513</v>
      </c>
      <c r="BC16" s="37">
        <f t="shared" si="24"/>
        <v>55984.906469216003</v>
      </c>
      <c r="BD16" s="37">
        <f t="shared" si="25"/>
        <v>-18356.592972288541</v>
      </c>
      <c r="BE16" s="37">
        <f t="shared" si="26"/>
        <v>-947.22826260664078</v>
      </c>
    </row>
    <row r="17" spans="1:57" x14ac:dyDescent="0.25">
      <c r="A17" s="2">
        <f>'creep_res-40'!A17</f>
        <v>0.1</v>
      </c>
      <c r="B17" s="3">
        <f>'creep_res-40'!O17</f>
        <v>-5.9760871428571425E-4</v>
      </c>
      <c r="C17" s="2">
        <f>IF('Modell einstellen'!$B$2="Ja",creep_res0!O17,creep_res0!C17)</f>
        <v>-6.7475328571428572E-4</v>
      </c>
      <c r="D17" s="2">
        <f>IF('Modell einstellen'!$B$2="Ja",creep_res25!O17,creep_res25!C17)</f>
        <v>-7.3035582857142861E-4</v>
      </c>
      <c r="E17" s="2">
        <f>IF('Modell einstellen'!$B$2="Ja",creep_res50!O17,creep_res50!C17)</f>
        <v>-7.9177825714285717E-4</v>
      </c>
      <c r="F17" s="2">
        <f>IF('Modell einstellen'!$B$2="Ja",creep_res80!O17,creep_res80!C17)</f>
        <v>-9.0126648571428581E-4</v>
      </c>
      <c r="G17" s="2">
        <f>IF('Modell einstellen'!$B$2="Ja",creep_res125!O17,creep_res125!C17)</f>
        <v>-1.3732833142857143E-3</v>
      </c>
      <c r="H17" s="2">
        <f>IF('Modell einstellen'!$B$2="Ja",creep_res160!O17,creep_res160!C17)</f>
        <v>-6.2620148571428573E-3</v>
      </c>
      <c r="M17" s="9">
        <f t="shared" si="27"/>
        <v>-10</v>
      </c>
      <c r="N17" s="2">
        <f t="shared" si="4"/>
        <v>0.1</v>
      </c>
      <c r="O17" s="2">
        <f t="shared" si="5"/>
        <v>16733.357062827301</v>
      </c>
      <c r="P17" s="2">
        <f t="shared" si="6"/>
        <v>14820.231648689372</v>
      </c>
      <c r="Q17" s="2">
        <f t="shared" si="7"/>
        <v>13691.956179168086</v>
      </c>
      <c r="R17" s="2">
        <f t="shared" si="8"/>
        <v>12629.798696525388</v>
      </c>
      <c r="S17" s="2">
        <f t="shared" si="9"/>
        <v>11095.497456642519</v>
      </c>
      <c r="T17" s="2">
        <f t="shared" si="10"/>
        <v>7281.8186138097071</v>
      </c>
      <c r="U17" s="2">
        <f t="shared" si="11"/>
        <v>1596.9300980807091</v>
      </c>
      <c r="Z17" s="2">
        <v>0.1</v>
      </c>
      <c r="AA17" s="3">
        <f>IF('Modell einstellen'!$B$2="Ja",'creep_res-40'!P17,'creep_res-40'!L17)</f>
        <v>0.36586894291319622</v>
      </c>
      <c r="AB17" s="2">
        <f>IF('Modell einstellen'!$B$2="Ja",creep_res0!P17,creep_res0!L17)</f>
        <v>0.39733687212236091</v>
      </c>
      <c r="AC17" s="2">
        <f>IF('Modell einstellen'!$B$2="Ja",creep_res25!P17,creep_res25!L17)</f>
        <v>0.41850934968919656</v>
      </c>
      <c r="AD17" s="2">
        <f>IF('Modell einstellen'!$B$2="Ja",creep_res50!P17,creep_res50!L17)</f>
        <v>0.44045924979212253</v>
      </c>
      <c r="AE17" s="2">
        <f>IF('Modell einstellen'!$B$2="Ja",creep_res80!P17,creep_res80!L17)</f>
        <v>0.47701680241902128</v>
      </c>
      <c r="AF17" s="2">
        <f>IF('Modell einstellen'!$B$2="Ja",creep_res125!P17,creep_res125!L17)</f>
        <v>0.5984525594510558</v>
      </c>
      <c r="AG17" s="2">
        <f>IF('Modell einstellen'!$B$2="Ja",creep_res160!P17,creep_res160!L17)</f>
        <v>0.89144183259682919</v>
      </c>
      <c r="AL17" s="2">
        <f t="shared" si="12"/>
        <v>0.1</v>
      </c>
      <c r="AM17" s="2">
        <f t="shared" si="13"/>
        <v>6125.5353779175648</v>
      </c>
      <c r="AN17" s="2">
        <f t="shared" si="14"/>
        <v>5303.027474748983</v>
      </c>
      <c r="AO17" s="2">
        <f t="shared" si="15"/>
        <v>4826.1776287086414</v>
      </c>
      <c r="AP17" s="2">
        <f t="shared" si="16"/>
        <v>4383.948625533154</v>
      </c>
      <c r="AQ17" s="2">
        <f t="shared" si="17"/>
        <v>3756.0498426526324</v>
      </c>
      <c r="AR17" s="2">
        <f t="shared" si="18"/>
        <v>2277.7712640750647</v>
      </c>
      <c r="AS17" s="2">
        <f t="shared" si="19"/>
        <v>422.14623536379804</v>
      </c>
      <c r="AX17" s="2">
        <f t="shared" si="28"/>
        <v>0.1</v>
      </c>
      <c r="AY17" s="37">
        <f t="shared" si="20"/>
        <v>20792.297506458181</v>
      </c>
      <c r="AZ17" s="37">
        <f t="shared" si="21"/>
        <v>24059.646916844922</v>
      </c>
      <c r="BA17" s="37">
        <f t="shared" si="22"/>
        <v>28003.122908266745</v>
      </c>
      <c r="BB17" s="37">
        <f t="shared" si="23"/>
        <v>35353.374656377826</v>
      </c>
      <c r="BC17" s="37">
        <f t="shared" si="24"/>
        <v>80460.935411248283</v>
      </c>
      <c r="BD17" s="37">
        <f t="shared" si="25"/>
        <v>-12327.119197325614</v>
      </c>
      <c r="BE17" s="37">
        <f t="shared" si="26"/>
        <v>-679.93503550989863</v>
      </c>
    </row>
    <row r="18" spans="1:57" x14ac:dyDescent="0.25">
      <c r="A18" s="2">
        <f>'creep_res-40'!A18</f>
        <v>1</v>
      </c>
      <c r="B18" s="3">
        <f>'creep_res-40'!O18</f>
        <v>-6.1165974285714295E-4</v>
      </c>
      <c r="C18" s="2">
        <f>IF('Modell einstellen'!$B$2="Ja",creep_res0!O18,creep_res0!C18)</f>
        <v>-6.9269217142857149E-4</v>
      </c>
      <c r="D18" s="2">
        <f>IF('Modell einstellen'!$B$2="Ja",creep_res25!O18,creep_res25!C18)</f>
        <v>-7.5229188571428575E-4</v>
      </c>
      <c r="E18" s="2">
        <f>IF('Modell einstellen'!$B$2="Ja",creep_res50!O18,creep_res50!C18)</f>
        <v>-8.2826005714285722E-4</v>
      </c>
      <c r="F18" s="2">
        <f>IF('Modell einstellen'!$B$2="Ja",creep_res80!O18,creep_res80!C18)</f>
        <v>-9.4053385714285714E-4</v>
      </c>
      <c r="G18" s="2">
        <f>IF('Modell einstellen'!$B$2="Ja",creep_res125!O18,creep_res125!C18)</f>
        <v>-1.5868948285714289E-3</v>
      </c>
      <c r="H18" s="2">
        <f>IF('Modell einstellen'!$B$2="Ja",creep_res160!O18,creep_res160!C18)</f>
        <v>-7.5590860000000005E-3</v>
      </c>
      <c r="M18" s="9">
        <f t="shared" si="27"/>
        <v>-10</v>
      </c>
      <c r="N18" s="2">
        <f t="shared" si="4"/>
        <v>1</v>
      </c>
      <c r="O18" s="2">
        <f t="shared" si="5"/>
        <v>16348.958905303605</v>
      </c>
      <c r="P18" s="2">
        <f t="shared" si="6"/>
        <v>14436.427048650676</v>
      </c>
      <c r="Q18" s="2">
        <f t="shared" si="7"/>
        <v>13292.712828485721</v>
      </c>
      <c r="R18" s="2">
        <f t="shared" si="8"/>
        <v>12073.50265627407</v>
      </c>
      <c r="S18" s="2">
        <f t="shared" si="9"/>
        <v>10632.259459938938</v>
      </c>
      <c r="T18" s="2">
        <f t="shared" si="10"/>
        <v>6301.6148392154664</v>
      </c>
      <c r="U18" s="2">
        <f t="shared" si="11"/>
        <v>1322.9112620229482</v>
      </c>
      <c r="Z18" s="2">
        <v>1</v>
      </c>
      <c r="AA18" s="3">
        <f>IF('Modell einstellen'!$B$2="Ja",'creep_res-40'!P18,'creep_res-40'!L18)</f>
        <v>0.37205058592099588</v>
      </c>
      <c r="AB18" s="2">
        <f>IF('Modell einstellen'!$B$2="Ja",creep_res0!P18,creep_res0!L18)</f>
        <v>0.40479106241626361</v>
      </c>
      <c r="AC18" s="2">
        <f>IF('Modell einstellen'!$B$2="Ja",creep_res25!P18,creep_res25!L18)</f>
        <v>0.42709964855586452</v>
      </c>
      <c r="AD18" s="2">
        <f>IF('Modell einstellen'!$B$2="Ja",creep_res50!P18,creep_res50!L18)</f>
        <v>0.4536186046742669</v>
      </c>
      <c r="AE18" s="2">
        <f>IF('Modell einstellen'!$B$2="Ja",creep_res80!P18,creep_res80!L18)</f>
        <v>0.48789947107546977</v>
      </c>
      <c r="AF18" s="2">
        <f>IF('Modell einstellen'!$B$2="Ja",creep_res125!P18,creep_res125!L18)</f>
        <v>0.61962610214568348</v>
      </c>
      <c r="AG18" s="2">
        <f>IF('Modell einstellen'!$B$2="Ja",creep_res160!P18,creep_res160!L18)</f>
        <v>0.88562354912069685</v>
      </c>
      <c r="AL18" s="2">
        <f t="shared" si="12"/>
        <v>1</v>
      </c>
      <c r="AM18" s="2">
        <f t="shared" si="13"/>
        <v>5957.8557354462564</v>
      </c>
      <c r="AN18" s="2">
        <f t="shared" si="14"/>
        <v>5138.2826367857815</v>
      </c>
      <c r="AO18" s="2">
        <f t="shared" si="15"/>
        <v>4657.2476007324067</v>
      </c>
      <c r="AP18" s="2">
        <f t="shared" si="16"/>
        <v>4152.9128127042486</v>
      </c>
      <c r="AQ18" s="2">
        <f t="shared" si="17"/>
        <v>3572.9092141735305</v>
      </c>
      <c r="AR18" s="2">
        <f t="shared" si="18"/>
        <v>1945.3918502755284</v>
      </c>
      <c r="AS18" s="2">
        <f t="shared" si="19"/>
        <v>350.78880475369743</v>
      </c>
      <c r="AX18" s="2">
        <f t="shared" si="28"/>
        <v>1</v>
      </c>
      <c r="AY18" s="37">
        <f t="shared" si="20"/>
        <v>21296.123189237787</v>
      </c>
      <c r="AZ18" s="37">
        <f t="shared" si="21"/>
        <v>25271.484335795365</v>
      </c>
      <c r="BA18" s="37">
        <f t="shared" si="22"/>
        <v>30390.143451896583</v>
      </c>
      <c r="BB18" s="37">
        <f t="shared" si="23"/>
        <v>43384.862153897251</v>
      </c>
      <c r="BC18" s="37">
        <f t="shared" si="24"/>
        <v>146443.45337094023</v>
      </c>
      <c r="BD18" s="37">
        <f t="shared" si="25"/>
        <v>-8779.5984407332944</v>
      </c>
      <c r="BE18" s="37">
        <f t="shared" si="26"/>
        <v>-571.76282631055824</v>
      </c>
    </row>
    <row r="19" spans="1:57" x14ac:dyDescent="0.25">
      <c r="A19" s="2">
        <f>'creep_res-40'!A19</f>
        <v>10</v>
      </c>
      <c r="B19" s="3">
        <f>'creep_res-40'!O19</f>
        <v>-6.217541714285715E-4</v>
      </c>
      <c r="C19" s="2">
        <f>IF('Modell einstellen'!$B$2="Ja",creep_res0!O19,creep_res0!C19)</f>
        <v>-7.1229297142857138E-4</v>
      </c>
      <c r="D19" s="2">
        <f>IF('Modell einstellen'!$B$2="Ja",creep_res25!O19,creep_res25!C19)</f>
        <v>-7.8178842857142862E-4</v>
      </c>
      <c r="E19" s="2">
        <f>IF('Modell einstellen'!$B$2="Ja",creep_res50!O19,creep_res50!C19)</f>
        <v>-8.6721111428571436E-4</v>
      </c>
      <c r="F19" s="2">
        <f>IF('Modell einstellen'!$B$2="Ja",creep_res80!O19,creep_res80!C19)</f>
        <v>-9.9863294285714279E-4</v>
      </c>
      <c r="G19" s="2">
        <f>IF('Modell einstellen'!$B$2="Ja",creep_res125!O19,creep_res125!C19)</f>
        <v>-1.9887996857142856E-3</v>
      </c>
      <c r="H19" s="2">
        <f>IF('Modell einstellen'!$B$2="Ja",creep_res160!O19,creep_res160!C19)</f>
        <v>-8.5773737142857149E-3</v>
      </c>
      <c r="M19" s="9">
        <f t="shared" si="27"/>
        <v>-10</v>
      </c>
      <c r="N19" s="2">
        <f t="shared" si="4"/>
        <v>10</v>
      </c>
      <c r="O19" s="2">
        <f t="shared" si="5"/>
        <v>16083.526994315987</v>
      </c>
      <c r="P19" s="2">
        <f t="shared" si="6"/>
        <v>14039.167029746268</v>
      </c>
      <c r="Q19" s="2">
        <f t="shared" si="7"/>
        <v>12791.184461853854</v>
      </c>
      <c r="R19" s="2">
        <f t="shared" si="8"/>
        <v>11531.217526238213</v>
      </c>
      <c r="S19" s="2">
        <f t="shared" si="9"/>
        <v>10013.689285464046</v>
      </c>
      <c r="T19" s="2">
        <f t="shared" si="10"/>
        <v>5028.158477613827</v>
      </c>
      <c r="U19" s="2">
        <f t="shared" si="11"/>
        <v>1165.8580275387658</v>
      </c>
      <c r="Z19" s="2">
        <v>10</v>
      </c>
      <c r="AA19" s="3">
        <f>IF('Modell einstellen'!$B$2="Ja",'creep_res-40'!P19,'creep_res-40'!L19)</f>
        <v>0.37656534075295534</v>
      </c>
      <c r="AB19" s="2">
        <f>IF('Modell einstellen'!$B$2="Ja",creep_res0!P19,creep_res0!L19)</f>
        <v>0.41276707409399038</v>
      </c>
      <c r="AC19" s="2">
        <f>IF('Modell einstellen'!$B$2="Ja",creep_res25!P19,creep_res25!L19)</f>
        <v>0.43792191493533417</v>
      </c>
      <c r="AD19" s="2">
        <f>IF('Modell einstellen'!$B$2="Ja",creep_res50!P19,creep_res50!L19)</f>
        <v>0.46432667952430368</v>
      </c>
      <c r="AE19" s="2">
        <f>IF('Modell einstellen'!$B$2="Ja",creep_res80!P19,creep_res80!L19)</f>
        <v>0.49182197731853605</v>
      </c>
      <c r="AF19" s="2">
        <f>IF('Modell einstellen'!$B$2="Ja",creep_res125!P19,creep_res125!L19)</f>
        <v>0.62507455861136874</v>
      </c>
      <c r="AG19" s="2">
        <f>IF('Modell einstellen'!$B$2="Ja",creep_res160!P19,creep_res160!L19)</f>
        <v>0.84978482258039156</v>
      </c>
      <c r="AL19" s="2">
        <f t="shared" si="12"/>
        <v>10</v>
      </c>
      <c r="AM19" s="2">
        <f t="shared" si="13"/>
        <v>5841.9046732349807</v>
      </c>
      <c r="AN19" s="2">
        <f t="shared" si="14"/>
        <v>4968.6771751633605</v>
      </c>
      <c r="AO19" s="2">
        <f t="shared" si="15"/>
        <v>4447.8021820917502</v>
      </c>
      <c r="AP19" s="2">
        <f t="shared" si="16"/>
        <v>3937.3787582645855</v>
      </c>
      <c r="AQ19" s="2">
        <f t="shared" si="17"/>
        <v>3356.1944513859066</v>
      </c>
      <c r="AR19" s="2">
        <f t="shared" si="18"/>
        <v>1547.0547031117155</v>
      </c>
      <c r="AS19" s="2">
        <f t="shared" si="19"/>
        <v>315.13341803519359</v>
      </c>
      <c r="AX19" s="2">
        <f t="shared" si="28"/>
        <v>10</v>
      </c>
      <c r="AY19" s="37">
        <f t="shared" si="20"/>
        <v>21716.654371937904</v>
      </c>
      <c r="AZ19" s="37">
        <f t="shared" si="21"/>
        <v>26823.142148705356</v>
      </c>
      <c r="BA19" s="37">
        <f t="shared" si="22"/>
        <v>34341.653334746246</v>
      </c>
      <c r="BB19" s="37">
        <f t="shared" si="23"/>
        <v>53874.143535803138</v>
      </c>
      <c r="BC19" s="37">
        <f t="shared" si="24"/>
        <v>204077.22982069908</v>
      </c>
      <c r="BD19" s="37">
        <f t="shared" si="25"/>
        <v>-6700.2148337740755</v>
      </c>
      <c r="BE19" s="37">
        <f t="shared" si="26"/>
        <v>-555.51201399483955</v>
      </c>
    </row>
    <row r="20" spans="1:57" x14ac:dyDescent="0.25">
      <c r="A20" s="2">
        <f>'creep_res-40'!A20</f>
        <v>100</v>
      </c>
      <c r="B20" s="3">
        <f>'creep_res-40'!O20</f>
        <v>-6.3232454285714289E-4</v>
      </c>
      <c r="C20" s="2">
        <f>IF('Modell einstellen'!$B$2="Ja",creep_res0!O20,creep_res0!C20)</f>
        <v>-7.3301334285714298E-4</v>
      </c>
      <c r="D20" s="2">
        <f>IF('Modell einstellen'!$B$2="Ja",creep_res25!O20,creep_res25!C20)</f>
        <v>-8.2380834285714283E-4</v>
      </c>
      <c r="E20" s="2">
        <f>IF('Modell einstellen'!$B$2="Ja",creep_res50!O20,creep_res50!C20)</f>
        <v>-9.2485631428571426E-4</v>
      </c>
      <c r="F20" s="2">
        <f>IF('Modell einstellen'!$B$2="Ja",creep_res80!O20,creep_res80!C20)</f>
        <v>-1.1006983428571428E-3</v>
      </c>
      <c r="G20" s="2">
        <f>IF('Modell einstellen'!$B$2="Ja",creep_res125!O20,creep_res125!C20)</f>
        <v>-2.6920593142857143E-3</v>
      </c>
      <c r="H20" s="2">
        <f>IF('Modell einstellen'!$B$2="Ja",creep_res160!O20,creep_res160!C20)</f>
        <v>-9.6307237142857147E-3</v>
      </c>
      <c r="M20" s="9">
        <f t="shared" si="27"/>
        <v>-10</v>
      </c>
      <c r="N20" s="2">
        <f t="shared" si="4"/>
        <v>100</v>
      </c>
      <c r="O20" s="2">
        <f t="shared" si="5"/>
        <v>15814.663708631719</v>
      </c>
      <c r="P20" s="2">
        <f t="shared" si="6"/>
        <v>13642.316470013971</v>
      </c>
      <c r="Q20" s="2">
        <f t="shared" si="7"/>
        <v>12138.745724907167</v>
      </c>
      <c r="R20" s="2">
        <f t="shared" si="8"/>
        <v>10812.490378814366</v>
      </c>
      <c r="S20" s="2">
        <f t="shared" si="9"/>
        <v>9085.1413240456532</v>
      </c>
      <c r="T20" s="2">
        <f t="shared" si="10"/>
        <v>3714.6284061921965</v>
      </c>
      <c r="U20" s="2">
        <f t="shared" si="11"/>
        <v>1038.3435655169424</v>
      </c>
      <c r="Z20" s="2">
        <v>100</v>
      </c>
      <c r="AA20" s="3">
        <f>IF('Modell einstellen'!$B$2="Ja",'creep_res-40'!P20,'creep_res-40'!L20)</f>
        <v>0.38123262561508314</v>
      </c>
      <c r="AB20" s="2">
        <f>IF('Modell einstellen'!$B$2="Ja",creep_res0!P20,creep_res0!L20)</f>
        <v>0.42051060695952247</v>
      </c>
      <c r="AC20" s="2">
        <f>IF('Modell einstellen'!$B$2="Ja",creep_res25!P20,creep_res25!L20)</f>
        <v>0.44866455068675476</v>
      </c>
      <c r="AD20" s="2">
        <f>IF('Modell einstellen'!$B$2="Ja",creep_res50!P20,creep_res50!L20)</f>
        <v>0.46599742088122359</v>
      </c>
      <c r="AE20" s="2">
        <f>IF('Modell einstellen'!$B$2="Ja",creep_res80!P20,creep_res80!L20)</f>
        <v>0.48146670106214651</v>
      </c>
      <c r="AF20" s="2">
        <f>IF('Modell einstellen'!$B$2="Ja",creep_res125!P20,creep_res125!L20)</f>
        <v>0.6225859532112199</v>
      </c>
      <c r="AG20" s="2">
        <f>IF('Modell einstellen'!$B$2="Ja",creep_res160!P20,creep_res160!L20)</f>
        <v>0.78702208791132833</v>
      </c>
      <c r="AL20" s="2">
        <f t="shared" si="12"/>
        <v>100</v>
      </c>
      <c r="AM20" s="2">
        <f t="shared" si="13"/>
        <v>5724.8371546354174</v>
      </c>
      <c r="AN20" s="2">
        <f t="shared" si="14"/>
        <v>4801.9058791873949</v>
      </c>
      <c r="AO20" s="2">
        <f t="shared" si="15"/>
        <v>4189.6330379426572</v>
      </c>
      <c r="AP20" s="2">
        <f t="shared" si="16"/>
        <v>3687.7590044854528</v>
      </c>
      <c r="AQ20" s="2">
        <f t="shared" si="17"/>
        <v>3066.2657883339552</v>
      </c>
      <c r="AR20" s="2">
        <f t="shared" si="18"/>
        <v>1144.6630604809154</v>
      </c>
      <c r="AS20" s="2">
        <f t="shared" si="19"/>
        <v>290.52342792543726</v>
      </c>
      <c r="AX20" s="2">
        <f t="shared" si="28"/>
        <v>100</v>
      </c>
      <c r="AY20" s="37">
        <f t="shared" si="20"/>
        <v>22192.772202150238</v>
      </c>
      <c r="AZ20" s="37">
        <f t="shared" si="21"/>
        <v>28604.060550709873</v>
      </c>
      <c r="BA20" s="37">
        <f t="shared" si="22"/>
        <v>39409.88760300057</v>
      </c>
      <c r="BB20" s="37">
        <f t="shared" si="23"/>
        <v>52998.383549301849</v>
      </c>
      <c r="BC20" s="37">
        <f t="shared" si="24"/>
        <v>81701.062814111574</v>
      </c>
      <c r="BD20" s="37">
        <f t="shared" si="25"/>
        <v>-5050.3725602119102</v>
      </c>
      <c r="BE20" s="37">
        <f t="shared" si="26"/>
        <v>-602.94056871662838</v>
      </c>
    </row>
    <row r="21" spans="1:57" x14ac:dyDescent="0.25">
      <c r="A21" s="2">
        <f>'creep_res-40'!A21</f>
        <v>1000</v>
      </c>
      <c r="B21" s="3">
        <f>'creep_res-40'!O21</f>
        <v>-6.4453840000000008E-4</v>
      </c>
      <c r="C21" s="2">
        <f>IF('Modell einstellen'!$B$2="Ja",creep_res0!O21,creep_res0!C21)</f>
        <v>-7.6305660000000001E-4</v>
      </c>
      <c r="D21" s="2">
        <f>IF('Modell einstellen'!$B$2="Ja",creep_res25!O21,creep_res25!C21)</f>
        <v>-8.9115057142857151E-4</v>
      </c>
      <c r="E21" s="2">
        <f>IF('Modell einstellen'!$B$2="Ja",creep_res50!O21,creep_res50!C21)</f>
        <v>-1.0218747142857142E-3</v>
      </c>
      <c r="F21" s="2">
        <f>IF('Modell einstellen'!$B$2="Ja",creep_res80!O21,creep_res80!C21)</f>
        <v>-1.2385272000000002E-3</v>
      </c>
      <c r="G21" s="2">
        <f>IF('Modell einstellen'!$B$2="Ja",creep_res125!O21,creep_res125!C21)</f>
        <v>-3.8643142857142858E-3</v>
      </c>
      <c r="H21" s="2">
        <f>IF('Modell einstellen'!$B$2="Ja",creep_res160!O21,creep_res160!C21)</f>
        <v>-1.0780699142857144E-2</v>
      </c>
      <c r="M21" s="9">
        <f t="shared" si="27"/>
        <v>-10</v>
      </c>
      <c r="N21" s="2">
        <f t="shared" si="4"/>
        <v>1000</v>
      </c>
      <c r="O21" s="2">
        <f t="shared" si="5"/>
        <v>15514.979402313344</v>
      </c>
      <c r="P21" s="2">
        <f t="shared" si="6"/>
        <v>13105.187740988022</v>
      </c>
      <c r="Q21" s="2">
        <f t="shared" si="7"/>
        <v>11221.448227283699</v>
      </c>
      <c r="R21" s="2">
        <f t="shared" si="8"/>
        <v>9785.9354578412822</v>
      </c>
      <c r="S21" s="2">
        <f t="shared" si="9"/>
        <v>8074.1060834190794</v>
      </c>
      <c r="T21" s="2">
        <f t="shared" si="10"/>
        <v>2587.7812363679382</v>
      </c>
      <c r="U21" s="2">
        <f t="shared" si="11"/>
        <v>927.58362583799556</v>
      </c>
      <c r="Z21" s="2">
        <v>1000</v>
      </c>
      <c r="AA21" s="3">
        <f>IF('Modell einstellen'!$B$2="Ja",'creep_res-40'!P21,'creep_res-40'!L21)</f>
        <v>0.38650733610286059</v>
      </c>
      <c r="AB21" s="2">
        <f>IF('Modell einstellen'!$B$2="Ja",creep_res0!P21,creep_res0!L21)</f>
        <v>0.42705279941600288</v>
      </c>
      <c r="AC21" s="2">
        <f>IF('Modell einstellen'!$B$2="Ja",creep_res25!P21,creep_res25!L21)</f>
        <v>0.44984169742679375</v>
      </c>
      <c r="AD21" s="2">
        <f>IF('Modell einstellen'!$B$2="Ja",creep_res50!P21,creep_res50!L21)</f>
        <v>0.45531312686780306</v>
      </c>
      <c r="AE21" s="2">
        <f>IF('Modell einstellen'!$B$2="Ja",creep_res80!P21,creep_res80!L21)</f>
        <v>0.46327098370202463</v>
      </c>
      <c r="AF21" s="2">
        <f>IF('Modell einstellen'!$B$2="Ja",creep_res125!P21,creep_res125!L21)</f>
        <v>0.61729970942913548</v>
      </c>
      <c r="AG21" s="2">
        <f>IF('Modell einstellen'!$B$2="Ja",creep_res160!P21,creep_res160!L21)</f>
        <v>0.70153160223083333</v>
      </c>
      <c r="AL21" s="2">
        <f t="shared" si="12"/>
        <v>1000</v>
      </c>
      <c r="AM21" s="2">
        <f t="shared" si="13"/>
        <v>5594.9864087709147</v>
      </c>
      <c r="AN21" s="2">
        <f t="shared" si="14"/>
        <v>4591.6968686621467</v>
      </c>
      <c r="AO21" s="2">
        <f t="shared" si="15"/>
        <v>3869.887397775818</v>
      </c>
      <c r="AP21" s="2">
        <f t="shared" si="16"/>
        <v>3362.1408606761684</v>
      </c>
      <c r="AQ21" s="2">
        <f t="shared" si="17"/>
        <v>2758.9237309250375</v>
      </c>
      <c r="AR21" s="2">
        <f t="shared" si="18"/>
        <v>800.03144169281939</v>
      </c>
      <c r="AS21" s="2">
        <f t="shared" si="19"/>
        <v>272.57314075796921</v>
      </c>
      <c r="AX21" s="2">
        <f t="shared" si="28"/>
        <v>1000</v>
      </c>
      <c r="AY21" s="37">
        <f t="shared" si="20"/>
        <v>22784.114951510386</v>
      </c>
      <c r="AZ21" s="37">
        <f t="shared" si="21"/>
        <v>29942.176524187249</v>
      </c>
      <c r="BA21" s="37">
        <f t="shared" si="22"/>
        <v>37286.775573880812</v>
      </c>
      <c r="BB21" s="37">
        <f t="shared" si="23"/>
        <v>36498.173370703298</v>
      </c>
      <c r="BC21" s="37">
        <f t="shared" si="24"/>
        <v>36638.181004338308</v>
      </c>
      <c r="BD21" s="37">
        <f t="shared" si="25"/>
        <v>-3676.8792934525554</v>
      </c>
      <c r="BE21" s="37">
        <f t="shared" si="26"/>
        <v>-767.11180411260909</v>
      </c>
    </row>
    <row r="22" spans="1:57" x14ac:dyDescent="0.25">
      <c r="A22" s="2">
        <f>'creep_res-40'!A22</f>
        <v>10000</v>
      </c>
      <c r="B22" s="3">
        <f>'creep_res-40'!O22</f>
        <v>-6.5914294285714299E-4</v>
      </c>
      <c r="C22" s="2">
        <f>IF('Modell einstellen'!$B$2="Ja",creep_res0!O22,creep_res0!C22)</f>
        <v>-8.2490088571428571E-4</v>
      </c>
      <c r="D22" s="2">
        <f>IF('Modell einstellen'!$B$2="Ja",creep_res25!O22,creep_res25!C22)</f>
        <v>-9.8592488571428577E-4</v>
      </c>
      <c r="E22" s="2">
        <f>IF('Modell einstellen'!$B$2="Ja",creep_res50!O22,creep_res50!C22)</f>
        <v>-1.1385113428571429E-3</v>
      </c>
      <c r="F22" s="2">
        <f>IF('Modell einstellen'!$B$2="Ja",creep_res80!O22,creep_res80!C22)</f>
        <v>-1.4016256857142858E-3</v>
      </c>
      <c r="G22" s="2">
        <f>IF('Modell einstellen'!$B$2="Ja",creep_res125!O22,creep_res125!C22)</f>
        <v>-5.6697557142857151E-3</v>
      </c>
      <c r="H22" s="2">
        <f>IF('Modell einstellen'!$B$2="Ja",creep_res160!O22,creep_res160!C22)</f>
        <v>-1.1842520857142857E-2</v>
      </c>
      <c r="M22" s="9">
        <f t="shared" si="27"/>
        <v>-10</v>
      </c>
      <c r="N22" s="2">
        <f t="shared" si="4"/>
        <v>10000</v>
      </c>
      <c r="O22" s="2">
        <f t="shared" si="5"/>
        <v>15171.216059226344</v>
      </c>
      <c r="P22" s="2">
        <f t="shared" si="6"/>
        <v>12122.668520765317</v>
      </c>
      <c r="Q22" s="2">
        <f t="shared" si="7"/>
        <v>10142.760513398716</v>
      </c>
      <c r="R22" s="2">
        <f t="shared" si="8"/>
        <v>8783.3995354886611</v>
      </c>
      <c r="S22" s="2">
        <f t="shared" si="9"/>
        <v>7134.5724482095775</v>
      </c>
      <c r="T22" s="2">
        <f t="shared" si="10"/>
        <v>1763.7444193236845</v>
      </c>
      <c r="U22" s="2">
        <f t="shared" si="11"/>
        <v>844.41481004177126</v>
      </c>
      <c r="Z22" s="2">
        <v>10000</v>
      </c>
      <c r="AA22" s="3">
        <f>IF('Modell einstellen'!$B$2="Ja",'creep_res-40'!P22,'creep_res-40'!L22)</f>
        <v>0.39208252812104089</v>
      </c>
      <c r="AB22" s="2">
        <f>IF('Modell einstellen'!$B$2="Ja",creep_res0!P22,creep_res0!L22)</f>
        <v>0.4281061852937415</v>
      </c>
      <c r="AC22" s="2">
        <f>IF('Modell einstellen'!$B$2="Ja",creep_res25!P22,creep_res25!L22)</f>
        <v>0.43857890535908978</v>
      </c>
      <c r="AD22" s="2">
        <f>IF('Modell einstellen'!$B$2="Ja",creep_res50!P22,creep_res50!L22)</f>
        <v>0.43903993227045335</v>
      </c>
      <c r="AE22" s="2">
        <f>IF('Modell einstellen'!$B$2="Ja",creep_res80!P22,creep_res80!L22)</f>
        <v>0.44701769673619202</v>
      </c>
      <c r="AF22" s="2">
        <f>IF('Modell einstellen'!$B$2="Ja",creep_res125!P22,creep_res125!L22)</f>
        <v>0.60231609877875814</v>
      </c>
      <c r="AG22" s="2">
        <f>IF('Modell einstellen'!$B$2="Ja",creep_res160!P22,creep_res160!L22)</f>
        <v>0.62131419268527843</v>
      </c>
      <c r="AL22" s="2">
        <f t="shared" si="12"/>
        <v>10000</v>
      </c>
      <c r="AM22" s="2">
        <f t="shared" si="13"/>
        <v>5449.107992075601</v>
      </c>
      <c r="AN22" s="2">
        <f t="shared" si="14"/>
        <v>4244.316229983926</v>
      </c>
      <c r="AO22" s="2">
        <f t="shared" si="15"/>
        <v>3525.2708334642716</v>
      </c>
      <c r="AP22" s="2">
        <f t="shared" si="16"/>
        <v>3051.8261997186564</v>
      </c>
      <c r="AQ22" s="2">
        <f t="shared" si="17"/>
        <v>2465.267862411738</v>
      </c>
      <c r="AR22" s="2">
        <f t="shared" si="18"/>
        <v>550.37343151827611</v>
      </c>
      <c r="AS22" s="2">
        <f t="shared" si="19"/>
        <v>260.41060204475895</v>
      </c>
      <c r="AX22" s="2">
        <f t="shared" si="28"/>
        <v>10000</v>
      </c>
      <c r="AY22" s="37">
        <f t="shared" si="20"/>
        <v>23430.274689042741</v>
      </c>
      <c r="AZ22" s="37">
        <f t="shared" si="21"/>
        <v>28103.179136007129</v>
      </c>
      <c r="BA22" s="37">
        <f t="shared" si="22"/>
        <v>27522.46757322528</v>
      </c>
      <c r="BB22" s="37">
        <f t="shared" si="23"/>
        <v>24014.079660740073</v>
      </c>
      <c r="BC22" s="37">
        <f t="shared" si="24"/>
        <v>22443.256234335819</v>
      </c>
      <c r="BD22" s="37">
        <f t="shared" si="25"/>
        <v>-2873.0317782761535</v>
      </c>
      <c r="BE22" s="37">
        <f t="shared" si="26"/>
        <v>-1160.09346110669</v>
      </c>
    </row>
    <row r="23" spans="1:57" x14ac:dyDescent="0.25">
      <c r="A23" s="2">
        <f>'creep_res-40'!A23</f>
        <v>100000</v>
      </c>
      <c r="B23" s="3">
        <f>'creep_res-40'!O23</f>
        <v>-6.8338014285714292E-4</v>
      </c>
      <c r="C23" s="2">
        <f>IF('Modell einstellen'!$B$2="Ja",creep_res0!O23,creep_res0!C23)</f>
        <v>-9.2024928571428583E-4</v>
      </c>
      <c r="D23" s="2">
        <f>IF('Modell einstellen'!$B$2="Ja",creep_res25!O23,creep_res25!C23)</f>
        <v>-1.0965926E-3</v>
      </c>
      <c r="E23" s="2">
        <f>IF('Modell einstellen'!$B$2="Ja",creep_res50!O23,creep_res50!C23)</f>
        <v>-1.2614412857142859E-3</v>
      </c>
      <c r="F23" s="2">
        <f>IF('Modell einstellen'!$B$2="Ja",creep_res80!O23,creep_res80!C23)</f>
        <v>-1.5852084571428573E-3</v>
      </c>
      <c r="G23" s="2">
        <f>IF('Modell einstellen'!$B$2="Ja",creep_res125!O23,creep_res125!C23)</f>
        <v>-7.9366008571428569E-3</v>
      </c>
      <c r="H23" s="2">
        <f>IF('Modell einstellen'!$B$2="Ja",creep_res160!O23,creep_res160!C23)</f>
        <v>-1.3219097142857144E-2</v>
      </c>
      <c r="M23" s="9">
        <f t="shared" si="27"/>
        <v>-10</v>
      </c>
      <c r="N23" s="2">
        <f t="shared" si="4"/>
        <v>100000</v>
      </c>
      <c r="O23" s="2">
        <f t="shared" si="5"/>
        <v>14633.143945609856</v>
      </c>
      <c r="P23" s="2">
        <f t="shared" si="6"/>
        <v>10866.620768130373</v>
      </c>
      <c r="Q23" s="2">
        <f t="shared" si="7"/>
        <v>9119.1569229994802</v>
      </c>
      <c r="R23" s="2">
        <f t="shared" si="8"/>
        <v>7927.4399159510158</v>
      </c>
      <c r="S23" s="2">
        <f t="shared" si="9"/>
        <v>6308.3186031089981</v>
      </c>
      <c r="T23" s="2">
        <f t="shared" si="10"/>
        <v>1259.9852480927154</v>
      </c>
      <c r="U23" s="2">
        <f t="shared" si="11"/>
        <v>756.48131577605034</v>
      </c>
      <c r="Z23" s="2">
        <v>100000</v>
      </c>
      <c r="AA23" s="3">
        <f>IF('Modell einstellen'!$B$2="Ja",'creep_res-40'!P23,'creep_res-40'!L23)</f>
        <v>0.39657297622051391</v>
      </c>
      <c r="AB23" s="2">
        <f>IF('Modell einstellen'!$B$2="Ja",creep_res0!P23,creep_res0!L23)</f>
        <v>0.42145452823730212</v>
      </c>
      <c r="AC23" s="2">
        <f>IF('Modell einstellen'!$B$2="Ja",creep_res25!P23,creep_res25!L23)</f>
        <v>0.42498582817877334</v>
      </c>
      <c r="AD23" s="2">
        <f>IF('Modell einstellen'!$B$2="Ja",creep_res50!P23,creep_res50!L23)</f>
        <v>0.42485841309187256</v>
      </c>
      <c r="AE23" s="2">
        <f>IF('Modell einstellen'!$B$2="Ja",creep_res80!P23,creep_res80!L23)</f>
        <v>0.43556986178077417</v>
      </c>
      <c r="AF23" s="2">
        <f>IF('Modell einstellen'!$B$2="Ja",creep_res125!P23,creep_res125!L23)</f>
        <v>0.57344938205463492</v>
      </c>
      <c r="AG23" s="2">
        <f>IF('Modell einstellen'!$B$2="Ja",creep_res160!P23,creep_res160!L23)</f>
        <v>0.56795949323532791</v>
      </c>
      <c r="AL23" s="2">
        <f t="shared" si="12"/>
        <v>100000</v>
      </c>
      <c r="AM23" s="2">
        <f t="shared" si="13"/>
        <v>5238.9471208339255</v>
      </c>
      <c r="AN23" s="2">
        <f t="shared" si="14"/>
        <v>3822.3596155431378</v>
      </c>
      <c r="AO23" s="2">
        <f t="shared" si="15"/>
        <v>3199.7360053237758</v>
      </c>
      <c r="AP23" s="2">
        <f t="shared" si="16"/>
        <v>2781.8342661671418</v>
      </c>
      <c r="AQ23" s="2">
        <f t="shared" si="17"/>
        <v>2197.1478961266816</v>
      </c>
      <c r="AR23" s="2">
        <f t="shared" si="18"/>
        <v>400.38950806520603</v>
      </c>
      <c r="AS23" s="2">
        <f t="shared" si="19"/>
        <v>241.23114118692146</v>
      </c>
      <c r="AX23" s="2">
        <f t="shared" si="28"/>
        <v>100000</v>
      </c>
      <c r="AY23" s="37">
        <f t="shared" si="20"/>
        <v>23580.465096512202</v>
      </c>
      <c r="AZ23" s="37">
        <f t="shared" si="21"/>
        <v>23058.025124946482</v>
      </c>
      <c r="BA23" s="37">
        <f t="shared" si="22"/>
        <v>20260.964698626551</v>
      </c>
      <c r="BB23" s="37">
        <f t="shared" si="23"/>
        <v>17583.338872085071</v>
      </c>
      <c r="BC23" s="37">
        <f t="shared" si="24"/>
        <v>16318.239614419575</v>
      </c>
      <c r="BD23" s="37">
        <f t="shared" si="25"/>
        <v>-2859.0783948676435</v>
      </c>
      <c r="BE23" s="37">
        <f t="shared" si="26"/>
        <v>-1855.2260073426671</v>
      </c>
    </row>
    <row r="24" spans="1:57" x14ac:dyDescent="0.25">
      <c r="A24" s="2">
        <f>'creep_res-40'!A24</f>
        <v>1000000</v>
      </c>
      <c r="B24" s="3">
        <f>'creep_res-40'!O24</f>
        <v>-7.3237931428571433E-4</v>
      </c>
      <c r="C24" s="2">
        <f>IF('Modell einstellen'!$B$2="Ja",creep_res0!O24,creep_res0!C24)</f>
        <v>-1.0236987142857143E-3</v>
      </c>
      <c r="D24" s="2">
        <f>IF('Modell einstellen'!$B$2="Ja",creep_res25!O24,creep_res25!C24)</f>
        <v>-1.2054398E-3</v>
      </c>
      <c r="E24" s="2">
        <f>IF('Modell einstellen'!$B$2="Ja",creep_res50!O24,creep_res50!C24)</f>
        <v>-1.3867968571428572E-3</v>
      </c>
      <c r="F24" s="2">
        <f>IF('Modell einstellen'!$B$2="Ja",creep_res80!O24,creep_res80!C24)</f>
        <v>-1.8057158285714285E-3</v>
      </c>
      <c r="G24" s="2">
        <f>IF('Modell einstellen'!$B$2="Ja",creep_res125!O24,creep_res125!C24)</f>
        <v>-1.0034396571428572E-2</v>
      </c>
      <c r="H24" s="2">
        <f>IF('Modell einstellen'!$B$2="Ja",creep_res160!O24,creep_res160!C24)</f>
        <v>-1.4078526000000001E-2</v>
      </c>
      <c r="M24" s="9">
        <f t="shared" si="27"/>
        <v>-10</v>
      </c>
      <c r="N24" s="2">
        <f t="shared" si="4"/>
        <v>1000000</v>
      </c>
      <c r="O24" s="2">
        <f t="shared" si="5"/>
        <v>13654.12676865805</v>
      </c>
      <c r="P24" s="2">
        <f t="shared" si="6"/>
        <v>9768.4991301151531</v>
      </c>
      <c r="Q24" s="2">
        <f t="shared" si="7"/>
        <v>8295.7274183248301</v>
      </c>
      <c r="R24" s="2">
        <f t="shared" si="8"/>
        <v>7210.8614527743166</v>
      </c>
      <c r="S24" s="2">
        <f t="shared" si="9"/>
        <v>5537.9699517345352</v>
      </c>
      <c r="T24" s="2">
        <f t="shared" si="10"/>
        <v>996.57213354248813</v>
      </c>
      <c r="U24" s="2">
        <f t="shared" si="11"/>
        <v>710.30163242941762</v>
      </c>
      <c r="Z24" s="2">
        <v>1000000</v>
      </c>
      <c r="AA24" s="3">
        <f>IF('Modell einstellen'!$B$2="Ja",'creep_res-40'!P24,'creep_res-40'!L24)</f>
        <v>0.3961217832632864</v>
      </c>
      <c r="AB24" s="2">
        <f>IF('Modell einstellen'!$B$2="Ja",creep_res0!P24,creep_res0!L24)</f>
        <v>0.41145130452026135</v>
      </c>
      <c r="AC24" s="2">
        <f>IF('Modell einstellen'!$B$2="Ja",creep_res25!P24,creep_res25!L24)</f>
        <v>0.41323457214536963</v>
      </c>
      <c r="AD24" s="2">
        <f>IF('Modell einstellen'!$B$2="Ja",creep_res50!P24,creep_res50!L24)</f>
        <v>0.41500407207647472</v>
      </c>
      <c r="AE24" s="2">
        <f>IF('Modell einstellen'!$B$2="Ja",creep_res80!P24,creep_res80!L24)</f>
        <v>0.42938093059224292</v>
      </c>
      <c r="AF24" s="2">
        <f>IF('Modell einstellen'!$B$2="Ja",creep_res125!P24,creep_res125!L24)</f>
        <v>0.54062429492521558</v>
      </c>
      <c r="AG24" s="2">
        <f>IF('Modell einstellen'!$B$2="Ja",creep_res160!P24,creep_res160!L24)</f>
        <v>0.52777288515248577</v>
      </c>
      <c r="AL24" s="2">
        <f t="shared" si="12"/>
        <v>1000000</v>
      </c>
      <c r="AM24" s="2">
        <f t="shared" si="13"/>
        <v>4890.0199582671721</v>
      </c>
      <c r="AN24" s="2">
        <f t="shared" si="14"/>
        <v>3460.4449685337781</v>
      </c>
      <c r="AO24" s="2">
        <f t="shared" si="15"/>
        <v>2935.0143216958841</v>
      </c>
      <c r="AP24" s="2">
        <f t="shared" si="16"/>
        <v>2548.0002478694637</v>
      </c>
      <c r="AQ24" s="2">
        <f t="shared" si="17"/>
        <v>1937.1917706499551</v>
      </c>
      <c r="AR24" s="2">
        <f t="shared" si="18"/>
        <v>323.43126641101793</v>
      </c>
      <c r="AS24" s="2">
        <f t="shared" si="19"/>
        <v>232.46309688187819</v>
      </c>
      <c r="AX24" s="2">
        <f t="shared" si="28"/>
        <v>1000000</v>
      </c>
      <c r="AY24" s="37">
        <f t="shared" si="20"/>
        <v>21907.26666538979</v>
      </c>
      <c r="AZ24" s="37">
        <f t="shared" si="21"/>
        <v>18386.30348569118</v>
      </c>
      <c r="BA24" s="37">
        <f t="shared" si="22"/>
        <v>15935.163008749987</v>
      </c>
      <c r="BB24" s="37">
        <f t="shared" si="23"/>
        <v>14139.621408808858</v>
      </c>
      <c r="BC24" s="37">
        <f t="shared" si="24"/>
        <v>13070.053169723167</v>
      </c>
      <c r="BD24" s="37">
        <f t="shared" si="25"/>
        <v>-4088.5720206634032</v>
      </c>
      <c r="BE24" s="37">
        <f t="shared" si="26"/>
        <v>-4262.5605785975458</v>
      </c>
    </row>
    <row r="25" spans="1:57" x14ac:dyDescent="0.25">
      <c r="A25" s="2">
        <f>'creep_res-40'!A25</f>
        <v>10000000</v>
      </c>
      <c r="B25" s="3">
        <f>'creep_res-40'!O25</f>
        <v>-8.0223320000000003E-4</v>
      </c>
      <c r="C25" s="2">
        <f>IF('Modell einstellen'!$B$2="Ja",creep_res0!O25,creep_res0!C25)</f>
        <v>-1.1206177714285716E-3</v>
      </c>
      <c r="D25" s="2">
        <f>IF('Modell einstellen'!$B$2="Ja",creep_res25!O25,creep_res25!C25)</f>
        <v>-1.3127762000000002E-3</v>
      </c>
      <c r="E25" s="2">
        <f>IF('Modell einstellen'!$B$2="Ja",creep_res50!O25,creep_res50!C25)</f>
        <v>-1.5257593428571429E-3</v>
      </c>
      <c r="F25" s="2">
        <f>IF('Modell einstellen'!$B$2="Ja",creep_res80!O25,creep_res80!C25)</f>
        <v>-2.0945822285714285E-3</v>
      </c>
      <c r="G25" s="2">
        <f>IF('Modell einstellen'!$B$2="Ja",creep_res125!O25,creep_res125!C25)</f>
        <v>-1.1571610571428572E-2</v>
      </c>
      <c r="H25" s="2">
        <f>IF('Modell einstellen'!$B$2="Ja",creep_res160!O25,creep_res160!C25)</f>
        <v>-1.4530700857142857E-2</v>
      </c>
      <c r="M25" s="9">
        <f t="shared" si="27"/>
        <v>-10</v>
      </c>
      <c r="N25" s="2">
        <f t="shared" si="4"/>
        <v>10000000</v>
      </c>
      <c r="O25" s="2">
        <f t="shared" si="5"/>
        <v>12465.203384751467</v>
      </c>
      <c r="P25" s="2">
        <f t="shared" si="6"/>
        <v>8923.6493075171638</v>
      </c>
      <c r="Q25" s="2">
        <f t="shared" si="7"/>
        <v>7617.4446185115166</v>
      </c>
      <c r="R25" s="2">
        <f t="shared" si="8"/>
        <v>6554.1135611032614</v>
      </c>
      <c r="S25" s="2">
        <f t="shared" si="9"/>
        <v>4774.2217343361672</v>
      </c>
      <c r="T25" s="2">
        <f t="shared" si="10"/>
        <v>864.18393863780454</v>
      </c>
      <c r="U25" s="2">
        <f t="shared" si="11"/>
        <v>688.19805034278852</v>
      </c>
      <c r="Z25" s="2">
        <v>10000000</v>
      </c>
      <c r="AA25" s="3">
        <f>IF('Modell einstellen'!$B$2="Ja",'creep_res-40'!P25,'creep_res-40'!L25)</f>
        <v>0.39085930909580197</v>
      </c>
      <c r="AB25" s="2">
        <f>IF('Modell einstellen'!$B$2="Ja",creep_res0!P25,creep_res0!L25)</f>
        <v>0.40240380675740534</v>
      </c>
      <c r="AC25" s="2">
        <f>IF('Modell einstellen'!$B$2="Ja",creep_res25!P25,creep_res25!L25)</f>
        <v>0.40531926592993212</v>
      </c>
      <c r="AD25" s="2">
        <f>IF('Modell einstellen'!$B$2="Ja",creep_res50!P25,creep_res50!L25)</f>
        <v>0.40967065448273188</v>
      </c>
      <c r="AE25" s="2">
        <f>IF('Modell einstellen'!$B$2="Ja",creep_res80!P25,creep_res80!L25)</f>
        <v>0.42745507327761972</v>
      </c>
      <c r="AF25" s="2">
        <f>IF('Modell einstellen'!$B$2="Ja",creep_res125!P25,creep_res125!L25)</f>
        <v>0.51281627990196799</v>
      </c>
      <c r="AG25" s="2">
        <f>IF('Modell einstellen'!$B$2="Ja",creep_res160!P25,creep_res160!L25)</f>
        <v>0.50112332601477316</v>
      </c>
      <c r="AL25" s="2">
        <f t="shared" si="12"/>
        <v>10000000</v>
      </c>
      <c r="AM25" s="2">
        <f t="shared" si="13"/>
        <v>4481.1158480346585</v>
      </c>
      <c r="AN25" s="2">
        <f t="shared" si="14"/>
        <v>3181.5548647682826</v>
      </c>
      <c r="AO25" s="2">
        <f t="shared" si="15"/>
        <v>2710.2185258489567</v>
      </c>
      <c r="AP25" s="2">
        <f t="shared" si="16"/>
        <v>2324.6967439739478</v>
      </c>
      <c r="AQ25" s="2">
        <f t="shared" si="17"/>
        <v>1672.2844115065361</v>
      </c>
      <c r="AR25" s="2">
        <f t="shared" si="18"/>
        <v>285.62091448863987</v>
      </c>
      <c r="AS25" s="2">
        <f t="shared" si="19"/>
        <v>229.22768516622719</v>
      </c>
      <c r="AX25" s="2">
        <f t="shared" si="28"/>
        <v>10000000</v>
      </c>
      <c r="AY25" s="37">
        <f t="shared" si="20"/>
        <v>19035.374251773832</v>
      </c>
      <c r="AZ25" s="37">
        <f t="shared" si="21"/>
        <v>15239.066557537524</v>
      </c>
      <c r="BA25" s="37">
        <f t="shared" si="22"/>
        <v>13409.001478016768</v>
      </c>
      <c r="BB25" s="37">
        <f t="shared" si="23"/>
        <v>12092.994296909343</v>
      </c>
      <c r="BC25" s="37">
        <f t="shared" si="24"/>
        <v>10968.425475628535</v>
      </c>
      <c r="BD25" s="37">
        <f t="shared" si="25"/>
        <v>-11238.101659867592</v>
      </c>
      <c r="BE25" s="37">
        <f t="shared" si="26"/>
        <v>-102107.2008915356</v>
      </c>
    </row>
    <row r="26" spans="1:57" x14ac:dyDescent="0.25">
      <c r="A26" s="2">
        <f>'creep_res-40'!A26</f>
        <v>100000000</v>
      </c>
      <c r="B26" s="3">
        <f>'creep_res-40'!O26</f>
        <v>-8.7572668571428566E-4</v>
      </c>
      <c r="C26" s="2">
        <f>IF('Modell einstellen'!$B$2="Ja",creep_res0!O26,creep_res0!C26)</f>
        <v>-1.2143814285714286E-3</v>
      </c>
      <c r="D26" s="2">
        <f>IF('Modell einstellen'!$B$2="Ja",creep_res25!O26,creep_res25!C26)</f>
        <v>-1.4189503714285715E-3</v>
      </c>
      <c r="E26" s="2">
        <f>IF('Modell einstellen'!$B$2="Ja",creep_res50!O26,creep_res50!C26)</f>
        <v>-1.6832314857142859E-3</v>
      </c>
      <c r="F26" s="2">
        <f>IF('Modell einstellen'!$B$2="Ja",creep_res80!O26,creep_res80!C26)</f>
        <v>-2.5257706571428572E-3</v>
      </c>
      <c r="G26" s="2">
        <f>IF('Modell einstellen'!$B$2="Ja",creep_res125!O26,creep_res125!C26)</f>
        <v>-1.2645109714285716E-2</v>
      </c>
      <c r="H26" s="2">
        <f>IF('Modell einstellen'!$B$2="Ja",creep_res160!O26,creep_res160!C26)</f>
        <v>-1.4819218E-2</v>
      </c>
      <c r="M26" s="9">
        <f t="shared" si="27"/>
        <v>-10</v>
      </c>
      <c r="N26" s="2">
        <f t="shared" si="4"/>
        <v>100000000</v>
      </c>
      <c r="O26" s="2">
        <f t="shared" si="5"/>
        <v>11419.087899375259</v>
      </c>
      <c r="P26" s="2">
        <f t="shared" si="6"/>
        <v>8234.6450338620361</v>
      </c>
      <c r="Q26" s="2">
        <f t="shared" si="7"/>
        <v>7047.4628298184916</v>
      </c>
      <c r="R26" s="2">
        <f t="shared" si="8"/>
        <v>5940.9535081007953</v>
      </c>
      <c r="S26" s="2">
        <f t="shared" si="9"/>
        <v>3959.1876529724059</v>
      </c>
      <c r="T26" s="2">
        <f t="shared" si="10"/>
        <v>790.81955205992222</v>
      </c>
      <c r="U26" s="2">
        <f t="shared" si="11"/>
        <v>674.79943948459356</v>
      </c>
      <c r="Z26" s="2">
        <v>100000000</v>
      </c>
      <c r="AA26" s="3">
        <f>IF('Modell einstellen'!$B$2="Ja",'creep_res-40'!P26,'creep_res-40'!L26)</f>
        <v>0.38495614776612952</v>
      </c>
      <c r="AB26" s="2">
        <f>IF('Modell einstellen'!$B$2="Ja",creep_res0!P26,creep_res0!L26)</f>
        <v>0.39642188203988626</v>
      </c>
      <c r="AC26" s="2">
        <f>IF('Modell einstellen'!$B$2="Ja",creep_res25!P26,creep_res25!L26)</f>
        <v>0.40042121275841258</v>
      </c>
      <c r="AD26" s="2">
        <f>IF('Modell einstellen'!$B$2="Ja",creep_res50!P26,creep_res50!L26)</f>
        <v>0.40720790767391601</v>
      </c>
      <c r="AE26" s="2">
        <f>IF('Modell einstellen'!$B$2="Ja",creep_res80!P26,creep_res80!L26)</f>
        <v>0.42977109798216839</v>
      </c>
      <c r="AF26" s="2">
        <f>IF('Modell einstellen'!$B$2="Ja",creep_res125!P26,creep_res125!L26)</f>
        <v>0.49364461256213693</v>
      </c>
      <c r="AG26" s="2">
        <f>IF('Modell einstellen'!$B$2="Ja",creep_res160!P26,creep_res160!L26)</f>
        <v>0.48468614972029661</v>
      </c>
      <c r="AL26" s="2">
        <f t="shared" si="12"/>
        <v>100000000</v>
      </c>
      <c r="AM26" s="2">
        <f t="shared" si="13"/>
        <v>4122.5449332073522</v>
      </c>
      <c r="AN26" s="2">
        <f t="shared" si="14"/>
        <v>2948.4803768016395</v>
      </c>
      <c r="AO26" s="2">
        <f t="shared" si="15"/>
        <v>2516.1939727894755</v>
      </c>
      <c r="AP26" s="2">
        <f t="shared" si="16"/>
        <v>2110.9011240283112</v>
      </c>
      <c r="AQ26" s="2">
        <f t="shared" si="17"/>
        <v>1384.5529744446492</v>
      </c>
      <c r="AR26" s="2">
        <f t="shared" si="18"/>
        <v>264.72815066208511</v>
      </c>
      <c r="AS26" s="2">
        <f t="shared" si="19"/>
        <v>227.25322776524877</v>
      </c>
      <c r="AX26" s="2">
        <f t="shared" si="28"/>
        <v>100000000</v>
      </c>
      <c r="AY26" s="37">
        <f t="shared" si="20"/>
        <v>16543.094477518032</v>
      </c>
      <c r="AZ26" s="37">
        <f t="shared" si="21"/>
        <v>13250.297128448607</v>
      </c>
      <c r="BA26" s="37">
        <f t="shared" si="22"/>
        <v>11795.455345860442</v>
      </c>
      <c r="BB26" s="37">
        <f t="shared" si="23"/>
        <v>10670.72520077731</v>
      </c>
      <c r="BC26" s="37">
        <f t="shared" si="24"/>
        <v>9395.9123647012184</v>
      </c>
      <c r="BD26" s="37">
        <f t="shared" si="25"/>
        <v>20738.823551719001</v>
      </c>
      <c r="BE26" s="37">
        <f t="shared" si="26"/>
        <v>7344.1081892052171</v>
      </c>
    </row>
    <row r="27" spans="1:57" x14ac:dyDescent="0.25">
      <c r="A27" s="2">
        <f>'creep_res-40'!A27</f>
        <v>1000000000</v>
      </c>
      <c r="B27" s="3">
        <f>'creep_res-40'!O27</f>
        <v>-9.4835420000000006E-4</v>
      </c>
      <c r="C27" s="2">
        <f>IF('Modell einstellen'!$B$2="Ja",creep_res0!O27,creep_res0!C27)</f>
        <v>-1.3023213714285717E-3</v>
      </c>
      <c r="D27" s="2">
        <f>IF('Modell einstellen'!$B$2="Ja",creep_res25!O27,creep_res25!C27)</f>
        <v>-1.5404469428571428E-3</v>
      </c>
      <c r="E27" s="2">
        <f>IF('Modell einstellen'!$B$2="Ja",creep_res50!O27,creep_res50!C27)</f>
        <v>-1.880858142857143E-3</v>
      </c>
      <c r="F27" s="2">
        <f>IF('Modell einstellen'!$B$2="Ja",creep_res80!O27,creep_res80!C27)</f>
        <v>-3.2390602857142858E-3</v>
      </c>
      <c r="G27" s="2">
        <f>IF('Modell einstellen'!$B$2="Ja",creep_res125!O27,creep_res125!C27)</f>
        <v>-1.3425689142857142E-2</v>
      </c>
      <c r="H27" s="2">
        <f>IF('Modell einstellen'!$B$2="Ja",creep_res160!O27,creep_res160!C27)</f>
        <v>-1.5014377428571431E-2</v>
      </c>
      <c r="M27" s="9">
        <f t="shared" si="27"/>
        <v>-10</v>
      </c>
      <c r="N27" s="2">
        <f t="shared" si="4"/>
        <v>1000000000</v>
      </c>
      <c r="O27" s="2">
        <f t="shared" si="5"/>
        <v>10544.583447829935</v>
      </c>
      <c r="P27" s="2">
        <f t="shared" si="6"/>
        <v>7678.5962508091034</v>
      </c>
      <c r="Q27" s="2">
        <f t="shared" si="7"/>
        <v>6491.6224777287734</v>
      </c>
      <c r="R27" s="2">
        <f t="shared" si="8"/>
        <v>5316.7220707083015</v>
      </c>
      <c r="S27" s="2">
        <f t="shared" si="9"/>
        <v>3087.315183389609</v>
      </c>
      <c r="T27" s="2">
        <f t="shared" si="10"/>
        <v>744.84072240867363</v>
      </c>
      <c r="U27" s="2">
        <f t="shared" si="11"/>
        <v>666.02828173019145</v>
      </c>
      <c r="Z27" s="2">
        <v>1000000000</v>
      </c>
      <c r="AA27" s="3">
        <f>IF('Modell einstellen'!$B$2="Ja",'creep_res-40'!P27,'creep_res-40'!L27)</f>
        <v>0.38118048539850852</v>
      </c>
      <c r="AB27" s="2">
        <f>IF('Modell einstellen'!$B$2="Ja",creep_res0!P27,creep_res0!L27)</f>
        <v>0.39263944681813007</v>
      </c>
      <c r="AC27" s="2">
        <f>IF('Modell einstellen'!$B$2="Ja",creep_res25!P27,creep_res25!L27)</f>
        <v>0.39862219578833546</v>
      </c>
      <c r="AD27" s="2">
        <f>IF('Modell einstellen'!$B$2="Ja",creep_res50!P27,creep_res50!L27)</f>
        <v>0.40720833583029392</v>
      </c>
      <c r="AE27" s="2">
        <f>IF('Modell einstellen'!$B$2="Ja",creep_res80!P27,creep_res80!L27)</f>
        <v>0.43539182572440988</v>
      </c>
      <c r="AF27" s="2">
        <f>IF('Modell einstellen'!$B$2="Ja",creep_res125!P27,creep_res125!L27)</f>
        <v>0.48130681751436355</v>
      </c>
      <c r="AG27" s="2">
        <f>IF('Modell einstellen'!$B$2="Ja",creep_res160!P27,creep_res160!L27)</f>
        <v>0.47481376945347292</v>
      </c>
      <c r="AL27" s="2">
        <f t="shared" si="12"/>
        <v>1000000000</v>
      </c>
      <c r="AM27" s="2">
        <f t="shared" si="13"/>
        <v>3817.2358932466136</v>
      </c>
      <c r="AN27" s="2">
        <f t="shared" si="14"/>
        <v>2756.8500477108341</v>
      </c>
      <c r="AO27" s="2">
        <f t="shared" si="15"/>
        <v>2320.7205267001218</v>
      </c>
      <c r="AP27" s="2">
        <f t="shared" si="16"/>
        <v>1889.1026777393556</v>
      </c>
      <c r="AQ27" s="2">
        <f t="shared" si="17"/>
        <v>1075.4259318118629</v>
      </c>
      <c r="AR27" s="2">
        <f t="shared" si="18"/>
        <v>251.4133849928937</v>
      </c>
      <c r="AS27" s="2">
        <f t="shared" si="19"/>
        <v>225.80080804948139</v>
      </c>
      <c r="AX27" s="2">
        <f t="shared" si="28"/>
        <v>1000000000</v>
      </c>
      <c r="AY27" s="37">
        <f t="shared" si="20"/>
        <v>14790.757061519442</v>
      </c>
      <c r="AZ27" s="37">
        <f t="shared" si="21"/>
        <v>11920.263112221299</v>
      </c>
      <c r="BA27" s="37">
        <f t="shared" si="22"/>
        <v>10672.327024981811</v>
      </c>
      <c r="BB27" s="37">
        <f t="shared" si="23"/>
        <v>9549.5684127124878</v>
      </c>
      <c r="BC27" s="37">
        <f t="shared" si="24"/>
        <v>7964.2016870818779</v>
      </c>
      <c r="BD27" s="37">
        <f t="shared" si="25"/>
        <v>6640.9302159668605</v>
      </c>
      <c r="BE27" s="37">
        <f t="shared" si="26"/>
        <v>4407.3571635357312</v>
      </c>
    </row>
    <row r="28" spans="1:57" x14ac:dyDescent="0.25">
      <c r="A28" s="2">
        <f>'creep_res-40'!A28</f>
        <v>10000000000</v>
      </c>
      <c r="B28" s="3">
        <f>'creep_res-40'!O28</f>
        <v>-1.0240924285714287E-3</v>
      </c>
      <c r="C28" s="2">
        <f>IF('Modell einstellen'!$B$2="Ja",creep_res0!O28,creep_res0!C28)</f>
        <v>-1.3911255428571429E-3</v>
      </c>
      <c r="D28" s="2">
        <f>IF('Modell einstellen'!$B$2="Ja",creep_res25!O28,creep_res25!C28)</f>
        <v>-1.6803034285714285E-3</v>
      </c>
      <c r="E28" s="2">
        <f>IF('Modell einstellen'!$B$2="Ja",creep_res50!O28,creep_res50!C28)</f>
        <v>-2.1486687142857142E-3</v>
      </c>
      <c r="F28" s="2">
        <f>IF('Modell einstellen'!$B$2="Ja",creep_res80!O28,creep_res80!C28)</f>
        <v>-4.4360648571428575E-3</v>
      </c>
      <c r="G28" s="2">
        <f>IF('Modell einstellen'!$B$2="Ja",creep_res125!O28,creep_res125!C28)</f>
        <v>-1.3859122857142856E-2</v>
      </c>
      <c r="H28" s="2">
        <f>IF('Modell einstellen'!$B$2="Ja",creep_res160!O28,creep_res160!C28)</f>
        <v>-1.5071447428571428E-2</v>
      </c>
      <c r="M28" s="9">
        <f t="shared" si="27"/>
        <v>-10</v>
      </c>
      <c r="N28" s="2">
        <f t="shared" si="4"/>
        <v>10000000000</v>
      </c>
      <c r="O28" s="2">
        <f t="shared" si="5"/>
        <v>9764.7436120093498</v>
      </c>
      <c r="P28" s="2">
        <f t="shared" si="6"/>
        <v>7188.4238279901365</v>
      </c>
      <c r="Q28" s="2">
        <f t="shared" si="7"/>
        <v>5951.3060736309189</v>
      </c>
      <c r="R28" s="2">
        <f t="shared" si="8"/>
        <v>4654.0445874757934</v>
      </c>
      <c r="S28" s="2">
        <f t="shared" si="9"/>
        <v>2254.2501793900087</v>
      </c>
      <c r="T28" s="2">
        <f t="shared" si="10"/>
        <v>721.54638522784273</v>
      </c>
      <c r="U28" s="2">
        <f t="shared" si="11"/>
        <v>663.50627883574589</v>
      </c>
      <c r="Z28" s="2">
        <v>10000000000</v>
      </c>
      <c r="AA28" s="3">
        <f>IF('Modell einstellen'!$B$2="Ja",'creep_res-40'!P28,'creep_res-40'!L28)</f>
        <v>0.37993222430955237</v>
      </c>
      <c r="AB28" s="2">
        <f>IF('Modell einstellen'!$B$2="Ja",creep_res0!P28,creep_res0!L28)</f>
        <v>0.3907768907536619</v>
      </c>
      <c r="AC28" s="2">
        <f>IF('Modell einstellen'!$B$2="Ja",creep_res25!P28,creep_res25!L28)</f>
        <v>0.39838527463237089</v>
      </c>
      <c r="AD28" s="2">
        <f>IF('Modell einstellen'!$B$2="Ja",creep_res50!P28,creep_res50!L28)</f>
        <v>0.40936058679789838</v>
      </c>
      <c r="AE28" s="2">
        <f>IF('Modell einstellen'!$B$2="Ja",creep_res80!P28,creep_res80!L28)</f>
        <v>0.44394050144957947</v>
      </c>
      <c r="AF28" s="2">
        <f>IF('Modell einstellen'!$B$2="Ja",creep_res125!P28,creep_res125!L28)</f>
        <v>0.47297600569650566</v>
      </c>
      <c r="AG28" s="2">
        <f>IF('Modell einstellen'!$B$2="Ja",creep_res160!P28,creep_res160!L28)</f>
        <v>0.47229679295567145</v>
      </c>
      <c r="AL28" s="2">
        <f t="shared" si="12"/>
        <v>10000000000</v>
      </c>
      <c r="AM28" s="2">
        <f t="shared" si="13"/>
        <v>3538.1243513228083</v>
      </c>
      <c r="AN28" s="2">
        <f t="shared" si="14"/>
        <v>2584.3195539777521</v>
      </c>
      <c r="AO28" s="2">
        <f t="shared" si="15"/>
        <v>2127.9207460173989</v>
      </c>
      <c r="AP28" s="2">
        <f t="shared" si="16"/>
        <v>1651.1191781124999</v>
      </c>
      <c r="AQ28" s="2">
        <f t="shared" si="17"/>
        <v>780.58970474439741</v>
      </c>
      <c r="AR28" s="2">
        <f t="shared" si="18"/>
        <v>244.9280851953373</v>
      </c>
      <c r="AS28" s="2">
        <f t="shared" si="19"/>
        <v>225.33034168462086</v>
      </c>
      <c r="AX28" s="2">
        <f t="shared" si="28"/>
        <v>10000000000</v>
      </c>
      <c r="AY28" s="37">
        <f t="shared" si="20"/>
        <v>13554.488365504903</v>
      </c>
      <c r="AZ28" s="37">
        <f t="shared" si="21"/>
        <v>10969.02154008698</v>
      </c>
      <c r="BA28" s="37">
        <f t="shared" si="22"/>
        <v>9761.2264562704095</v>
      </c>
      <c r="BB28" s="37">
        <f t="shared" si="23"/>
        <v>8557.8014079050445</v>
      </c>
      <c r="BC28" s="37">
        <f t="shared" si="24"/>
        <v>6701.9572587462926</v>
      </c>
      <c r="BD28" s="37">
        <f t="shared" si="25"/>
        <v>4450.0353841385022</v>
      </c>
      <c r="BE28" s="37">
        <f t="shared" si="26"/>
        <v>3991.7537211128301</v>
      </c>
    </row>
    <row r="29" spans="1:57" x14ac:dyDescent="0.25">
      <c r="A29" s="2">
        <f>'creep_res-40'!A29</f>
        <v>100000000000</v>
      </c>
      <c r="B29" s="3">
        <f>'creep_res-40'!O29</f>
        <v>-1.1011418E-3</v>
      </c>
      <c r="C29" s="2">
        <f>IF('Modell einstellen'!$B$2="Ja",creep_res0!O29,creep_res0!C29)</f>
        <v>-1.4851434571428572E-3</v>
      </c>
      <c r="D29" s="2">
        <f>IF('Modell einstellen'!$B$2="Ja",creep_res25!O29,creep_res25!C29)</f>
        <v>-1.8581241142857144E-3</v>
      </c>
      <c r="E29" s="2">
        <f>IF('Modell einstellen'!$B$2="Ja",creep_res50!O29,creep_res50!C29)</f>
        <v>-2.5609889142857146E-3</v>
      </c>
      <c r="F29" s="2">
        <f>IF('Modell einstellen'!$B$2="Ja",creep_res80!O29,creep_res80!C29)</f>
        <v>-6.2720205714285717E-3</v>
      </c>
      <c r="G29" s="2">
        <f>IF('Modell einstellen'!$B$2="Ja",creep_res125!O29,creep_res125!C29)</f>
        <v>-1.4569994857142858E-2</v>
      </c>
      <c r="H29" s="2">
        <f>IF('Modell einstellen'!$B$2="Ja",creep_res160!O29,creep_res160!C29)</f>
        <v>-1.521412542857143E-2</v>
      </c>
      <c r="M29" s="9">
        <f t="shared" si="27"/>
        <v>-10</v>
      </c>
      <c r="N29" s="2">
        <f t="shared" si="4"/>
        <v>100000000000</v>
      </c>
      <c r="O29" s="2">
        <f t="shared" si="5"/>
        <v>9081.4825120615715</v>
      </c>
      <c r="P29" s="2">
        <f t="shared" si="6"/>
        <v>6733.3562639384081</v>
      </c>
      <c r="Q29" s="2">
        <f t="shared" si="7"/>
        <v>5381.7718219776307</v>
      </c>
      <c r="R29" s="2">
        <f t="shared" si="8"/>
        <v>3904.7416192307496</v>
      </c>
      <c r="S29" s="2">
        <f t="shared" si="9"/>
        <v>1594.3825257132903</v>
      </c>
      <c r="T29" s="2">
        <f t="shared" si="10"/>
        <v>686.34204047762967</v>
      </c>
      <c r="U29" s="2">
        <f t="shared" si="11"/>
        <v>657.28391993012349</v>
      </c>
      <c r="Z29" s="2">
        <v>100000000000</v>
      </c>
      <c r="AA29" s="3">
        <f>IF('Modell einstellen'!$B$2="Ja",'creep_res-40'!P29,'creep_res-40'!L29)</f>
        <v>0.37986149597497026</v>
      </c>
      <c r="AB29" s="2">
        <f>IF('Modell einstellen'!$B$2="Ja",creep_res0!P29,creep_res0!L29)</f>
        <v>0.39023966535142418</v>
      </c>
      <c r="AC29" s="2">
        <f>IF('Modell einstellen'!$B$2="Ja",creep_res25!P29,creep_res25!L29)</f>
        <v>0.39983235627009628</v>
      </c>
      <c r="AD29" s="2">
        <f>IF('Modell einstellen'!$B$2="Ja",creep_res50!P29,creep_res50!L29)</f>
        <v>0.41430899483337974</v>
      </c>
      <c r="AE29" s="2">
        <f>IF('Modell einstellen'!$B$2="Ja",creep_res80!P29,creep_res80!L29)</f>
        <v>0.45279596386163457</v>
      </c>
      <c r="AF29" s="2">
        <f>IF('Modell einstellen'!$B$2="Ja",creep_res125!P29,creep_res125!L29)</f>
        <v>0.47089911709352117</v>
      </c>
      <c r="AG29" s="2">
        <f>IF('Modell einstellen'!$B$2="Ja",creep_res160!P29,creep_res160!L29)</f>
        <v>0.46682844865276424</v>
      </c>
      <c r="AL29" s="2">
        <f t="shared" si="12"/>
        <v>100000000000</v>
      </c>
      <c r="AM29" s="2">
        <f t="shared" si="13"/>
        <v>3290.7224886526956</v>
      </c>
      <c r="AN29" s="2">
        <f t="shared" si="14"/>
        <v>2421.6530544164675</v>
      </c>
      <c r="AO29" s="2">
        <f t="shared" si="15"/>
        <v>1922.2915507959665</v>
      </c>
      <c r="AP29" s="2">
        <f t="shared" si="16"/>
        <v>1380.4414853809117</v>
      </c>
      <c r="AQ29" s="2">
        <f t="shared" si="17"/>
        <v>548.72899064067769</v>
      </c>
      <c r="AR29" s="2">
        <f t="shared" si="18"/>
        <v>233.30697275617146</v>
      </c>
      <c r="AS29" s="2">
        <f t="shared" si="19"/>
        <v>224.04934964747176</v>
      </c>
      <c r="AX29" s="2">
        <f t="shared" si="28"/>
        <v>100000000000</v>
      </c>
      <c r="AY29" s="37">
        <f t="shared" si="20"/>
        <v>12598.628815634231</v>
      </c>
      <c r="AZ29" s="37">
        <f t="shared" si="21"/>
        <v>10224.331472592645</v>
      </c>
      <c r="BA29" s="37">
        <f t="shared" si="22"/>
        <v>8954.6078646734604</v>
      </c>
      <c r="BB29" s="37">
        <f t="shared" si="23"/>
        <v>7594.6158947065069</v>
      </c>
      <c r="BC29" s="37">
        <f t="shared" si="24"/>
        <v>5629.4004218897853</v>
      </c>
      <c r="BD29" s="37">
        <f t="shared" si="25"/>
        <v>3930.8202588636177</v>
      </c>
      <c r="BE29" s="37">
        <f t="shared" si="26"/>
        <v>3302.4478970436417</v>
      </c>
    </row>
    <row r="30" spans="1:57" x14ac:dyDescent="0.25">
      <c r="A30" s="2">
        <f>'creep_res-40'!A30</f>
        <v>1000000000000</v>
      </c>
      <c r="B30" s="3">
        <f>'creep_res-40'!O30</f>
        <v>-1.1713409714285714E-3</v>
      </c>
      <c r="C30" s="2">
        <f>IF('Modell einstellen'!$B$2="Ja",creep_res0!O30,creep_res0!C30)</f>
        <v>-1.5992756571428573E-3</v>
      </c>
      <c r="D30" s="2">
        <f>IF('Modell einstellen'!$B$2="Ja",creep_res25!O30,creep_res25!C30)</f>
        <v>-2.0974273428571431E-3</v>
      </c>
      <c r="E30" s="2">
        <f>IF('Modell einstellen'!$B$2="Ja",creep_res50!O30,creep_res50!C30)</f>
        <v>-3.2503691428571431E-3</v>
      </c>
      <c r="F30" s="2">
        <f>IF('Modell einstellen'!$B$2="Ja",creep_res80!O30,creep_res80!C30)</f>
        <v>-8.5922840000000004E-3</v>
      </c>
      <c r="G30" s="2">
        <f>IF('Modell einstellen'!$B$2="Ja",creep_res125!O30,creep_res125!C30)</f>
        <v>-1.5130473714285716E-2</v>
      </c>
      <c r="H30" s="2">
        <f>IF('Modell einstellen'!$B$2="Ja",creep_res160!O30,creep_res160!C30)</f>
        <v>-1.5223256000000001E-2</v>
      </c>
      <c r="M30" s="9">
        <f t="shared" si="27"/>
        <v>-10</v>
      </c>
      <c r="N30" s="2">
        <f t="shared" si="4"/>
        <v>1000000000000</v>
      </c>
      <c r="O30" s="2">
        <f t="shared" si="5"/>
        <v>8537.2237836126969</v>
      </c>
      <c r="P30" s="2">
        <f t="shared" si="6"/>
        <v>6252.8307458047784</v>
      </c>
      <c r="Q30" s="2">
        <f t="shared" si="7"/>
        <v>4767.7456070434691</v>
      </c>
      <c r="R30" s="2">
        <f t="shared" si="8"/>
        <v>3076.5736322520552</v>
      </c>
      <c r="S30" s="2">
        <f t="shared" si="9"/>
        <v>1163.8349011741232</v>
      </c>
      <c r="T30" s="2">
        <f t="shared" si="10"/>
        <v>660.91783964161777</v>
      </c>
      <c r="U30" s="2">
        <f t="shared" si="11"/>
        <v>656.88969560782527</v>
      </c>
      <c r="Z30" s="2">
        <v>1000000000000</v>
      </c>
      <c r="AA30" s="3">
        <f>IF('Modell einstellen'!$B$2="Ja",'creep_res-40'!P30,'creep_res-40'!L30)</f>
        <v>0.37969873552007577</v>
      </c>
      <c r="AB30" s="2">
        <f>IF('Modell einstellen'!$B$2="Ja",creep_res0!P30,creep_res0!L30)</f>
        <v>0.39115899397884557</v>
      </c>
      <c r="AC30" s="2">
        <f>IF('Modell einstellen'!$B$2="Ja",creep_res25!P30,creep_res25!L30)</f>
        <v>0.40290880431928328</v>
      </c>
      <c r="AD30" s="2">
        <f>IF('Modell einstellen'!$B$2="Ja",creep_res50!P30,creep_res50!L30)</f>
        <v>0.42237432020908044</v>
      </c>
      <c r="AE30" s="2">
        <f>IF('Modell einstellen'!$B$2="Ja",creep_res80!P30,creep_res80!L30)</f>
        <v>0.45941112481184954</v>
      </c>
      <c r="AF30" s="2">
        <f>IF('Modell einstellen'!$B$2="Ja",creep_res125!P30,creep_res125!L30)</f>
        <v>0.46911850064254429</v>
      </c>
      <c r="AG30" s="2">
        <f>IF('Modell einstellen'!$B$2="Ja",creep_res160!P30,creep_res160!L30)</f>
        <v>0.46679015317091166</v>
      </c>
      <c r="AL30" s="2">
        <f t="shared" si="12"/>
        <v>1000000000000</v>
      </c>
      <c r="AM30" s="2">
        <f t="shared" si="13"/>
        <v>3093.8724388968149</v>
      </c>
      <c r="AN30" s="2">
        <f t="shared" si="14"/>
        <v>2247.3458364097887</v>
      </c>
      <c r="AO30" s="2">
        <f t="shared" si="15"/>
        <v>1699.2357565810794</v>
      </c>
      <c r="AP30" s="2">
        <f t="shared" si="16"/>
        <v>1081.4922585918935</v>
      </c>
      <c r="AQ30" s="2">
        <f t="shared" si="17"/>
        <v>398.73442150311388</v>
      </c>
      <c r="AR30" s="2">
        <f t="shared" si="18"/>
        <v>224.93687178827099</v>
      </c>
      <c r="AS30" s="2">
        <f t="shared" si="19"/>
        <v>223.9208158671365</v>
      </c>
      <c r="AX30" s="2">
        <f t="shared" si="28"/>
        <v>1000000000000</v>
      </c>
      <c r="AY30" s="37">
        <f t="shared" si="20"/>
        <v>11827.561719765328</v>
      </c>
      <c r="AZ30" s="37">
        <f t="shared" si="21"/>
        <v>9574.8697639893071</v>
      </c>
      <c r="BA30" s="37">
        <f t="shared" si="22"/>
        <v>8184.3081884962148</v>
      </c>
      <c r="BB30" s="37">
        <f t="shared" si="23"/>
        <v>6605.5752867234887</v>
      </c>
      <c r="BC30" s="37">
        <f t="shared" si="24"/>
        <v>4778.9568602198897</v>
      </c>
      <c r="BD30" s="37">
        <f t="shared" si="25"/>
        <v>3566.9567723566106</v>
      </c>
      <c r="BE30" s="37">
        <f t="shared" si="26"/>
        <v>3296.661273328823</v>
      </c>
    </row>
    <row r="31" spans="1:57" x14ac:dyDescent="0.25">
      <c r="A31" s="2">
        <f>'creep_res-40'!A31</f>
        <v>10000000000000</v>
      </c>
      <c r="B31" s="3">
        <f>'creep_res-40'!O31</f>
        <v>-1.2363355714285714E-3</v>
      </c>
      <c r="C31" s="2">
        <f>IF('Modell einstellen'!$B$2="Ja",creep_res0!O31,creep_res0!C31)</f>
        <v>-1.7374714000000003E-3</v>
      </c>
      <c r="D31" s="2">
        <f>IF('Modell einstellen'!$B$2="Ja",creep_res25!O31,creep_res25!C31)</f>
        <v>-2.4615841142857147E-3</v>
      </c>
      <c r="E31" s="2">
        <f>IF('Modell einstellen'!$B$2="Ja",creep_res50!O31,creep_res50!C31)</f>
        <v>-4.4178185714285716E-3</v>
      </c>
      <c r="F31" s="2">
        <f>IF('Modell einstellen'!$B$2="Ja",creep_res80!O31,creep_res80!C31)</f>
        <v>-1.0661270285714288E-2</v>
      </c>
      <c r="G31" s="2">
        <f>IF('Modell einstellen'!$B$2="Ja",creep_res125!O31,creep_res125!C31)</f>
        <v>-1.5214697714285715E-2</v>
      </c>
      <c r="H31" s="2">
        <f>IF('Modell einstellen'!$B$2="Ja",creep_res160!O31,creep_res160!C31)</f>
        <v>-1.5323545428571429E-2</v>
      </c>
      <c r="M31" s="9">
        <f t="shared" si="27"/>
        <v>-10</v>
      </c>
      <c r="N31" s="2">
        <f t="shared" si="4"/>
        <v>10000000000000</v>
      </c>
      <c r="O31" s="2">
        <f t="shared" si="5"/>
        <v>8088.4188978281327</v>
      </c>
      <c r="P31" s="2">
        <f t="shared" si="6"/>
        <v>5755.4904213099553</v>
      </c>
      <c r="Q31" s="2">
        <f t="shared" si="7"/>
        <v>4062.4246565312801</v>
      </c>
      <c r="R31" s="2">
        <f t="shared" si="8"/>
        <v>2263.5605872710935</v>
      </c>
      <c r="S31" s="2">
        <f t="shared" si="9"/>
        <v>937.97453136514457</v>
      </c>
      <c r="T31" s="2">
        <f t="shared" si="10"/>
        <v>657.2591968495426</v>
      </c>
      <c r="U31" s="2">
        <f t="shared" si="11"/>
        <v>652.59048870991421</v>
      </c>
      <c r="Z31" s="2">
        <v>10000000000000</v>
      </c>
      <c r="AA31" s="3">
        <f>IF('Modell einstellen'!$B$2="Ja",'creep_res-40'!P31,'creep_res-40'!L31)</f>
        <v>0.37973881108792823</v>
      </c>
      <c r="AB31" s="2">
        <f>IF('Modell einstellen'!$B$2="Ja",creep_res0!P31,creep_res0!L31)</f>
        <v>0.39299610095123622</v>
      </c>
      <c r="AC31" s="2">
        <f>IF('Modell einstellen'!$B$2="Ja",creep_res25!P31,creep_res25!L31)</f>
        <v>0.40818598764345054</v>
      </c>
      <c r="AD31" s="2">
        <f>IF('Modell einstellen'!$B$2="Ja",creep_res50!P31,creep_res50!L31)</f>
        <v>0.43307719744036571</v>
      </c>
      <c r="AE31" s="2">
        <f>IF('Modell einstellen'!$B$2="Ja",creep_res80!P31,creep_res80!L31)</f>
        <v>0.46243130609523181</v>
      </c>
      <c r="AF31" s="2">
        <f>IF('Modell einstellen'!$B$2="Ja",creep_res125!P31,creep_res125!L31)</f>
        <v>0.46826055902861752</v>
      </c>
      <c r="AG31" s="2">
        <f>IF('Modell einstellen'!$B$2="Ja",creep_res160!P31,creep_res160!L31)</f>
        <v>0.46492021270198769</v>
      </c>
      <c r="AL31" s="2">
        <f t="shared" si="12"/>
        <v>10000000000000</v>
      </c>
      <c r="AM31" s="2">
        <f t="shared" si="13"/>
        <v>2931.1413264697503</v>
      </c>
      <c r="AN31" s="2">
        <f t="shared" si="14"/>
        <v>2065.8673837563865</v>
      </c>
      <c r="AO31" s="2">
        <f t="shared" si="15"/>
        <v>1442.431856366361</v>
      </c>
      <c r="AP31" s="2">
        <f t="shared" si="16"/>
        <v>789.75528719390093</v>
      </c>
      <c r="AQ31" s="2">
        <f t="shared" si="17"/>
        <v>320.69011633427954</v>
      </c>
      <c r="AR31" s="2">
        <f t="shared" si="18"/>
        <v>223.82239746478544</v>
      </c>
      <c r="AS31" s="2">
        <f t="shared" si="19"/>
        <v>222.73926014927349</v>
      </c>
      <c r="AX31" s="2">
        <f t="shared" si="28"/>
        <v>10000000000000</v>
      </c>
      <c r="AY31" s="37">
        <f t="shared" si="20"/>
        <v>11209.516790078649</v>
      </c>
      <c r="AZ31" s="37">
        <f t="shared" si="21"/>
        <v>8964.6116831173676</v>
      </c>
      <c r="BA31" s="37">
        <f t="shared" si="22"/>
        <v>7374.3730255379533</v>
      </c>
      <c r="BB31" s="37">
        <f t="shared" si="23"/>
        <v>5637.2429642698035</v>
      </c>
      <c r="BC31" s="37">
        <f t="shared" si="24"/>
        <v>4161.1531387578061</v>
      </c>
      <c r="BD31" s="37">
        <f t="shared" si="25"/>
        <v>3451.3273114574445</v>
      </c>
      <c r="BE31" s="37">
        <f t="shared" si="26"/>
        <v>3100.505727918573</v>
      </c>
    </row>
    <row r="32" spans="1:57" x14ac:dyDescent="0.25">
      <c r="A32" s="2">
        <f>'creep_res-40'!A32</f>
        <v>100000000000000</v>
      </c>
      <c r="B32" s="3">
        <f>'creep_res-40'!O32</f>
        <v>-1.3030356000000001E-3</v>
      </c>
      <c r="C32" s="2">
        <f>IF('Modell einstellen'!$B$2="Ja",creep_res0!O32,creep_res0!C32)</f>
        <v>-1.9202233714285717E-3</v>
      </c>
      <c r="D32" s="2">
        <f>IF('Modell einstellen'!$B$2="Ja",creep_res25!O32,creep_res25!C32)</f>
        <v>-3.0629088571428572E-3</v>
      </c>
      <c r="E32" s="2">
        <f>IF('Modell einstellen'!$B$2="Ja",creep_res50!O32,creep_res50!C32)</f>
        <v>-6.2202845714285715E-3</v>
      </c>
      <c r="F32" s="2">
        <f>IF('Modell einstellen'!$B$2="Ja",creep_res80!O32,creep_res80!C32)</f>
        <v>-1.2127562571428573E-2</v>
      </c>
      <c r="G32" s="2">
        <f>IF('Modell einstellen'!$B$2="Ja",creep_res125!O32,creep_res125!C32)</f>
        <v>-1.5286342571428571E-2</v>
      </c>
      <c r="H32" s="2">
        <f>IF('Modell einstellen'!$B$2="Ja",creep_res160!O32,creep_res160!C32)</f>
        <v>-1.5326008000000002E-2</v>
      </c>
      <c r="M32" s="9">
        <v>-1</v>
      </c>
      <c r="N32" s="2">
        <f t="shared" si="4"/>
        <v>100000000000000</v>
      </c>
      <c r="O32" s="2">
        <f t="shared" si="5"/>
        <v>7674.3874073739807</v>
      </c>
      <c r="P32" s="2">
        <f t="shared" si="6"/>
        <v>5207.7274700392736</v>
      </c>
      <c r="Q32" s="2">
        <f t="shared" si="7"/>
        <v>3264.8702479930143</v>
      </c>
      <c r="R32" s="2">
        <f t="shared" si="8"/>
        <v>1607.6434904494033</v>
      </c>
      <c r="S32" s="2">
        <f t="shared" si="9"/>
        <v>824.56799881281052</v>
      </c>
      <c r="T32" s="2">
        <f t="shared" si="10"/>
        <v>654.17871889714297</v>
      </c>
      <c r="U32" s="2">
        <f t="shared" si="11"/>
        <v>652.48563096143494</v>
      </c>
      <c r="Z32" s="2">
        <v>100000000000000</v>
      </c>
      <c r="AA32" s="3">
        <f>IF('Modell einstellen'!$B$2="Ja",'creep_res-40'!P32,'creep_res-40'!L32)</f>
        <v>0.38034296881177193</v>
      </c>
      <c r="AB32" s="2">
        <f>IF('Modell einstellen'!$B$2="Ja",creep_res0!P32,creep_res0!L32)</f>
        <v>0.39603835970392604</v>
      </c>
      <c r="AC32" s="2">
        <f>IF('Modell einstellen'!$B$2="Ja",creep_res25!P32,creep_res25!L32)</f>
        <v>0.41621550046589695</v>
      </c>
      <c r="AD32" s="2">
        <f>IF('Modell einstellen'!$B$2="Ja",creep_res50!P32,creep_res50!L32)</f>
        <v>0.44410884554845359</v>
      </c>
      <c r="AE32" s="2">
        <f>IF('Modell einstellen'!$B$2="Ja",creep_res80!P32,creep_res80!L32)</f>
        <v>0.46343885518486821</v>
      </c>
      <c r="AF32" s="2">
        <f>IF('Modell einstellen'!$B$2="Ja",creep_res125!P32,creep_res125!L32)</f>
        <v>0.46586793563382323</v>
      </c>
      <c r="AG32" s="2">
        <f>IF('Modell einstellen'!$B$2="Ja",creep_res160!P32,creep_res160!L32)</f>
        <v>0.46492770421924057</v>
      </c>
      <c r="AL32" s="2">
        <f t="shared" si="12"/>
        <v>100000000000000</v>
      </c>
      <c r="AM32" s="2">
        <f t="shared" si="13"/>
        <v>2779.8842681758483</v>
      </c>
      <c r="AN32" s="2">
        <f t="shared" si="14"/>
        <v>1865.1806498869187</v>
      </c>
      <c r="AO32" s="2">
        <f t="shared" si="15"/>
        <v>1152.6742388142764</v>
      </c>
      <c r="AP32" s="2">
        <f t="shared" si="16"/>
        <v>556.62130157468891</v>
      </c>
      <c r="AQ32" s="2">
        <f t="shared" si="17"/>
        <v>281.72273678924813</v>
      </c>
      <c r="AR32" s="2">
        <f t="shared" si="18"/>
        <v>223.13699037774649</v>
      </c>
      <c r="AS32" s="2">
        <f t="shared" si="19"/>
        <v>222.70233168577724</v>
      </c>
      <c r="AX32" s="2">
        <f t="shared" si="28"/>
        <v>100000000000000</v>
      </c>
      <c r="AY32" s="37">
        <f t="shared" si="20"/>
        <v>10689.422553728698</v>
      </c>
      <c r="AZ32" s="37">
        <f t="shared" si="21"/>
        <v>8348.7964971312267</v>
      </c>
      <c r="BA32" s="37">
        <f t="shared" si="22"/>
        <v>6494.5788822273034</v>
      </c>
      <c r="BB32" s="37">
        <f t="shared" si="23"/>
        <v>4793.9711457177418</v>
      </c>
      <c r="BC32" s="37">
        <f t="shared" si="24"/>
        <v>3758.8538459894426</v>
      </c>
      <c r="BD32" s="37">
        <f t="shared" si="25"/>
        <v>3194.3507815161752</v>
      </c>
      <c r="BE32" s="37">
        <f t="shared" si="26"/>
        <v>3100.6697092209688</v>
      </c>
    </row>
    <row r="33" spans="1:60" x14ac:dyDescent="0.25">
      <c r="A33" s="2">
        <f>'creep_res-40'!A33</f>
        <v>1000000000000000</v>
      </c>
      <c r="B33" s="3">
        <f>'creep_res-40'!O33</f>
        <v>-1.3688019142857144E-3</v>
      </c>
      <c r="C33" s="2">
        <f>IF('Modell einstellen'!$B$2="Ja",creep_res0!O33,creep_res0!C33)</f>
        <v>-2.1752863428571431E-3</v>
      </c>
      <c r="D33" s="2">
        <f>IF('Modell einstellen'!$B$2="Ja",creep_res25!O33,creep_res25!C33)</f>
        <v>-4.0903985714285714E-3</v>
      </c>
      <c r="E33" s="2">
        <f>IF('Modell einstellen'!$B$2="Ja",creep_res50!O33,creep_res50!C33)</f>
        <v>-8.5340465714285729E-3</v>
      </c>
      <c r="F33" s="2">
        <f>IF('Modell einstellen'!$B$2="Ja",creep_res80!O33,creep_res80!C33)</f>
        <v>-1.3023203428571429E-2</v>
      </c>
      <c r="G33" s="2">
        <f>IF('Modell einstellen'!$B$2="Ja",creep_res125!O33,creep_res125!C33)</f>
        <v>-1.5293883142857144E-2</v>
      </c>
      <c r="H33" s="2">
        <f>IF('Modell einstellen'!$B$2="Ja",creep_res160!O33,creep_res160!C33)</f>
        <v>-1.5351484857142859E-2</v>
      </c>
      <c r="M33" s="9">
        <f>M31</f>
        <v>-10</v>
      </c>
      <c r="N33" s="2">
        <f t="shared" si="4"/>
        <v>1000000000000000</v>
      </c>
      <c r="O33" s="2">
        <f t="shared" si="5"/>
        <v>7305.6589822336173</v>
      </c>
      <c r="P33" s="2">
        <f t="shared" si="6"/>
        <v>4597.095933064812</v>
      </c>
      <c r="Q33" s="2">
        <f t="shared" si="7"/>
        <v>2444.7495336640263</v>
      </c>
      <c r="R33" s="2">
        <f t="shared" si="8"/>
        <v>1171.7770598392729</v>
      </c>
      <c r="S33" s="2">
        <f t="shared" si="9"/>
        <v>767.86023153574763</v>
      </c>
      <c r="T33" s="2">
        <f t="shared" si="10"/>
        <v>653.85617940139684</v>
      </c>
      <c r="U33" s="2">
        <f t="shared" si="11"/>
        <v>651.40278566259485</v>
      </c>
      <c r="Z33" s="2">
        <v>1000000000000000</v>
      </c>
      <c r="AA33" s="3">
        <f>IF('Modell einstellen'!$B$2="Ja",'creep_res-40'!P33,'creep_res-40'!L33)</f>
        <v>0.3816895805877536</v>
      </c>
      <c r="AB33" s="2">
        <f>IF('Modell einstellen'!$B$2="Ja",creep_res0!P33,creep_res0!L33)</f>
        <v>0.40042205543724679</v>
      </c>
      <c r="AC33" s="2">
        <f>IF('Modell einstellen'!$B$2="Ja",creep_res25!P33,creep_res25!L33)</f>
        <v>0.42700634482353972</v>
      </c>
      <c r="AD33" s="2">
        <f>IF('Modell einstellen'!$B$2="Ja",creep_res50!P33,creep_res50!L33)</f>
        <v>0.45304185457088292</v>
      </c>
      <c r="AE33" s="2">
        <f>IF('Modell einstellen'!$B$2="Ja",creep_res80!P33,creep_res80!L33)</f>
        <v>0.46358734383807088</v>
      </c>
      <c r="AF33" s="2">
        <f>IF('Modell einstellen'!$B$2="Ja",creep_res125!P33,creep_res125!L33)</f>
        <v>0.46587632018933578</v>
      </c>
      <c r="AG33" s="2">
        <f>IF('Modell einstellen'!$B$2="Ja",creep_res160!P33,creep_res160!L33)</f>
        <v>0.46448549220841306</v>
      </c>
      <c r="AL33" s="2">
        <f t="shared" si="12"/>
        <v>1000000000000000</v>
      </c>
      <c r="AM33" s="2">
        <f t="shared" si="13"/>
        <v>2643.7410706701139</v>
      </c>
      <c r="AN33" s="2">
        <f t="shared" si="14"/>
        <v>1641.3251688004455</v>
      </c>
      <c r="AO33" s="2">
        <f t="shared" si="15"/>
        <v>856.60079316828069</v>
      </c>
      <c r="AP33" s="2">
        <f t="shared" si="16"/>
        <v>403.21517792249892</v>
      </c>
      <c r="AQ33" s="2">
        <f t="shared" si="17"/>
        <v>262.32128706515465</v>
      </c>
      <c r="AR33" s="2">
        <f t="shared" si="18"/>
        <v>223.02569814244063</v>
      </c>
      <c r="AS33" s="2">
        <f t="shared" si="19"/>
        <v>222.39987665575754</v>
      </c>
      <c r="AX33" s="2">
        <f>AL33</f>
        <v>1000000000000000</v>
      </c>
      <c r="AY33" s="37">
        <f t="shared" si="20"/>
        <v>10291.653401460546</v>
      </c>
      <c r="AZ33" s="37">
        <f t="shared" si="21"/>
        <v>7694.3007698653582</v>
      </c>
      <c r="BA33" s="37">
        <f t="shared" si="22"/>
        <v>5582.1051107202566</v>
      </c>
      <c r="BB33" s="37">
        <f t="shared" si="23"/>
        <v>4158.9414329549427</v>
      </c>
      <c r="BC33" s="37">
        <f t="shared" si="24"/>
        <v>3514.6215284827986</v>
      </c>
      <c r="BD33" s="37">
        <f t="shared" si="25"/>
        <v>3193.5603224765923</v>
      </c>
      <c r="BE33" s="37">
        <f t="shared" si="26"/>
        <v>3056.9797441901865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7" zoomScale="120" zoomScaleNormal="120" zoomScaleSheetLayoutView="110" workbookViewId="0">
      <selection activeCell="F7" sqref="F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3863.1779800091354</v>
      </c>
      <c r="G16" s="26">
        <f>INDEX(Comparison!$AM$3:$AS$33,G14,$B$3)</f>
        <v>3639.1828782559405</v>
      </c>
      <c r="H16" s="26">
        <f>INDEX(Comparison!$AM$3:$AS$33,H14,$B$3)</f>
        <v>3469.1983065316617</v>
      </c>
      <c r="I16" s="26">
        <f>INDEX(Comparison!$AM$3:$AS$33,I14,$B$3)</f>
        <v>3299.3094714954932</v>
      </c>
      <c r="J16" s="26">
        <f>INDEX(Comparison!$AM$3:$AS$33,J14,$B$3)</f>
        <v>3129.0766280827079</v>
      </c>
      <c r="K16" s="26">
        <f>INDEX(Comparison!$AM$3:$AS$33,K14,$B$3)</f>
        <v>2931.3619259938991</v>
      </c>
      <c r="L16" s="26">
        <f>INDEX(Comparison!$AM$3:$AS$33,L14,$B$3)</f>
        <v>2716.4697293377858</v>
      </c>
      <c r="M16" s="26">
        <f>INDEX(Comparison!$AM$3:$AS$33,M14,$B$3)</f>
        <v>2473.3394151100656</v>
      </c>
      <c r="N16" s="26">
        <f>INDEX(Comparison!$AM$3:$AS$33,N14,$B$3)</f>
        <v>2200.4685992187833</v>
      </c>
      <c r="O16" s="26">
        <f>INDEX(Comparison!$AM$3:$AS$33,O14,$B$3)</f>
        <v>1881.1238306732719</v>
      </c>
      <c r="P16" s="26">
        <f>INDEX(Comparison!$AM$3:$AS$33,P14,$B$3)</f>
        <v>1513.9966699513473</v>
      </c>
      <c r="Q16" s="26">
        <f>INDEX(Comparison!$AM$3:$AS$33,Q14,$B$3)</f>
        <v>1130.1912363654051</v>
      </c>
      <c r="R16" s="26">
        <f>INDEX(Comparison!$AM$3:$AS$33,R14,$B$3)</f>
        <v>797.41301356348504</v>
      </c>
      <c r="S16" s="26">
        <f>INDEX(Comparison!$AM$3:$AS$33,S14,$B$3)</f>
        <v>558.94090982101648</v>
      </c>
      <c r="T16" s="26">
        <f>INDEX(Comparison!$AM$3:$AS$33,T14,$B$3)</f>
        <v>422.14623536379804</v>
      </c>
      <c r="U16" s="26">
        <f>INDEX(Comparison!$AM$3:$AS$33,U14,$B$3)</f>
        <v>350.78880475369743</v>
      </c>
      <c r="V16" s="26">
        <f>INDEX(Comparison!$AM$3:$AS$33,V14,$B$3)</f>
        <v>315.13341803519359</v>
      </c>
      <c r="W16" s="26">
        <f>INDEX(Comparison!$AM$3:$AS$33,W14,$B$3)</f>
        <v>290.52342792543726</v>
      </c>
      <c r="X16" s="26">
        <f>INDEX(Comparison!$AM$3:$AS$33,X14,$B$3)</f>
        <v>272.57314075796921</v>
      </c>
      <c r="Y16" s="26">
        <f>INDEX(Comparison!$AM$3:$AS$33,Y14,$B$3)</f>
        <v>260.41060204475895</v>
      </c>
      <c r="Z16" s="26">
        <f>INDEX(Comparison!$AM$3:$AS$33,Z14,$B$3)</f>
        <v>241.23114118692146</v>
      </c>
      <c r="AA16" s="26">
        <f>INDEX(Comparison!$AM$3:$AS$33,AA14,$B$3)</f>
        <v>232.46309688187819</v>
      </c>
      <c r="AB16" s="26">
        <f>INDEX(Comparison!$AM$3:$AS$33,AB14,$B$3)</f>
        <v>229.22768516622719</v>
      </c>
      <c r="AC16" s="26">
        <f>INDEX(Comparison!$AM$3:$AS$33,AC14,$B$3)</f>
        <v>227.25322776524877</v>
      </c>
      <c r="AD16" s="26">
        <f>INDEX(Comparison!$AM$3:$AS$33,AD14,$B$3)</f>
        <v>225.80080804948139</v>
      </c>
      <c r="AE16" s="26">
        <f>INDEX(Comparison!$AM$3:$AS$33,AE14,$B$3)</f>
        <v>225.33034168462086</v>
      </c>
      <c r="AF16" s="26">
        <f>INDEX(Comparison!$AM$3:$AS$33,AF14,$B$3)</f>
        <v>224.04934964747176</v>
      </c>
      <c r="AG16" s="26">
        <f>INDEX(Comparison!$AM$3:$AS$33,AG14,$B$3)</f>
        <v>223.9208158671365</v>
      </c>
      <c r="AH16" s="26">
        <f>INDEX(Comparison!$AM$3:$AS$33,AH14,$B$3)</f>
        <v>222.73926014927349</v>
      </c>
      <c r="AI16" s="26">
        <f>INDEX(Comparison!$AM$3:$AS$33,AI14,$B$3)</f>
        <v>222.70233168577724</v>
      </c>
      <c r="AJ16" s="26">
        <f>INDEX(Comparison!$AM$3:$AS$33,AJ14,$B$3)</f>
        <v>222.39987665575754</v>
      </c>
    </row>
    <row r="17" spans="1:36" x14ac:dyDescent="0.25">
      <c r="A17" s="14" t="s">
        <v>20</v>
      </c>
      <c r="B17" s="105">
        <v>2.013312181953596E-2</v>
      </c>
      <c r="C17" s="18">
        <f t="shared" ref="C17:C48" si="3">ABS(B17/$B$49)</f>
        <v>3.5771546480943731E-2</v>
      </c>
      <c r="D17" s="66"/>
      <c r="E17" s="65" t="s">
        <v>22</v>
      </c>
      <c r="F17" s="27">
        <f>($C$17+SUM(F18:F48))*$B$51</f>
        <v>3798.2320259285484</v>
      </c>
      <c r="G17" s="27">
        <f t="shared" ref="G17:M17" si="4">($C$17+SUM(G18:G48))*$B$51</f>
        <v>3723.1826282358766</v>
      </c>
      <c r="H17" s="27">
        <f t="shared" si="4"/>
        <v>3446.968262386551</v>
      </c>
      <c r="I17" s="27">
        <f t="shared" si="4"/>
        <v>3302.9303769833218</v>
      </c>
      <c r="J17" s="27">
        <f t="shared" si="4"/>
        <v>3128.5736936279482</v>
      </c>
      <c r="K17" s="27">
        <f t="shared" si="4"/>
        <v>2931.4315943766574</v>
      </c>
      <c r="L17" s="27">
        <f t="shared" si="4"/>
        <v>2716.4436668507292</v>
      </c>
      <c r="M17" s="27">
        <f t="shared" si="4"/>
        <v>2473.3835537990353</v>
      </c>
      <c r="N17" s="27">
        <f t="shared" ref="N17" si="5">($C$17+SUM(N18:N48))*$B$51</f>
        <v>2200.3659665445643</v>
      </c>
      <c r="O17" s="27">
        <f t="shared" ref="O17" si="6">($C$17+SUM(O18:O48))*$B$51</f>
        <v>1881.3422260744874</v>
      </c>
      <c r="P17" s="27">
        <f t="shared" ref="P17" si="7">($C$17+SUM(P18:P48))*$B$51</f>
        <v>1513.6170526027977</v>
      </c>
      <c r="Q17" s="27">
        <f t="shared" ref="Q17" si="8">($C$17+SUM(Q18:Q48))*$B$51</f>
        <v>1130.7377871937272</v>
      </c>
      <c r="R17" s="27">
        <f t="shared" ref="R17" si="9">($C$17+SUM(R18:R48))*$B$51</f>
        <v>796.74030744296306</v>
      </c>
      <c r="S17" s="27">
        <f t="shared" ref="S17:T17" si="10">($C$17+SUM(S18:S48))*$B$51</f>
        <v>559.6482311656199</v>
      </c>
      <c r="T17" s="27">
        <f t="shared" si="10"/>
        <v>421.5161012178317</v>
      </c>
      <c r="U17" s="27">
        <f t="shared" ref="U17" si="11">($C$17+SUM(U18:U48))*$B$51</f>
        <v>351.26866997444318</v>
      </c>
      <c r="V17" s="27">
        <f t="shared" ref="V17" si="12">($C$17+SUM(V18:V48))*$B$51</f>
        <v>314.81100081311718</v>
      </c>
      <c r="W17" s="27">
        <f t="shared" ref="W17" si="13">($C$17+SUM(W18:W48))*$B$51</f>
        <v>290.72005739133874</v>
      </c>
      <c r="X17" s="27">
        <f t="shared" ref="X17" si="14">($C$17+SUM(X18:X48))*$B$51</f>
        <v>272.46807659482516</v>
      </c>
      <c r="Y17" s="27">
        <f t="shared" ref="Y17" si="15">($C$17+SUM(Y18:Y48))*$B$51</f>
        <v>260.45866363834045</v>
      </c>
      <c r="Z17" s="27">
        <f t="shared" ref="Z17:AA17" si="16">($C$17+SUM(Z18:Z48))*$B$51</f>
        <v>241.2060854846693</v>
      </c>
      <c r="AA17" s="27">
        <f t="shared" si="16"/>
        <v>232.48178815249148</v>
      </c>
      <c r="AB17" s="27">
        <f t="shared" ref="AB17" si="17">($C$17+SUM(AB18:AB48))*$B$51</f>
        <v>229.22137441491736</v>
      </c>
      <c r="AC17" s="27">
        <f t="shared" ref="AC17" si="18">($C$17+SUM(AC18:AC48))*$B$51</f>
        <v>227.2406916524742</v>
      </c>
      <c r="AD17" s="27">
        <f t="shared" ref="AD17" si="19">($C$17+SUM(AD18:AD48))*$B$51</f>
        <v>225.86648899418117</v>
      </c>
      <c r="AE17" s="27">
        <f t="shared" ref="AE17" si="20">($C$17+SUM(AE18:AE48))*$B$51</f>
        <v>225.20117873358797</v>
      </c>
      <c r="AF17" s="27">
        <f t="shared" ref="AF17" si="21">($C$17+SUM(AF18:AF48))*$B$51</f>
        <v>224.21711068644163</v>
      </c>
      <c r="AG17" s="27">
        <f t="shared" ref="AG17:AH17" si="22">($C$17+SUM(AG18:AG48))*$B$51</f>
        <v>223.70838592715211</v>
      </c>
      <c r="AH17" s="27">
        <f t="shared" si="22"/>
        <v>223.00929759740291</v>
      </c>
      <c r="AI17" s="27">
        <f t="shared" ref="AI17" si="23">($C$17+SUM(AI18:AI48))*$B$51</f>
        <v>222.5214955741271</v>
      </c>
      <c r="AJ17" s="27">
        <f t="shared" ref="AJ17" si="24">($C$17+SUM(AJ18:AJ48))*$B$51</f>
        <v>222.4300644660878</v>
      </c>
    </row>
    <row r="18" spans="1:36" x14ac:dyDescent="0.25">
      <c r="A18" s="3">
        <f>0.000000000000001/10^5</f>
        <v>1.0000000000000001E-20</v>
      </c>
      <c r="B18" s="106">
        <v>0.21666786726374926</v>
      </c>
      <c r="C18" s="18">
        <f t="shared" si="3"/>
        <v>0.38496487301991561</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3.2732727251932839E-2</v>
      </c>
      <c r="C19" s="18">
        <f t="shared" si="3"/>
        <v>5.8157909381167036E-2</v>
      </c>
      <c r="D19" s="17"/>
      <c r="F19" s="3">
        <f t="shared" si="25"/>
        <v>5.6687086941358503E-2</v>
      </c>
      <c r="G19" s="3">
        <f t="shared" si="25"/>
        <v>4.5015525135487539E-2</v>
      </c>
      <c r="H19" s="3">
        <f t="shared" si="25"/>
        <v>4.4889434107609517E-3</v>
      </c>
      <c r="I19" s="3">
        <f t="shared" si="25"/>
        <v>4.364778685015847E-13</v>
      </c>
      <c r="J19" s="3">
        <f t="shared" si="25"/>
        <v>3.2971841257453052E-113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1.0648161507464074E-2</v>
      </c>
      <c r="C20" s="18">
        <f t="shared" si="3"/>
        <v>1.8919132746280987E-2</v>
      </c>
      <c r="D20" s="17"/>
      <c r="F20" s="3">
        <f t="shared" si="25"/>
        <v>1.8875466279316869E-2</v>
      </c>
      <c r="G20" s="3">
        <f t="shared" si="25"/>
        <v>1.848697558941835E-2</v>
      </c>
      <c r="H20" s="3">
        <f t="shared" si="25"/>
        <v>1.5015771735619712E-2</v>
      </c>
      <c r="I20" s="3">
        <f t="shared" si="25"/>
        <v>1.8765734030599132E-3</v>
      </c>
      <c r="J20" s="3">
        <f t="shared" si="25"/>
        <v>1.7439922357991684E-12</v>
      </c>
      <c r="K20" s="3">
        <f t="shared" si="25"/>
        <v>8.381745140426823E-103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1.68638137665603E-2</v>
      </c>
      <c r="C21" s="18">
        <f t="shared" si="3"/>
        <v>2.9962799778578724E-2</v>
      </c>
      <c r="D21" s="17"/>
      <c r="F21" s="3">
        <f t="shared" si="25"/>
        <v>2.9956554781755431E-2</v>
      </c>
      <c r="G21" s="3">
        <f t="shared" si="25"/>
        <v>2.9900408350411481E-2</v>
      </c>
      <c r="H21" s="3">
        <f t="shared" si="25"/>
        <v>2.9344699436613577E-2</v>
      </c>
      <c r="I21" s="3">
        <f t="shared" si="25"/>
        <v>2.4325127558859641E-2</v>
      </c>
      <c r="J21" s="3">
        <f t="shared" si="25"/>
        <v>3.7265738641584605E-3</v>
      </c>
      <c r="K21" s="3">
        <f t="shared" si="25"/>
        <v>2.6537243411449179E-11</v>
      </c>
      <c r="L21" s="3">
        <f t="shared" si="25"/>
        <v>8.8984947859160635E-93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1.8715698006791483E-2</v>
      </c>
      <c r="C22" s="18">
        <f t="shared" si="3"/>
        <v>3.3253137152511318E-2</v>
      </c>
      <c r="D22" s="17"/>
      <c r="F22" s="3">
        <f t="shared" si="25"/>
        <v>3.3252511878722253E-2</v>
      </c>
      <c r="G22" s="3">
        <f t="shared" si="25"/>
        <v>3.3246884943672915E-2</v>
      </c>
      <c r="H22" s="3">
        <f t="shared" si="25"/>
        <v>3.3190667936537896E-2</v>
      </c>
      <c r="I22" s="3">
        <f t="shared" si="25"/>
        <v>3.2633699573498702E-2</v>
      </c>
      <c r="J22" s="3">
        <f t="shared" si="25"/>
        <v>2.7553038474854762E-2</v>
      </c>
      <c r="K22" s="3">
        <f t="shared" si="25"/>
        <v>5.0722584493332265E-3</v>
      </c>
      <c r="L22" s="3">
        <f t="shared" si="25"/>
        <v>2.2673581709117223E-10</v>
      </c>
      <c r="M22" s="3">
        <f t="shared" si="25"/>
        <v>7.2228349552071489E-84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2.0234874102468724E-2</v>
      </c>
      <c r="C23" s="18">
        <f t="shared" si="3"/>
        <v>3.5952334962287925E-2</v>
      </c>
      <c r="D23" s="17"/>
      <c r="F23" s="3">
        <f t="shared" si="25"/>
        <v>3.5952273978414225E-2</v>
      </c>
      <c r="G23" s="3">
        <f t="shared" si="25"/>
        <v>3.5951725128205866E-2</v>
      </c>
      <c r="H23" s="3">
        <f t="shared" si="25"/>
        <v>3.5946237086934583E-2</v>
      </c>
      <c r="I23" s="3">
        <f t="shared" si="25"/>
        <v>3.5891402729437603E-2</v>
      </c>
      <c r="J23" s="3">
        <f t="shared" si="25"/>
        <v>3.5347638767688705E-2</v>
      </c>
      <c r="K23" s="3">
        <f t="shared" si="25"/>
        <v>3.0343115410572368E-2</v>
      </c>
      <c r="L23" s="3">
        <f t="shared" si="25"/>
        <v>6.5926159566639603E-3</v>
      </c>
      <c r="M23" s="3">
        <f t="shared" si="25"/>
        <v>1.5453749232664632E-9</v>
      </c>
      <c r="N23" s="3">
        <f t="shared" si="25"/>
        <v>7.7409577082580044E-76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2.3390977038252797E-2</v>
      </c>
      <c r="C24" s="18">
        <f t="shared" si="3"/>
        <v>4.1559944347360683E-2</v>
      </c>
      <c r="D24" s="17"/>
      <c r="F24" s="3">
        <f t="shared" si="25"/>
        <v>4.1559937988053713E-2</v>
      </c>
      <c r="G24" s="3">
        <f t="shared" si="25"/>
        <v>4.1559880754334769E-2</v>
      </c>
      <c r="H24" s="3">
        <f t="shared" si="25"/>
        <v>4.1559308421480333E-2</v>
      </c>
      <c r="I24" s="3">
        <f t="shared" si="25"/>
        <v>4.1553585526414714E-2</v>
      </c>
      <c r="J24" s="3">
        <f t="shared" si="25"/>
        <v>4.1496399901553772E-2</v>
      </c>
      <c r="K24" s="3">
        <f t="shared" si="25"/>
        <v>4.0928854237287864E-2</v>
      </c>
      <c r="L24" s="3">
        <f t="shared" si="25"/>
        <v>3.5663277739267606E-2</v>
      </c>
      <c r="M24" s="3">
        <f t="shared" si="25"/>
        <v>8.9978332826990068E-3</v>
      </c>
      <c r="N24" s="3">
        <f t="shared" si="25"/>
        <v>9.4038307567181781E-9</v>
      </c>
      <c r="O24" s="3">
        <f t="shared" si="25"/>
        <v>1.4620877154546245E-68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2.5944417044714823E-2</v>
      </c>
      <c r="C25" s="18">
        <f t="shared" si="3"/>
        <v>4.609677170559115E-2</v>
      </c>
      <c r="D25" s="17"/>
      <c r="F25" s="3">
        <f t="shared" si="25"/>
        <v>4.6096771069305736E-2</v>
      </c>
      <c r="G25" s="3">
        <f t="shared" si="25"/>
        <v>4.6096765342737447E-2</v>
      </c>
      <c r="H25" s="3">
        <f t="shared" si="25"/>
        <v>4.6096708077093672E-2</v>
      </c>
      <c r="I25" s="3">
        <f t="shared" si="25"/>
        <v>4.6096135424568599E-2</v>
      </c>
      <c r="J25" s="3">
        <f t="shared" si="25"/>
        <v>4.6090409290572058E-2</v>
      </c>
      <c r="K25" s="3">
        <f t="shared" si="25"/>
        <v>4.6033187058043212E-2</v>
      </c>
      <c r="L25" s="3">
        <f t="shared" si="25"/>
        <v>4.5464857560323514E-2</v>
      </c>
      <c r="M25" s="3">
        <f t="shared" si="25"/>
        <v>4.0153531209810078E-2</v>
      </c>
      <c r="N25" s="3">
        <f t="shared" si="25"/>
        <v>1.1593186957488694E-2</v>
      </c>
      <c r="O25" s="3">
        <f t="shared" si="25"/>
        <v>4.6665270977171964E-8</v>
      </c>
      <c r="P25" s="3">
        <f t="shared" si="25"/>
        <v>5.2107869497436035E-62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3.1279642688507865E-2</v>
      </c>
      <c r="C26" s="18">
        <f t="shared" si="3"/>
        <v>5.5576139774485327E-2</v>
      </c>
      <c r="D26" s="17"/>
      <c r="F26" s="3">
        <f t="shared" si="25"/>
        <v>5.5576139705283682E-2</v>
      </c>
      <c r="G26" s="3">
        <f t="shared" si="25"/>
        <v>5.5576139082468869E-2</v>
      </c>
      <c r="H26" s="3">
        <f t="shared" si="25"/>
        <v>5.5576132854321149E-2</v>
      </c>
      <c r="I26" s="3">
        <f t="shared" si="25"/>
        <v>5.5576070572882295E-2</v>
      </c>
      <c r="J26" s="3">
        <f t="shared" si="25"/>
        <v>5.5575447762332586E-2</v>
      </c>
      <c r="K26" s="3">
        <f t="shared" si="25"/>
        <v>5.5569220040694846E-2</v>
      </c>
      <c r="L26" s="3">
        <f t="shared" si="25"/>
        <v>5.5506981194345169E-2</v>
      </c>
      <c r="M26" s="3">
        <f t="shared" si="25"/>
        <v>5.4888413871409691E-2</v>
      </c>
      <c r="N26" s="3">
        <f t="shared" si="25"/>
        <v>4.906947450095122E-2</v>
      </c>
      <c r="O26" s="3">
        <f t="shared" si="25"/>
        <v>1.5999951533922831E-2</v>
      </c>
      <c r="P26" s="3">
        <f t="shared" si="25"/>
        <v>2.1736582712502992E-7</v>
      </c>
      <c r="Q26" s="3">
        <f t="shared" si="25"/>
        <v>4.6549741956948846E-56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3.6790775920205257E-2</v>
      </c>
      <c r="C27" s="18">
        <f t="shared" si="3"/>
        <v>6.5368051844924516E-2</v>
      </c>
      <c r="D27" s="17"/>
      <c r="F27" s="3">
        <f t="shared" si="25"/>
        <v>6.5368051837582083E-2</v>
      </c>
      <c r="G27" s="3">
        <f t="shared" si="25"/>
        <v>6.5368051771500152E-2</v>
      </c>
      <c r="H27" s="3">
        <f t="shared" si="25"/>
        <v>6.5368051110680905E-2</v>
      </c>
      <c r="I27" s="3">
        <f t="shared" si="25"/>
        <v>6.5368044502488759E-2</v>
      </c>
      <c r="J27" s="3">
        <f t="shared" si="25"/>
        <v>6.5367978420604017E-2</v>
      </c>
      <c r="K27" s="3">
        <f t="shared" si="25"/>
        <v>6.5367317605430839E-2</v>
      </c>
      <c r="L27" s="3">
        <f t="shared" si="25"/>
        <v>6.5360709821103577E-2</v>
      </c>
      <c r="M27" s="3">
        <f t="shared" si="25"/>
        <v>6.5294668704542744E-2</v>
      </c>
      <c r="N27" s="3">
        <f t="shared" si="25"/>
        <v>6.463791650989667E-2</v>
      </c>
      <c r="O27" s="3">
        <f t="shared" si="25"/>
        <v>5.842296787053064E-2</v>
      </c>
      <c r="P27" s="3">
        <f t="shared" si="25"/>
        <v>2.1259168536644758E-2</v>
      </c>
      <c r="Q27" s="3">
        <f t="shared" si="25"/>
        <v>8.6531228921478098E-7</v>
      </c>
      <c r="R27" s="3">
        <f t="shared" si="25"/>
        <v>1.0800375099114612E-50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3.7657482651884608E-2</v>
      </c>
      <c r="C28" s="18">
        <f t="shared" si="3"/>
        <v>6.6907973989911038E-2</v>
      </c>
      <c r="D28" s="17"/>
      <c r="F28" s="3">
        <f t="shared" si="25"/>
        <v>6.6907973989233094E-2</v>
      </c>
      <c r="G28" s="3">
        <f t="shared" si="25"/>
        <v>6.6907973983131516E-2</v>
      </c>
      <c r="H28" s="3">
        <f t="shared" si="25"/>
        <v>6.690797392211581E-2</v>
      </c>
      <c r="I28" s="3">
        <f t="shared" si="25"/>
        <v>6.6907973311958788E-2</v>
      </c>
      <c r="J28" s="3">
        <f t="shared" si="25"/>
        <v>6.6907967210388844E-2</v>
      </c>
      <c r="K28" s="3">
        <f t="shared" si="25"/>
        <v>6.690790619472009E-2</v>
      </c>
      <c r="L28" s="3">
        <f t="shared" si="25"/>
        <v>6.6907296041092718E-2</v>
      </c>
      <c r="M28" s="3">
        <f t="shared" si="25"/>
        <v>6.6901194810840448E-2</v>
      </c>
      <c r="N28" s="3">
        <f t="shared" si="25"/>
        <v>6.6840213100132273E-2</v>
      </c>
      <c r="O28" s="3">
        <f t="shared" si="25"/>
        <v>6.6233444877467726E-2</v>
      </c>
      <c r="P28" s="3">
        <f t="shared" si="25"/>
        <v>6.0460609818832299E-2</v>
      </c>
      <c r="Q28" s="3">
        <f t="shared" si="25"/>
        <v>2.4289821197778848E-2</v>
      </c>
      <c r="R28" s="3">
        <f t="shared" si="25"/>
        <v>2.6603713625967509E-6</v>
      </c>
      <c r="S28" s="3">
        <f t="shared" si="25"/>
        <v>6.6087865893318682E-46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2.9927959444068404E-2</v>
      </c>
      <c r="C29" s="18">
        <f t="shared" si="3"/>
        <v>5.3174535073566002E-2</v>
      </c>
      <c r="D29" s="17"/>
      <c r="F29" s="3">
        <f t="shared" si="25"/>
        <v>5.3174535073517396E-2</v>
      </c>
      <c r="G29" s="3">
        <f t="shared" si="25"/>
        <v>5.3174535073079961E-2</v>
      </c>
      <c r="H29" s="3">
        <f t="shared" si="25"/>
        <v>5.3174535068705606E-2</v>
      </c>
      <c r="I29" s="3">
        <f t="shared" si="25"/>
        <v>5.3174535024962055E-2</v>
      </c>
      <c r="J29" s="3">
        <f t="shared" si="25"/>
        <v>5.3174534587526558E-2</v>
      </c>
      <c r="K29" s="3">
        <f t="shared" si="25"/>
        <v>5.3174530213171721E-2</v>
      </c>
      <c r="L29" s="3">
        <f t="shared" si="25"/>
        <v>5.3174486469643158E-2</v>
      </c>
      <c r="M29" s="3">
        <f t="shared" si="25"/>
        <v>5.317404903633674E-2</v>
      </c>
      <c r="N29" s="3">
        <f t="shared" si="25"/>
        <v>5.3169674901184655E-2</v>
      </c>
      <c r="O29" s="3">
        <f t="shared" si="25"/>
        <v>5.3125953334851837E-2</v>
      </c>
      <c r="P29" s="3">
        <f t="shared" si="25"/>
        <v>5.269071018139436E-2</v>
      </c>
      <c r="Q29" s="3">
        <f t="shared" si="25"/>
        <v>4.8529655596140427E-2</v>
      </c>
      <c r="R29" s="3">
        <f t="shared" si="25"/>
        <v>2.1317623121524232E-2</v>
      </c>
      <c r="S29" s="3">
        <f t="shared" si="25"/>
        <v>5.7023581040273061E-6</v>
      </c>
      <c r="T29" s="3">
        <f t="shared" si="25"/>
        <v>1.0695757793557672E-41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1.8529923299358129E-2</v>
      </c>
      <c r="C30" s="18">
        <f t="shared" si="3"/>
        <v>3.2923061735419888E-2</v>
      </c>
      <c r="D30" s="17"/>
      <c r="F30" s="3">
        <f t="shared" si="25"/>
        <v>3.2923061735417175E-2</v>
      </c>
      <c r="G30" s="3">
        <f t="shared" si="25"/>
        <v>3.2923061735392743E-2</v>
      </c>
      <c r="H30" s="3">
        <f t="shared" si="25"/>
        <v>3.2923061735148425E-2</v>
      </c>
      <c r="I30" s="3">
        <f t="shared" si="25"/>
        <v>3.2923061732705233E-2</v>
      </c>
      <c r="J30" s="3">
        <f t="shared" si="25"/>
        <v>3.2923061708273339E-2</v>
      </c>
      <c r="K30" s="3">
        <f t="shared" si="25"/>
        <v>3.2923061463954399E-2</v>
      </c>
      <c r="L30" s="3">
        <f t="shared" si="25"/>
        <v>3.2923059020765102E-2</v>
      </c>
      <c r="M30" s="3">
        <f t="shared" si="25"/>
        <v>3.292303458888212E-2</v>
      </c>
      <c r="N30" s="3">
        <f t="shared" si="25"/>
        <v>3.2922790271049475E-2</v>
      </c>
      <c r="O30" s="3">
        <f t="shared" si="25"/>
        <v>3.292034719243872E-2</v>
      </c>
      <c r="P30" s="3">
        <f t="shared" si="25"/>
        <v>3.2895926375162733E-2</v>
      </c>
      <c r="Q30" s="3">
        <f t="shared" si="25"/>
        <v>3.2652712353807761E-2</v>
      </c>
      <c r="R30" s="3">
        <f t="shared" si="25"/>
        <v>3.0317310943424221E-2</v>
      </c>
      <c r="S30" s="3">
        <f t="shared" si="25"/>
        <v>1.4434602638353479E-2</v>
      </c>
      <c r="T30" s="3">
        <f t="shared" si="25"/>
        <v>8.6406493696314636E-6</v>
      </c>
      <c r="U30" s="3">
        <f t="shared" si="25"/>
        <v>5.1046018621643512E-38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9.1885620239958252E-3</v>
      </c>
      <c r="C31" s="18">
        <f t="shared" si="3"/>
        <v>1.6325787748200139E-2</v>
      </c>
      <c r="D31" s="17"/>
      <c r="F31" s="3">
        <f t="shared" si="25"/>
        <v>1.6325787748200017E-2</v>
      </c>
      <c r="G31" s="3">
        <f t="shared" si="25"/>
        <v>1.6325787748198924E-2</v>
      </c>
      <c r="H31" s="3">
        <f t="shared" si="25"/>
        <v>1.6325787748187996E-2</v>
      </c>
      <c r="I31" s="3">
        <f t="shared" si="25"/>
        <v>1.6325787748078708E-2</v>
      </c>
      <c r="J31" s="3">
        <f t="shared" si="25"/>
        <v>1.6325787746985811E-2</v>
      </c>
      <c r="K31" s="3">
        <f t="shared" si="25"/>
        <v>1.6325787736056883E-2</v>
      </c>
      <c r="L31" s="3">
        <f t="shared" si="25"/>
        <v>1.632578762676758E-2</v>
      </c>
      <c r="M31" s="3">
        <f t="shared" si="25"/>
        <v>1.6325786533874592E-2</v>
      </c>
      <c r="N31" s="3">
        <f t="shared" si="25"/>
        <v>1.6325775604948741E-2</v>
      </c>
      <c r="O31" s="3">
        <f t="shared" si="25"/>
        <v>1.6325666316092616E-2</v>
      </c>
      <c r="P31" s="3">
        <f t="shared" si="25"/>
        <v>1.6324573467768957E-2</v>
      </c>
      <c r="Q31" s="3">
        <f t="shared" si="25"/>
        <v>1.6313649007294376E-2</v>
      </c>
      <c r="R31" s="3">
        <f t="shared" si="25"/>
        <v>1.6204805684142527E-2</v>
      </c>
      <c r="S31" s="3">
        <f t="shared" si="25"/>
        <v>1.5155524232055198E-2</v>
      </c>
      <c r="T31" s="3">
        <f t="shared" si="25"/>
        <v>7.7596533345681059E-3</v>
      </c>
      <c r="U31" s="3">
        <f t="shared" si="25"/>
        <v>9.6062941499591332E-6</v>
      </c>
      <c r="V31" s="3">
        <f t="shared" si="26"/>
        <v>8.122533197486744E-35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4.4448901553194422E-3</v>
      </c>
      <c r="C32" s="18">
        <f t="shared" si="3"/>
        <v>7.8974635041155969E-3</v>
      </c>
      <c r="D32" s="17"/>
      <c r="F32" s="3">
        <f t="shared" si="25"/>
        <v>7.8974635041155917E-3</v>
      </c>
      <c r="G32" s="3">
        <f t="shared" si="25"/>
        <v>7.8974635041155448E-3</v>
      </c>
      <c r="H32" s="3">
        <f t="shared" si="25"/>
        <v>7.8974635041150678E-3</v>
      </c>
      <c r="I32" s="3">
        <f t="shared" si="25"/>
        <v>7.8974635041102973E-3</v>
      </c>
      <c r="J32" s="3">
        <f t="shared" si="25"/>
        <v>7.8974635040626063E-3</v>
      </c>
      <c r="K32" s="3">
        <f t="shared" si="25"/>
        <v>7.8974635035856961E-3</v>
      </c>
      <c r="L32" s="3">
        <f t="shared" si="25"/>
        <v>7.8974634988165805E-3</v>
      </c>
      <c r="M32" s="3">
        <f t="shared" si="25"/>
        <v>7.8974634511254395E-3</v>
      </c>
      <c r="N32" s="3">
        <f t="shared" si="25"/>
        <v>7.8974629742140281E-3</v>
      </c>
      <c r="O32" s="3">
        <f t="shared" si="25"/>
        <v>7.8974582051015031E-3</v>
      </c>
      <c r="P32" s="3">
        <f t="shared" si="25"/>
        <v>7.8974105141346607E-3</v>
      </c>
      <c r="Q32" s="3">
        <f t="shared" si="25"/>
        <v>7.8969336203056767E-3</v>
      </c>
      <c r="R32" s="3">
        <f t="shared" si="25"/>
        <v>7.8921662656056737E-3</v>
      </c>
      <c r="S32" s="3">
        <f t="shared" si="25"/>
        <v>7.8446507243308886E-3</v>
      </c>
      <c r="T32" s="3">
        <f t="shared" si="25"/>
        <v>7.384948473688333E-3</v>
      </c>
      <c r="U32" s="3">
        <f t="shared" si="25"/>
        <v>4.0372537485231057E-3</v>
      </c>
      <c r="V32" s="3">
        <f t="shared" si="26"/>
        <v>9.6265753806443925E-6</v>
      </c>
      <c r="W32" s="3">
        <f t="shared" si="26"/>
        <v>5.7191239697534322E-32</v>
      </c>
      <c r="X32" s="3">
        <f t="shared" si="26"/>
        <v>3.1326109175981866E-294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2.338564561124933E-3</v>
      </c>
      <c r="C33" s="18">
        <f t="shared" si="3"/>
        <v>4.1550471728530186E-3</v>
      </c>
      <c r="D33" s="17"/>
      <c r="F33" s="3">
        <f t="shared" si="25"/>
        <v>4.1550471728530177E-3</v>
      </c>
      <c r="G33" s="3">
        <f t="shared" si="25"/>
        <v>4.155047172853016E-3</v>
      </c>
      <c r="H33" s="3">
        <f t="shared" si="25"/>
        <v>4.1550471728529935E-3</v>
      </c>
      <c r="I33" s="3">
        <f t="shared" si="25"/>
        <v>4.1550471728527671E-3</v>
      </c>
      <c r="J33" s="3">
        <f t="shared" si="25"/>
        <v>4.1550471728505033E-3</v>
      </c>
      <c r="K33" s="3">
        <f t="shared" si="25"/>
        <v>4.1550471728278686E-3</v>
      </c>
      <c r="L33" s="3">
        <f t="shared" si="25"/>
        <v>4.1550471726015236E-3</v>
      </c>
      <c r="M33" s="3">
        <f t="shared" si="25"/>
        <v>4.1550471703380642E-3</v>
      </c>
      <c r="N33" s="3">
        <f t="shared" si="25"/>
        <v>4.155047147703473E-3</v>
      </c>
      <c r="O33" s="3">
        <f t="shared" si="25"/>
        <v>4.1550469213575709E-3</v>
      </c>
      <c r="P33" s="3">
        <f t="shared" si="25"/>
        <v>4.1550446578992213E-3</v>
      </c>
      <c r="Q33" s="3">
        <f t="shared" si="25"/>
        <v>4.155022023383549E-3</v>
      </c>
      <c r="R33" s="3">
        <f t="shared" si="25"/>
        <v>4.1547956850082716E-3</v>
      </c>
      <c r="S33" s="3">
        <f t="shared" si="25"/>
        <v>4.1525329792634295E-3</v>
      </c>
      <c r="T33" s="3">
        <f t="shared" si="25"/>
        <v>4.129973586150055E-3</v>
      </c>
      <c r="U33" s="3">
        <f t="shared" ref="P33:AE48" si="27">$C33*EXP(-U$15/$A33)</f>
        <v>3.9110116706240101E-3</v>
      </c>
      <c r="V33" s="3">
        <f t="shared" si="27"/>
        <v>2.2683365478217117E-3</v>
      </c>
      <c r="W33" s="3">
        <f t="shared" si="27"/>
        <v>9.7699259902375139E-6</v>
      </c>
      <c r="X33" s="3">
        <f t="shared" si="27"/>
        <v>2.1464911862524945E-29</v>
      </c>
      <c r="Y33" s="3">
        <f t="shared" si="27"/>
        <v>5.6248049450459262E-266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2.3962456682378331E-3</v>
      </c>
      <c r="C34" s="18">
        <f t="shared" si="3"/>
        <v>4.2575321437709054E-3</v>
      </c>
      <c r="D34" s="17"/>
      <c r="F34" s="3">
        <f t="shared" ref="F34:O48" si="28">$C34*EXP(-F$15/$A34)</f>
        <v>4.2575321437709054E-3</v>
      </c>
      <c r="G34" s="3">
        <f t="shared" si="28"/>
        <v>4.2575321437709054E-3</v>
      </c>
      <c r="H34" s="3">
        <f t="shared" si="28"/>
        <v>4.2575321437709028E-3</v>
      </c>
      <c r="I34" s="3">
        <f t="shared" si="28"/>
        <v>4.257532143770882E-3</v>
      </c>
      <c r="J34" s="3">
        <f t="shared" si="28"/>
        <v>4.257532143770673E-3</v>
      </c>
      <c r="K34" s="3">
        <f t="shared" si="28"/>
        <v>4.2575321437685809E-3</v>
      </c>
      <c r="L34" s="3">
        <f t="shared" si="28"/>
        <v>4.2575321437476592E-3</v>
      </c>
      <c r="M34" s="3">
        <f t="shared" si="28"/>
        <v>4.2575321435384403E-3</v>
      </c>
      <c r="N34" s="3">
        <f t="shared" si="28"/>
        <v>4.2575321414462493E-3</v>
      </c>
      <c r="O34" s="3">
        <f t="shared" si="28"/>
        <v>4.2575321205243445E-3</v>
      </c>
      <c r="P34" s="3">
        <f t="shared" si="27"/>
        <v>4.257531911305304E-3</v>
      </c>
      <c r="Q34" s="3">
        <f t="shared" si="27"/>
        <v>4.2575298191154624E-3</v>
      </c>
      <c r="R34" s="3">
        <f t="shared" si="27"/>
        <v>4.2575088972735958E-3</v>
      </c>
      <c r="S34" s="3">
        <f t="shared" si="27"/>
        <v>4.2572996845094812E-3</v>
      </c>
      <c r="T34" s="3">
        <f t="shared" si="27"/>
        <v>4.2552081222210179E-3</v>
      </c>
      <c r="U34" s="3">
        <f t="shared" si="27"/>
        <v>4.2343489319465535E-3</v>
      </c>
      <c r="V34" s="3">
        <f t="shared" si="27"/>
        <v>4.0312990184068389E-3</v>
      </c>
      <c r="W34" s="3">
        <f t="shared" si="27"/>
        <v>2.4662023564220223E-3</v>
      </c>
      <c r="X34" s="3">
        <f t="shared" si="27"/>
        <v>1.8107798963010647E-5</v>
      </c>
      <c r="Y34" s="3">
        <f t="shared" si="27"/>
        <v>8.2458460551705875E-27</v>
      </c>
      <c r="Z34" s="3">
        <f t="shared" si="27"/>
        <v>3.1617738682900796E-240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5.3690678024604309E-4</v>
      </c>
      <c r="C35" s="18">
        <f t="shared" si="3"/>
        <v>9.5394971617709327E-4</v>
      </c>
      <c r="D35" s="17"/>
      <c r="F35" s="3">
        <f t="shared" si="28"/>
        <v>9.5394971617709327E-4</v>
      </c>
      <c r="G35" s="3">
        <f t="shared" si="28"/>
        <v>9.5394971617709327E-4</v>
      </c>
      <c r="H35" s="3">
        <f t="shared" si="28"/>
        <v>9.5394971617709327E-4</v>
      </c>
      <c r="I35" s="3">
        <f t="shared" si="28"/>
        <v>9.5394971617709283E-4</v>
      </c>
      <c r="J35" s="3">
        <f t="shared" si="28"/>
        <v>9.539497161770886E-4</v>
      </c>
      <c r="K35" s="3">
        <f t="shared" si="28"/>
        <v>9.5394971617704621E-4</v>
      </c>
      <c r="L35" s="3">
        <f t="shared" si="28"/>
        <v>9.5394971617662348E-4</v>
      </c>
      <c r="M35" s="3">
        <f t="shared" si="28"/>
        <v>9.5394971617239455E-4</v>
      </c>
      <c r="N35" s="3">
        <f t="shared" si="28"/>
        <v>9.5394971613010676E-4</v>
      </c>
      <c r="O35" s="3">
        <f t="shared" si="28"/>
        <v>9.5394971570722856E-4</v>
      </c>
      <c r="P35" s="3">
        <f t="shared" si="27"/>
        <v>9.5394971147844587E-4</v>
      </c>
      <c r="Q35" s="3">
        <f t="shared" si="27"/>
        <v>9.5394966919062115E-4</v>
      </c>
      <c r="R35" s="3">
        <f t="shared" si="27"/>
        <v>9.5394924631247643E-4</v>
      </c>
      <c r="S35" s="3">
        <f t="shared" si="27"/>
        <v>9.5394501754134011E-4</v>
      </c>
      <c r="T35" s="3">
        <f t="shared" si="27"/>
        <v>9.5390273086097945E-4</v>
      </c>
      <c r="U35" s="3">
        <f t="shared" si="27"/>
        <v>9.5347996714078306E-4</v>
      </c>
      <c r="V35" s="3">
        <f t="shared" si="27"/>
        <v>9.4926262139234999E-4</v>
      </c>
      <c r="W35" s="3">
        <f t="shared" si="27"/>
        <v>9.0810162770371087E-4</v>
      </c>
      <c r="X35" s="3">
        <f t="shared" si="27"/>
        <v>5.8292837120518294E-4</v>
      </c>
      <c r="Y35" s="3">
        <f t="shared" si="27"/>
        <v>6.9250447137408477E-6</v>
      </c>
      <c r="Z35" s="3">
        <f t="shared" si="27"/>
        <v>3.8770059801140474E-25</v>
      </c>
      <c r="AA35" s="3">
        <f t="shared" si="27"/>
        <v>1.1728307950214152E-217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2.2844933234451208E-3</v>
      </c>
      <c r="C36" s="18">
        <f t="shared" si="3"/>
        <v>4.0589760414466262E-3</v>
      </c>
      <c r="D36" s="17"/>
      <c r="F36" s="3">
        <f t="shared" si="28"/>
        <v>4.0589760414466262E-3</v>
      </c>
      <c r="G36" s="3">
        <f t="shared" si="28"/>
        <v>4.0589760414466262E-3</v>
      </c>
      <c r="H36" s="3">
        <f t="shared" si="28"/>
        <v>4.0589760414466262E-3</v>
      </c>
      <c r="I36" s="3">
        <f t="shared" si="28"/>
        <v>4.0589760414466262E-3</v>
      </c>
      <c r="J36" s="3">
        <f t="shared" si="28"/>
        <v>4.0589760414466245E-3</v>
      </c>
      <c r="K36" s="3">
        <f t="shared" si="28"/>
        <v>4.058976041446608E-3</v>
      </c>
      <c r="L36" s="3">
        <f t="shared" si="28"/>
        <v>4.0589760414464458E-3</v>
      </c>
      <c r="M36" s="3">
        <f t="shared" si="28"/>
        <v>4.058976041444823E-3</v>
      </c>
      <c r="N36" s="3">
        <f t="shared" si="28"/>
        <v>4.0589760414285912E-3</v>
      </c>
      <c r="O36" s="3">
        <f t="shared" si="28"/>
        <v>4.0589760412662783E-3</v>
      </c>
      <c r="P36" s="3">
        <f t="shared" si="27"/>
        <v>4.0589760396431496E-3</v>
      </c>
      <c r="Q36" s="3">
        <f t="shared" si="27"/>
        <v>4.0589760234118633E-3</v>
      </c>
      <c r="R36" s="3">
        <f t="shared" si="27"/>
        <v>4.0589758610989979E-3</v>
      </c>
      <c r="S36" s="3">
        <f t="shared" si="27"/>
        <v>4.0589742379707073E-3</v>
      </c>
      <c r="T36" s="3">
        <f t="shared" si="27"/>
        <v>4.0589580067234964E-3</v>
      </c>
      <c r="U36" s="3">
        <f t="shared" si="27"/>
        <v>4.058795697821191E-3</v>
      </c>
      <c r="V36" s="3">
        <f t="shared" si="27"/>
        <v>4.0571729657262199E-3</v>
      </c>
      <c r="W36" s="3">
        <f t="shared" si="27"/>
        <v>4.0409812848304829E-3</v>
      </c>
      <c r="X36" s="3">
        <f t="shared" si="27"/>
        <v>3.8825763082831395E-3</v>
      </c>
      <c r="Y36" s="3">
        <f t="shared" si="27"/>
        <v>2.6028648018192246E-3</v>
      </c>
      <c r="Z36" s="3">
        <f t="shared" si="27"/>
        <v>4.7727393226656239E-5</v>
      </c>
      <c r="AA36" s="3">
        <f t="shared" si="27"/>
        <v>2.0508257257098727E-22</v>
      </c>
      <c r="AB36" s="3">
        <f t="shared" si="27"/>
        <v>4.4008764418076365E-196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1.0175326304348697E-3</v>
      </c>
      <c r="C37" s="18">
        <f t="shared" si="3"/>
        <v>1.8079022275700322E-3</v>
      </c>
      <c r="D37" s="17"/>
      <c r="F37" s="3">
        <f t="shared" si="28"/>
        <v>1.8079022275700322E-3</v>
      </c>
      <c r="G37" s="3">
        <f t="shared" si="28"/>
        <v>1.8079022275700322E-3</v>
      </c>
      <c r="H37" s="3">
        <f t="shared" si="28"/>
        <v>1.8079022275700322E-3</v>
      </c>
      <c r="I37" s="3">
        <f t="shared" si="28"/>
        <v>1.8079022275700322E-3</v>
      </c>
      <c r="J37" s="3">
        <f t="shared" si="28"/>
        <v>1.8079022275700322E-3</v>
      </c>
      <c r="K37" s="3">
        <f t="shared" si="28"/>
        <v>1.8079022275700313E-3</v>
      </c>
      <c r="L37" s="3">
        <f t="shared" si="28"/>
        <v>1.807902227570025E-3</v>
      </c>
      <c r="M37" s="3">
        <f t="shared" si="28"/>
        <v>1.8079022275699597E-3</v>
      </c>
      <c r="N37" s="3">
        <f t="shared" si="28"/>
        <v>1.8079022275693075E-3</v>
      </c>
      <c r="O37" s="3">
        <f t="shared" si="28"/>
        <v>1.8079022275627858E-3</v>
      </c>
      <c r="P37" s="3">
        <f t="shared" si="27"/>
        <v>1.8079022274975693E-3</v>
      </c>
      <c r="Q37" s="3">
        <f t="shared" si="27"/>
        <v>1.8079022268454035E-3</v>
      </c>
      <c r="R37" s="3">
        <f t="shared" si="27"/>
        <v>1.8079022203237459E-3</v>
      </c>
      <c r="S37" s="3">
        <f t="shared" si="27"/>
        <v>1.8079021551071709E-3</v>
      </c>
      <c r="T37" s="3">
        <f t="shared" si="27"/>
        <v>1.8079015029415504E-3</v>
      </c>
      <c r="U37" s="3">
        <f t="shared" si="27"/>
        <v>1.8078949812982842E-3</v>
      </c>
      <c r="V37" s="3">
        <f t="shared" si="27"/>
        <v>1.807829766159511E-3</v>
      </c>
      <c r="W37" s="3">
        <f t="shared" si="27"/>
        <v>1.807177744143496E-3</v>
      </c>
      <c r="X37" s="3">
        <f t="shared" si="27"/>
        <v>1.800670443904304E-3</v>
      </c>
      <c r="Y37" s="3">
        <f t="shared" si="27"/>
        <v>1.7368723544707865E-3</v>
      </c>
      <c r="Z37" s="3">
        <f t="shared" si="27"/>
        <v>1.2108896508252244E-3</v>
      </c>
      <c r="AA37" s="3">
        <f t="shared" si="27"/>
        <v>3.2845147399756044E-5</v>
      </c>
      <c r="AB37" s="3">
        <f t="shared" si="27"/>
        <v>7.0817027433906078E-21</v>
      </c>
      <c r="AC37" s="3">
        <f t="shared" si="27"/>
        <v>1.5374552109708048E-177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3.7480479020851891E-4</v>
      </c>
      <c r="C38" s="18">
        <f t="shared" si="3"/>
        <v>6.6593482592524332E-4</v>
      </c>
      <c r="D38" s="17"/>
      <c r="F38" s="3">
        <f t="shared" si="28"/>
        <v>6.6593482592524332E-4</v>
      </c>
      <c r="G38" s="3">
        <f t="shared" si="28"/>
        <v>6.6593482592524332E-4</v>
      </c>
      <c r="H38" s="3">
        <f t="shared" si="28"/>
        <v>6.6593482592524332E-4</v>
      </c>
      <c r="I38" s="3">
        <f t="shared" si="28"/>
        <v>6.6593482592524332E-4</v>
      </c>
      <c r="J38" s="3">
        <f t="shared" si="28"/>
        <v>6.6593482592524332E-4</v>
      </c>
      <c r="K38" s="3">
        <f t="shared" si="28"/>
        <v>6.6593482592524332E-4</v>
      </c>
      <c r="L38" s="3">
        <f t="shared" si="28"/>
        <v>6.659348259252431E-4</v>
      </c>
      <c r="M38" s="3">
        <f t="shared" si="28"/>
        <v>6.6593482592524082E-4</v>
      </c>
      <c r="N38" s="3">
        <f t="shared" si="28"/>
        <v>6.6593482592521925E-4</v>
      </c>
      <c r="O38" s="3">
        <f t="shared" si="28"/>
        <v>6.6593482592500251E-4</v>
      </c>
      <c r="P38" s="3">
        <f t="shared" si="27"/>
        <v>6.6593482592283552E-4</v>
      </c>
      <c r="Q38" s="3">
        <f t="shared" si="27"/>
        <v>6.6593482590116546E-4</v>
      </c>
      <c r="R38" s="3">
        <f t="shared" si="27"/>
        <v>6.6593482568446413E-4</v>
      </c>
      <c r="S38" s="3">
        <f t="shared" si="27"/>
        <v>6.6593482351745179E-4</v>
      </c>
      <c r="T38" s="3">
        <f t="shared" si="27"/>
        <v>6.6593480184732939E-4</v>
      </c>
      <c r="U38" s="3">
        <f t="shared" si="27"/>
        <v>6.659345851461431E-4</v>
      </c>
      <c r="V38" s="3">
        <f t="shared" si="27"/>
        <v>6.6593241813815859E-4</v>
      </c>
      <c r="W38" s="3">
        <f t="shared" si="27"/>
        <v>6.6591074844614981E-4</v>
      </c>
      <c r="X38" s="3">
        <f t="shared" si="27"/>
        <v>6.656940903049729E-4</v>
      </c>
      <c r="Y38" s="3">
        <f t="shared" si="27"/>
        <v>6.6353138211937865E-4</v>
      </c>
      <c r="Z38" s="3">
        <f t="shared" si="27"/>
        <v>6.4228699977725593E-4</v>
      </c>
      <c r="AA38" s="3">
        <f t="shared" si="27"/>
        <v>4.6388013005906395E-4</v>
      </c>
      <c r="AB38" s="3">
        <f t="shared" si="27"/>
        <v>1.7913157945829592E-5</v>
      </c>
      <c r="AC38" s="3">
        <f t="shared" si="27"/>
        <v>1.3207967905516274E-19</v>
      </c>
      <c r="AD38" s="3">
        <f t="shared" si="27"/>
        <v>6.2729886561790207E-161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0</v>
      </c>
      <c r="C39" s="18">
        <f t="shared" si="3"/>
        <v>0</v>
      </c>
      <c r="D39" s="17"/>
      <c r="F39" s="3">
        <f t="shared" si="28"/>
        <v>0</v>
      </c>
      <c r="G39" s="3">
        <f t="shared" si="28"/>
        <v>0</v>
      </c>
      <c r="H39" s="3">
        <f t="shared" si="28"/>
        <v>0</v>
      </c>
      <c r="I39" s="3">
        <f t="shared" si="28"/>
        <v>0</v>
      </c>
      <c r="J39" s="3">
        <f t="shared" si="28"/>
        <v>0</v>
      </c>
      <c r="K39" s="3">
        <f t="shared" si="28"/>
        <v>0</v>
      </c>
      <c r="L39" s="3">
        <f t="shared" si="28"/>
        <v>0</v>
      </c>
      <c r="M39" s="3">
        <f t="shared" si="28"/>
        <v>0</v>
      </c>
      <c r="N39" s="3">
        <f t="shared" si="28"/>
        <v>0</v>
      </c>
      <c r="O39" s="3">
        <f t="shared" si="28"/>
        <v>0</v>
      </c>
      <c r="P39" s="3">
        <f t="shared" si="27"/>
        <v>0</v>
      </c>
      <c r="Q39" s="3">
        <f t="shared" si="27"/>
        <v>0</v>
      </c>
      <c r="R39" s="3">
        <f t="shared" si="27"/>
        <v>0</v>
      </c>
      <c r="S39" s="3">
        <f t="shared" si="27"/>
        <v>0</v>
      </c>
      <c r="T39" s="3">
        <f t="shared" si="27"/>
        <v>0</v>
      </c>
      <c r="U39" s="3">
        <f t="shared" si="27"/>
        <v>0</v>
      </c>
      <c r="V39" s="3">
        <f t="shared" si="27"/>
        <v>0</v>
      </c>
      <c r="W39" s="3">
        <f t="shared" si="27"/>
        <v>0</v>
      </c>
      <c r="X39" s="3">
        <f t="shared" si="27"/>
        <v>0</v>
      </c>
      <c r="Y39" s="3">
        <f t="shared" si="27"/>
        <v>0</v>
      </c>
      <c r="Z39" s="3">
        <f t="shared" si="27"/>
        <v>0</v>
      </c>
      <c r="AA39" s="3">
        <f t="shared" si="27"/>
        <v>0</v>
      </c>
      <c r="AB39" s="3">
        <f t="shared" si="27"/>
        <v>0</v>
      </c>
      <c r="AC39" s="3">
        <f t="shared" si="27"/>
        <v>0</v>
      </c>
      <c r="AD39" s="3">
        <f t="shared" si="27"/>
        <v>0</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3.1478759983681457E-4</v>
      </c>
      <c r="C40" s="18">
        <f t="shared" si="3"/>
        <v>5.5929921649114952E-4</v>
      </c>
      <c r="D40" s="17"/>
      <c r="F40" s="3">
        <f t="shared" si="28"/>
        <v>5.5929921649114952E-4</v>
      </c>
      <c r="G40" s="3">
        <f t="shared" si="28"/>
        <v>5.5929921649114952E-4</v>
      </c>
      <c r="H40" s="3">
        <f t="shared" si="28"/>
        <v>5.5929921649114952E-4</v>
      </c>
      <c r="I40" s="3">
        <f t="shared" si="28"/>
        <v>5.5929921649114952E-4</v>
      </c>
      <c r="J40" s="3">
        <f t="shared" si="28"/>
        <v>5.5929921649114952E-4</v>
      </c>
      <c r="K40" s="3">
        <f t="shared" si="28"/>
        <v>5.5929921649114952E-4</v>
      </c>
      <c r="L40" s="3">
        <f t="shared" si="28"/>
        <v>5.5929921649114952E-4</v>
      </c>
      <c r="M40" s="3">
        <f t="shared" si="28"/>
        <v>5.5929921649114942E-4</v>
      </c>
      <c r="N40" s="3">
        <f t="shared" si="28"/>
        <v>5.5929921649114898E-4</v>
      </c>
      <c r="O40" s="3">
        <f t="shared" si="28"/>
        <v>5.5929921649114389E-4</v>
      </c>
      <c r="P40" s="3">
        <f t="shared" si="27"/>
        <v>5.5929921649109358E-4</v>
      </c>
      <c r="Q40" s="3">
        <f t="shared" si="27"/>
        <v>5.5929921649059018E-4</v>
      </c>
      <c r="R40" s="3">
        <f t="shared" si="27"/>
        <v>5.5929921648555656E-4</v>
      </c>
      <c r="S40" s="3">
        <f t="shared" si="27"/>
        <v>5.5929921643521955E-4</v>
      </c>
      <c r="T40" s="3">
        <f t="shared" si="27"/>
        <v>5.5929921593185028E-4</v>
      </c>
      <c r="U40" s="3">
        <f t="shared" si="27"/>
        <v>5.5929921089815742E-4</v>
      </c>
      <c r="V40" s="3">
        <f t="shared" si="27"/>
        <v>5.5929916056123073E-4</v>
      </c>
      <c r="W40" s="3">
        <f t="shared" si="27"/>
        <v>5.5929865719221272E-4</v>
      </c>
      <c r="X40" s="3">
        <f t="shared" si="27"/>
        <v>5.5929362352694946E-4</v>
      </c>
      <c r="Y40" s="3">
        <f t="shared" si="27"/>
        <v>5.5924328936590327E-4</v>
      </c>
      <c r="Z40" s="3">
        <f t="shared" si="27"/>
        <v>5.5874019683107342E-4</v>
      </c>
      <c r="AA40" s="3">
        <f t="shared" si="27"/>
        <v>5.537340963031026E-4</v>
      </c>
      <c r="AB40" s="3">
        <f t="shared" si="27"/>
        <v>5.0607485895938693E-4</v>
      </c>
      <c r="AC40" s="3">
        <f t="shared" si="27"/>
        <v>2.0575468321038963E-4</v>
      </c>
      <c r="AD40" s="3">
        <f t="shared" si="27"/>
        <v>2.5392145144910999E-8</v>
      </c>
      <c r="AE40" s="3">
        <f t="shared" si="27"/>
        <v>2.080635578676002E-47</v>
      </c>
      <c r="AF40" s="3">
        <f t="shared" si="29"/>
        <v>0</v>
      </c>
      <c r="AG40" s="3">
        <f t="shared" si="29"/>
        <v>0</v>
      </c>
      <c r="AH40" s="3">
        <f t="shared" si="29"/>
        <v>0</v>
      </c>
      <c r="AI40" s="3">
        <f t="shared" si="29"/>
        <v>0</v>
      </c>
      <c r="AJ40" s="3">
        <f t="shared" si="29"/>
        <v>0</v>
      </c>
    </row>
    <row r="41" spans="1:36" x14ac:dyDescent="0.25">
      <c r="A41" s="3">
        <f t="shared" si="30"/>
        <v>1000000000</v>
      </c>
      <c r="B41" s="106">
        <v>0</v>
      </c>
      <c r="C41" s="18">
        <f t="shared" si="3"/>
        <v>0</v>
      </c>
      <c r="D41" s="17"/>
      <c r="F41" s="3">
        <f t="shared" si="28"/>
        <v>0</v>
      </c>
      <c r="G41" s="3">
        <f t="shared" si="28"/>
        <v>0</v>
      </c>
      <c r="H41" s="3">
        <f t="shared" si="28"/>
        <v>0</v>
      </c>
      <c r="I41" s="3">
        <f t="shared" si="28"/>
        <v>0</v>
      </c>
      <c r="J41" s="3">
        <f t="shared" si="28"/>
        <v>0</v>
      </c>
      <c r="K41" s="3">
        <f t="shared" si="28"/>
        <v>0</v>
      </c>
      <c r="L41" s="3">
        <f t="shared" si="28"/>
        <v>0</v>
      </c>
      <c r="M41" s="3">
        <f t="shared" si="28"/>
        <v>0</v>
      </c>
      <c r="N41" s="3">
        <f t="shared" si="28"/>
        <v>0</v>
      </c>
      <c r="O41" s="3">
        <f t="shared" si="28"/>
        <v>0</v>
      </c>
      <c r="P41" s="3">
        <f t="shared" si="27"/>
        <v>0</v>
      </c>
      <c r="Q41" s="3">
        <f t="shared" si="27"/>
        <v>0</v>
      </c>
      <c r="R41" s="3">
        <f t="shared" si="27"/>
        <v>0</v>
      </c>
      <c r="S41" s="3">
        <f t="shared" si="27"/>
        <v>0</v>
      </c>
      <c r="T41" s="3">
        <f t="shared" si="27"/>
        <v>0</v>
      </c>
      <c r="U41" s="3">
        <f t="shared" si="27"/>
        <v>0</v>
      </c>
      <c r="V41" s="3">
        <f t="shared" si="27"/>
        <v>0</v>
      </c>
      <c r="W41" s="3">
        <f t="shared" si="27"/>
        <v>0</v>
      </c>
      <c r="X41" s="3">
        <f t="shared" si="27"/>
        <v>0</v>
      </c>
      <c r="Y41" s="3">
        <f t="shared" si="27"/>
        <v>0</v>
      </c>
      <c r="Z41" s="3">
        <f t="shared" si="27"/>
        <v>0</v>
      </c>
      <c r="AA41" s="3">
        <f t="shared" si="27"/>
        <v>0</v>
      </c>
      <c r="AB41" s="3">
        <f t="shared" si="27"/>
        <v>0</v>
      </c>
      <c r="AC41" s="3">
        <f t="shared" si="27"/>
        <v>0</v>
      </c>
      <c r="AD41" s="3">
        <f t="shared" si="27"/>
        <v>0</v>
      </c>
      <c r="AE41" s="3">
        <f t="shared" si="27"/>
        <v>0</v>
      </c>
      <c r="AF41" s="3">
        <f t="shared" si="29"/>
        <v>0</v>
      </c>
      <c r="AG41" s="3">
        <f t="shared" si="29"/>
        <v>0</v>
      </c>
      <c r="AH41" s="3">
        <f t="shared" si="29"/>
        <v>0</v>
      </c>
      <c r="AI41" s="3">
        <f t="shared" si="29"/>
        <v>0</v>
      </c>
      <c r="AJ41" s="3">
        <f t="shared" si="29"/>
        <v>0</v>
      </c>
    </row>
    <row r="42" spans="1:36" x14ac:dyDescent="0.25">
      <c r="A42" s="3">
        <f t="shared" si="30"/>
        <v>10000000000</v>
      </c>
      <c r="B42" s="106">
        <v>9.6814794206027629E-5</v>
      </c>
      <c r="C42" s="18">
        <f t="shared" si="3"/>
        <v>1.7201579278298637E-4</v>
      </c>
      <c r="D42" s="17"/>
      <c r="F42" s="3">
        <f t="shared" si="28"/>
        <v>1.7201579278298637E-4</v>
      </c>
      <c r="G42" s="3">
        <f t="shared" si="28"/>
        <v>1.7201579278298637E-4</v>
      </c>
      <c r="H42" s="3">
        <f t="shared" si="28"/>
        <v>1.7201579278298637E-4</v>
      </c>
      <c r="I42" s="3">
        <f t="shared" si="28"/>
        <v>1.7201579278298637E-4</v>
      </c>
      <c r="J42" s="3">
        <f t="shared" si="28"/>
        <v>1.7201579278298637E-4</v>
      </c>
      <c r="K42" s="3">
        <f t="shared" si="28"/>
        <v>1.7201579278298637E-4</v>
      </c>
      <c r="L42" s="3">
        <f t="shared" si="28"/>
        <v>1.7201579278298637E-4</v>
      </c>
      <c r="M42" s="3">
        <f t="shared" si="28"/>
        <v>1.7201579278298637E-4</v>
      </c>
      <c r="N42" s="3">
        <f t="shared" si="28"/>
        <v>1.7201579278298637E-4</v>
      </c>
      <c r="O42" s="3">
        <f t="shared" si="28"/>
        <v>1.7201579278298634E-4</v>
      </c>
      <c r="P42" s="3">
        <f t="shared" si="27"/>
        <v>1.720157927829862E-4</v>
      </c>
      <c r="Q42" s="3">
        <f t="shared" si="27"/>
        <v>1.7201579278298466E-4</v>
      </c>
      <c r="R42" s="3">
        <f t="shared" si="27"/>
        <v>1.7201579278296915E-4</v>
      </c>
      <c r="S42" s="3">
        <f t="shared" si="27"/>
        <v>1.7201579278281436E-4</v>
      </c>
      <c r="T42" s="3">
        <f t="shared" si="27"/>
        <v>1.720157927812662E-4</v>
      </c>
      <c r="U42" s="3">
        <f t="shared" si="27"/>
        <v>1.7201579276578479E-4</v>
      </c>
      <c r="V42" s="3">
        <f t="shared" si="27"/>
        <v>1.7201579261097059E-4</v>
      </c>
      <c r="W42" s="3">
        <f t="shared" si="27"/>
        <v>1.7201579106282844E-4</v>
      </c>
      <c r="X42" s="3">
        <f t="shared" si="27"/>
        <v>1.7201577558140796E-4</v>
      </c>
      <c r="Y42" s="3">
        <f t="shared" si="27"/>
        <v>1.7201562076727959E-4</v>
      </c>
      <c r="Z42" s="3">
        <f t="shared" si="27"/>
        <v>1.720140726336593E-4</v>
      </c>
      <c r="AA42" s="3">
        <f t="shared" si="27"/>
        <v>1.7199859206375837E-4</v>
      </c>
      <c r="AB42" s="3">
        <f t="shared" si="27"/>
        <v>1.7184386296943764E-4</v>
      </c>
      <c r="AC42" s="3">
        <f t="shared" si="27"/>
        <v>1.7030420704702701E-4</v>
      </c>
      <c r="AD42" s="3">
        <f t="shared" si="27"/>
        <v>1.5564632580316603E-4</v>
      </c>
      <c r="AE42" s="3">
        <f t="shared" si="27"/>
        <v>6.3281073721667652E-5</v>
      </c>
      <c r="AF42" s="3">
        <f t="shared" si="29"/>
        <v>7.8095049103857302E-9</v>
      </c>
      <c r="AG42" s="3">
        <f t="shared" si="29"/>
        <v>6.399118182281659E-48</v>
      </c>
      <c r="AH42" s="3">
        <f t="shared" si="29"/>
        <v>0</v>
      </c>
      <c r="AI42" s="3">
        <f t="shared" si="29"/>
        <v>0</v>
      </c>
      <c r="AJ42" s="3">
        <f t="shared" si="29"/>
        <v>0</v>
      </c>
    </row>
    <row r="43" spans="1:36" x14ac:dyDescent="0.25">
      <c r="A43" s="3">
        <f t="shared" si="30"/>
        <v>100000000000</v>
      </c>
      <c r="B43" s="106">
        <v>9.8316876534963195E-5</v>
      </c>
      <c r="C43" s="18">
        <f t="shared" si="3"/>
        <v>1.7468461922378131E-4</v>
      </c>
      <c r="D43" s="17"/>
      <c r="F43" s="3">
        <f t="shared" si="28"/>
        <v>1.7468461922378131E-4</v>
      </c>
      <c r="G43" s="3">
        <f t="shared" si="28"/>
        <v>1.7468461922378131E-4</v>
      </c>
      <c r="H43" s="3">
        <f t="shared" si="28"/>
        <v>1.7468461922378131E-4</v>
      </c>
      <c r="I43" s="3">
        <f t="shared" si="28"/>
        <v>1.7468461922378131E-4</v>
      </c>
      <c r="J43" s="3">
        <f t="shared" si="28"/>
        <v>1.7468461922378131E-4</v>
      </c>
      <c r="K43" s="3">
        <f t="shared" si="28"/>
        <v>1.7468461922378131E-4</v>
      </c>
      <c r="L43" s="3">
        <f t="shared" si="28"/>
        <v>1.7468461922378131E-4</v>
      </c>
      <c r="M43" s="3">
        <f t="shared" si="28"/>
        <v>1.7468461922378131E-4</v>
      </c>
      <c r="N43" s="3">
        <f t="shared" si="28"/>
        <v>1.7468461922378131E-4</v>
      </c>
      <c r="O43" s="3">
        <f t="shared" si="28"/>
        <v>1.7468461922378131E-4</v>
      </c>
      <c r="P43" s="3">
        <f t="shared" si="27"/>
        <v>1.7468461922378128E-4</v>
      </c>
      <c r="Q43" s="3">
        <f t="shared" si="27"/>
        <v>1.7468461922378115E-4</v>
      </c>
      <c r="R43" s="3">
        <f t="shared" si="27"/>
        <v>1.7468461922377958E-4</v>
      </c>
      <c r="S43" s="3">
        <f t="shared" si="27"/>
        <v>1.7468461922376383E-4</v>
      </c>
      <c r="T43" s="3">
        <f t="shared" si="27"/>
        <v>1.7468461922360662E-4</v>
      </c>
      <c r="U43" s="3">
        <f t="shared" si="27"/>
        <v>1.7468461922203447E-4</v>
      </c>
      <c r="V43" s="3">
        <f t="shared" si="27"/>
        <v>1.7468461920631283E-4</v>
      </c>
      <c r="W43" s="3">
        <f t="shared" si="27"/>
        <v>1.7468461904909669E-4</v>
      </c>
      <c r="X43" s="3">
        <f t="shared" si="27"/>
        <v>1.7468461747693513E-4</v>
      </c>
      <c r="Y43" s="3">
        <f t="shared" si="27"/>
        <v>1.7468460175532028E-4</v>
      </c>
      <c r="Z43" s="3">
        <f t="shared" si="27"/>
        <v>1.7468444453924944E-4</v>
      </c>
      <c r="AA43" s="3">
        <f t="shared" si="27"/>
        <v>1.7468287238632326E-4</v>
      </c>
      <c r="AB43" s="3">
        <f t="shared" si="27"/>
        <v>1.7466715163525292E-4</v>
      </c>
      <c r="AC43" s="3">
        <f t="shared" si="27"/>
        <v>1.7451002191776031E-4</v>
      </c>
      <c r="AD43" s="3">
        <f t="shared" si="27"/>
        <v>1.7294647822104143E-4</v>
      </c>
      <c r="AE43" s="3">
        <f t="shared" si="27"/>
        <v>1.5806117982904101E-4</v>
      </c>
      <c r="AF43" s="3">
        <f t="shared" si="29"/>
        <v>6.4262880101290866E-5</v>
      </c>
      <c r="AG43" s="3">
        <f t="shared" si="29"/>
        <v>7.9306694433460827E-9</v>
      </c>
      <c r="AH43" s="3">
        <f t="shared" si="29"/>
        <v>6.4984005535473643E-48</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1.1818919689358602E-4</v>
      </c>
      <c r="C45" s="18">
        <f t="shared" si="3"/>
        <v>2.0999278642033111E-4</v>
      </c>
      <c r="D45" s="17"/>
      <c r="F45" s="3">
        <f t="shared" si="28"/>
        <v>2.0999278642033111E-4</v>
      </c>
      <c r="G45" s="3">
        <f t="shared" si="28"/>
        <v>2.0999278642033111E-4</v>
      </c>
      <c r="H45" s="3">
        <f t="shared" si="28"/>
        <v>2.0999278642033111E-4</v>
      </c>
      <c r="I45" s="3">
        <f t="shared" si="28"/>
        <v>2.0999278642033111E-4</v>
      </c>
      <c r="J45" s="3">
        <f t="shared" si="28"/>
        <v>2.0999278642033111E-4</v>
      </c>
      <c r="K45" s="3">
        <f t="shared" si="28"/>
        <v>2.0999278642033111E-4</v>
      </c>
      <c r="L45" s="3">
        <f t="shared" si="28"/>
        <v>2.0999278642033111E-4</v>
      </c>
      <c r="M45" s="3">
        <f t="shared" si="28"/>
        <v>2.0999278642033111E-4</v>
      </c>
      <c r="N45" s="3">
        <f t="shared" si="28"/>
        <v>2.0999278642033111E-4</v>
      </c>
      <c r="O45" s="3">
        <f t="shared" si="28"/>
        <v>2.0999278642033111E-4</v>
      </c>
      <c r="P45" s="3">
        <f t="shared" si="27"/>
        <v>2.0999278642033111E-4</v>
      </c>
      <c r="Q45" s="3">
        <f t="shared" si="27"/>
        <v>2.0999278642033111E-4</v>
      </c>
      <c r="R45" s="3">
        <f t="shared" si="27"/>
        <v>2.0999278642033108E-4</v>
      </c>
      <c r="S45" s="3">
        <f t="shared" si="27"/>
        <v>2.0999278642033089E-4</v>
      </c>
      <c r="T45" s="3">
        <f t="shared" si="27"/>
        <v>2.0999278642032902E-4</v>
      </c>
      <c r="U45" s="3">
        <f t="shared" si="27"/>
        <v>2.099927864203101E-4</v>
      </c>
      <c r="V45" s="3">
        <f t="shared" si="27"/>
        <v>2.0999278642012113E-4</v>
      </c>
      <c r="W45" s="3">
        <f t="shared" si="27"/>
        <v>2.0999278641823117E-4</v>
      </c>
      <c r="X45" s="3">
        <f t="shared" si="27"/>
        <v>2.0999278639933182E-4</v>
      </c>
      <c r="Y45" s="3">
        <f t="shared" si="27"/>
        <v>2.0999278621033833E-4</v>
      </c>
      <c r="Z45" s="3">
        <f t="shared" si="27"/>
        <v>2.0999278432040327E-4</v>
      </c>
      <c r="AA45" s="3">
        <f t="shared" si="27"/>
        <v>2.0999276542105352E-4</v>
      </c>
      <c r="AB45" s="3">
        <f t="shared" si="27"/>
        <v>2.0999257642764969E-4</v>
      </c>
      <c r="AC45" s="3">
        <f t="shared" si="27"/>
        <v>2.0999068650296652E-4</v>
      </c>
      <c r="AD45" s="3">
        <f t="shared" si="27"/>
        <v>2.09971788191618E-4</v>
      </c>
      <c r="AE45" s="3">
        <f t="shared" si="27"/>
        <v>2.0978289859531395E-4</v>
      </c>
      <c r="AF45" s="3">
        <f t="shared" si="29"/>
        <v>2.0790332328397338E-4</v>
      </c>
      <c r="AG45" s="3">
        <f t="shared" si="29"/>
        <v>1.900093306707491E-4</v>
      </c>
      <c r="AH45" s="3">
        <f t="shared" si="29"/>
        <v>7.7252028918345459E-5</v>
      </c>
      <c r="AI45" s="3">
        <f t="shared" si="29"/>
        <v>9.5336577541115149E-9</v>
      </c>
      <c r="AJ45" s="3">
        <f t="shared" si="29"/>
        <v>7.8118911989994819E-48</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9.7482540685143846E-5</v>
      </c>
      <c r="C48" s="18">
        <f t="shared" si="3"/>
        <v>1.7320221207897527E-4</v>
      </c>
      <c r="D48" s="17"/>
      <c r="F48" s="3">
        <f t="shared" si="28"/>
        <v>1.7320221207897527E-4</v>
      </c>
      <c r="G48" s="3">
        <f t="shared" si="28"/>
        <v>1.7320221207897527E-4</v>
      </c>
      <c r="H48" s="3">
        <f t="shared" si="28"/>
        <v>1.7320221207897527E-4</v>
      </c>
      <c r="I48" s="3">
        <f t="shared" si="28"/>
        <v>1.7320221207897527E-4</v>
      </c>
      <c r="J48" s="3">
        <f t="shared" si="28"/>
        <v>1.7320221207897527E-4</v>
      </c>
      <c r="K48" s="3">
        <f t="shared" si="28"/>
        <v>1.7320221207897527E-4</v>
      </c>
      <c r="L48" s="3">
        <f t="shared" si="28"/>
        <v>1.7320221207897527E-4</v>
      </c>
      <c r="M48" s="3">
        <f t="shared" si="28"/>
        <v>1.7320221207897527E-4</v>
      </c>
      <c r="N48" s="3">
        <f t="shared" si="28"/>
        <v>1.7320221207897527E-4</v>
      </c>
      <c r="O48" s="3">
        <f t="shared" si="28"/>
        <v>1.7320221207897527E-4</v>
      </c>
      <c r="P48" s="3">
        <f t="shared" si="27"/>
        <v>1.7320221207897527E-4</v>
      </c>
      <c r="Q48" s="3">
        <f t="shared" si="27"/>
        <v>1.7320221207897527E-4</v>
      </c>
      <c r="R48" s="3">
        <f t="shared" si="27"/>
        <v>1.7320221207897527E-4</v>
      </c>
      <c r="S48" s="3">
        <f t="shared" si="27"/>
        <v>1.7320221207897527E-4</v>
      </c>
      <c r="T48" s="3">
        <f t="shared" si="27"/>
        <v>1.7320221207897527E-4</v>
      </c>
      <c r="U48" s="3">
        <f t="shared" si="27"/>
        <v>1.7320221207897524E-4</v>
      </c>
      <c r="V48" s="3">
        <f t="shared" si="27"/>
        <v>1.7320221207897511E-4</v>
      </c>
      <c r="W48" s="3">
        <f t="shared" si="27"/>
        <v>1.7320221207897354E-4</v>
      </c>
      <c r="X48" s="3">
        <f t="shared" si="27"/>
        <v>1.7320221207895795E-4</v>
      </c>
      <c r="Y48" s="3">
        <f t="shared" si="27"/>
        <v>1.7320221207880207E-4</v>
      </c>
      <c r="Z48" s="3">
        <f t="shared" si="27"/>
        <v>1.7320221207724326E-4</v>
      </c>
      <c r="AA48" s="3">
        <f t="shared" si="27"/>
        <v>1.7320221206165506E-4</v>
      </c>
      <c r="AB48" s="3">
        <f t="shared" si="27"/>
        <v>1.7320221190577305E-4</v>
      </c>
      <c r="AC48" s="3">
        <f t="shared" si="27"/>
        <v>1.7320221034695317E-4</v>
      </c>
      <c r="AD48" s="3">
        <f t="shared" si="27"/>
        <v>1.7320219475875493E-4</v>
      </c>
      <c r="AE48" s="3">
        <f t="shared" si="27"/>
        <v>1.732020388768498E-4</v>
      </c>
      <c r="AF48" s="3">
        <f t="shared" si="29"/>
        <v>1.7320048006551456E-4</v>
      </c>
      <c r="AG48" s="3">
        <f t="shared" si="29"/>
        <v>1.7318489272374958E-4</v>
      </c>
      <c r="AH48" s="3">
        <f t="shared" si="29"/>
        <v>1.7302909643914253E-4</v>
      </c>
      <c r="AI48" s="3">
        <f t="shared" si="29"/>
        <v>1.7147882127377764E-4</v>
      </c>
      <c r="AJ48" s="3">
        <f t="shared" si="29"/>
        <v>1.5671984237565666E-4</v>
      </c>
    </row>
    <row r="49" spans="1:36" x14ac:dyDescent="0.25">
      <c r="B49" s="16">
        <f>SUM(B17:B48)</f>
        <v>0.56282503274666373</v>
      </c>
      <c r="C49" s="18">
        <f>SUM(C17:C48)</f>
        <v>0.99999999999999956</v>
      </c>
      <c r="F49" s="3">
        <f t="shared" ref="F49:AJ49" si="31">F16-F17</f>
        <v>64.945954080586944</v>
      </c>
      <c r="G49" s="3">
        <f t="shared" si="31"/>
        <v>-83.999749979936041</v>
      </c>
      <c r="H49" s="3">
        <f t="shared" si="31"/>
        <v>22.230044145110696</v>
      </c>
      <c r="I49" s="3">
        <f t="shared" si="31"/>
        <v>-3.6209054878286224</v>
      </c>
      <c r="J49" s="3">
        <f t="shared" si="31"/>
        <v>0.50293445475972476</v>
      </c>
      <c r="K49" s="3">
        <f t="shared" si="31"/>
        <v>-6.9668382758209191E-2</v>
      </c>
      <c r="L49" s="3">
        <f t="shared" si="31"/>
        <v>2.6062487056606187E-2</v>
      </c>
      <c r="M49" s="3">
        <f t="shared" si="31"/>
        <v>-4.4138688969724171E-2</v>
      </c>
      <c r="N49" s="3">
        <f t="shared" si="31"/>
        <v>0.10263267421896671</v>
      </c>
      <c r="O49" s="3">
        <f t="shared" si="31"/>
        <v>-0.21839540121550272</v>
      </c>
      <c r="P49" s="3">
        <f t="shared" si="31"/>
        <v>0.37961734854957285</v>
      </c>
      <c r="Q49" s="3">
        <f t="shared" si="31"/>
        <v>-0.546550828322097</v>
      </c>
      <c r="R49" s="3">
        <f t="shared" si="31"/>
        <v>0.67270612052197976</v>
      </c>
      <c r="S49" s="3">
        <f t="shared" si="31"/>
        <v>-0.70732134460342877</v>
      </c>
      <c r="T49" s="3">
        <f t="shared" si="31"/>
        <v>0.63013414596633766</v>
      </c>
      <c r="U49" s="3">
        <f t="shared" si="31"/>
        <v>-0.47986522074575078</v>
      </c>
      <c r="V49" s="3">
        <f t="shared" si="31"/>
        <v>0.32241722207641033</v>
      </c>
      <c r="W49" s="3">
        <f t="shared" si="31"/>
        <v>-0.19662946590148067</v>
      </c>
      <c r="X49" s="3">
        <f t="shared" si="31"/>
        <v>0.10506416314404987</v>
      </c>
      <c r="Y49" s="3">
        <f t="shared" si="31"/>
        <v>-4.8061593581508077E-2</v>
      </c>
      <c r="Z49" s="3">
        <f t="shared" si="31"/>
        <v>2.5055702252160472E-2</v>
      </c>
      <c r="AA49" s="3">
        <f t="shared" si="31"/>
        <v>-1.869127061328868E-2</v>
      </c>
      <c r="AB49" s="3">
        <f t="shared" si="31"/>
        <v>6.310751309825946E-3</v>
      </c>
      <c r="AC49" s="3">
        <f t="shared" si="31"/>
        <v>1.2536112774569119E-2</v>
      </c>
      <c r="AD49" s="3">
        <f t="shared" si="31"/>
        <v>-6.5680944699778365E-2</v>
      </c>
      <c r="AE49" s="3">
        <f t="shared" si="31"/>
        <v>0.12916295103289599</v>
      </c>
      <c r="AF49" s="3">
        <f t="shared" si="31"/>
        <v>-0.16776103896987138</v>
      </c>
      <c r="AG49" s="3">
        <f t="shared" si="31"/>
        <v>0.21242993998438919</v>
      </c>
      <c r="AH49" s="3">
        <f t="shared" si="31"/>
        <v>-0.27003744812941477</v>
      </c>
      <c r="AI49" s="3">
        <f t="shared" si="31"/>
        <v>0.18083611165013735</v>
      </c>
      <c r="AJ49" s="3">
        <f t="shared" si="31"/>
        <v>-3.01878103302613E-2</v>
      </c>
    </row>
    <row r="50" spans="1:36" x14ac:dyDescent="0.25">
      <c r="F50" s="57">
        <f t="shared" ref="F50:AJ50" si="32">F49/F17</f>
        <v>1.7098995963710169E-2</v>
      </c>
      <c r="G50" s="57">
        <f t="shared" si="32"/>
        <v>-2.256127575985627E-2</v>
      </c>
      <c r="H50" s="57">
        <f t="shared" si="32"/>
        <v>6.4491583481303804E-3</v>
      </c>
      <c r="I50" s="57">
        <f t="shared" si="32"/>
        <v>-1.0962706065683764E-3</v>
      </c>
      <c r="J50" s="57">
        <f t="shared" si="32"/>
        <v>1.6075518878908468E-4</v>
      </c>
      <c r="K50" s="57">
        <f t="shared" si="32"/>
        <v>-2.3765993002140493E-5</v>
      </c>
      <c r="L50" s="57">
        <f t="shared" si="32"/>
        <v>9.5943410771412635E-6</v>
      </c>
      <c r="M50" s="57">
        <f t="shared" si="32"/>
        <v>-1.7845468771686707E-5</v>
      </c>
      <c r="N50" s="57">
        <f t="shared" si="32"/>
        <v>4.6643456488349603E-5</v>
      </c>
      <c r="O50" s="57">
        <f t="shared" si="32"/>
        <v>-1.1608488779375107E-4</v>
      </c>
      <c r="P50" s="57">
        <f t="shared" si="32"/>
        <v>2.5080144802596365E-4</v>
      </c>
      <c r="Q50" s="57">
        <f t="shared" si="32"/>
        <v>-4.8335771079034213E-4</v>
      </c>
      <c r="R50" s="57">
        <f t="shared" si="32"/>
        <v>8.4432294216536471E-4</v>
      </c>
      <c r="S50" s="57">
        <f t="shared" si="32"/>
        <v>-1.2638677390800278E-3</v>
      </c>
      <c r="T50" s="57">
        <f t="shared" si="32"/>
        <v>1.4949230744585389E-3</v>
      </c>
      <c r="U50" s="57">
        <f t="shared" si="32"/>
        <v>-1.3660917177175627E-3</v>
      </c>
      <c r="V50" s="57">
        <f t="shared" si="32"/>
        <v>1.0241612308453238E-3</v>
      </c>
      <c r="W50" s="57">
        <f t="shared" si="32"/>
        <v>-6.7635328523892458E-4</v>
      </c>
      <c r="X50" s="57">
        <f t="shared" si="32"/>
        <v>3.8560173528250059E-4</v>
      </c>
      <c r="Y50" s="57">
        <f t="shared" si="32"/>
        <v>-1.84526761022793E-4</v>
      </c>
      <c r="Z50" s="57">
        <f t="shared" si="32"/>
        <v>1.0387674175721813E-4</v>
      </c>
      <c r="AA50" s="57">
        <f t="shared" si="32"/>
        <v>-8.0398859462611064E-5</v>
      </c>
      <c r="AB50" s="57">
        <f t="shared" si="32"/>
        <v>2.7531251507124949E-5</v>
      </c>
      <c r="AC50" s="57">
        <f t="shared" si="32"/>
        <v>5.5166672321790681E-5</v>
      </c>
      <c r="AD50" s="57">
        <f t="shared" si="32"/>
        <v>-2.907954384568773E-4</v>
      </c>
      <c r="AE50" s="57">
        <f t="shared" si="32"/>
        <v>5.7354473790608004E-4</v>
      </c>
      <c r="AF50" s="57">
        <f t="shared" si="32"/>
        <v>-7.4820801345744869E-4</v>
      </c>
      <c r="AG50" s="57">
        <f t="shared" si="32"/>
        <v>9.4958416111215601E-4</v>
      </c>
      <c r="AH50" s="57">
        <f t="shared" si="32"/>
        <v>-1.2108797751424314E-3</v>
      </c>
      <c r="AI50" s="57">
        <f t="shared" si="32"/>
        <v>8.1266805790408062E-4</v>
      </c>
      <c r="AJ50" s="57">
        <f t="shared" si="32"/>
        <v>-1.3571821058777693E-4</v>
      </c>
    </row>
    <row r="51" spans="1:36" x14ac:dyDescent="0.25">
      <c r="A51" s="13" t="s">
        <v>21</v>
      </c>
      <c r="B51" s="3">
        <f>STUTT!D8</f>
        <v>6190.9489999999996</v>
      </c>
      <c r="E51" s="11" t="s">
        <v>24</v>
      </c>
      <c r="F51" s="20">
        <f t="shared" ref="F51:AJ51" si="33">(F16-F17)^2</f>
        <v>4217.9769514377076</v>
      </c>
      <c r="G51" s="20">
        <f t="shared" si="33"/>
        <v>7055.9579966917654</v>
      </c>
      <c r="H51" s="20">
        <f t="shared" si="33"/>
        <v>494.17486269357033</v>
      </c>
      <c r="I51" s="20">
        <f t="shared" si="33"/>
        <v>13.110956551787433</v>
      </c>
      <c r="J51" s="20">
        <f t="shared" si="33"/>
        <v>0.25294306578446163</v>
      </c>
      <c r="K51" s="20">
        <f t="shared" si="33"/>
        <v>4.8536835561443399E-3</v>
      </c>
      <c r="L51" s="20">
        <f t="shared" si="33"/>
        <v>6.7925323157576507E-4</v>
      </c>
      <c r="M51" s="20">
        <f t="shared" si="33"/>
        <v>1.9482238639660502E-3</v>
      </c>
      <c r="N51" s="20">
        <f t="shared" si="33"/>
        <v>1.0533465817336555E-2</v>
      </c>
      <c r="O51" s="20">
        <f t="shared" si="33"/>
        <v>4.7696551272080404E-2</v>
      </c>
      <c r="P51" s="20">
        <f t="shared" si="33"/>
        <v>0.14410933131980788</v>
      </c>
      <c r="Q51" s="20">
        <f t="shared" si="33"/>
        <v>0.29871780793957037</v>
      </c>
      <c r="R51" s="20">
        <f t="shared" si="33"/>
        <v>0.45253352458773233</v>
      </c>
      <c r="S51" s="20">
        <f t="shared" si="33"/>
        <v>0.50030348453160245</v>
      </c>
      <c r="T51" s="20">
        <f t="shared" si="33"/>
        <v>0.39706904191272574</v>
      </c>
      <c r="U51" s="20">
        <f t="shared" si="33"/>
        <v>0.23027063008136811</v>
      </c>
      <c r="V51" s="20">
        <f t="shared" si="33"/>
        <v>0.1039528650914693</v>
      </c>
      <c r="W51" s="20">
        <f t="shared" si="33"/>
        <v>3.8663146860701547E-2</v>
      </c>
      <c r="X51" s="20">
        <f t="shared" si="33"/>
        <v>1.1038478377159527E-2</v>
      </c>
      <c r="Y51" s="20">
        <f t="shared" si="33"/>
        <v>2.3099167775940586E-3</v>
      </c>
      <c r="Z51" s="20">
        <f t="shared" si="33"/>
        <v>6.2778821534891936E-4</v>
      </c>
      <c r="AA51" s="20">
        <f t="shared" si="33"/>
        <v>3.4936359713918895E-4</v>
      </c>
      <c r="AB51" s="20">
        <f t="shared" si="33"/>
        <v>3.9825582094469894E-5</v>
      </c>
      <c r="AC51" s="20">
        <f t="shared" si="33"/>
        <v>1.5715412349671506E-4</v>
      </c>
      <c r="AD51" s="20">
        <f t="shared" si="33"/>
        <v>4.3139864966553441E-3</v>
      </c>
      <c r="AE51" s="20">
        <f t="shared" si="33"/>
        <v>1.6683067919526288E-2</v>
      </c>
      <c r="AF51" s="20">
        <f t="shared" si="33"/>
        <v>2.8143766196250704E-2</v>
      </c>
      <c r="AG51" s="20">
        <f t="shared" si="33"/>
        <v>4.5126479401771197E-2</v>
      </c>
      <c r="AH51" s="20">
        <f t="shared" si="33"/>
        <v>7.2920223392246367E-2</v>
      </c>
      <c r="AI51" s="20">
        <f t="shared" si="33"/>
        <v>3.2701699276740943E-2</v>
      </c>
      <c r="AJ51" s="20">
        <f t="shared" si="33"/>
        <v>9.1130389253583086E-4</v>
      </c>
    </row>
    <row r="52" spans="1:36" x14ac:dyDescent="0.25">
      <c r="A52" s="13"/>
    </row>
    <row r="53" spans="1:36" x14ac:dyDescent="0.25">
      <c r="E53" s="119" t="s">
        <v>25</v>
      </c>
      <c r="F53" s="119"/>
      <c r="G53" s="104">
        <f>SUM(F51:AJ51)</f>
        <v>11783.920364503927</v>
      </c>
      <c r="I53" s="3">
        <f>G53+C123</f>
        <v>11783.920364503927</v>
      </c>
      <c r="K53" s="3">
        <f>SUM(Z51:AJ51)</f>
        <v>0.20197465809380596</v>
      </c>
    </row>
    <row r="55" spans="1:36" x14ac:dyDescent="0.25">
      <c r="E55" s="30" t="s">
        <v>30</v>
      </c>
      <c r="F55" s="31">
        <f t="shared" ref="F55:AJ55" si="34">ABS(F17-F16)/F16</f>
        <v>1.6811535584605235E-2</v>
      </c>
      <c r="G55" s="31">
        <f t="shared" si="34"/>
        <v>2.3082035937746687E-2</v>
      </c>
      <c r="H55" s="31">
        <f t="shared" si="34"/>
        <v>6.4078332170452454E-3</v>
      </c>
      <c r="I55" s="31">
        <f t="shared" si="34"/>
        <v>1.0974737347652804E-3</v>
      </c>
      <c r="J55" s="31">
        <f t="shared" si="34"/>
        <v>1.6072935071196703E-4</v>
      </c>
      <c r="K55" s="31">
        <f t="shared" si="34"/>
        <v>2.3766557837987756E-5</v>
      </c>
      <c r="L55" s="31">
        <f t="shared" si="34"/>
        <v>9.5942490266437223E-6</v>
      </c>
      <c r="M55" s="31">
        <f t="shared" si="34"/>
        <v>1.7845787238125572E-5</v>
      </c>
      <c r="N55" s="31">
        <f t="shared" si="34"/>
        <v>4.6641280977789757E-5</v>
      </c>
      <c r="O55" s="31">
        <f t="shared" si="34"/>
        <v>1.1609836505943202E-4</v>
      </c>
      <c r="P55" s="31">
        <f t="shared" si="34"/>
        <v>2.507385624314299E-4</v>
      </c>
      <c r="Q55" s="31">
        <f t="shared" si="34"/>
        <v>4.8359145845065663E-4</v>
      </c>
      <c r="R55" s="31">
        <f t="shared" si="34"/>
        <v>8.43610662328905E-4</v>
      </c>
      <c r="S55" s="31">
        <f t="shared" si="34"/>
        <v>1.2654671221505804E-3</v>
      </c>
      <c r="T55" s="31">
        <f t="shared" si="34"/>
        <v>1.4926916153197467E-3</v>
      </c>
      <c r="U55" s="31">
        <f t="shared" si="34"/>
        <v>1.3679604771956247E-3</v>
      </c>
      <c r="V55" s="31">
        <f t="shared" si="34"/>
        <v>1.0231133977685709E-3</v>
      </c>
      <c r="W55" s="31">
        <f t="shared" si="34"/>
        <v>6.7681104861514146E-4</v>
      </c>
      <c r="X55" s="31">
        <f t="shared" si="34"/>
        <v>3.8545310389676799E-4</v>
      </c>
      <c r="Y55" s="31">
        <f t="shared" si="34"/>
        <v>1.8456081743264559E-4</v>
      </c>
      <c r="Z55" s="31">
        <f t="shared" si="34"/>
        <v>1.0386595250049286E-4</v>
      </c>
      <c r="AA55" s="31">
        <f t="shared" si="34"/>
        <v>8.0405323958952085E-5</v>
      </c>
      <c r="AB55" s="31">
        <f t="shared" si="34"/>
        <v>2.7530493558182685E-5</v>
      </c>
      <c r="AC55" s="31">
        <f t="shared" si="34"/>
        <v>5.51636291279385E-5</v>
      </c>
      <c r="AD55" s="31">
        <f t="shared" si="34"/>
        <v>2.9088002504129752E-4</v>
      </c>
      <c r="AE55" s="31">
        <f t="shared" si="34"/>
        <v>5.7321597290113885E-4</v>
      </c>
      <c r="AF55" s="31">
        <f t="shared" si="34"/>
        <v>7.4876824786072058E-4</v>
      </c>
      <c r="AG55" s="31">
        <f t="shared" si="34"/>
        <v>9.4868330647042019E-4</v>
      </c>
      <c r="AH55" s="31">
        <f t="shared" si="34"/>
        <v>1.2123477825527632E-3</v>
      </c>
      <c r="AI55" s="31">
        <f t="shared" si="34"/>
        <v>8.1200816480578569E-4</v>
      </c>
      <c r="AJ55" s="31">
        <f t="shared" si="34"/>
        <v>1.3573663252065384E-4</v>
      </c>
    </row>
    <row r="56" spans="1:36" x14ac:dyDescent="0.25">
      <c r="E56" s="13" t="s">
        <v>31</v>
      </c>
      <c r="F56" s="32">
        <f>AVERAGE(F55:AJ55)</f>
        <v>1.9592308987710573E-3</v>
      </c>
    </row>
    <row r="57" spans="1:36" x14ac:dyDescent="0.25">
      <c r="A57" s="42"/>
      <c r="B57" s="15"/>
      <c r="C57" s="15"/>
      <c r="D57" s="15"/>
      <c r="F57" s="60">
        <f>AVERAGE(S55:X55)</f>
        <v>1.0352494608244053E-3</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-57.849695376367158</v>
      </c>
    </row>
    <row r="119" spans="1:14" x14ac:dyDescent="0.25">
      <c r="L119" s="11">
        <f>L118+1</f>
        <v>2</v>
      </c>
      <c r="M119" s="11">
        <f t="shared" ref="M119:M124" si="35">INDEX($B$125:$K$126,1,L119)</f>
        <v>0</v>
      </c>
      <c r="N119" s="11">
        <f t="shared" ref="N119:N124" si="36">IF(L119=$B$3,0,INDEX($B$125:$K$126,2,L119))</f>
        <v>-46.11051752249567</v>
      </c>
    </row>
    <row r="120" spans="1:14" x14ac:dyDescent="0.25">
      <c r="L120" s="11">
        <f t="shared" ref="L120:L124" si="37">L119+1</f>
        <v>3</v>
      </c>
      <c r="M120" s="11">
        <f t="shared" si="35"/>
        <v>25</v>
      </c>
      <c r="N120" s="11">
        <f t="shared" si="36"/>
        <v>-41.17116132313857</v>
      </c>
    </row>
    <row r="121" spans="1:14" x14ac:dyDescent="0.25">
      <c r="A121" s="103">
        <f>(A165+A204+A243+A282+A321+A360+A399)*10^9</f>
        <v>2.9148791798979016E+16</v>
      </c>
      <c r="L121" s="11">
        <f t="shared" si="37"/>
        <v>4</v>
      </c>
      <c r="M121" s="11">
        <f t="shared" si="35"/>
        <v>50</v>
      </c>
      <c r="N121" s="11">
        <f t="shared" si="36"/>
        <v>-34.778722441922618</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-28.200471206277161</v>
      </c>
    </row>
    <row r="123" spans="1:14" x14ac:dyDescent="0.25">
      <c r="A123" s="119"/>
      <c r="B123" s="119"/>
      <c r="C123" s="3"/>
      <c r="D123" s="3"/>
      <c r="E123" s="3"/>
      <c r="F123" s="3"/>
      <c r="G123" s="3"/>
      <c r="H123" s="3"/>
      <c r="I123" s="3"/>
      <c r="J123" s="3"/>
      <c r="K123" s="3"/>
      <c r="L123" s="11">
        <f t="shared" si="37"/>
        <v>6</v>
      </c>
      <c r="M123" s="11">
        <f t="shared" si="35"/>
        <v>125</v>
      </c>
      <c r="N123" s="11">
        <f t="shared" si="36"/>
        <v>-13.834226390176307</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-57.849695376367158</v>
      </c>
      <c r="C126" s="107">
        <v>-46.11051752249567</v>
      </c>
      <c r="D126" s="107">
        <v>-41.17116132313857</v>
      </c>
      <c r="E126" s="107">
        <v>-34.778722441922618</v>
      </c>
      <c r="F126" s="107">
        <v>-28.200471206277161</v>
      </c>
      <c r="G126" s="107">
        <v>-13.834226390176307</v>
      </c>
      <c r="H126" s="107">
        <v>1.8355834307371335E-2</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6236.7036596328453</v>
      </c>
      <c r="C130" s="26">
        <f>INDEX(Comparison!$AM$3:$AS$33,G14,$B$122)</f>
        <v>6236.7543143647836</v>
      </c>
      <c r="D130" s="26">
        <f>INDEX(Comparison!$AM$3:$AS$33,H14,$B$122)</f>
        <v>6236.7227745293621</v>
      </c>
      <c r="E130" s="26">
        <f>INDEX(Comparison!$AM$3:$AS$33,I14,$B$122)</f>
        <v>6236.7134615593295</v>
      </c>
      <c r="F130" s="26">
        <f>INDEX(Comparison!$AM$3:$AS$33,J14,$B$122)</f>
        <v>6236.7103498332981</v>
      </c>
      <c r="G130" s="26">
        <f>INDEX(Comparison!$AM$3:$AS$33,K14,$B$122)</f>
        <v>6236.7093940894983</v>
      </c>
      <c r="H130" s="26">
        <f>INDEX(Comparison!$AM$3:$AS$33,L14,$B$122)</f>
        <v>6236.7090606905667</v>
      </c>
      <c r="I130" s="26">
        <f>INDEX(Comparison!$AM$3:$AS$33,M14,$B$122)</f>
        <v>6236.7087939714465</v>
      </c>
      <c r="J130" s="26">
        <f>INDEX(Comparison!$AM$3:$AS$33,N14,$B$122)</f>
        <v>6236.7087272916715</v>
      </c>
      <c r="K130" s="26">
        <f>INDEX(Comparison!$AM$3:$AS$33,O14,$B$122)</f>
        <v>6236.707282563535</v>
      </c>
      <c r="L130" s="26">
        <f>INDEX(Comparison!$AM$3:$AS$33,P14,$B$122)</f>
        <v>6236.6931020367429</v>
      </c>
      <c r="M130" s="26">
        <f>INDEX(Comparison!$AM$3:$AS$33,Q14,$B$122)</f>
        <v>6236.5527005203321</v>
      </c>
      <c r="N130" s="26">
        <f>INDEX(Comparison!$AM$3:$AS$33,R14,$B$122)</f>
        <v>6235.1590077245392</v>
      </c>
      <c r="O130" s="26">
        <f>INDEX(Comparison!$AM$3:$AS$33,S14,$B$122)</f>
        <v>6221.8566314570962</v>
      </c>
      <c r="P130" s="26">
        <f>INDEX(Comparison!$AM$3:$AS$33,T14,$B$122)</f>
        <v>6125.5353779175648</v>
      </c>
      <c r="Q130" s="26">
        <f>INDEX(Comparison!$AM$3:$AS$33,U14,$B$122)</f>
        <v>5957.8557354462564</v>
      </c>
      <c r="R130" s="26">
        <f>INDEX(Comparison!$AM$3:$AS$33,V14,$B$122)</f>
        <v>5841.9046732349807</v>
      </c>
      <c r="S130" s="26">
        <f>INDEX(Comparison!$AM$3:$AS$33,W14,$B$122)</f>
        <v>5724.8371546354174</v>
      </c>
      <c r="T130" s="26">
        <f>INDEX(Comparison!$AM$3:$AS$33,X14,$B$122)</f>
        <v>5594.9864087709147</v>
      </c>
      <c r="U130" s="26">
        <f>INDEX(Comparison!$AM$3:$AS$33,Y14,$B$122)</f>
        <v>5449.107992075601</v>
      </c>
      <c r="V130" s="26">
        <f>INDEX(Comparison!$AM$3:$AS$33,Z14,$B$122)</f>
        <v>5238.9471208339255</v>
      </c>
      <c r="W130" s="26">
        <f>INDEX(Comparison!$AM$3:$AS$33,AA14,$B$122)</f>
        <v>4890.0199582671721</v>
      </c>
      <c r="X130" s="26">
        <f>INDEX(Comparison!$AM$3:$AS$33,AB14,$B$122)</f>
        <v>4481.1158480346585</v>
      </c>
      <c r="Y130" s="26">
        <f>INDEX(Comparison!$AM$3:$AS$33,AC14,$B$122)</f>
        <v>4122.5449332073522</v>
      </c>
      <c r="Z130" s="26">
        <f>INDEX(Comparison!$AM$3:$AS$33,AD14,$B$122)</f>
        <v>3817.2358932466136</v>
      </c>
      <c r="AA130" s="26">
        <f>INDEX(Comparison!$AM$3:$AS$33,AE14,$B$122)</f>
        <v>3538.1243513228083</v>
      </c>
      <c r="AB130" s="26">
        <f>INDEX(Comparison!$AM$3:$AS$33,AF14,$B$122)</f>
        <v>3290.7224886526956</v>
      </c>
      <c r="AC130" s="26">
        <f>INDEX(Comparison!$AM$3:$AS$33,AG14,$B$122)</f>
        <v>3093.8724388968149</v>
      </c>
      <c r="AD130" s="26">
        <f>INDEX(Comparison!$AM$3:$AS$33,AH14,$B$122)</f>
        <v>2931.1413264697503</v>
      </c>
      <c r="AE130" s="26">
        <f>INDEX(Comparison!$AM$3:$AS$33,AI14,$B$122)</f>
        <v>2779.8842681758483</v>
      </c>
      <c r="AF130" s="26">
        <f>INDEX(Comparison!$AM$3:$AS$33,AJ14,$B$122)</f>
        <v>2643.7410706701139</v>
      </c>
    </row>
    <row r="131" spans="1:33" x14ac:dyDescent="0.25">
      <c r="A131" s="68" t="s">
        <v>22</v>
      </c>
      <c r="B131" s="27">
        <f>($C$17+SUM(B132:B162))*$B$51</f>
        <v>6190.9489999999969</v>
      </c>
      <c r="C131" s="27">
        <f t="shared" ref="C131:AF131" si="40">($C$17+SUM(C132:C162))*$B$51</f>
        <v>6190.9489999999969</v>
      </c>
      <c r="D131" s="27">
        <f t="shared" si="40"/>
        <v>6190.9489999999969</v>
      </c>
      <c r="E131" s="27">
        <f t="shared" si="40"/>
        <v>6190.9489999999969</v>
      </c>
      <c r="F131" s="27">
        <f t="shared" si="40"/>
        <v>6190.9489999999969</v>
      </c>
      <c r="G131" s="27">
        <f t="shared" si="40"/>
        <v>6190.9489999999951</v>
      </c>
      <c r="H131" s="27">
        <f t="shared" si="40"/>
        <v>6190.9489999999787</v>
      </c>
      <c r="I131" s="27">
        <f t="shared" si="40"/>
        <v>6190.9489999998177</v>
      </c>
      <c r="J131" s="27">
        <f t="shared" si="40"/>
        <v>6190.9489999982052</v>
      </c>
      <c r="K131" s="27">
        <f t="shared" si="40"/>
        <v>6190.9489999820753</v>
      </c>
      <c r="L131" s="27">
        <f t="shared" si="40"/>
        <v>6190.9489998207819</v>
      </c>
      <c r="M131" s="27">
        <f t="shared" si="40"/>
        <v>6190.9489982078449</v>
      </c>
      <c r="N131" s="27">
        <f t="shared" si="40"/>
        <v>6190.9489820784756</v>
      </c>
      <c r="O131" s="27">
        <f t="shared" si="40"/>
        <v>6190.9488207847935</v>
      </c>
      <c r="P131" s="27">
        <f t="shared" si="40"/>
        <v>6190.9472078485724</v>
      </c>
      <c r="Q131" s="27">
        <f t="shared" si="40"/>
        <v>6190.9310785463913</v>
      </c>
      <c r="R131" s="27">
        <f t="shared" si="40"/>
        <v>6190.769791528116</v>
      </c>
      <c r="S131" s="27">
        <f t="shared" si="40"/>
        <v>6189.1575215484909</v>
      </c>
      <c r="T131" s="27">
        <f t="shared" si="40"/>
        <v>6173.094692042795</v>
      </c>
      <c r="U131" s="27">
        <f t="shared" si="40"/>
        <v>6018.3061838932754</v>
      </c>
      <c r="V131" s="27">
        <f t="shared" si="40"/>
        <v>4931.2333949169679</v>
      </c>
      <c r="W131" s="27">
        <f t="shared" si="40"/>
        <v>3808.9429277487034</v>
      </c>
      <c r="X131" s="27">
        <f t="shared" si="40"/>
        <v>3807.6439333003314</v>
      </c>
      <c r="Y131" s="27">
        <f t="shared" si="40"/>
        <v>3807.5793999503867</v>
      </c>
      <c r="Z131" s="27">
        <f t="shared" si="40"/>
        <v>3806.9346627510704</v>
      </c>
      <c r="AA131" s="27">
        <f t="shared" si="40"/>
        <v>3800.5465409875624</v>
      </c>
      <c r="AB131" s="27">
        <f t="shared" si="40"/>
        <v>3742.2281806929727</v>
      </c>
      <c r="AC131" s="27">
        <f t="shared" si="40"/>
        <v>3478.1698344606548</v>
      </c>
      <c r="AD131" s="27">
        <f t="shared" si="40"/>
        <v>3320.9604630647941</v>
      </c>
      <c r="AE131" s="27">
        <f t="shared" si="40"/>
        <v>3153.3688841436165</v>
      </c>
      <c r="AF131" s="27">
        <f t="shared" si="40"/>
        <v>2959.2372616880957</v>
      </c>
    </row>
    <row r="132" spans="1:33" x14ac:dyDescent="0.25">
      <c r="B132" s="3">
        <f t="shared" ref="B132:Z133" si="41">$C18*EXP(-B$129/$A18/EXP(-$B$126))</f>
        <v>0.38496487301991561</v>
      </c>
      <c r="C132" s="3">
        <f t="shared" ref="C132:AF132" si="42">$C18*EXP(-C$129/$A18/EXP(-$B$126))</f>
        <v>0.38496487301991561</v>
      </c>
      <c r="D132" s="3">
        <f t="shared" si="42"/>
        <v>0.38496487301991561</v>
      </c>
      <c r="E132" s="3">
        <f t="shared" si="42"/>
        <v>0.38496487301991561</v>
      </c>
      <c r="F132" s="3">
        <f t="shared" si="42"/>
        <v>0.38496487301991555</v>
      </c>
      <c r="G132" s="3">
        <f t="shared" si="42"/>
        <v>0.38496487301991533</v>
      </c>
      <c r="H132" s="3">
        <f t="shared" si="42"/>
        <v>0.38496487301991272</v>
      </c>
      <c r="I132" s="3">
        <f t="shared" si="42"/>
        <v>0.38496487301988669</v>
      </c>
      <c r="J132" s="3">
        <f t="shared" si="42"/>
        <v>0.38496487301962612</v>
      </c>
      <c r="K132" s="3">
        <f t="shared" si="42"/>
        <v>0.38496487301702081</v>
      </c>
      <c r="L132" s="3">
        <f t="shared" si="42"/>
        <v>0.38496487299096765</v>
      </c>
      <c r="M132" s="3">
        <f t="shared" si="42"/>
        <v>0.38496487273043623</v>
      </c>
      <c r="N132" s="3">
        <f t="shared" si="42"/>
        <v>0.38496487012512187</v>
      </c>
      <c r="O132" s="3">
        <f t="shared" si="42"/>
        <v>0.38496484407197951</v>
      </c>
      <c r="P132" s="3">
        <f t="shared" si="42"/>
        <v>0.38496458354065272</v>
      </c>
      <c r="Q132" s="3">
        <f t="shared" si="42"/>
        <v>0.384961978237082</v>
      </c>
      <c r="R132" s="3">
        <f t="shared" si="42"/>
        <v>0.384935926171103</v>
      </c>
      <c r="S132" s="3">
        <f t="shared" si="42"/>
        <v>0.38467550245979704</v>
      </c>
      <c r="T132" s="3">
        <f t="shared" si="42"/>
        <v>0.38208093596275489</v>
      </c>
      <c r="U132" s="3">
        <f t="shared" si="42"/>
        <v>0.35707854914039211</v>
      </c>
      <c r="V132" s="3">
        <f t="shared" si="42"/>
        <v>0.1814879047276638</v>
      </c>
      <c r="W132" s="3">
        <f t="shared" si="42"/>
        <v>2.087790606408283E-4</v>
      </c>
      <c r="X132" s="3">
        <f t="shared" si="42"/>
        <v>8.4738244779126968E-34</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5.8157909381167036E-2</v>
      </c>
      <c r="C133" s="3">
        <f t="shared" si="41"/>
        <v>5.8157909381167036E-2</v>
      </c>
      <c r="D133" s="3">
        <f t="shared" si="41"/>
        <v>5.8157909381167036E-2</v>
      </c>
      <c r="E133" s="3">
        <f t="shared" si="41"/>
        <v>5.8157909381167036E-2</v>
      </c>
      <c r="F133" s="3">
        <f t="shared" si="41"/>
        <v>5.8157909381167036E-2</v>
      </c>
      <c r="G133" s="3">
        <f t="shared" si="41"/>
        <v>5.8157909381167036E-2</v>
      </c>
      <c r="H133" s="3">
        <f t="shared" si="41"/>
        <v>5.8157909381167036E-2</v>
      </c>
      <c r="I133" s="3">
        <f t="shared" si="41"/>
        <v>5.8157909381167036E-2</v>
      </c>
      <c r="J133" s="3">
        <f t="shared" si="41"/>
        <v>5.8157909381167036E-2</v>
      </c>
      <c r="K133" s="3">
        <f t="shared" si="41"/>
        <v>5.8157909381167036E-2</v>
      </c>
      <c r="L133" s="3">
        <f t="shared" si="41"/>
        <v>5.8157909381167036E-2</v>
      </c>
      <c r="M133" s="3">
        <f t="shared" si="41"/>
        <v>5.8157909381167022E-2</v>
      </c>
      <c r="N133" s="3">
        <f t="shared" si="41"/>
        <v>5.8157909381166925E-2</v>
      </c>
      <c r="O133" s="3">
        <f t="shared" si="41"/>
        <v>5.8157909381165919E-2</v>
      </c>
      <c r="P133" s="3">
        <f t="shared" si="41"/>
        <v>5.8157909381155837E-2</v>
      </c>
      <c r="Q133" s="3">
        <f t="shared" si="41"/>
        <v>5.8157909381055008E-2</v>
      </c>
      <c r="R133" s="3">
        <f t="shared" si="41"/>
        <v>5.8157909380046807E-2</v>
      </c>
      <c r="S133" s="3">
        <f t="shared" si="41"/>
        <v>5.8157909369964733E-2</v>
      </c>
      <c r="T133" s="3">
        <f t="shared" si="41"/>
        <v>5.8157909269144034E-2</v>
      </c>
      <c r="U133" s="3">
        <f t="shared" si="41"/>
        <v>5.8157908260937002E-2</v>
      </c>
      <c r="V133" s="3">
        <f t="shared" si="41"/>
        <v>5.8157898178867691E-2</v>
      </c>
      <c r="W133" s="3">
        <f t="shared" si="41"/>
        <v>5.8157797358270723E-2</v>
      </c>
      <c r="X133" s="3">
        <f t="shared" si="41"/>
        <v>5.8156789161913809E-2</v>
      </c>
      <c r="Y133" s="3">
        <f t="shared" si="41"/>
        <v>5.814670815956384E-2</v>
      </c>
      <c r="Z133" s="3">
        <f t="shared" si="41"/>
        <v>5.8045994196350141E-2</v>
      </c>
      <c r="AA133" s="3">
        <f t="shared" ref="AA133:AF133" si="43">$C19*EXP(-AA$129/$A19/EXP(-$B$126))</f>
        <v>5.704839926248341E-2</v>
      </c>
      <c r="AB133" s="3">
        <f t="shared" si="43"/>
        <v>4.7968435211506115E-2</v>
      </c>
      <c r="AC133" s="3">
        <f t="shared" si="43"/>
        <v>8.4737654161642327E-3</v>
      </c>
      <c r="AD133" s="3">
        <f t="shared" si="43"/>
        <v>2.5077560821638288E-10</v>
      </c>
      <c r="AE133" s="3">
        <f t="shared" si="43"/>
        <v>1.2923312499234646E-85</v>
      </c>
      <c r="AF133" s="3">
        <f t="shared" si="43"/>
        <v>0</v>
      </c>
    </row>
    <row r="134" spans="1:33" x14ac:dyDescent="0.25">
      <c r="B134" s="3">
        <f t="shared" ref="B134:Z134" si="44">$C20*EXP(-B$129/$A20/EXP(-$B$126))</f>
        <v>1.8919132746280987E-2</v>
      </c>
      <c r="C134" s="3">
        <f t="shared" si="44"/>
        <v>1.8919132746280987E-2</v>
      </c>
      <c r="D134" s="3">
        <f t="shared" si="44"/>
        <v>1.8919132746280987E-2</v>
      </c>
      <c r="E134" s="3">
        <f t="shared" si="44"/>
        <v>1.8919132746280987E-2</v>
      </c>
      <c r="F134" s="3">
        <f t="shared" si="44"/>
        <v>1.8919132746280987E-2</v>
      </c>
      <c r="G134" s="3">
        <f t="shared" si="44"/>
        <v>1.8919132746280987E-2</v>
      </c>
      <c r="H134" s="3">
        <f t="shared" si="44"/>
        <v>1.8919132746280987E-2</v>
      </c>
      <c r="I134" s="3">
        <f t="shared" si="44"/>
        <v>1.8919132746280987E-2</v>
      </c>
      <c r="J134" s="3">
        <f t="shared" si="44"/>
        <v>1.8919132746280987E-2</v>
      </c>
      <c r="K134" s="3">
        <f t="shared" si="44"/>
        <v>1.8919132746280987E-2</v>
      </c>
      <c r="L134" s="3">
        <f t="shared" si="44"/>
        <v>1.8919132746280987E-2</v>
      </c>
      <c r="M134" s="3">
        <f t="shared" si="44"/>
        <v>1.8919132746280987E-2</v>
      </c>
      <c r="N134" s="3">
        <f t="shared" si="44"/>
        <v>1.8919132746280983E-2</v>
      </c>
      <c r="O134" s="3">
        <f t="shared" si="44"/>
        <v>1.8919132746280952E-2</v>
      </c>
      <c r="P134" s="3">
        <f t="shared" si="44"/>
        <v>1.8919132746280657E-2</v>
      </c>
      <c r="Q134" s="3">
        <f t="shared" si="44"/>
        <v>1.8919132746277701E-2</v>
      </c>
      <c r="R134" s="3">
        <f t="shared" si="44"/>
        <v>1.8919132746248114E-2</v>
      </c>
      <c r="S134" s="3">
        <f t="shared" si="44"/>
        <v>1.8919132745952253E-2</v>
      </c>
      <c r="T134" s="3">
        <f t="shared" si="44"/>
        <v>1.8919132742993634E-2</v>
      </c>
      <c r="U134" s="3">
        <f t="shared" si="44"/>
        <v>1.8919132713407463E-2</v>
      </c>
      <c r="V134" s="3">
        <f t="shared" si="44"/>
        <v>1.8919132417545764E-2</v>
      </c>
      <c r="W134" s="3">
        <f t="shared" si="44"/>
        <v>1.8919129458929009E-2</v>
      </c>
      <c r="X134" s="3">
        <f t="shared" si="44"/>
        <v>1.8919099872786924E-2</v>
      </c>
      <c r="Y134" s="3">
        <f t="shared" si="44"/>
        <v>1.8918804013910741E-2</v>
      </c>
      <c r="Z134" s="3">
        <f t="shared" si="44"/>
        <v>1.8915845679603967E-2</v>
      </c>
      <c r="AA134" s="3">
        <f t="shared" ref="AA134" si="45">$C20*EXP(-AA$129/$A20/EXP(-$B$126))</f>
        <v>1.8886287767322919E-2</v>
      </c>
      <c r="AB134" s="3">
        <f t="shared" ref="AB134:AF143" si="46">$C20*EXP(-AB$129/$A20/EXP(-$B$126))</f>
        <v>1.8593237069911003E-2</v>
      </c>
      <c r="AC134" s="3">
        <f t="shared" si="46"/>
        <v>1.5901534918870301E-2</v>
      </c>
      <c r="AD134" s="3">
        <f t="shared" si="46"/>
        <v>3.3287367634334715E-3</v>
      </c>
      <c r="AE134" s="3">
        <f t="shared" si="46"/>
        <v>5.3787765767084202E-10</v>
      </c>
      <c r="AF134" s="3">
        <f t="shared" si="46"/>
        <v>6.5271565566695698E-78</v>
      </c>
    </row>
    <row r="135" spans="1:33" x14ac:dyDescent="0.25">
      <c r="B135" s="3">
        <f t="shared" ref="B135:Z135" si="47">$C21*EXP(-B$129/$A21/EXP(-$B$126))</f>
        <v>2.9962799778578724E-2</v>
      </c>
      <c r="C135" s="3">
        <f t="shared" si="47"/>
        <v>2.9962799778578724E-2</v>
      </c>
      <c r="D135" s="3">
        <f t="shared" si="47"/>
        <v>2.9962799778578724E-2</v>
      </c>
      <c r="E135" s="3">
        <f t="shared" si="47"/>
        <v>2.9962799778578724E-2</v>
      </c>
      <c r="F135" s="3">
        <f t="shared" si="47"/>
        <v>2.9962799778578724E-2</v>
      </c>
      <c r="G135" s="3">
        <f t="shared" si="47"/>
        <v>2.9962799778578724E-2</v>
      </c>
      <c r="H135" s="3">
        <f t="shared" si="47"/>
        <v>2.9962799778578724E-2</v>
      </c>
      <c r="I135" s="3">
        <f t="shared" si="47"/>
        <v>2.9962799778578724E-2</v>
      </c>
      <c r="J135" s="3">
        <f t="shared" si="47"/>
        <v>2.9962799778578724E-2</v>
      </c>
      <c r="K135" s="3">
        <f t="shared" si="47"/>
        <v>2.9962799778578724E-2</v>
      </c>
      <c r="L135" s="3">
        <f t="shared" si="47"/>
        <v>2.9962799778578724E-2</v>
      </c>
      <c r="M135" s="3">
        <f t="shared" si="47"/>
        <v>2.9962799778578724E-2</v>
      </c>
      <c r="N135" s="3">
        <f t="shared" si="47"/>
        <v>2.9962799778578724E-2</v>
      </c>
      <c r="O135" s="3">
        <f t="shared" si="47"/>
        <v>2.9962799778578721E-2</v>
      </c>
      <c r="P135" s="3">
        <f t="shared" si="47"/>
        <v>2.9962799778578679E-2</v>
      </c>
      <c r="Q135" s="3">
        <f t="shared" si="47"/>
        <v>2.9962799778578256E-2</v>
      </c>
      <c r="R135" s="3">
        <f t="shared" si="47"/>
        <v>2.9962799778574026E-2</v>
      </c>
      <c r="S135" s="3">
        <f t="shared" si="47"/>
        <v>2.9962799778531762E-2</v>
      </c>
      <c r="T135" s="3">
        <f t="shared" si="47"/>
        <v>2.9962799778109072E-2</v>
      </c>
      <c r="U135" s="3">
        <f t="shared" si="47"/>
        <v>2.9962799773882227E-2</v>
      </c>
      <c r="V135" s="3">
        <f t="shared" si="47"/>
        <v>2.9962799731613757E-2</v>
      </c>
      <c r="W135" s="3">
        <f t="shared" si="47"/>
        <v>2.9962799308929075E-2</v>
      </c>
      <c r="X135" s="3">
        <f t="shared" si="47"/>
        <v>2.9962795082082595E-2</v>
      </c>
      <c r="Y135" s="3">
        <f t="shared" si="47"/>
        <v>2.9962752813650545E-2</v>
      </c>
      <c r="Z135" s="3">
        <f t="shared" si="47"/>
        <v>2.9962330132609578E-2</v>
      </c>
      <c r="AA135" s="3">
        <f t="shared" ref="AA135" si="48">$C21*EXP(-AA$129/$A21/EXP(-$B$126))</f>
        <v>2.9958103650135209E-2</v>
      </c>
      <c r="AB135" s="3">
        <f t="shared" si="46"/>
        <v>2.9915871601808631E-2</v>
      </c>
      <c r="AC135" s="3">
        <f t="shared" si="46"/>
        <v>2.9496811716695374E-2</v>
      </c>
      <c r="AD135" s="3">
        <f t="shared" si="46"/>
        <v>2.561587707599234E-2</v>
      </c>
      <c r="AE135" s="3">
        <f t="shared" si="46"/>
        <v>6.2495791888940635E-3</v>
      </c>
      <c r="AF135" s="3">
        <f t="shared" si="46"/>
        <v>4.6694553220519633E-9</v>
      </c>
    </row>
    <row r="136" spans="1:33" x14ac:dyDescent="0.25">
      <c r="B136" s="3">
        <f t="shared" ref="B136:Z136" si="49">$C22*EXP(-B$129/$A22/EXP(-$B$126))</f>
        <v>3.3253137152511318E-2</v>
      </c>
      <c r="C136" s="3">
        <f t="shared" si="49"/>
        <v>3.3253137152511318E-2</v>
      </c>
      <c r="D136" s="3">
        <f t="shared" si="49"/>
        <v>3.3253137152511318E-2</v>
      </c>
      <c r="E136" s="3">
        <f t="shared" si="49"/>
        <v>3.3253137152511318E-2</v>
      </c>
      <c r="F136" s="3">
        <f t="shared" si="49"/>
        <v>3.3253137152511318E-2</v>
      </c>
      <c r="G136" s="3">
        <f t="shared" si="49"/>
        <v>3.3253137152511318E-2</v>
      </c>
      <c r="H136" s="3">
        <f t="shared" si="49"/>
        <v>3.3253137152511318E-2</v>
      </c>
      <c r="I136" s="3">
        <f t="shared" si="49"/>
        <v>3.3253137152511318E-2</v>
      </c>
      <c r="J136" s="3">
        <f t="shared" si="49"/>
        <v>3.3253137152511318E-2</v>
      </c>
      <c r="K136" s="3">
        <f t="shared" si="49"/>
        <v>3.3253137152511318E-2</v>
      </c>
      <c r="L136" s="3">
        <f t="shared" si="49"/>
        <v>3.3253137152511318E-2</v>
      </c>
      <c r="M136" s="3">
        <f t="shared" si="49"/>
        <v>3.3253137152511318E-2</v>
      </c>
      <c r="N136" s="3">
        <f t="shared" si="49"/>
        <v>3.3253137152511318E-2</v>
      </c>
      <c r="O136" s="3">
        <f t="shared" si="49"/>
        <v>3.3253137152511318E-2</v>
      </c>
      <c r="P136" s="3">
        <f t="shared" si="49"/>
        <v>3.3253137152511311E-2</v>
      </c>
      <c r="Q136" s="3">
        <f t="shared" si="49"/>
        <v>3.325313715251127E-2</v>
      </c>
      <c r="R136" s="3">
        <f t="shared" si="49"/>
        <v>3.3253137152510846E-2</v>
      </c>
      <c r="S136" s="3">
        <f t="shared" si="49"/>
        <v>3.3253137152506614E-2</v>
      </c>
      <c r="T136" s="3">
        <f t="shared" si="49"/>
        <v>3.32531371524643E-2</v>
      </c>
      <c r="U136" s="3">
        <f t="shared" si="49"/>
        <v>3.3253137152041132E-2</v>
      </c>
      <c r="V136" s="3">
        <f t="shared" si="49"/>
        <v>3.3253137147809447E-2</v>
      </c>
      <c r="W136" s="3">
        <f t="shared" si="49"/>
        <v>3.3253137105492596E-2</v>
      </c>
      <c r="X136" s="3">
        <f t="shared" si="49"/>
        <v>3.3253136682324096E-2</v>
      </c>
      <c r="Y136" s="3">
        <f t="shared" si="49"/>
        <v>3.3253132450639399E-2</v>
      </c>
      <c r="Z136" s="3">
        <f t="shared" si="49"/>
        <v>3.325309013382205E-2</v>
      </c>
      <c r="AA136" s="3">
        <f t="shared" ref="AA136" si="50">$C22*EXP(-AA$129/$A22/EXP(-$B$126))</f>
        <v>3.3252666968610366E-2</v>
      </c>
      <c r="AB136" s="3">
        <f t="shared" si="46"/>
        <v>3.3248435612658715E-2</v>
      </c>
      <c r="AC136" s="3">
        <f t="shared" si="46"/>
        <v>3.320615165572114E-2</v>
      </c>
      <c r="AD136" s="3">
        <f t="shared" si="46"/>
        <v>3.2786258453193495E-2</v>
      </c>
      <c r="AE136" s="3">
        <f t="shared" si="46"/>
        <v>2.8868549852614396E-2</v>
      </c>
      <c r="AF136" s="3">
        <f t="shared" si="46"/>
        <v>8.0864158936231872E-3</v>
      </c>
    </row>
    <row r="137" spans="1:33" x14ac:dyDescent="0.25">
      <c r="B137" s="3">
        <f t="shared" ref="B137:Z137" si="51">$C23*EXP(-B$129/$A23/EXP(-$B$126))</f>
        <v>3.5952334962287925E-2</v>
      </c>
      <c r="C137" s="3">
        <f t="shared" si="51"/>
        <v>3.5952334962287925E-2</v>
      </c>
      <c r="D137" s="3">
        <f t="shared" si="51"/>
        <v>3.5952334962287925E-2</v>
      </c>
      <c r="E137" s="3">
        <f t="shared" si="51"/>
        <v>3.5952334962287925E-2</v>
      </c>
      <c r="F137" s="3">
        <f t="shared" si="51"/>
        <v>3.5952334962287925E-2</v>
      </c>
      <c r="G137" s="3">
        <f t="shared" si="51"/>
        <v>3.5952334962287925E-2</v>
      </c>
      <c r="H137" s="3">
        <f t="shared" si="51"/>
        <v>3.5952334962287925E-2</v>
      </c>
      <c r="I137" s="3">
        <f t="shared" si="51"/>
        <v>3.5952334962287925E-2</v>
      </c>
      <c r="J137" s="3">
        <f t="shared" si="51"/>
        <v>3.5952334962287925E-2</v>
      </c>
      <c r="K137" s="3">
        <f t="shared" si="51"/>
        <v>3.5952334962287925E-2</v>
      </c>
      <c r="L137" s="3">
        <f t="shared" si="51"/>
        <v>3.5952334962287925E-2</v>
      </c>
      <c r="M137" s="3">
        <f t="shared" si="51"/>
        <v>3.5952334962287925E-2</v>
      </c>
      <c r="N137" s="3">
        <f t="shared" si="51"/>
        <v>3.5952334962287925E-2</v>
      </c>
      <c r="O137" s="3">
        <f t="shared" si="51"/>
        <v>3.5952334962287925E-2</v>
      </c>
      <c r="P137" s="3">
        <f t="shared" si="51"/>
        <v>3.5952334962287925E-2</v>
      </c>
      <c r="Q137" s="3">
        <f t="shared" si="51"/>
        <v>3.5952334962287918E-2</v>
      </c>
      <c r="R137" s="3">
        <f t="shared" si="51"/>
        <v>3.5952334962287884E-2</v>
      </c>
      <c r="S137" s="3">
        <f t="shared" si="51"/>
        <v>3.5952334962287467E-2</v>
      </c>
      <c r="T137" s="3">
        <f t="shared" si="51"/>
        <v>3.5952334962283339E-2</v>
      </c>
      <c r="U137" s="3">
        <f t="shared" si="51"/>
        <v>3.5952334962242066E-2</v>
      </c>
      <c r="V137" s="3">
        <f t="shared" si="51"/>
        <v>3.5952334961829348E-2</v>
      </c>
      <c r="W137" s="3">
        <f t="shared" si="51"/>
        <v>3.5952334957702156E-2</v>
      </c>
      <c r="X137" s="3">
        <f t="shared" si="51"/>
        <v>3.5952334916430267E-2</v>
      </c>
      <c r="Y137" s="3">
        <f t="shared" si="51"/>
        <v>3.5952334503711325E-2</v>
      </c>
      <c r="Z137" s="3">
        <f t="shared" si="51"/>
        <v>3.5952330376522179E-2</v>
      </c>
      <c r="AA137" s="3">
        <f t="shared" ref="AA137" si="52">$C23*EXP(-AA$129/$A23/EXP(-$B$126))</f>
        <v>3.5952289104656761E-2</v>
      </c>
      <c r="AB137" s="3">
        <f t="shared" si="46"/>
        <v>3.5951876388608396E-2</v>
      </c>
      <c r="AC137" s="3">
        <f t="shared" si="46"/>
        <v>3.5947749488694475E-2</v>
      </c>
      <c r="AD137" s="3">
        <f t="shared" si="46"/>
        <v>3.5906506535460167E-2</v>
      </c>
      <c r="AE137" s="3">
        <f t="shared" si="46"/>
        <v>3.5496670564615938E-2</v>
      </c>
      <c r="AF137" s="3">
        <f t="shared" si="46"/>
        <v>3.1646981118446105E-2</v>
      </c>
    </row>
    <row r="138" spans="1:33" x14ac:dyDescent="0.25">
      <c r="B138" s="3">
        <f t="shared" ref="B138:Z138" si="53">$C24*EXP(-B$129/$A24/EXP(-$B$126))</f>
        <v>4.1559944347360683E-2</v>
      </c>
      <c r="C138" s="3">
        <f t="shared" si="53"/>
        <v>4.1559944347360683E-2</v>
      </c>
      <c r="D138" s="3">
        <f t="shared" si="53"/>
        <v>4.1559944347360683E-2</v>
      </c>
      <c r="E138" s="3">
        <f t="shared" si="53"/>
        <v>4.1559944347360683E-2</v>
      </c>
      <c r="F138" s="3">
        <f t="shared" si="53"/>
        <v>4.1559944347360683E-2</v>
      </c>
      <c r="G138" s="3">
        <f t="shared" si="53"/>
        <v>4.1559944347360683E-2</v>
      </c>
      <c r="H138" s="3">
        <f t="shared" si="53"/>
        <v>4.1559944347360683E-2</v>
      </c>
      <c r="I138" s="3">
        <f t="shared" si="53"/>
        <v>4.1559944347360683E-2</v>
      </c>
      <c r="J138" s="3">
        <f t="shared" si="53"/>
        <v>4.1559944347360683E-2</v>
      </c>
      <c r="K138" s="3">
        <f t="shared" si="53"/>
        <v>4.1559944347360683E-2</v>
      </c>
      <c r="L138" s="3">
        <f t="shared" si="53"/>
        <v>4.1559944347360683E-2</v>
      </c>
      <c r="M138" s="3">
        <f t="shared" si="53"/>
        <v>4.1559944347360683E-2</v>
      </c>
      <c r="N138" s="3">
        <f t="shared" si="53"/>
        <v>4.1559944347360683E-2</v>
      </c>
      <c r="O138" s="3">
        <f t="shared" si="53"/>
        <v>4.1559944347360683E-2</v>
      </c>
      <c r="P138" s="3">
        <f t="shared" si="53"/>
        <v>4.1559944347360683E-2</v>
      </c>
      <c r="Q138" s="3">
        <f t="shared" si="53"/>
        <v>4.1559944347360683E-2</v>
      </c>
      <c r="R138" s="3">
        <f t="shared" si="53"/>
        <v>4.1559944347360676E-2</v>
      </c>
      <c r="S138" s="3">
        <f t="shared" si="53"/>
        <v>4.1559944347360635E-2</v>
      </c>
      <c r="T138" s="3">
        <f t="shared" si="53"/>
        <v>4.1559944347360205E-2</v>
      </c>
      <c r="U138" s="3">
        <f t="shared" si="53"/>
        <v>4.1559944347355902E-2</v>
      </c>
      <c r="V138" s="3">
        <f t="shared" si="53"/>
        <v>4.155994434731286E-2</v>
      </c>
      <c r="W138" s="3">
        <f t="shared" si="53"/>
        <v>4.1559944346882483E-2</v>
      </c>
      <c r="X138" s="3">
        <f t="shared" si="53"/>
        <v>4.1559944342578717E-2</v>
      </c>
      <c r="Y138" s="3">
        <f t="shared" si="53"/>
        <v>4.1559944299541039E-2</v>
      </c>
      <c r="Z138" s="3">
        <f t="shared" si="53"/>
        <v>4.1559943869164243E-2</v>
      </c>
      <c r="AA138" s="3">
        <f t="shared" ref="AA138" si="54">$C24*EXP(-AA$129/$A24/EXP(-$B$126))</f>
        <v>4.1559939565396532E-2</v>
      </c>
      <c r="AB138" s="3">
        <f t="shared" si="46"/>
        <v>4.1559896527743952E-2</v>
      </c>
      <c r="AC138" s="3">
        <f t="shared" si="46"/>
        <v>4.1559466153669372E-2</v>
      </c>
      <c r="AD138" s="3">
        <f t="shared" si="46"/>
        <v>4.1555162658036854E-2</v>
      </c>
      <c r="AE138" s="3">
        <f t="shared" si="46"/>
        <v>4.1512152203656401E-2</v>
      </c>
      <c r="AF138" s="3">
        <f t="shared" si="46"/>
        <v>4.108448849220369E-2</v>
      </c>
    </row>
    <row r="139" spans="1:33" x14ac:dyDescent="0.25">
      <c r="B139" s="3">
        <f t="shared" ref="B139:Z139" si="55">$C25*EXP(-B$129/$A25/EXP(-$B$126))</f>
        <v>4.609677170559115E-2</v>
      </c>
      <c r="C139" s="3">
        <f t="shared" si="55"/>
        <v>4.609677170559115E-2</v>
      </c>
      <c r="D139" s="3">
        <f t="shared" si="55"/>
        <v>4.609677170559115E-2</v>
      </c>
      <c r="E139" s="3">
        <f t="shared" si="55"/>
        <v>4.609677170559115E-2</v>
      </c>
      <c r="F139" s="3">
        <f t="shared" si="55"/>
        <v>4.609677170559115E-2</v>
      </c>
      <c r="G139" s="3">
        <f t="shared" si="55"/>
        <v>4.609677170559115E-2</v>
      </c>
      <c r="H139" s="3">
        <f t="shared" si="55"/>
        <v>4.609677170559115E-2</v>
      </c>
      <c r="I139" s="3">
        <f t="shared" si="55"/>
        <v>4.609677170559115E-2</v>
      </c>
      <c r="J139" s="3">
        <f t="shared" si="55"/>
        <v>4.609677170559115E-2</v>
      </c>
      <c r="K139" s="3">
        <f t="shared" si="55"/>
        <v>4.609677170559115E-2</v>
      </c>
      <c r="L139" s="3">
        <f t="shared" si="55"/>
        <v>4.609677170559115E-2</v>
      </c>
      <c r="M139" s="3">
        <f t="shared" si="55"/>
        <v>4.609677170559115E-2</v>
      </c>
      <c r="N139" s="3">
        <f t="shared" si="55"/>
        <v>4.609677170559115E-2</v>
      </c>
      <c r="O139" s="3">
        <f t="shared" si="55"/>
        <v>4.609677170559115E-2</v>
      </c>
      <c r="P139" s="3">
        <f t="shared" si="55"/>
        <v>4.609677170559115E-2</v>
      </c>
      <c r="Q139" s="3">
        <f t="shared" si="55"/>
        <v>4.609677170559115E-2</v>
      </c>
      <c r="R139" s="3">
        <f t="shared" si="55"/>
        <v>4.609677170559115E-2</v>
      </c>
      <c r="S139" s="3">
        <f t="shared" si="55"/>
        <v>4.6096771705591143E-2</v>
      </c>
      <c r="T139" s="3">
        <f t="shared" si="55"/>
        <v>4.6096771705591101E-2</v>
      </c>
      <c r="U139" s="3">
        <f t="shared" si="55"/>
        <v>4.6096771705590671E-2</v>
      </c>
      <c r="V139" s="3">
        <f t="shared" si="55"/>
        <v>4.6096771705586362E-2</v>
      </c>
      <c r="W139" s="3">
        <f t="shared" si="55"/>
        <v>4.6096771705543306E-2</v>
      </c>
      <c r="X139" s="3">
        <f t="shared" si="55"/>
        <v>4.6096771705112685E-2</v>
      </c>
      <c r="Y139" s="3">
        <f t="shared" si="55"/>
        <v>4.6096771700806519E-2</v>
      </c>
      <c r="Z139" s="3">
        <f t="shared" si="55"/>
        <v>4.6096771657744832E-2</v>
      </c>
      <c r="AA139" s="3">
        <f t="shared" ref="AA139" si="56">$C25*EXP(-AA$129/$A25/EXP(-$B$126))</f>
        <v>4.6096771227128013E-2</v>
      </c>
      <c r="AB139" s="3">
        <f t="shared" si="46"/>
        <v>4.609676692096E-2</v>
      </c>
      <c r="AC139" s="3">
        <f t="shared" si="46"/>
        <v>4.6096723859301997E-2</v>
      </c>
      <c r="AD139" s="3">
        <f t="shared" si="46"/>
        <v>4.609629324493441E-2</v>
      </c>
      <c r="AE139" s="3">
        <f t="shared" si="46"/>
        <v>4.609198732249542E-2</v>
      </c>
      <c r="AF139" s="3">
        <f t="shared" si="46"/>
        <v>4.6048950214146844E-2</v>
      </c>
    </row>
    <row r="140" spans="1:33" x14ac:dyDescent="0.25">
      <c r="B140" s="3">
        <f t="shared" ref="B140:Z140" si="57">$C26*EXP(-B$129/$A26/EXP(-$B$126))</f>
        <v>5.5576139774485327E-2</v>
      </c>
      <c r="C140" s="3">
        <f t="shared" si="57"/>
        <v>5.5576139774485327E-2</v>
      </c>
      <c r="D140" s="3">
        <f t="shared" si="57"/>
        <v>5.5576139774485327E-2</v>
      </c>
      <c r="E140" s="3">
        <f t="shared" si="57"/>
        <v>5.5576139774485327E-2</v>
      </c>
      <c r="F140" s="3">
        <f t="shared" si="57"/>
        <v>5.5576139774485327E-2</v>
      </c>
      <c r="G140" s="3">
        <f t="shared" si="57"/>
        <v>5.5576139774485327E-2</v>
      </c>
      <c r="H140" s="3">
        <f t="shared" si="57"/>
        <v>5.5576139774485327E-2</v>
      </c>
      <c r="I140" s="3">
        <f t="shared" si="57"/>
        <v>5.5576139774485327E-2</v>
      </c>
      <c r="J140" s="3">
        <f t="shared" si="57"/>
        <v>5.5576139774485327E-2</v>
      </c>
      <c r="K140" s="3">
        <f t="shared" si="57"/>
        <v>5.5576139774485327E-2</v>
      </c>
      <c r="L140" s="3">
        <f t="shared" si="57"/>
        <v>5.5576139774485327E-2</v>
      </c>
      <c r="M140" s="3">
        <f t="shared" si="57"/>
        <v>5.5576139774485327E-2</v>
      </c>
      <c r="N140" s="3">
        <f t="shared" si="57"/>
        <v>5.5576139774485327E-2</v>
      </c>
      <c r="O140" s="3">
        <f t="shared" si="57"/>
        <v>5.5576139774485327E-2</v>
      </c>
      <c r="P140" s="3">
        <f t="shared" si="57"/>
        <v>5.5576139774485327E-2</v>
      </c>
      <c r="Q140" s="3">
        <f t="shared" si="57"/>
        <v>5.5576139774485327E-2</v>
      </c>
      <c r="R140" s="3">
        <f t="shared" si="57"/>
        <v>5.5576139774485327E-2</v>
      </c>
      <c r="S140" s="3">
        <f t="shared" si="57"/>
        <v>5.5576139774485327E-2</v>
      </c>
      <c r="T140" s="3">
        <f t="shared" si="57"/>
        <v>5.557613977448532E-2</v>
      </c>
      <c r="U140" s="3">
        <f t="shared" si="57"/>
        <v>5.5576139774485278E-2</v>
      </c>
      <c r="V140" s="3">
        <f t="shared" si="57"/>
        <v>5.5576139774484806E-2</v>
      </c>
      <c r="W140" s="3">
        <f t="shared" si="57"/>
        <v>5.5576139774480122E-2</v>
      </c>
      <c r="X140" s="3">
        <f t="shared" si="57"/>
        <v>5.5576139774433285E-2</v>
      </c>
      <c r="Y140" s="3">
        <f t="shared" si="57"/>
        <v>5.5576139773964958E-2</v>
      </c>
      <c r="Z140" s="3">
        <f t="shared" si="57"/>
        <v>5.5576139769281614E-2</v>
      </c>
      <c r="AA140" s="3">
        <f t="shared" ref="AA140" si="58">$C26*EXP(-AA$129/$A26/EXP(-$B$126))</f>
        <v>5.5576139722448244E-2</v>
      </c>
      <c r="AB140" s="3">
        <f t="shared" si="46"/>
        <v>5.5576139254114504E-2</v>
      </c>
      <c r="AC140" s="3">
        <f t="shared" si="46"/>
        <v>5.5576134570777272E-2</v>
      </c>
      <c r="AD140" s="3">
        <f t="shared" si="46"/>
        <v>5.5576087737426713E-2</v>
      </c>
      <c r="AE140" s="3">
        <f t="shared" si="46"/>
        <v>5.5575619406091743E-2</v>
      </c>
      <c r="AF140" s="3">
        <f t="shared" si="46"/>
        <v>5.557093630979721E-2</v>
      </c>
    </row>
    <row r="141" spans="1:33" x14ac:dyDescent="0.25">
      <c r="B141" s="3">
        <f t="shared" ref="B141:Z141" si="59">$C27*EXP(-B$129/$A27/EXP(-$B$126))</f>
        <v>6.5368051844924516E-2</v>
      </c>
      <c r="C141" s="3">
        <f t="shared" si="59"/>
        <v>6.5368051844924516E-2</v>
      </c>
      <c r="D141" s="3">
        <f t="shared" si="59"/>
        <v>6.5368051844924516E-2</v>
      </c>
      <c r="E141" s="3">
        <f t="shared" si="59"/>
        <v>6.5368051844924516E-2</v>
      </c>
      <c r="F141" s="3">
        <f t="shared" si="59"/>
        <v>6.5368051844924516E-2</v>
      </c>
      <c r="G141" s="3">
        <f t="shared" si="59"/>
        <v>6.5368051844924516E-2</v>
      </c>
      <c r="H141" s="3">
        <f t="shared" si="59"/>
        <v>6.5368051844924516E-2</v>
      </c>
      <c r="I141" s="3">
        <f t="shared" si="59"/>
        <v>6.5368051844924516E-2</v>
      </c>
      <c r="J141" s="3">
        <f t="shared" si="59"/>
        <v>6.5368051844924516E-2</v>
      </c>
      <c r="K141" s="3">
        <f t="shared" si="59"/>
        <v>6.5368051844924516E-2</v>
      </c>
      <c r="L141" s="3">
        <f t="shared" si="59"/>
        <v>6.5368051844924516E-2</v>
      </c>
      <c r="M141" s="3">
        <f t="shared" si="59"/>
        <v>6.5368051844924516E-2</v>
      </c>
      <c r="N141" s="3">
        <f t="shared" si="59"/>
        <v>6.5368051844924516E-2</v>
      </c>
      <c r="O141" s="3">
        <f t="shared" si="59"/>
        <v>6.5368051844924516E-2</v>
      </c>
      <c r="P141" s="3">
        <f t="shared" si="59"/>
        <v>6.5368051844924516E-2</v>
      </c>
      <c r="Q141" s="3">
        <f t="shared" si="59"/>
        <v>6.5368051844924516E-2</v>
      </c>
      <c r="R141" s="3">
        <f t="shared" si="59"/>
        <v>6.5368051844924516E-2</v>
      </c>
      <c r="S141" s="3">
        <f t="shared" si="59"/>
        <v>6.5368051844924516E-2</v>
      </c>
      <c r="T141" s="3">
        <f t="shared" si="59"/>
        <v>6.5368051844924516E-2</v>
      </c>
      <c r="U141" s="3">
        <f t="shared" si="59"/>
        <v>6.5368051844924502E-2</v>
      </c>
      <c r="V141" s="3">
        <f t="shared" si="59"/>
        <v>6.536805184492446E-2</v>
      </c>
      <c r="W141" s="3">
        <f t="shared" si="59"/>
        <v>6.5368051844923961E-2</v>
      </c>
      <c r="X141" s="3">
        <f t="shared" si="59"/>
        <v>6.5368051844918992E-2</v>
      </c>
      <c r="Y141" s="3">
        <f t="shared" si="59"/>
        <v>6.5368051844869296E-2</v>
      </c>
      <c r="Z141" s="3">
        <f t="shared" si="59"/>
        <v>6.5368051844372388E-2</v>
      </c>
      <c r="AA141" s="3">
        <f t="shared" ref="AA141" si="60">$C27*EXP(-AA$129/$A27/EXP(-$B$126))</f>
        <v>6.5368051839403279E-2</v>
      </c>
      <c r="AB141" s="3">
        <f t="shared" si="46"/>
        <v>6.5368051789712112E-2</v>
      </c>
      <c r="AC141" s="3">
        <f t="shared" si="46"/>
        <v>6.5368051292800419E-2</v>
      </c>
      <c r="AD141" s="3">
        <f t="shared" si="46"/>
        <v>6.5368046323683829E-2</v>
      </c>
      <c r="AE141" s="3">
        <f t="shared" si="46"/>
        <v>6.5367996632538616E-2</v>
      </c>
      <c r="AF141" s="3">
        <f t="shared" si="46"/>
        <v>6.536749972316401E-2</v>
      </c>
    </row>
    <row r="142" spans="1:33" x14ac:dyDescent="0.25">
      <c r="B142" s="3">
        <f t="shared" ref="B142:Z142" si="61">$C28*EXP(-B$129/$A28/EXP(-$B$126))</f>
        <v>6.6907973989911038E-2</v>
      </c>
      <c r="C142" s="3">
        <f t="shared" si="61"/>
        <v>6.6907973989911038E-2</v>
      </c>
      <c r="D142" s="3">
        <f t="shared" si="61"/>
        <v>6.6907973989911038E-2</v>
      </c>
      <c r="E142" s="3">
        <f t="shared" si="61"/>
        <v>6.6907973989911038E-2</v>
      </c>
      <c r="F142" s="3">
        <f t="shared" si="61"/>
        <v>6.6907973989911038E-2</v>
      </c>
      <c r="G142" s="3">
        <f t="shared" si="61"/>
        <v>6.6907973989911038E-2</v>
      </c>
      <c r="H142" s="3">
        <f t="shared" si="61"/>
        <v>6.6907973989911038E-2</v>
      </c>
      <c r="I142" s="3">
        <f t="shared" si="61"/>
        <v>6.6907973989911038E-2</v>
      </c>
      <c r="J142" s="3">
        <f t="shared" si="61"/>
        <v>6.6907973989911038E-2</v>
      </c>
      <c r="K142" s="3">
        <f t="shared" si="61"/>
        <v>6.6907973989911038E-2</v>
      </c>
      <c r="L142" s="3">
        <f t="shared" si="61"/>
        <v>6.6907973989911038E-2</v>
      </c>
      <c r="M142" s="3">
        <f t="shared" si="61"/>
        <v>6.6907973989911038E-2</v>
      </c>
      <c r="N142" s="3">
        <f t="shared" si="61"/>
        <v>6.6907973989911038E-2</v>
      </c>
      <c r="O142" s="3">
        <f t="shared" si="61"/>
        <v>6.6907973989911038E-2</v>
      </c>
      <c r="P142" s="3">
        <f t="shared" si="61"/>
        <v>6.6907973989911038E-2</v>
      </c>
      <c r="Q142" s="3">
        <f t="shared" si="61"/>
        <v>6.6907973989911038E-2</v>
      </c>
      <c r="R142" s="3">
        <f t="shared" si="61"/>
        <v>6.6907973989911038E-2</v>
      </c>
      <c r="S142" s="3">
        <f t="shared" si="61"/>
        <v>6.6907973989911038E-2</v>
      </c>
      <c r="T142" s="3">
        <f t="shared" si="61"/>
        <v>6.6907973989911038E-2</v>
      </c>
      <c r="U142" s="3">
        <f t="shared" si="61"/>
        <v>6.6907973989911038E-2</v>
      </c>
      <c r="V142" s="3">
        <f t="shared" si="61"/>
        <v>6.6907973989911024E-2</v>
      </c>
      <c r="W142" s="3">
        <f t="shared" si="61"/>
        <v>6.6907973989910982E-2</v>
      </c>
      <c r="X142" s="3">
        <f t="shared" si="61"/>
        <v>6.6907973989910524E-2</v>
      </c>
      <c r="Y142" s="3">
        <f t="shared" si="61"/>
        <v>6.6907973989905944E-2</v>
      </c>
      <c r="Z142" s="3">
        <f t="shared" si="61"/>
        <v>6.6907973989860051E-2</v>
      </c>
      <c r="AA142" s="3">
        <f t="shared" ref="AA142" si="62">$C28*EXP(-AA$129/$A28/EXP(-$B$126))</f>
        <v>6.6907973989401237E-2</v>
      </c>
      <c r="AB142" s="3">
        <f t="shared" si="46"/>
        <v>6.6907973984813088E-2</v>
      </c>
      <c r="AC142" s="3">
        <f t="shared" si="46"/>
        <v>6.6907973938931525E-2</v>
      </c>
      <c r="AD142" s="3">
        <f t="shared" si="46"/>
        <v>6.6907973480115984E-2</v>
      </c>
      <c r="AE142" s="3">
        <f t="shared" si="46"/>
        <v>6.6907968891960587E-2</v>
      </c>
      <c r="AF142" s="3">
        <f t="shared" si="46"/>
        <v>6.6907923010424003E-2</v>
      </c>
    </row>
    <row r="143" spans="1:33" x14ac:dyDescent="0.25">
      <c r="B143" s="3">
        <f t="shared" ref="B143:Z143" si="63">$C29*EXP(-B$129/$A29/EXP(-$B$126))</f>
        <v>5.3174535073566002E-2</v>
      </c>
      <c r="C143" s="3">
        <f t="shared" si="63"/>
        <v>5.3174535073566002E-2</v>
      </c>
      <c r="D143" s="3">
        <f t="shared" si="63"/>
        <v>5.3174535073566002E-2</v>
      </c>
      <c r="E143" s="3">
        <f t="shared" si="63"/>
        <v>5.3174535073566002E-2</v>
      </c>
      <c r="F143" s="3">
        <f t="shared" si="63"/>
        <v>5.3174535073566002E-2</v>
      </c>
      <c r="G143" s="3">
        <f t="shared" si="63"/>
        <v>5.3174535073566002E-2</v>
      </c>
      <c r="H143" s="3">
        <f t="shared" si="63"/>
        <v>5.3174535073566002E-2</v>
      </c>
      <c r="I143" s="3">
        <f t="shared" si="63"/>
        <v>5.3174535073566002E-2</v>
      </c>
      <c r="J143" s="3">
        <f t="shared" si="63"/>
        <v>5.3174535073566002E-2</v>
      </c>
      <c r="K143" s="3">
        <f t="shared" si="63"/>
        <v>5.3174535073566002E-2</v>
      </c>
      <c r="L143" s="3">
        <f t="shared" si="63"/>
        <v>5.3174535073566002E-2</v>
      </c>
      <c r="M143" s="3">
        <f t="shared" si="63"/>
        <v>5.3174535073566002E-2</v>
      </c>
      <c r="N143" s="3">
        <f t="shared" si="63"/>
        <v>5.3174535073566002E-2</v>
      </c>
      <c r="O143" s="3">
        <f t="shared" si="63"/>
        <v>5.3174535073566002E-2</v>
      </c>
      <c r="P143" s="3">
        <f t="shared" si="63"/>
        <v>5.3174535073566002E-2</v>
      </c>
      <c r="Q143" s="3">
        <f t="shared" si="63"/>
        <v>5.3174535073566002E-2</v>
      </c>
      <c r="R143" s="3">
        <f t="shared" si="63"/>
        <v>5.3174535073566002E-2</v>
      </c>
      <c r="S143" s="3">
        <f t="shared" si="63"/>
        <v>5.3174535073566002E-2</v>
      </c>
      <c r="T143" s="3">
        <f t="shared" si="63"/>
        <v>5.3174535073566002E-2</v>
      </c>
      <c r="U143" s="3">
        <f t="shared" si="63"/>
        <v>5.3174535073566002E-2</v>
      </c>
      <c r="V143" s="3">
        <f t="shared" si="63"/>
        <v>5.3174535073566002E-2</v>
      </c>
      <c r="W143" s="3">
        <f t="shared" si="63"/>
        <v>5.3174535073565996E-2</v>
      </c>
      <c r="X143" s="3">
        <f t="shared" si="63"/>
        <v>5.3174535073565968E-2</v>
      </c>
      <c r="Y143" s="3">
        <f t="shared" si="63"/>
        <v>5.3174535073565635E-2</v>
      </c>
      <c r="Z143" s="3">
        <f t="shared" si="63"/>
        <v>5.3174535073562346E-2</v>
      </c>
      <c r="AA143" s="3">
        <f t="shared" ref="AA143" si="64">$C29*EXP(-AA$129/$A29/EXP(-$B$126))</f>
        <v>5.3174535073529455E-2</v>
      </c>
      <c r="AB143" s="3">
        <f t="shared" si="46"/>
        <v>5.3174535073200517E-2</v>
      </c>
      <c r="AC143" s="3">
        <f t="shared" si="46"/>
        <v>5.3174535069911169E-2</v>
      </c>
      <c r="AD143" s="3">
        <f t="shared" si="46"/>
        <v>5.3174535037017627E-2</v>
      </c>
      <c r="AE143" s="3">
        <f t="shared" si="46"/>
        <v>5.3174534708082283E-2</v>
      </c>
      <c r="AF143" s="3">
        <f t="shared" si="46"/>
        <v>5.3174531418728903E-2</v>
      </c>
    </row>
    <row r="144" spans="1:33" x14ac:dyDescent="0.25">
      <c r="B144" s="3">
        <f t="shared" ref="B144:Z144" si="65">$C30*EXP(-B$129/$A30/EXP(-$B$126))</f>
        <v>3.2923061735419888E-2</v>
      </c>
      <c r="C144" s="3">
        <f t="shared" si="65"/>
        <v>3.2923061735419888E-2</v>
      </c>
      <c r="D144" s="3">
        <f t="shared" si="65"/>
        <v>3.2923061735419888E-2</v>
      </c>
      <c r="E144" s="3">
        <f t="shared" si="65"/>
        <v>3.2923061735419888E-2</v>
      </c>
      <c r="F144" s="3">
        <f t="shared" si="65"/>
        <v>3.2923061735419888E-2</v>
      </c>
      <c r="G144" s="3">
        <f t="shared" si="65"/>
        <v>3.2923061735419888E-2</v>
      </c>
      <c r="H144" s="3">
        <f t="shared" si="65"/>
        <v>3.2923061735419888E-2</v>
      </c>
      <c r="I144" s="3">
        <f t="shared" si="65"/>
        <v>3.2923061735419888E-2</v>
      </c>
      <c r="J144" s="3">
        <f t="shared" si="65"/>
        <v>3.2923061735419888E-2</v>
      </c>
      <c r="K144" s="3">
        <f t="shared" si="65"/>
        <v>3.2923061735419888E-2</v>
      </c>
      <c r="L144" s="3">
        <f t="shared" si="65"/>
        <v>3.2923061735419888E-2</v>
      </c>
      <c r="M144" s="3">
        <f t="shared" si="65"/>
        <v>3.2923061735419888E-2</v>
      </c>
      <c r="N144" s="3">
        <f t="shared" si="65"/>
        <v>3.2923061735419888E-2</v>
      </c>
      <c r="O144" s="3">
        <f t="shared" si="65"/>
        <v>3.2923061735419888E-2</v>
      </c>
      <c r="P144" s="3">
        <f t="shared" si="65"/>
        <v>3.2923061735419888E-2</v>
      </c>
      <c r="Q144" s="3">
        <f t="shared" si="65"/>
        <v>3.2923061735419888E-2</v>
      </c>
      <c r="R144" s="3">
        <f t="shared" si="65"/>
        <v>3.2923061735419888E-2</v>
      </c>
      <c r="S144" s="3">
        <f t="shared" si="65"/>
        <v>3.2923061735419888E-2</v>
      </c>
      <c r="T144" s="3">
        <f t="shared" si="65"/>
        <v>3.2923061735419888E-2</v>
      </c>
      <c r="U144" s="3">
        <f t="shared" si="65"/>
        <v>3.2923061735419888E-2</v>
      </c>
      <c r="V144" s="3">
        <f t="shared" si="65"/>
        <v>3.2923061735419888E-2</v>
      </c>
      <c r="W144" s="3">
        <f t="shared" si="65"/>
        <v>3.2923061735419888E-2</v>
      </c>
      <c r="X144" s="3">
        <f t="shared" si="65"/>
        <v>3.2923061735419881E-2</v>
      </c>
      <c r="Y144" s="3">
        <f t="shared" si="65"/>
        <v>3.2923061735419867E-2</v>
      </c>
      <c r="Z144" s="3">
        <f t="shared" si="65"/>
        <v>3.2923061735419687E-2</v>
      </c>
      <c r="AA144" s="3">
        <f t="shared" ref="AA144" si="66">$C30*EXP(-AA$129/$A30/EXP(-$B$126))</f>
        <v>3.2923061735417848E-2</v>
      </c>
      <c r="AB144" s="3">
        <f t="shared" ref="AB144:AF153" si="67">$C30*EXP(-AB$129/$A30/EXP(-$B$126))</f>
        <v>3.2923061735399474E-2</v>
      </c>
      <c r="AC144" s="3">
        <f t="shared" si="67"/>
        <v>3.292306173521576E-2</v>
      </c>
      <c r="AD144" s="3">
        <f t="shared" si="67"/>
        <v>3.292306173337857E-2</v>
      </c>
      <c r="AE144" s="3">
        <f t="shared" si="67"/>
        <v>3.2923061715006682E-2</v>
      </c>
      <c r="AF144" s="3">
        <f t="shared" si="67"/>
        <v>3.2923061531287864E-2</v>
      </c>
    </row>
    <row r="145" spans="1:32" x14ac:dyDescent="0.25">
      <c r="B145" s="3">
        <f t="shared" ref="B145:Z145" si="68">$C31*EXP(-B$129/$A31/EXP(-$B$126))</f>
        <v>1.6325787748200139E-2</v>
      </c>
      <c r="C145" s="3">
        <f t="shared" si="68"/>
        <v>1.6325787748200139E-2</v>
      </c>
      <c r="D145" s="3">
        <f t="shared" si="68"/>
        <v>1.6325787748200139E-2</v>
      </c>
      <c r="E145" s="3">
        <f t="shared" si="68"/>
        <v>1.6325787748200139E-2</v>
      </c>
      <c r="F145" s="3">
        <f t="shared" si="68"/>
        <v>1.6325787748200139E-2</v>
      </c>
      <c r="G145" s="3">
        <f t="shared" si="68"/>
        <v>1.6325787748200139E-2</v>
      </c>
      <c r="H145" s="3">
        <f t="shared" si="68"/>
        <v>1.6325787748200139E-2</v>
      </c>
      <c r="I145" s="3">
        <f t="shared" si="68"/>
        <v>1.6325787748200139E-2</v>
      </c>
      <c r="J145" s="3">
        <f t="shared" si="68"/>
        <v>1.6325787748200139E-2</v>
      </c>
      <c r="K145" s="3">
        <f t="shared" si="68"/>
        <v>1.6325787748200139E-2</v>
      </c>
      <c r="L145" s="3">
        <f t="shared" si="68"/>
        <v>1.6325787748200139E-2</v>
      </c>
      <c r="M145" s="3">
        <f t="shared" si="68"/>
        <v>1.6325787748200139E-2</v>
      </c>
      <c r="N145" s="3">
        <f t="shared" si="68"/>
        <v>1.6325787748200139E-2</v>
      </c>
      <c r="O145" s="3">
        <f t="shared" si="68"/>
        <v>1.6325787748200139E-2</v>
      </c>
      <c r="P145" s="3">
        <f t="shared" si="68"/>
        <v>1.6325787748200139E-2</v>
      </c>
      <c r="Q145" s="3">
        <f t="shared" si="68"/>
        <v>1.6325787748200139E-2</v>
      </c>
      <c r="R145" s="3">
        <f t="shared" si="68"/>
        <v>1.6325787748200139E-2</v>
      </c>
      <c r="S145" s="3">
        <f t="shared" si="68"/>
        <v>1.6325787748200139E-2</v>
      </c>
      <c r="T145" s="3">
        <f t="shared" si="68"/>
        <v>1.6325787748200139E-2</v>
      </c>
      <c r="U145" s="3">
        <f t="shared" si="68"/>
        <v>1.6325787748200139E-2</v>
      </c>
      <c r="V145" s="3">
        <f t="shared" si="68"/>
        <v>1.6325787748200139E-2</v>
      </c>
      <c r="W145" s="3">
        <f t="shared" si="68"/>
        <v>1.6325787748200139E-2</v>
      </c>
      <c r="X145" s="3">
        <f t="shared" si="68"/>
        <v>1.6325787748200139E-2</v>
      </c>
      <c r="Y145" s="3">
        <f t="shared" si="68"/>
        <v>1.6325787748200135E-2</v>
      </c>
      <c r="Z145" s="3">
        <f t="shared" si="68"/>
        <v>1.6325787748200128E-2</v>
      </c>
      <c r="AA145" s="3">
        <f t="shared" ref="AA145" si="69">$C31*EXP(-AA$129/$A31/EXP(-$B$126))</f>
        <v>1.6325787748200048E-2</v>
      </c>
      <c r="AB145" s="3">
        <f t="shared" si="67"/>
        <v>1.6325787748199226E-2</v>
      </c>
      <c r="AC145" s="3">
        <f t="shared" si="67"/>
        <v>1.6325787748191007E-2</v>
      </c>
      <c r="AD145" s="3">
        <f t="shared" si="67"/>
        <v>1.6325787748108826E-2</v>
      </c>
      <c r="AE145" s="3">
        <f t="shared" si="67"/>
        <v>1.6325787747287011E-2</v>
      </c>
      <c r="AF145" s="3">
        <f t="shared" si="67"/>
        <v>1.632578773906886E-2</v>
      </c>
    </row>
    <row r="146" spans="1:32" x14ac:dyDescent="0.25">
      <c r="B146" s="3">
        <f t="shared" ref="B146:Z146" si="70">$C32*EXP(-B$129/$A32/EXP(-$B$126))</f>
        <v>7.8974635041155969E-3</v>
      </c>
      <c r="C146" s="3">
        <f t="shared" si="70"/>
        <v>7.8974635041155969E-3</v>
      </c>
      <c r="D146" s="3">
        <f t="shared" si="70"/>
        <v>7.8974635041155969E-3</v>
      </c>
      <c r="E146" s="3">
        <f t="shared" si="70"/>
        <v>7.8974635041155969E-3</v>
      </c>
      <c r="F146" s="3">
        <f t="shared" si="70"/>
        <v>7.8974635041155969E-3</v>
      </c>
      <c r="G146" s="3">
        <f t="shared" si="70"/>
        <v>7.8974635041155969E-3</v>
      </c>
      <c r="H146" s="3">
        <f t="shared" si="70"/>
        <v>7.8974635041155969E-3</v>
      </c>
      <c r="I146" s="3">
        <f t="shared" si="70"/>
        <v>7.8974635041155969E-3</v>
      </c>
      <c r="J146" s="3">
        <f t="shared" si="70"/>
        <v>7.8974635041155969E-3</v>
      </c>
      <c r="K146" s="3">
        <f t="shared" si="70"/>
        <v>7.8974635041155969E-3</v>
      </c>
      <c r="L146" s="3">
        <f t="shared" si="70"/>
        <v>7.8974635041155969E-3</v>
      </c>
      <c r="M146" s="3">
        <f t="shared" si="70"/>
        <v>7.8974635041155969E-3</v>
      </c>
      <c r="N146" s="3">
        <f t="shared" si="70"/>
        <v>7.8974635041155969E-3</v>
      </c>
      <c r="O146" s="3">
        <f t="shared" si="70"/>
        <v>7.8974635041155969E-3</v>
      </c>
      <c r="P146" s="3">
        <f t="shared" si="70"/>
        <v>7.8974635041155969E-3</v>
      </c>
      <c r="Q146" s="3">
        <f t="shared" si="70"/>
        <v>7.8974635041155969E-3</v>
      </c>
      <c r="R146" s="3">
        <f t="shared" si="70"/>
        <v>7.8974635041155969E-3</v>
      </c>
      <c r="S146" s="3">
        <f t="shared" si="70"/>
        <v>7.8974635041155969E-3</v>
      </c>
      <c r="T146" s="3">
        <f t="shared" si="70"/>
        <v>7.8974635041155969E-3</v>
      </c>
      <c r="U146" s="3">
        <f t="shared" si="70"/>
        <v>7.8974635041155969E-3</v>
      </c>
      <c r="V146" s="3">
        <f t="shared" si="70"/>
        <v>7.8974635041155969E-3</v>
      </c>
      <c r="W146" s="3">
        <f t="shared" si="70"/>
        <v>7.8974635041155969E-3</v>
      </c>
      <c r="X146" s="3">
        <f t="shared" si="70"/>
        <v>7.8974635041155969E-3</v>
      </c>
      <c r="Y146" s="3">
        <f t="shared" si="70"/>
        <v>7.8974635041155969E-3</v>
      </c>
      <c r="Z146" s="3">
        <f t="shared" si="70"/>
        <v>7.8974635041155969E-3</v>
      </c>
      <c r="AA146" s="3">
        <f t="shared" ref="AA146" si="71">$C32*EXP(-AA$129/$A32/EXP(-$B$126))</f>
        <v>7.8974635041155917E-3</v>
      </c>
      <c r="AB146" s="3">
        <f t="shared" si="67"/>
        <v>7.897463504115557E-3</v>
      </c>
      <c r="AC146" s="3">
        <f t="shared" si="67"/>
        <v>7.8974635041151996E-3</v>
      </c>
      <c r="AD146" s="3">
        <f t="shared" si="67"/>
        <v>7.8974635041116122E-3</v>
      </c>
      <c r="AE146" s="3">
        <f t="shared" si="67"/>
        <v>7.8974635040757503E-3</v>
      </c>
      <c r="AF146" s="3">
        <f t="shared" si="67"/>
        <v>7.8974635037171309E-3</v>
      </c>
    </row>
    <row r="147" spans="1:32" x14ac:dyDescent="0.25">
      <c r="B147" s="3">
        <f t="shared" ref="B147:Z147" si="72">$C33*EXP(-B$129/$A33/EXP(-$B$126))</f>
        <v>4.1550471728530186E-3</v>
      </c>
      <c r="C147" s="3">
        <f t="shared" si="72"/>
        <v>4.1550471728530186E-3</v>
      </c>
      <c r="D147" s="3">
        <f t="shared" si="72"/>
        <v>4.1550471728530186E-3</v>
      </c>
      <c r="E147" s="3">
        <f t="shared" si="72"/>
        <v>4.1550471728530186E-3</v>
      </c>
      <c r="F147" s="3">
        <f t="shared" si="72"/>
        <v>4.1550471728530186E-3</v>
      </c>
      <c r="G147" s="3">
        <f t="shared" si="72"/>
        <v>4.1550471728530186E-3</v>
      </c>
      <c r="H147" s="3">
        <f t="shared" si="72"/>
        <v>4.1550471728530186E-3</v>
      </c>
      <c r="I147" s="3">
        <f t="shared" si="72"/>
        <v>4.1550471728530186E-3</v>
      </c>
      <c r="J147" s="3">
        <f t="shared" si="72"/>
        <v>4.1550471728530186E-3</v>
      </c>
      <c r="K147" s="3">
        <f t="shared" si="72"/>
        <v>4.1550471728530186E-3</v>
      </c>
      <c r="L147" s="3">
        <f t="shared" si="72"/>
        <v>4.1550471728530186E-3</v>
      </c>
      <c r="M147" s="3">
        <f t="shared" si="72"/>
        <v>4.1550471728530186E-3</v>
      </c>
      <c r="N147" s="3">
        <f t="shared" si="72"/>
        <v>4.1550471728530186E-3</v>
      </c>
      <c r="O147" s="3">
        <f t="shared" si="72"/>
        <v>4.1550471728530186E-3</v>
      </c>
      <c r="P147" s="3">
        <f t="shared" si="72"/>
        <v>4.1550471728530186E-3</v>
      </c>
      <c r="Q147" s="3">
        <f t="shared" si="72"/>
        <v>4.1550471728530186E-3</v>
      </c>
      <c r="R147" s="3">
        <f t="shared" si="72"/>
        <v>4.1550471728530186E-3</v>
      </c>
      <c r="S147" s="3">
        <f t="shared" si="72"/>
        <v>4.1550471728530186E-3</v>
      </c>
      <c r="T147" s="3">
        <f t="shared" si="72"/>
        <v>4.1550471728530186E-3</v>
      </c>
      <c r="U147" s="3">
        <f t="shared" si="72"/>
        <v>4.1550471728530186E-3</v>
      </c>
      <c r="V147" s="3">
        <f t="shared" si="72"/>
        <v>4.1550471728530186E-3</v>
      </c>
      <c r="W147" s="3">
        <f t="shared" si="72"/>
        <v>4.1550471728530186E-3</v>
      </c>
      <c r="X147" s="3">
        <f t="shared" si="72"/>
        <v>4.1550471728530186E-3</v>
      </c>
      <c r="Y147" s="3">
        <f t="shared" si="72"/>
        <v>4.1550471728530186E-3</v>
      </c>
      <c r="Z147" s="3">
        <f t="shared" si="72"/>
        <v>4.1550471728530186E-3</v>
      </c>
      <c r="AA147" s="3">
        <f t="shared" ref="AA147" si="73">$C33*EXP(-AA$129/$A33/EXP(-$B$126))</f>
        <v>4.1550471728530186E-3</v>
      </c>
      <c r="AB147" s="3">
        <f t="shared" si="67"/>
        <v>4.1550471728530169E-3</v>
      </c>
      <c r="AC147" s="3">
        <f t="shared" si="67"/>
        <v>4.1550471728529995E-3</v>
      </c>
      <c r="AD147" s="3">
        <f t="shared" si="67"/>
        <v>4.1550471728528295E-3</v>
      </c>
      <c r="AE147" s="3">
        <f t="shared" si="67"/>
        <v>4.1550471728511269E-3</v>
      </c>
      <c r="AF147" s="3">
        <f t="shared" si="67"/>
        <v>4.1550471728341067E-3</v>
      </c>
    </row>
    <row r="148" spans="1:32" x14ac:dyDescent="0.25">
      <c r="B148" s="3">
        <f t="shared" ref="B148:Z148" si="74">$C34*EXP(-B$129/$A34/EXP(-$B$126))</f>
        <v>4.2575321437709054E-3</v>
      </c>
      <c r="C148" s="3">
        <f t="shared" si="74"/>
        <v>4.2575321437709054E-3</v>
      </c>
      <c r="D148" s="3">
        <f t="shared" si="74"/>
        <v>4.2575321437709054E-3</v>
      </c>
      <c r="E148" s="3">
        <f t="shared" si="74"/>
        <v>4.2575321437709054E-3</v>
      </c>
      <c r="F148" s="3">
        <f t="shared" si="74"/>
        <v>4.2575321437709054E-3</v>
      </c>
      <c r="G148" s="3">
        <f t="shared" si="74"/>
        <v>4.2575321437709054E-3</v>
      </c>
      <c r="H148" s="3">
        <f t="shared" si="74"/>
        <v>4.2575321437709054E-3</v>
      </c>
      <c r="I148" s="3">
        <f t="shared" si="74"/>
        <v>4.2575321437709054E-3</v>
      </c>
      <c r="J148" s="3">
        <f t="shared" si="74"/>
        <v>4.2575321437709054E-3</v>
      </c>
      <c r="K148" s="3">
        <f t="shared" si="74"/>
        <v>4.2575321437709054E-3</v>
      </c>
      <c r="L148" s="3">
        <f t="shared" si="74"/>
        <v>4.2575321437709054E-3</v>
      </c>
      <c r="M148" s="3">
        <f t="shared" si="74"/>
        <v>4.2575321437709054E-3</v>
      </c>
      <c r="N148" s="3">
        <f t="shared" si="74"/>
        <v>4.2575321437709054E-3</v>
      </c>
      <c r="O148" s="3">
        <f t="shared" si="74"/>
        <v>4.2575321437709054E-3</v>
      </c>
      <c r="P148" s="3">
        <f t="shared" si="74"/>
        <v>4.2575321437709054E-3</v>
      </c>
      <c r="Q148" s="3">
        <f t="shared" si="74"/>
        <v>4.2575321437709054E-3</v>
      </c>
      <c r="R148" s="3">
        <f t="shared" si="74"/>
        <v>4.2575321437709054E-3</v>
      </c>
      <c r="S148" s="3">
        <f t="shared" si="74"/>
        <v>4.2575321437709054E-3</v>
      </c>
      <c r="T148" s="3">
        <f t="shared" si="74"/>
        <v>4.2575321437709054E-3</v>
      </c>
      <c r="U148" s="3">
        <f t="shared" si="74"/>
        <v>4.2575321437709054E-3</v>
      </c>
      <c r="V148" s="3">
        <f t="shared" si="74"/>
        <v>4.2575321437709054E-3</v>
      </c>
      <c r="W148" s="3">
        <f t="shared" si="74"/>
        <v>4.2575321437709054E-3</v>
      </c>
      <c r="X148" s="3">
        <f t="shared" si="74"/>
        <v>4.2575321437709054E-3</v>
      </c>
      <c r="Y148" s="3">
        <f t="shared" si="74"/>
        <v>4.2575321437709054E-3</v>
      </c>
      <c r="Z148" s="3">
        <f t="shared" si="74"/>
        <v>4.2575321437709054E-3</v>
      </c>
      <c r="AA148" s="3">
        <f>$C34*EXP(-AA$129/$A34/EXP(-$B$126))</f>
        <v>4.2575321437709054E-3</v>
      </c>
      <c r="AB148" s="3">
        <f t="shared" si="67"/>
        <v>4.2575321437709054E-3</v>
      </c>
      <c r="AC148" s="3">
        <f t="shared" si="67"/>
        <v>4.2575321437709037E-3</v>
      </c>
      <c r="AD148" s="3">
        <f t="shared" si="67"/>
        <v>4.2575321437708881E-3</v>
      </c>
      <c r="AE148" s="3">
        <f t="shared" si="67"/>
        <v>4.2575321437707302E-3</v>
      </c>
      <c r="AF148" s="3">
        <f t="shared" si="67"/>
        <v>4.2575321437691577E-3</v>
      </c>
    </row>
    <row r="149" spans="1:32" x14ac:dyDescent="0.25">
      <c r="B149" s="3">
        <f t="shared" ref="B149:Z149" si="75">$C35*EXP(-B$129/$A35/EXP(-$B$126))</f>
        <v>9.5394971617709327E-4</v>
      </c>
      <c r="C149" s="3">
        <f t="shared" si="75"/>
        <v>9.5394971617709327E-4</v>
      </c>
      <c r="D149" s="3">
        <f t="shared" si="75"/>
        <v>9.5394971617709327E-4</v>
      </c>
      <c r="E149" s="3">
        <f t="shared" si="75"/>
        <v>9.5394971617709327E-4</v>
      </c>
      <c r="F149" s="3">
        <f t="shared" si="75"/>
        <v>9.5394971617709327E-4</v>
      </c>
      <c r="G149" s="3">
        <f t="shared" si="75"/>
        <v>9.5394971617709327E-4</v>
      </c>
      <c r="H149" s="3">
        <f t="shared" si="75"/>
        <v>9.5394971617709327E-4</v>
      </c>
      <c r="I149" s="3">
        <f t="shared" si="75"/>
        <v>9.5394971617709327E-4</v>
      </c>
      <c r="J149" s="3">
        <f t="shared" si="75"/>
        <v>9.5394971617709327E-4</v>
      </c>
      <c r="K149" s="3">
        <f t="shared" si="75"/>
        <v>9.5394971617709327E-4</v>
      </c>
      <c r="L149" s="3">
        <f t="shared" si="75"/>
        <v>9.5394971617709327E-4</v>
      </c>
      <c r="M149" s="3">
        <f t="shared" si="75"/>
        <v>9.5394971617709327E-4</v>
      </c>
      <c r="N149" s="3">
        <f t="shared" si="75"/>
        <v>9.5394971617709327E-4</v>
      </c>
      <c r="O149" s="3">
        <f t="shared" si="75"/>
        <v>9.5394971617709327E-4</v>
      </c>
      <c r="P149" s="3">
        <f t="shared" si="75"/>
        <v>9.5394971617709327E-4</v>
      </c>
      <c r="Q149" s="3">
        <f t="shared" si="75"/>
        <v>9.5394971617709327E-4</v>
      </c>
      <c r="R149" s="3">
        <f t="shared" si="75"/>
        <v>9.5394971617709327E-4</v>
      </c>
      <c r="S149" s="3">
        <f t="shared" si="75"/>
        <v>9.5394971617709327E-4</v>
      </c>
      <c r="T149" s="3">
        <f t="shared" si="75"/>
        <v>9.5394971617709327E-4</v>
      </c>
      <c r="U149" s="3">
        <f t="shared" si="75"/>
        <v>9.5394971617709327E-4</v>
      </c>
      <c r="V149" s="3">
        <f t="shared" si="75"/>
        <v>9.5394971617709327E-4</v>
      </c>
      <c r="W149" s="3">
        <f t="shared" si="75"/>
        <v>9.5394971617709327E-4</v>
      </c>
      <c r="X149" s="3">
        <f t="shared" si="75"/>
        <v>9.5394971617709327E-4</v>
      </c>
      <c r="Y149" s="3">
        <f t="shared" si="75"/>
        <v>9.5394971617709327E-4</v>
      </c>
      <c r="Z149" s="3">
        <f t="shared" si="75"/>
        <v>9.5394971617709327E-4</v>
      </c>
      <c r="AA149" s="3">
        <f t="shared" ref="AA149" si="76">$C35*EXP(-AA$129/$A35/EXP(-$B$126))</f>
        <v>9.5394971617709327E-4</v>
      </c>
      <c r="AB149" s="3">
        <f t="shared" si="67"/>
        <v>9.5394971617709327E-4</v>
      </c>
      <c r="AC149" s="3">
        <f t="shared" si="67"/>
        <v>9.5394971617709327E-4</v>
      </c>
      <c r="AD149" s="3">
        <f t="shared" si="67"/>
        <v>9.5394971617709294E-4</v>
      </c>
      <c r="AE149" s="3">
        <f t="shared" si="67"/>
        <v>9.539497161770898E-4</v>
      </c>
      <c r="AF149" s="3">
        <f t="shared" si="67"/>
        <v>9.5394971617705792E-4</v>
      </c>
    </row>
    <row r="150" spans="1:32" x14ac:dyDescent="0.25">
      <c r="B150" s="3">
        <f t="shared" ref="B150:Z150" si="77">$C36*EXP(-B$129/$A36/EXP(-$B$126))</f>
        <v>4.0589760414466262E-3</v>
      </c>
      <c r="C150" s="3">
        <f t="shared" si="77"/>
        <v>4.0589760414466262E-3</v>
      </c>
      <c r="D150" s="3">
        <f t="shared" si="77"/>
        <v>4.0589760414466262E-3</v>
      </c>
      <c r="E150" s="3">
        <f t="shared" si="77"/>
        <v>4.0589760414466262E-3</v>
      </c>
      <c r="F150" s="3">
        <f t="shared" si="77"/>
        <v>4.0589760414466262E-3</v>
      </c>
      <c r="G150" s="3">
        <f t="shared" si="77"/>
        <v>4.0589760414466262E-3</v>
      </c>
      <c r="H150" s="3">
        <f t="shared" si="77"/>
        <v>4.0589760414466262E-3</v>
      </c>
      <c r="I150" s="3">
        <f t="shared" si="77"/>
        <v>4.0589760414466262E-3</v>
      </c>
      <c r="J150" s="3">
        <f t="shared" si="77"/>
        <v>4.0589760414466262E-3</v>
      </c>
      <c r="K150" s="3">
        <f t="shared" si="77"/>
        <v>4.0589760414466262E-3</v>
      </c>
      <c r="L150" s="3">
        <f t="shared" si="77"/>
        <v>4.0589760414466262E-3</v>
      </c>
      <c r="M150" s="3">
        <f t="shared" si="77"/>
        <v>4.0589760414466262E-3</v>
      </c>
      <c r="N150" s="3">
        <f t="shared" si="77"/>
        <v>4.0589760414466262E-3</v>
      </c>
      <c r="O150" s="3">
        <f t="shared" si="77"/>
        <v>4.0589760414466262E-3</v>
      </c>
      <c r="P150" s="3">
        <f t="shared" si="77"/>
        <v>4.0589760414466262E-3</v>
      </c>
      <c r="Q150" s="3">
        <f t="shared" si="77"/>
        <v>4.0589760414466262E-3</v>
      </c>
      <c r="R150" s="3">
        <f t="shared" si="77"/>
        <v>4.0589760414466262E-3</v>
      </c>
      <c r="S150" s="3">
        <f t="shared" si="77"/>
        <v>4.0589760414466262E-3</v>
      </c>
      <c r="T150" s="3">
        <f t="shared" si="77"/>
        <v>4.0589760414466262E-3</v>
      </c>
      <c r="U150" s="3">
        <f t="shared" si="77"/>
        <v>4.0589760414466262E-3</v>
      </c>
      <c r="V150" s="3">
        <f t="shared" si="77"/>
        <v>4.0589760414466262E-3</v>
      </c>
      <c r="W150" s="3">
        <f t="shared" si="77"/>
        <v>4.0589760414466262E-3</v>
      </c>
      <c r="X150" s="3">
        <f t="shared" si="77"/>
        <v>4.0589760414466262E-3</v>
      </c>
      <c r="Y150" s="3">
        <f t="shared" si="77"/>
        <v>4.0589760414466262E-3</v>
      </c>
      <c r="Z150" s="3">
        <f t="shared" si="77"/>
        <v>4.0589760414466262E-3</v>
      </c>
      <c r="AA150" s="3">
        <f t="shared" ref="AA150" si="78">$C36*EXP(-AA$129/$A36/EXP(-$B$126))</f>
        <v>4.0589760414466262E-3</v>
      </c>
      <c r="AB150" s="3">
        <f t="shared" si="67"/>
        <v>4.0589760414466262E-3</v>
      </c>
      <c r="AC150" s="3">
        <f t="shared" si="67"/>
        <v>4.0589760414466262E-3</v>
      </c>
      <c r="AD150" s="3">
        <f t="shared" si="67"/>
        <v>4.0589760414466262E-3</v>
      </c>
      <c r="AE150" s="3">
        <f t="shared" si="67"/>
        <v>4.0589760414466245E-3</v>
      </c>
      <c r="AF150" s="3">
        <f t="shared" si="67"/>
        <v>4.0589760414466124E-3</v>
      </c>
    </row>
    <row r="151" spans="1:32" x14ac:dyDescent="0.25">
      <c r="B151" s="3">
        <f t="shared" ref="B151:Z151" si="79">$C37*EXP(-B$129/$A37/EXP(-$B$126))</f>
        <v>1.8079022275700322E-3</v>
      </c>
      <c r="C151" s="3">
        <f t="shared" si="79"/>
        <v>1.8079022275700322E-3</v>
      </c>
      <c r="D151" s="3">
        <f t="shared" si="79"/>
        <v>1.8079022275700322E-3</v>
      </c>
      <c r="E151" s="3">
        <f t="shared" si="79"/>
        <v>1.8079022275700322E-3</v>
      </c>
      <c r="F151" s="3">
        <f t="shared" si="79"/>
        <v>1.8079022275700322E-3</v>
      </c>
      <c r="G151" s="3">
        <f t="shared" si="79"/>
        <v>1.8079022275700322E-3</v>
      </c>
      <c r="H151" s="3">
        <f t="shared" si="79"/>
        <v>1.8079022275700322E-3</v>
      </c>
      <c r="I151" s="3">
        <f t="shared" si="79"/>
        <v>1.8079022275700322E-3</v>
      </c>
      <c r="J151" s="3">
        <f t="shared" si="79"/>
        <v>1.8079022275700322E-3</v>
      </c>
      <c r="K151" s="3">
        <f t="shared" si="79"/>
        <v>1.8079022275700322E-3</v>
      </c>
      <c r="L151" s="3">
        <f t="shared" si="79"/>
        <v>1.8079022275700322E-3</v>
      </c>
      <c r="M151" s="3">
        <f t="shared" si="79"/>
        <v>1.8079022275700322E-3</v>
      </c>
      <c r="N151" s="3">
        <f t="shared" si="79"/>
        <v>1.8079022275700322E-3</v>
      </c>
      <c r="O151" s="3">
        <f t="shared" si="79"/>
        <v>1.8079022275700322E-3</v>
      </c>
      <c r="P151" s="3">
        <f t="shared" si="79"/>
        <v>1.8079022275700322E-3</v>
      </c>
      <c r="Q151" s="3">
        <f t="shared" si="79"/>
        <v>1.8079022275700322E-3</v>
      </c>
      <c r="R151" s="3">
        <f t="shared" si="79"/>
        <v>1.8079022275700322E-3</v>
      </c>
      <c r="S151" s="3">
        <f t="shared" si="79"/>
        <v>1.8079022275700322E-3</v>
      </c>
      <c r="T151" s="3">
        <f t="shared" si="79"/>
        <v>1.8079022275700322E-3</v>
      </c>
      <c r="U151" s="3">
        <f t="shared" si="79"/>
        <v>1.8079022275700322E-3</v>
      </c>
      <c r="V151" s="3">
        <f t="shared" si="79"/>
        <v>1.8079022275700322E-3</v>
      </c>
      <c r="W151" s="3">
        <f t="shared" si="79"/>
        <v>1.8079022275700322E-3</v>
      </c>
      <c r="X151" s="3">
        <f t="shared" si="79"/>
        <v>1.8079022275700322E-3</v>
      </c>
      <c r="Y151" s="3">
        <f t="shared" si="79"/>
        <v>1.8079022275700322E-3</v>
      </c>
      <c r="Z151" s="3">
        <f t="shared" si="79"/>
        <v>1.8079022275700322E-3</v>
      </c>
      <c r="AA151" s="3">
        <f t="shared" ref="AA151" si="80">$C37*EXP(-AA$129/$A37/EXP(-$B$126))</f>
        <v>1.8079022275700322E-3</v>
      </c>
      <c r="AB151" s="3">
        <f t="shared" si="67"/>
        <v>1.8079022275700322E-3</v>
      </c>
      <c r="AC151" s="3">
        <f t="shared" si="67"/>
        <v>1.8079022275700322E-3</v>
      </c>
      <c r="AD151" s="3">
        <f t="shared" si="67"/>
        <v>1.8079022275700322E-3</v>
      </c>
      <c r="AE151" s="3">
        <f t="shared" si="67"/>
        <v>1.8079022275700322E-3</v>
      </c>
      <c r="AF151" s="3">
        <f t="shared" si="67"/>
        <v>1.8079022275700315E-3</v>
      </c>
    </row>
    <row r="152" spans="1:32" x14ac:dyDescent="0.25">
      <c r="B152" s="3">
        <f t="shared" ref="B152:Z152" si="81">$C38*EXP(-B$129/$A38/EXP(-$B$126))</f>
        <v>6.6593482592524332E-4</v>
      </c>
      <c r="C152" s="3">
        <f t="shared" si="81"/>
        <v>6.6593482592524332E-4</v>
      </c>
      <c r="D152" s="3">
        <f t="shared" si="81"/>
        <v>6.6593482592524332E-4</v>
      </c>
      <c r="E152" s="3">
        <f t="shared" si="81"/>
        <v>6.6593482592524332E-4</v>
      </c>
      <c r="F152" s="3">
        <f t="shared" si="81"/>
        <v>6.6593482592524332E-4</v>
      </c>
      <c r="G152" s="3">
        <f t="shared" si="81"/>
        <v>6.6593482592524332E-4</v>
      </c>
      <c r="H152" s="3">
        <f t="shared" si="81"/>
        <v>6.6593482592524332E-4</v>
      </c>
      <c r="I152" s="3">
        <f t="shared" si="81"/>
        <v>6.6593482592524332E-4</v>
      </c>
      <c r="J152" s="3">
        <f t="shared" si="81"/>
        <v>6.6593482592524332E-4</v>
      </c>
      <c r="K152" s="3">
        <f t="shared" si="81"/>
        <v>6.6593482592524332E-4</v>
      </c>
      <c r="L152" s="3">
        <f t="shared" si="81"/>
        <v>6.6593482592524332E-4</v>
      </c>
      <c r="M152" s="3">
        <f t="shared" si="81"/>
        <v>6.6593482592524332E-4</v>
      </c>
      <c r="N152" s="3">
        <f t="shared" si="81"/>
        <v>6.6593482592524332E-4</v>
      </c>
      <c r="O152" s="3">
        <f t="shared" si="81"/>
        <v>6.6593482592524332E-4</v>
      </c>
      <c r="P152" s="3">
        <f t="shared" si="81"/>
        <v>6.6593482592524332E-4</v>
      </c>
      <c r="Q152" s="3">
        <f t="shared" si="81"/>
        <v>6.6593482592524332E-4</v>
      </c>
      <c r="R152" s="3">
        <f t="shared" si="81"/>
        <v>6.6593482592524332E-4</v>
      </c>
      <c r="S152" s="3">
        <f t="shared" si="81"/>
        <v>6.6593482592524332E-4</v>
      </c>
      <c r="T152" s="3">
        <f t="shared" si="81"/>
        <v>6.6593482592524332E-4</v>
      </c>
      <c r="U152" s="3">
        <f t="shared" si="81"/>
        <v>6.6593482592524332E-4</v>
      </c>
      <c r="V152" s="3">
        <f t="shared" si="81"/>
        <v>6.6593482592524332E-4</v>
      </c>
      <c r="W152" s="3">
        <f t="shared" si="81"/>
        <v>6.6593482592524332E-4</v>
      </c>
      <c r="X152" s="3">
        <f t="shared" si="81"/>
        <v>6.6593482592524332E-4</v>
      </c>
      <c r="Y152" s="3">
        <f t="shared" si="81"/>
        <v>6.6593482592524332E-4</v>
      </c>
      <c r="Z152" s="3">
        <f t="shared" si="81"/>
        <v>6.6593482592524332E-4</v>
      </c>
      <c r="AA152" s="3">
        <f t="shared" ref="AA152" si="82">$C38*EXP(-AA$129/$A38/EXP(-$B$126))</f>
        <v>6.6593482592524332E-4</v>
      </c>
      <c r="AB152" s="3">
        <f t="shared" si="67"/>
        <v>6.6593482592524332E-4</v>
      </c>
      <c r="AC152" s="3">
        <f t="shared" si="67"/>
        <v>6.6593482592524332E-4</v>
      </c>
      <c r="AD152" s="3">
        <f t="shared" si="67"/>
        <v>6.6593482592524332E-4</v>
      </c>
      <c r="AE152" s="3">
        <f t="shared" si="67"/>
        <v>6.6593482592524332E-4</v>
      </c>
      <c r="AF152" s="3">
        <f t="shared" si="67"/>
        <v>6.6593482592524332E-4</v>
      </c>
    </row>
    <row r="153" spans="1:32" x14ac:dyDescent="0.25">
      <c r="B153" s="3">
        <f t="shared" ref="B153:Z153" si="83">$C39*EXP(-B$129/$A39/EXP(-$B$126))</f>
        <v>0</v>
      </c>
      <c r="C153" s="3">
        <f t="shared" si="83"/>
        <v>0</v>
      </c>
      <c r="D153" s="3">
        <f t="shared" si="83"/>
        <v>0</v>
      </c>
      <c r="E153" s="3">
        <f t="shared" si="83"/>
        <v>0</v>
      </c>
      <c r="F153" s="3">
        <f t="shared" si="83"/>
        <v>0</v>
      </c>
      <c r="G153" s="3">
        <f t="shared" si="83"/>
        <v>0</v>
      </c>
      <c r="H153" s="3">
        <f t="shared" si="83"/>
        <v>0</v>
      </c>
      <c r="I153" s="3">
        <f t="shared" si="83"/>
        <v>0</v>
      </c>
      <c r="J153" s="3">
        <f t="shared" si="83"/>
        <v>0</v>
      </c>
      <c r="K153" s="3">
        <f t="shared" si="83"/>
        <v>0</v>
      </c>
      <c r="L153" s="3">
        <f t="shared" si="83"/>
        <v>0</v>
      </c>
      <c r="M153" s="3">
        <f t="shared" si="83"/>
        <v>0</v>
      </c>
      <c r="N153" s="3">
        <f t="shared" si="83"/>
        <v>0</v>
      </c>
      <c r="O153" s="3">
        <f t="shared" si="83"/>
        <v>0</v>
      </c>
      <c r="P153" s="3">
        <f t="shared" si="83"/>
        <v>0</v>
      </c>
      <c r="Q153" s="3">
        <f t="shared" si="83"/>
        <v>0</v>
      </c>
      <c r="R153" s="3">
        <f t="shared" si="83"/>
        <v>0</v>
      </c>
      <c r="S153" s="3">
        <f t="shared" si="83"/>
        <v>0</v>
      </c>
      <c r="T153" s="3">
        <f t="shared" si="83"/>
        <v>0</v>
      </c>
      <c r="U153" s="3">
        <f t="shared" si="83"/>
        <v>0</v>
      </c>
      <c r="V153" s="3">
        <f t="shared" si="83"/>
        <v>0</v>
      </c>
      <c r="W153" s="3">
        <f t="shared" si="83"/>
        <v>0</v>
      </c>
      <c r="X153" s="3">
        <f t="shared" si="83"/>
        <v>0</v>
      </c>
      <c r="Y153" s="3">
        <f t="shared" si="83"/>
        <v>0</v>
      </c>
      <c r="Z153" s="3">
        <f t="shared" si="83"/>
        <v>0</v>
      </c>
      <c r="AA153" s="3">
        <f t="shared" ref="AA153" si="84">$C39*EXP(-AA$129/$A39/EXP(-$B$126))</f>
        <v>0</v>
      </c>
      <c r="AB153" s="3">
        <f t="shared" si="67"/>
        <v>0</v>
      </c>
      <c r="AC153" s="3">
        <f t="shared" si="67"/>
        <v>0</v>
      </c>
      <c r="AD153" s="3">
        <f t="shared" si="67"/>
        <v>0</v>
      </c>
      <c r="AE153" s="3">
        <f t="shared" si="67"/>
        <v>0</v>
      </c>
      <c r="AF153" s="3">
        <f t="shared" si="67"/>
        <v>0</v>
      </c>
    </row>
    <row r="154" spans="1:32" x14ac:dyDescent="0.25">
      <c r="B154" s="3">
        <f t="shared" ref="B154:Z154" si="85">$C40*EXP(-B$129/$A40/EXP(-$B$126))</f>
        <v>5.5929921649114952E-4</v>
      </c>
      <c r="C154" s="3">
        <f t="shared" si="85"/>
        <v>5.5929921649114952E-4</v>
      </c>
      <c r="D154" s="3">
        <f t="shared" si="85"/>
        <v>5.5929921649114952E-4</v>
      </c>
      <c r="E154" s="3">
        <f t="shared" si="85"/>
        <v>5.5929921649114952E-4</v>
      </c>
      <c r="F154" s="3">
        <f t="shared" si="85"/>
        <v>5.5929921649114952E-4</v>
      </c>
      <c r="G154" s="3">
        <f t="shared" si="85"/>
        <v>5.5929921649114952E-4</v>
      </c>
      <c r="H154" s="3">
        <f t="shared" si="85"/>
        <v>5.5929921649114952E-4</v>
      </c>
      <c r="I154" s="3">
        <f t="shared" si="85"/>
        <v>5.5929921649114952E-4</v>
      </c>
      <c r="J154" s="3">
        <f t="shared" si="85"/>
        <v>5.5929921649114952E-4</v>
      </c>
      <c r="K154" s="3">
        <f t="shared" si="85"/>
        <v>5.5929921649114952E-4</v>
      </c>
      <c r="L154" s="3">
        <f t="shared" si="85"/>
        <v>5.5929921649114952E-4</v>
      </c>
      <c r="M154" s="3">
        <f t="shared" si="85"/>
        <v>5.5929921649114952E-4</v>
      </c>
      <c r="N154" s="3">
        <f t="shared" si="85"/>
        <v>5.5929921649114952E-4</v>
      </c>
      <c r="O154" s="3">
        <f t="shared" si="85"/>
        <v>5.5929921649114952E-4</v>
      </c>
      <c r="P154" s="3">
        <f t="shared" si="85"/>
        <v>5.5929921649114952E-4</v>
      </c>
      <c r="Q154" s="3">
        <f t="shared" si="85"/>
        <v>5.5929921649114952E-4</v>
      </c>
      <c r="R154" s="3">
        <f t="shared" si="85"/>
        <v>5.5929921649114952E-4</v>
      </c>
      <c r="S154" s="3">
        <f t="shared" si="85"/>
        <v>5.5929921649114952E-4</v>
      </c>
      <c r="T154" s="3">
        <f t="shared" si="85"/>
        <v>5.5929921649114952E-4</v>
      </c>
      <c r="U154" s="3">
        <f t="shared" si="85"/>
        <v>5.5929921649114952E-4</v>
      </c>
      <c r="V154" s="3">
        <f t="shared" si="85"/>
        <v>5.5929921649114952E-4</v>
      </c>
      <c r="W154" s="3">
        <f t="shared" si="85"/>
        <v>5.5929921649114952E-4</v>
      </c>
      <c r="X154" s="3">
        <f t="shared" si="85"/>
        <v>5.5929921649114952E-4</v>
      </c>
      <c r="Y154" s="3">
        <f t="shared" si="85"/>
        <v>5.5929921649114952E-4</v>
      </c>
      <c r="Z154" s="3">
        <f t="shared" si="85"/>
        <v>5.5929921649114952E-4</v>
      </c>
      <c r="AA154" s="3">
        <f t="shared" ref="AA154:AF154" si="86">$C40*EXP(-AA$129/$A40/EXP(-$B$126))</f>
        <v>5.5929921649114952E-4</v>
      </c>
      <c r="AB154" s="3">
        <f t="shared" si="86"/>
        <v>5.5929921649114952E-4</v>
      </c>
      <c r="AC154" s="3">
        <f t="shared" si="86"/>
        <v>5.5929921649114952E-4</v>
      </c>
      <c r="AD154" s="3">
        <f t="shared" si="86"/>
        <v>5.5929921649114952E-4</v>
      </c>
      <c r="AE154" s="3">
        <f t="shared" si="86"/>
        <v>5.5929921649114952E-4</v>
      </c>
      <c r="AF154" s="3">
        <f t="shared" si="86"/>
        <v>5.5929921649114952E-4</v>
      </c>
    </row>
    <row r="155" spans="1:32" x14ac:dyDescent="0.25">
      <c r="B155" s="3">
        <f t="shared" ref="B155:Z155" si="87">$C41*EXP(-B$129/$A41/EXP(-$B$126))</f>
        <v>0</v>
      </c>
      <c r="C155" s="3">
        <f t="shared" si="87"/>
        <v>0</v>
      </c>
      <c r="D155" s="3">
        <f t="shared" si="87"/>
        <v>0</v>
      </c>
      <c r="E155" s="3">
        <f t="shared" si="87"/>
        <v>0</v>
      </c>
      <c r="F155" s="3">
        <f t="shared" si="87"/>
        <v>0</v>
      </c>
      <c r="G155" s="3">
        <f t="shared" si="87"/>
        <v>0</v>
      </c>
      <c r="H155" s="3">
        <f t="shared" si="87"/>
        <v>0</v>
      </c>
      <c r="I155" s="3">
        <f t="shared" si="87"/>
        <v>0</v>
      </c>
      <c r="J155" s="3">
        <f t="shared" si="87"/>
        <v>0</v>
      </c>
      <c r="K155" s="3">
        <f t="shared" si="87"/>
        <v>0</v>
      </c>
      <c r="L155" s="3">
        <f t="shared" si="87"/>
        <v>0</v>
      </c>
      <c r="M155" s="3">
        <f t="shared" si="87"/>
        <v>0</v>
      </c>
      <c r="N155" s="3">
        <f t="shared" si="87"/>
        <v>0</v>
      </c>
      <c r="O155" s="3">
        <f t="shared" si="87"/>
        <v>0</v>
      </c>
      <c r="P155" s="3">
        <f t="shared" si="87"/>
        <v>0</v>
      </c>
      <c r="Q155" s="3">
        <f t="shared" si="87"/>
        <v>0</v>
      </c>
      <c r="R155" s="3">
        <f t="shared" si="87"/>
        <v>0</v>
      </c>
      <c r="S155" s="3">
        <f t="shared" si="87"/>
        <v>0</v>
      </c>
      <c r="T155" s="3">
        <f t="shared" si="87"/>
        <v>0</v>
      </c>
      <c r="U155" s="3">
        <f t="shared" si="87"/>
        <v>0</v>
      </c>
      <c r="V155" s="3">
        <f t="shared" si="87"/>
        <v>0</v>
      </c>
      <c r="W155" s="3">
        <f t="shared" si="87"/>
        <v>0</v>
      </c>
      <c r="X155" s="3">
        <f t="shared" si="87"/>
        <v>0</v>
      </c>
      <c r="Y155" s="3">
        <f t="shared" si="87"/>
        <v>0</v>
      </c>
      <c r="Z155" s="3">
        <f t="shared" si="87"/>
        <v>0</v>
      </c>
      <c r="AA155" s="3">
        <f t="shared" ref="AA155:AF155" si="88">$C41*EXP(-AA$129/$A41/EXP(-$B$126))</f>
        <v>0</v>
      </c>
      <c r="AB155" s="3">
        <f t="shared" si="88"/>
        <v>0</v>
      </c>
      <c r="AC155" s="3">
        <f t="shared" si="88"/>
        <v>0</v>
      </c>
      <c r="AD155" s="3">
        <f t="shared" si="88"/>
        <v>0</v>
      </c>
      <c r="AE155" s="3">
        <f t="shared" si="88"/>
        <v>0</v>
      </c>
      <c r="AF155" s="3">
        <f t="shared" si="88"/>
        <v>0</v>
      </c>
    </row>
    <row r="156" spans="1:32" x14ac:dyDescent="0.25">
      <c r="B156" s="3">
        <f t="shared" ref="B156:Z156" si="89">$C42*EXP(-B$129/$A42/EXP(-$B$126))</f>
        <v>1.7201579278298637E-4</v>
      </c>
      <c r="C156" s="3">
        <f t="shared" si="89"/>
        <v>1.7201579278298637E-4</v>
      </c>
      <c r="D156" s="3">
        <f t="shared" si="89"/>
        <v>1.7201579278298637E-4</v>
      </c>
      <c r="E156" s="3">
        <f t="shared" si="89"/>
        <v>1.7201579278298637E-4</v>
      </c>
      <c r="F156" s="3">
        <f t="shared" si="89"/>
        <v>1.7201579278298637E-4</v>
      </c>
      <c r="G156" s="3">
        <f t="shared" si="89"/>
        <v>1.7201579278298637E-4</v>
      </c>
      <c r="H156" s="3">
        <f t="shared" si="89"/>
        <v>1.7201579278298637E-4</v>
      </c>
      <c r="I156" s="3">
        <f t="shared" si="89"/>
        <v>1.7201579278298637E-4</v>
      </c>
      <c r="J156" s="3">
        <f t="shared" si="89"/>
        <v>1.7201579278298637E-4</v>
      </c>
      <c r="K156" s="3">
        <f t="shared" si="89"/>
        <v>1.7201579278298637E-4</v>
      </c>
      <c r="L156" s="3">
        <f t="shared" si="89"/>
        <v>1.7201579278298637E-4</v>
      </c>
      <c r="M156" s="3">
        <f t="shared" si="89"/>
        <v>1.7201579278298637E-4</v>
      </c>
      <c r="N156" s="3">
        <f t="shared" si="89"/>
        <v>1.7201579278298637E-4</v>
      </c>
      <c r="O156" s="3">
        <f t="shared" si="89"/>
        <v>1.7201579278298637E-4</v>
      </c>
      <c r="P156" s="3">
        <f t="shared" si="89"/>
        <v>1.7201579278298637E-4</v>
      </c>
      <c r="Q156" s="3">
        <f t="shared" si="89"/>
        <v>1.7201579278298637E-4</v>
      </c>
      <c r="R156" s="3">
        <f t="shared" si="89"/>
        <v>1.7201579278298637E-4</v>
      </c>
      <c r="S156" s="3">
        <f t="shared" si="89"/>
        <v>1.7201579278298637E-4</v>
      </c>
      <c r="T156" s="3">
        <f t="shared" si="89"/>
        <v>1.7201579278298637E-4</v>
      </c>
      <c r="U156" s="3">
        <f t="shared" si="89"/>
        <v>1.7201579278298637E-4</v>
      </c>
      <c r="V156" s="3">
        <f t="shared" si="89"/>
        <v>1.7201579278298637E-4</v>
      </c>
      <c r="W156" s="3">
        <f t="shared" si="89"/>
        <v>1.7201579278298637E-4</v>
      </c>
      <c r="X156" s="3">
        <f t="shared" si="89"/>
        <v>1.7201579278298637E-4</v>
      </c>
      <c r="Y156" s="3">
        <f t="shared" si="89"/>
        <v>1.7201579278298637E-4</v>
      </c>
      <c r="Z156" s="3">
        <f t="shared" si="89"/>
        <v>1.7201579278298637E-4</v>
      </c>
      <c r="AA156" s="3">
        <f t="shared" ref="AA156:AF156" si="90">$C42*EXP(-AA$129/$A42/EXP(-$B$126))</f>
        <v>1.7201579278298637E-4</v>
      </c>
      <c r="AB156" s="3">
        <f t="shared" si="90"/>
        <v>1.7201579278298637E-4</v>
      </c>
      <c r="AC156" s="3">
        <f t="shared" si="90"/>
        <v>1.7201579278298637E-4</v>
      </c>
      <c r="AD156" s="3">
        <f t="shared" si="90"/>
        <v>1.7201579278298637E-4</v>
      </c>
      <c r="AE156" s="3">
        <f t="shared" si="90"/>
        <v>1.7201579278298637E-4</v>
      </c>
      <c r="AF156" s="3">
        <f t="shared" si="90"/>
        <v>1.7201579278298637E-4</v>
      </c>
    </row>
    <row r="157" spans="1:32" x14ac:dyDescent="0.25">
      <c r="B157" s="3">
        <f t="shared" ref="B157:Z157" si="91">$C43*EXP(-B$129/$A43/EXP(-$B$126))</f>
        <v>1.7468461922378131E-4</v>
      </c>
      <c r="C157" s="3">
        <f t="shared" si="91"/>
        <v>1.7468461922378131E-4</v>
      </c>
      <c r="D157" s="3">
        <f t="shared" si="91"/>
        <v>1.7468461922378131E-4</v>
      </c>
      <c r="E157" s="3">
        <f t="shared" si="91"/>
        <v>1.7468461922378131E-4</v>
      </c>
      <c r="F157" s="3">
        <f t="shared" si="91"/>
        <v>1.7468461922378131E-4</v>
      </c>
      <c r="G157" s="3">
        <f t="shared" si="91"/>
        <v>1.7468461922378131E-4</v>
      </c>
      <c r="H157" s="3">
        <f t="shared" si="91"/>
        <v>1.7468461922378131E-4</v>
      </c>
      <c r="I157" s="3">
        <f t="shared" si="91"/>
        <v>1.7468461922378131E-4</v>
      </c>
      <c r="J157" s="3">
        <f t="shared" si="91"/>
        <v>1.7468461922378131E-4</v>
      </c>
      <c r="K157" s="3">
        <f t="shared" si="91"/>
        <v>1.7468461922378131E-4</v>
      </c>
      <c r="L157" s="3">
        <f t="shared" si="91"/>
        <v>1.7468461922378131E-4</v>
      </c>
      <c r="M157" s="3">
        <f t="shared" si="91"/>
        <v>1.7468461922378131E-4</v>
      </c>
      <c r="N157" s="3">
        <f t="shared" si="91"/>
        <v>1.7468461922378131E-4</v>
      </c>
      <c r="O157" s="3">
        <f t="shared" si="91"/>
        <v>1.7468461922378131E-4</v>
      </c>
      <c r="P157" s="3">
        <f t="shared" si="91"/>
        <v>1.7468461922378131E-4</v>
      </c>
      <c r="Q157" s="3">
        <f t="shared" si="91"/>
        <v>1.7468461922378131E-4</v>
      </c>
      <c r="R157" s="3">
        <f t="shared" si="91"/>
        <v>1.7468461922378131E-4</v>
      </c>
      <c r="S157" s="3">
        <f t="shared" si="91"/>
        <v>1.7468461922378131E-4</v>
      </c>
      <c r="T157" s="3">
        <f t="shared" si="91"/>
        <v>1.7468461922378131E-4</v>
      </c>
      <c r="U157" s="3">
        <f t="shared" si="91"/>
        <v>1.7468461922378131E-4</v>
      </c>
      <c r="V157" s="3">
        <f t="shared" si="91"/>
        <v>1.7468461922378131E-4</v>
      </c>
      <c r="W157" s="3">
        <f t="shared" si="91"/>
        <v>1.7468461922378131E-4</v>
      </c>
      <c r="X157" s="3">
        <f t="shared" si="91"/>
        <v>1.7468461922378131E-4</v>
      </c>
      <c r="Y157" s="3">
        <f t="shared" si="91"/>
        <v>1.7468461922378131E-4</v>
      </c>
      <c r="Z157" s="3">
        <f t="shared" si="91"/>
        <v>1.7468461922378131E-4</v>
      </c>
      <c r="AA157" s="3">
        <f t="shared" ref="AA157:AF157" si="92">$C43*EXP(-AA$129/$A43/EXP(-$B$126))</f>
        <v>1.7468461922378131E-4</v>
      </c>
      <c r="AB157" s="3">
        <f t="shared" si="92"/>
        <v>1.7468461922378131E-4</v>
      </c>
      <c r="AC157" s="3">
        <f t="shared" si="92"/>
        <v>1.7468461922378131E-4</v>
      </c>
      <c r="AD157" s="3">
        <f t="shared" si="92"/>
        <v>1.7468461922378131E-4</v>
      </c>
      <c r="AE157" s="3">
        <f t="shared" si="92"/>
        <v>1.7468461922378131E-4</v>
      </c>
      <c r="AF157" s="3">
        <f t="shared" si="92"/>
        <v>1.7468461922378131E-4</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2.0999278642033111E-4</v>
      </c>
      <c r="C159" s="3">
        <f t="shared" si="95"/>
        <v>2.0999278642033111E-4</v>
      </c>
      <c r="D159" s="3">
        <f t="shared" si="95"/>
        <v>2.0999278642033111E-4</v>
      </c>
      <c r="E159" s="3">
        <f t="shared" si="95"/>
        <v>2.0999278642033111E-4</v>
      </c>
      <c r="F159" s="3">
        <f t="shared" si="95"/>
        <v>2.0999278642033111E-4</v>
      </c>
      <c r="G159" s="3">
        <f t="shared" si="95"/>
        <v>2.0999278642033111E-4</v>
      </c>
      <c r="H159" s="3">
        <f t="shared" si="95"/>
        <v>2.0999278642033111E-4</v>
      </c>
      <c r="I159" s="3">
        <f t="shared" si="95"/>
        <v>2.0999278642033111E-4</v>
      </c>
      <c r="J159" s="3">
        <f t="shared" si="95"/>
        <v>2.0999278642033111E-4</v>
      </c>
      <c r="K159" s="3">
        <f t="shared" si="95"/>
        <v>2.0999278642033111E-4</v>
      </c>
      <c r="L159" s="3">
        <f t="shared" si="95"/>
        <v>2.0999278642033111E-4</v>
      </c>
      <c r="M159" s="3">
        <f t="shared" si="95"/>
        <v>2.0999278642033111E-4</v>
      </c>
      <c r="N159" s="3">
        <f t="shared" si="95"/>
        <v>2.0999278642033111E-4</v>
      </c>
      <c r="O159" s="3">
        <f t="shared" si="95"/>
        <v>2.0999278642033111E-4</v>
      </c>
      <c r="P159" s="3">
        <f t="shared" si="95"/>
        <v>2.0999278642033111E-4</v>
      </c>
      <c r="Q159" s="3">
        <f t="shared" si="95"/>
        <v>2.0999278642033111E-4</v>
      </c>
      <c r="R159" s="3">
        <f t="shared" si="95"/>
        <v>2.0999278642033111E-4</v>
      </c>
      <c r="S159" s="3">
        <f t="shared" si="95"/>
        <v>2.0999278642033111E-4</v>
      </c>
      <c r="T159" s="3">
        <f t="shared" si="95"/>
        <v>2.0999278642033111E-4</v>
      </c>
      <c r="U159" s="3">
        <f t="shared" si="95"/>
        <v>2.0999278642033111E-4</v>
      </c>
      <c r="V159" s="3">
        <f t="shared" si="95"/>
        <v>2.0999278642033111E-4</v>
      </c>
      <c r="W159" s="3">
        <f t="shared" si="95"/>
        <v>2.0999278642033111E-4</v>
      </c>
      <c r="X159" s="3">
        <f t="shared" si="95"/>
        <v>2.0999278642033111E-4</v>
      </c>
      <c r="Y159" s="3">
        <f t="shared" si="95"/>
        <v>2.0999278642033111E-4</v>
      </c>
      <c r="Z159" s="3">
        <f t="shared" si="95"/>
        <v>2.0999278642033111E-4</v>
      </c>
      <c r="AA159" s="3">
        <f t="shared" ref="AA159:AF159" si="96">$C45*EXP(-AA$129/$A45/EXP(-$B$126))</f>
        <v>2.0999278642033111E-4</v>
      </c>
      <c r="AB159" s="3">
        <f t="shared" si="96"/>
        <v>2.0999278642033111E-4</v>
      </c>
      <c r="AC159" s="3">
        <f t="shared" si="96"/>
        <v>2.0999278642033111E-4</v>
      </c>
      <c r="AD159" s="3">
        <f t="shared" si="96"/>
        <v>2.0999278642033111E-4</v>
      </c>
      <c r="AE159" s="3">
        <f t="shared" si="96"/>
        <v>2.0999278642033111E-4</v>
      </c>
      <c r="AF159" s="3">
        <f t="shared" si="96"/>
        <v>2.0999278642033111E-4</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1.7320221207897527E-4</v>
      </c>
      <c r="C162" s="3">
        <f t="shared" si="101"/>
        <v>1.7320221207897527E-4</v>
      </c>
      <c r="D162" s="3">
        <f t="shared" si="101"/>
        <v>1.7320221207897527E-4</v>
      </c>
      <c r="E162" s="3">
        <f t="shared" si="101"/>
        <v>1.7320221207897527E-4</v>
      </c>
      <c r="F162" s="3">
        <f t="shared" si="101"/>
        <v>1.7320221207897527E-4</v>
      </c>
      <c r="G162" s="3">
        <f t="shared" si="101"/>
        <v>1.7320221207897527E-4</v>
      </c>
      <c r="H162" s="3">
        <f t="shared" si="101"/>
        <v>1.7320221207897527E-4</v>
      </c>
      <c r="I162" s="3">
        <f t="shared" si="101"/>
        <v>1.7320221207897527E-4</v>
      </c>
      <c r="J162" s="3">
        <f t="shared" si="101"/>
        <v>1.7320221207897527E-4</v>
      </c>
      <c r="K162" s="3">
        <f t="shared" si="101"/>
        <v>1.7320221207897527E-4</v>
      </c>
      <c r="L162" s="3">
        <f t="shared" si="101"/>
        <v>1.7320221207897527E-4</v>
      </c>
      <c r="M162" s="3">
        <f t="shared" si="101"/>
        <v>1.7320221207897527E-4</v>
      </c>
      <c r="N162" s="3">
        <f t="shared" si="101"/>
        <v>1.7320221207897527E-4</v>
      </c>
      <c r="O162" s="3">
        <f t="shared" si="101"/>
        <v>1.7320221207897527E-4</v>
      </c>
      <c r="P162" s="3">
        <f t="shared" si="101"/>
        <v>1.7320221207897527E-4</v>
      </c>
      <c r="Q162" s="3">
        <f t="shared" si="101"/>
        <v>1.7320221207897527E-4</v>
      </c>
      <c r="R162" s="3">
        <f t="shared" si="101"/>
        <v>1.7320221207897527E-4</v>
      </c>
      <c r="S162" s="3">
        <f t="shared" si="101"/>
        <v>1.7320221207897527E-4</v>
      </c>
      <c r="T162" s="3">
        <f t="shared" si="101"/>
        <v>1.7320221207897527E-4</v>
      </c>
      <c r="U162" s="3">
        <f t="shared" si="101"/>
        <v>1.7320221207897527E-4</v>
      </c>
      <c r="V162" s="3">
        <f t="shared" si="101"/>
        <v>1.7320221207897527E-4</v>
      </c>
      <c r="W162" s="3">
        <f t="shared" si="101"/>
        <v>1.7320221207897527E-4</v>
      </c>
      <c r="X162" s="3">
        <f t="shared" si="101"/>
        <v>1.7320221207897527E-4</v>
      </c>
      <c r="Y162" s="3">
        <f t="shared" si="101"/>
        <v>1.7320221207897527E-4</v>
      </c>
      <c r="Z162" s="3">
        <f t="shared" si="101"/>
        <v>1.7320221207897527E-4</v>
      </c>
      <c r="AA162" s="3">
        <f t="shared" ref="AA162:AF162" si="102">$C48*EXP(-AA$129/$A48/EXP(-$B$126))</f>
        <v>1.7320221207897527E-4</v>
      </c>
      <c r="AB162" s="3">
        <f t="shared" si="102"/>
        <v>1.7320221207897527E-4</v>
      </c>
      <c r="AC162" s="3">
        <f t="shared" si="102"/>
        <v>1.7320221207897527E-4</v>
      </c>
      <c r="AD162" s="3">
        <f t="shared" si="102"/>
        <v>1.7320221207897527E-4</v>
      </c>
      <c r="AE162" s="3">
        <f t="shared" si="102"/>
        <v>1.7320221207897527E-4</v>
      </c>
      <c r="AF162" s="3">
        <f t="shared" si="102"/>
        <v>1.7320221207897527E-4</v>
      </c>
    </row>
    <row r="163" spans="1:34" x14ac:dyDescent="0.25">
      <c r="A163" s="79">
        <f>AVERAGE(B163:AF163)</f>
        <v>5.5805390187045126E-2</v>
      </c>
      <c r="B163" s="80">
        <f>IF($A$64&lt;=B129,IF($B$64&gt;=B129,ABS((B131-B130)/B130),0),0)</f>
        <v>7.3363530047124269E-3</v>
      </c>
      <c r="C163" s="80">
        <f t="shared" ref="C163:AF163" si="103">IF($A$64&lt;=C129,IF($B$64&gt;=C129,ABS((C131-C130)/C130),0),0)</f>
        <v>7.3444153891529355E-3</v>
      </c>
      <c r="D163" s="80">
        <f t="shared" si="103"/>
        <v>7.3393954139350775E-3</v>
      </c>
      <c r="E163" s="80">
        <f t="shared" si="103"/>
        <v>7.3379131238603366E-3</v>
      </c>
      <c r="F163" s="80">
        <f t="shared" si="103"/>
        <v>7.33741784794036E-3</v>
      </c>
      <c r="G163" s="80">
        <f t="shared" si="103"/>
        <v>7.3372657274796546E-3</v>
      </c>
      <c r="H163" s="80">
        <f t="shared" si="103"/>
        <v>7.3372126622050894E-3</v>
      </c>
      <c r="I163" s="80">
        <f t="shared" si="103"/>
        <v>7.3371702100090593E-3</v>
      </c>
      <c r="J163" s="80">
        <f t="shared" si="103"/>
        <v>7.3371595972123831E-3</v>
      </c>
      <c r="K163" s="80">
        <f t="shared" si="103"/>
        <v>7.3369296502643101E-3</v>
      </c>
      <c r="L163" s="80">
        <f t="shared" si="103"/>
        <v>7.3346726330051661E-3</v>
      </c>
      <c r="M163" s="80">
        <f t="shared" si="103"/>
        <v>7.3123253345846687E-3</v>
      </c>
      <c r="N163" s="80">
        <f t="shared" si="103"/>
        <v>7.0904407716456189E-3</v>
      </c>
      <c r="O163" s="80">
        <f t="shared" si="103"/>
        <v>4.9676185908938937E-3</v>
      </c>
      <c r="P163" s="80">
        <f t="shared" si="103"/>
        <v>1.0678549040270982E-2</v>
      </c>
      <c r="Q163" s="80">
        <f t="shared" si="103"/>
        <v>3.9120675868912602E-2</v>
      </c>
      <c r="R163" s="80">
        <f t="shared" si="103"/>
        <v>5.9717701298941203E-2</v>
      </c>
      <c r="S163" s="80">
        <f t="shared" si="103"/>
        <v>8.110630125734003E-2</v>
      </c>
      <c r="T163" s="80">
        <f t="shared" si="103"/>
        <v>0.10332612825754423</v>
      </c>
      <c r="U163" s="80">
        <f t="shared" si="103"/>
        <v>0.10445713181780107</v>
      </c>
      <c r="V163" s="80">
        <f t="shared" si="103"/>
        <v>5.8735795345835895E-2</v>
      </c>
      <c r="W163" s="80">
        <f t="shared" si="103"/>
        <v>0.22107824502654164</v>
      </c>
      <c r="X163" s="80">
        <f t="shared" si="103"/>
        <v>0.15029111890282876</v>
      </c>
      <c r="Y163" s="80">
        <f t="shared" si="103"/>
        <v>7.6400752050001644E-2</v>
      </c>
      <c r="Z163" s="80">
        <f t="shared" si="103"/>
        <v>2.6986098799311768E-3</v>
      </c>
      <c r="AA163" s="80">
        <f t="shared" si="103"/>
        <v>7.4169860526988429E-2</v>
      </c>
      <c r="AB163" s="80">
        <f t="shared" si="103"/>
        <v>0.13720564210357797</v>
      </c>
      <c r="AC163" s="80">
        <f t="shared" si="103"/>
        <v>0.12421242412336471</v>
      </c>
      <c r="AD163" s="80">
        <f t="shared" si="103"/>
        <v>0.13299226928253907</v>
      </c>
      <c r="AE163" s="80">
        <f t="shared" si="103"/>
        <v>0.13435257727935834</v>
      </c>
      <c r="AF163" s="80">
        <f t="shared" si="103"/>
        <v>0.11933702377972</v>
      </c>
    </row>
    <row r="164" spans="1:34" x14ac:dyDescent="0.25">
      <c r="B164" s="21">
        <f>(B131-B130)^2</f>
        <v>2093.4888781178083</v>
      </c>
      <c r="C164" s="21">
        <f t="shared" ref="C164:AF164" si="104">(C131-C130)^2</f>
        <v>2098.1268240569329</v>
      </c>
      <c r="D164" s="21">
        <f t="shared" si="104"/>
        <v>2095.2384346651675</v>
      </c>
      <c r="E164" s="21">
        <f t="shared" si="104"/>
        <v>2094.3859418156339</v>
      </c>
      <c r="F164" s="21">
        <f t="shared" si="104"/>
        <v>2094.1011385657766</v>
      </c>
      <c r="G164" s="21">
        <f t="shared" si="104"/>
        <v>2094.0136672266467</v>
      </c>
      <c r="H164" s="21">
        <f t="shared" si="104"/>
        <v>2093.9831544063004</v>
      </c>
      <c r="I164" s="21">
        <f t="shared" si="104"/>
        <v>2093.9587443259175</v>
      </c>
      <c r="J164" s="21">
        <f t="shared" si="104"/>
        <v>2093.9526419724057</v>
      </c>
      <c r="K164" s="21">
        <f t="shared" si="104"/>
        <v>2093.8204248047232</v>
      </c>
      <c r="L164" s="21">
        <f t="shared" si="104"/>
        <v>2092.5228875442876</v>
      </c>
      <c r="M164" s="21">
        <f t="shared" si="104"/>
        <v>2079.6976646059557</v>
      </c>
      <c r="N164" s="21">
        <f t="shared" si="104"/>
        <v>1954.5263676255936</v>
      </c>
      <c r="O164" s="21">
        <f t="shared" si="104"/>
        <v>955.29276055491061</v>
      </c>
      <c r="P164" s="21">
        <f t="shared" si="104"/>
        <v>4278.7074949230564</v>
      </c>
      <c r="Q164" s="21">
        <f t="shared" si="104"/>
        <v>54324.115561245599</v>
      </c>
      <c r="R164" s="21">
        <f t="shared" si="104"/>
        <v>121706.8707616833</v>
      </c>
      <c r="S164" s="21">
        <f t="shared" si="104"/>
        <v>215593.40313029118</v>
      </c>
      <c r="T164" s="21">
        <f t="shared" si="104"/>
        <v>334209.1871875606</v>
      </c>
      <c r="U164" s="21">
        <f t="shared" si="104"/>
        <v>323986.58156850998</v>
      </c>
      <c r="V164" s="21">
        <f t="shared" si="104"/>
        <v>94687.737117696524</v>
      </c>
      <c r="W164" s="21">
        <f t="shared" si="104"/>
        <v>1168727.5459146302</v>
      </c>
      <c r="X164" s="21">
        <f t="shared" si="104"/>
        <v>453564.4199359208</v>
      </c>
      <c r="Y164" s="21">
        <f t="shared" si="104"/>
        <v>99203.287139844644</v>
      </c>
      <c r="Z164" s="21">
        <f t="shared" si="104"/>
        <v>106.11534972230967</v>
      </c>
      <c r="AA164" s="21">
        <f t="shared" si="104"/>
        <v>68865.405628444176</v>
      </c>
      <c r="AB164" s="21">
        <f t="shared" si="104"/>
        <v>203857.38994476959</v>
      </c>
      <c r="AC164" s="21">
        <f t="shared" si="104"/>
        <v>147684.48823715045</v>
      </c>
      <c r="AD164" s="21">
        <f t="shared" si="104"/>
        <v>151958.95925570541</v>
      </c>
      <c r="AE164" s="21">
        <f t="shared" si="104"/>
        <v>139490.75836459125</v>
      </c>
      <c r="AF164" s="21">
        <f t="shared" si="104"/>
        <v>99537.846546854853</v>
      </c>
    </row>
    <row r="165" spans="1:34" x14ac:dyDescent="0.25">
      <c r="A165" s="71">
        <f>SUM(B165:AF165)</f>
        <v>3709809.9286698317</v>
      </c>
      <c r="B165" s="60">
        <f>IF($A$64&lt;=B129,IF($B$64&gt;=B129,ABS(B164),0),0)</f>
        <v>2093.4888781178083</v>
      </c>
      <c r="C165" s="60">
        <f t="shared" ref="C165:AF165" si="105">IF($A$64&lt;=C129,IF($B$64&gt;=C129,ABS(C164),0),0)</f>
        <v>2098.1268240569329</v>
      </c>
      <c r="D165" s="60">
        <f t="shared" si="105"/>
        <v>2095.2384346651675</v>
      </c>
      <c r="E165" s="60">
        <f t="shared" si="105"/>
        <v>2094.3859418156339</v>
      </c>
      <c r="F165" s="60">
        <f t="shared" si="105"/>
        <v>2094.1011385657766</v>
      </c>
      <c r="G165" s="60">
        <f t="shared" si="105"/>
        <v>2094.0136672266467</v>
      </c>
      <c r="H165" s="60">
        <f t="shared" si="105"/>
        <v>2093.9831544063004</v>
      </c>
      <c r="I165" s="60">
        <f t="shared" si="105"/>
        <v>2093.9587443259175</v>
      </c>
      <c r="J165" s="60">
        <f t="shared" si="105"/>
        <v>2093.9526419724057</v>
      </c>
      <c r="K165" s="60">
        <f t="shared" si="105"/>
        <v>2093.8204248047232</v>
      </c>
      <c r="L165" s="60">
        <f t="shared" si="105"/>
        <v>2092.5228875442876</v>
      </c>
      <c r="M165" s="60">
        <f t="shared" si="105"/>
        <v>2079.6976646059557</v>
      </c>
      <c r="N165" s="60">
        <f t="shared" si="105"/>
        <v>1954.5263676255936</v>
      </c>
      <c r="O165" s="60">
        <f t="shared" si="105"/>
        <v>955.29276055491061</v>
      </c>
      <c r="P165" s="60">
        <f t="shared" si="105"/>
        <v>4278.7074949230564</v>
      </c>
      <c r="Q165" s="60">
        <f t="shared" si="105"/>
        <v>54324.115561245599</v>
      </c>
      <c r="R165" s="60">
        <f t="shared" si="105"/>
        <v>121706.8707616833</v>
      </c>
      <c r="S165" s="60">
        <f t="shared" si="105"/>
        <v>215593.40313029118</v>
      </c>
      <c r="T165" s="60">
        <f t="shared" si="105"/>
        <v>334209.1871875606</v>
      </c>
      <c r="U165" s="60">
        <f t="shared" si="105"/>
        <v>323986.58156850998</v>
      </c>
      <c r="V165" s="60">
        <f t="shared" si="105"/>
        <v>94687.737117696524</v>
      </c>
      <c r="W165" s="60">
        <f t="shared" si="105"/>
        <v>1168727.5459146302</v>
      </c>
      <c r="X165" s="60">
        <f t="shared" si="105"/>
        <v>453564.4199359208</v>
      </c>
      <c r="Y165" s="60">
        <f t="shared" si="105"/>
        <v>99203.287139844644</v>
      </c>
      <c r="Z165" s="60">
        <f t="shared" si="105"/>
        <v>106.11534972230967</v>
      </c>
      <c r="AA165" s="60">
        <f t="shared" si="105"/>
        <v>68865.405628444176</v>
      </c>
      <c r="AB165" s="60">
        <f t="shared" si="105"/>
        <v>203857.38994476959</v>
      </c>
      <c r="AC165" s="60">
        <f t="shared" si="105"/>
        <v>147684.48823715045</v>
      </c>
      <c r="AD165" s="60">
        <f t="shared" si="105"/>
        <v>151958.95925570541</v>
      </c>
      <c r="AE165" s="60">
        <f t="shared" si="105"/>
        <v>139490.75836459125</v>
      </c>
      <c r="AF165" s="60">
        <f t="shared" si="105"/>
        <v>99537.846546854853</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6208.9041504147117</v>
      </c>
      <c r="C169" s="26">
        <f>INDEX(Comparison!$AM$3:$AS$33,G$14,$C$122)</f>
        <v>6208.954046165135</v>
      </c>
      <c r="D169" s="26">
        <f>INDEX(Comparison!$AM$3:$AS$33,H$14,$C$122)</f>
        <v>6208.9227207923695</v>
      </c>
      <c r="E169" s="26">
        <f>INDEX(Comparison!$AM$3:$AS$33,I$14,$C$122)</f>
        <v>6208.9124553029696</v>
      </c>
      <c r="F169" s="26">
        <f>INDEX(Comparison!$AM$3:$AS$33,J$14,$C$122)</f>
        <v>6208.8998107339294</v>
      </c>
      <c r="G169" s="26">
        <f>INDEX(Comparison!$AM$3:$AS$33,K$14,$C$122)</f>
        <v>6208.8003522000536</v>
      </c>
      <c r="H169" s="26">
        <f>INDEX(Comparison!$AM$3:$AS$33,L$14,$C$122)</f>
        <v>6207.823250686135</v>
      </c>
      <c r="I169" s="26">
        <f>INDEX(Comparison!$AM$3:$AS$33,M$14,$C$122)</f>
        <v>6198.4068082676995</v>
      </c>
      <c r="J169" s="26">
        <f>INDEX(Comparison!$AM$3:$AS$33,N$14,$C$122)</f>
        <v>6123.8951758235389</v>
      </c>
      <c r="K169" s="26">
        <f>INDEX(Comparison!$AM$3:$AS$33,O$14,$C$122)</f>
        <v>5949.706721106596</v>
      </c>
      <c r="L169" s="26">
        <f>INDEX(Comparison!$AM$3:$AS$33,P$14,$C$122)</f>
        <v>5832.266903330059</v>
      </c>
      <c r="M169" s="26">
        <f>INDEX(Comparison!$AM$3:$AS$33,Q$14,$C$122)</f>
        <v>5718.4883971282225</v>
      </c>
      <c r="N169" s="26">
        <f>INDEX(Comparison!$AM$3:$AS$33,R$14,$C$122)</f>
        <v>5590.6777193321577</v>
      </c>
      <c r="O169" s="26">
        <f>INDEX(Comparison!$AM$3:$AS$33,S$14,$C$122)</f>
        <v>5455.5326764024039</v>
      </c>
      <c r="P169" s="26">
        <f>INDEX(Comparison!$AM$3:$AS$33,T$14,$C$122)</f>
        <v>5303.027474748983</v>
      </c>
      <c r="Q169" s="26">
        <f>INDEX(Comparison!$AM$3:$AS$33,U$14,$C$122)</f>
        <v>5138.2826367857815</v>
      </c>
      <c r="R169" s="26">
        <f>INDEX(Comparison!$AM$3:$AS$33,V$14,$C$122)</f>
        <v>4968.6771751633605</v>
      </c>
      <c r="S169" s="26">
        <f>INDEX(Comparison!$AM$3:$AS$33,W$14,$C$122)</f>
        <v>4801.9058791873949</v>
      </c>
      <c r="T169" s="26">
        <f>INDEX(Comparison!$AM$3:$AS$33,X$14,$C$122)</f>
        <v>4591.6968686621467</v>
      </c>
      <c r="U169" s="26">
        <f>INDEX(Comparison!$AM$3:$AS$33,Y$14,$C$122)</f>
        <v>4244.316229983926</v>
      </c>
      <c r="V169" s="26">
        <f>INDEX(Comparison!$AM$3:$AS$33,Z$14,$C$122)</f>
        <v>3822.3596155431378</v>
      </c>
      <c r="W169" s="26">
        <f>INDEX(Comparison!$AM$3:$AS$33,AA$14,$C$122)</f>
        <v>3460.4449685337781</v>
      </c>
      <c r="X169" s="26">
        <f>INDEX(Comparison!$AM$3:$AS$33,AB$14,$C$122)</f>
        <v>3181.5548647682826</v>
      </c>
      <c r="Y169" s="26">
        <f>INDEX(Comparison!$AM$3:$AS$33,AC$14,$C$122)</f>
        <v>2948.4803768016395</v>
      </c>
      <c r="Z169" s="26">
        <f>INDEX(Comparison!$AM$3:$AS$33,AD$14,$C$122)</f>
        <v>2756.8500477108341</v>
      </c>
      <c r="AA169" s="26">
        <f>INDEX(Comparison!$AM$3:$AS$33,AE$14,$C$122)</f>
        <v>2584.3195539777521</v>
      </c>
      <c r="AB169" s="26">
        <f>INDEX(Comparison!$AM$3:$AS$33,AF$14,$C$122)</f>
        <v>2421.6530544164675</v>
      </c>
      <c r="AC169" s="26">
        <f>INDEX(Comparison!$AM$3:$AS$33,AG$14,$C$122)</f>
        <v>2247.3458364097887</v>
      </c>
      <c r="AD169" s="26">
        <f>INDEX(Comparison!$AM$3:$AS$33,AH$14,$C$122)</f>
        <v>2065.8673837563865</v>
      </c>
      <c r="AE169" s="26">
        <f>INDEX(Comparison!$AM$3:$AS$33,AI$14,$C$122)</f>
        <v>1865.1806498869187</v>
      </c>
      <c r="AF169" s="26">
        <f>INDEX(Comparison!$AM$3:$AS$33,AJ$14,$C$122)</f>
        <v>1641.3251688004455</v>
      </c>
      <c r="AG169" s="26"/>
      <c r="AH169" s="26"/>
    </row>
    <row r="170" spans="1:34" x14ac:dyDescent="0.25">
      <c r="A170" s="70" t="s">
        <v>22</v>
      </c>
      <c r="B170" s="27">
        <f>($C$17+SUM(B171:B201))*$B$51</f>
        <v>6190.9489999999951</v>
      </c>
      <c r="C170" s="27">
        <f t="shared" ref="C170:AF170" si="106">($C$17+SUM(C171:C201))*$B$51</f>
        <v>6190.9489999999751</v>
      </c>
      <c r="D170" s="27">
        <f t="shared" si="106"/>
        <v>6190.9489999997722</v>
      </c>
      <c r="E170" s="27">
        <f t="shared" si="106"/>
        <v>6190.9489999977495</v>
      </c>
      <c r="F170" s="27">
        <f t="shared" si="106"/>
        <v>6190.9489999775251</v>
      </c>
      <c r="G170" s="27">
        <f t="shared" si="106"/>
        <v>6190.9489997752808</v>
      </c>
      <c r="H170" s="27">
        <f t="shared" si="106"/>
        <v>6190.9489977528319</v>
      </c>
      <c r="I170" s="27">
        <f t="shared" si="106"/>
        <v>6190.9489775283437</v>
      </c>
      <c r="J170" s="27">
        <f t="shared" si="106"/>
        <v>6190.948775283473</v>
      </c>
      <c r="K170" s="27">
        <f t="shared" si="106"/>
        <v>6190.946752835709</v>
      </c>
      <c r="L170" s="27">
        <f t="shared" si="106"/>
        <v>6190.9265284524618</v>
      </c>
      <c r="M170" s="27">
        <f t="shared" si="106"/>
        <v>6190.7242940589604</v>
      </c>
      <c r="N170" s="27">
        <f t="shared" si="106"/>
        <v>6188.7028937238692</v>
      </c>
      <c r="O170" s="27">
        <f t="shared" si="106"/>
        <v>6168.5829547668382</v>
      </c>
      <c r="P170" s="27">
        <f t="shared" si="106"/>
        <v>5976.5012464863248</v>
      </c>
      <c r="Q170" s="27">
        <f t="shared" si="106"/>
        <v>4735.9556190571629</v>
      </c>
      <c r="R170" s="27">
        <f t="shared" si="106"/>
        <v>3807.8417630696194</v>
      </c>
      <c r="S170" s="27">
        <f t="shared" si="106"/>
        <v>3807.6421126508117</v>
      </c>
      <c r="T170" s="27">
        <f t="shared" si="106"/>
        <v>3807.5611969039887</v>
      </c>
      <c r="U170" s="27">
        <f t="shared" si="106"/>
        <v>3806.7529767967435</v>
      </c>
      <c r="V170" s="27">
        <f t="shared" si="106"/>
        <v>3798.7637641186579</v>
      </c>
      <c r="W170" s="27">
        <f t="shared" si="106"/>
        <v>3727.4658666551904</v>
      </c>
      <c r="X170" s="27">
        <f t="shared" si="106"/>
        <v>3452.8229958658931</v>
      </c>
      <c r="Y170" s="27">
        <f t="shared" si="106"/>
        <v>3306.6144783335571</v>
      </c>
      <c r="Z170" s="27">
        <f t="shared" si="106"/>
        <v>3133.5699248837568</v>
      </c>
      <c r="AA170" s="27">
        <f t="shared" si="106"/>
        <v>2937.0678202311979</v>
      </c>
      <c r="AB170" s="27">
        <f t="shared" si="106"/>
        <v>2722.7835357524564</v>
      </c>
      <c r="AC170" s="27">
        <f t="shared" si="106"/>
        <v>2480.7093723107373</v>
      </c>
      <c r="AD170" s="27">
        <f t="shared" si="106"/>
        <v>2208.7048530045972</v>
      </c>
      <c r="AE170" s="27">
        <f t="shared" si="106"/>
        <v>1891.2278911847216</v>
      </c>
      <c r="AF170" s="27">
        <f t="shared" si="106"/>
        <v>1524.6925519414076</v>
      </c>
      <c r="AG170" s="27"/>
      <c r="AH170" s="27"/>
    </row>
    <row r="171" spans="1:34" x14ac:dyDescent="0.25">
      <c r="B171" s="3">
        <f t="shared" ref="B171:AF171" si="107">$C18*EXP(-B$168/$A18/EXP(-$C$126))</f>
        <v>0.38496487301991528</v>
      </c>
      <c r="C171" s="3">
        <f t="shared" si="107"/>
        <v>0.384964873019912</v>
      </c>
      <c r="D171" s="3">
        <f t="shared" si="107"/>
        <v>0.38496487301987931</v>
      </c>
      <c r="E171" s="3">
        <f t="shared" si="107"/>
        <v>0.38496487301955262</v>
      </c>
      <c r="F171" s="3">
        <f t="shared" si="107"/>
        <v>0.38496487301628585</v>
      </c>
      <c r="G171" s="3">
        <f t="shared" si="107"/>
        <v>0.38496487298361803</v>
      </c>
      <c r="H171" s="3">
        <f t="shared" si="107"/>
        <v>0.38496487265693974</v>
      </c>
      <c r="I171" s="3">
        <f t="shared" si="107"/>
        <v>0.38496486939015667</v>
      </c>
      <c r="J171" s="3">
        <f t="shared" si="107"/>
        <v>0.38496483672232779</v>
      </c>
      <c r="K171" s="3">
        <f t="shared" si="107"/>
        <v>0.38496451004419119</v>
      </c>
      <c r="L171" s="3">
        <f t="shared" si="107"/>
        <v>0.38496124327807224</v>
      </c>
      <c r="M171" s="3">
        <f t="shared" si="107"/>
        <v>0.38492857714152195</v>
      </c>
      <c r="N171" s="3">
        <f t="shared" si="107"/>
        <v>0.38460206819205955</v>
      </c>
      <c r="O171" s="3">
        <f t="shared" si="107"/>
        <v>0.38135217255444898</v>
      </c>
      <c r="P171" s="3">
        <f t="shared" si="107"/>
        <v>0.35032595990306137</v>
      </c>
      <c r="Q171" s="3">
        <f t="shared" si="107"/>
        <v>0.14994544529972648</v>
      </c>
      <c r="R171" s="3">
        <f t="shared" si="107"/>
        <v>3.0941606208140795E-5</v>
      </c>
      <c r="S171" s="3">
        <f t="shared" si="107"/>
        <v>4.3315029803668471E-42</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5.8157909381167036E-2</v>
      </c>
      <c r="C172" s="3">
        <f t="shared" si="108"/>
        <v>5.8157909381167036E-2</v>
      </c>
      <c r="D172" s="3">
        <f t="shared" si="108"/>
        <v>5.8157909381167036E-2</v>
      </c>
      <c r="E172" s="3">
        <f t="shared" si="108"/>
        <v>5.8157909381167036E-2</v>
      </c>
      <c r="F172" s="3">
        <f t="shared" si="108"/>
        <v>5.8157909381167036E-2</v>
      </c>
      <c r="G172" s="3">
        <f t="shared" si="108"/>
        <v>5.8157909381167036E-2</v>
      </c>
      <c r="H172" s="3">
        <f t="shared" si="108"/>
        <v>5.8157909381167022E-2</v>
      </c>
      <c r="I172" s="3">
        <f t="shared" si="108"/>
        <v>5.8157909381166897E-2</v>
      </c>
      <c r="J172" s="3">
        <f t="shared" si="108"/>
        <v>5.8157909381165628E-2</v>
      </c>
      <c r="K172" s="3">
        <f t="shared" si="108"/>
        <v>5.8157909381152992E-2</v>
      </c>
      <c r="L172" s="3">
        <f t="shared" si="108"/>
        <v>5.8157909381026572E-2</v>
      </c>
      <c r="M172" s="3">
        <f t="shared" si="108"/>
        <v>5.8157909379762389E-2</v>
      </c>
      <c r="N172" s="3">
        <f t="shared" si="108"/>
        <v>5.8157909367120564E-2</v>
      </c>
      <c r="O172" s="3">
        <f t="shared" si="108"/>
        <v>5.8157909240702278E-2</v>
      </c>
      <c r="P172" s="3">
        <f t="shared" si="108"/>
        <v>5.8157907976519464E-2</v>
      </c>
      <c r="Q172" s="3">
        <f t="shared" si="108"/>
        <v>5.8157895334692802E-2</v>
      </c>
      <c r="R172" s="3">
        <f t="shared" si="108"/>
        <v>5.8157768916577368E-2</v>
      </c>
      <c r="S172" s="3">
        <f t="shared" si="108"/>
        <v>5.8156504750536728E-2</v>
      </c>
      <c r="T172" s="3">
        <f t="shared" si="108"/>
        <v>5.8143864601375238E-2</v>
      </c>
      <c r="U172" s="3">
        <f t="shared" si="108"/>
        <v>5.8017614112783777E-2</v>
      </c>
      <c r="V172" s="3">
        <f t="shared" si="108"/>
        <v>5.6770088784652895E-2</v>
      </c>
      <c r="W172" s="3">
        <f t="shared" si="108"/>
        <v>4.5679007226023631E-2</v>
      </c>
      <c r="X172" s="3">
        <f t="shared" si="108"/>
        <v>5.1962194873473935E-3</v>
      </c>
      <c r="Y172" s="3">
        <f t="shared" si="108"/>
        <v>1.8853665397680728E-12</v>
      </c>
      <c r="Z172" s="3">
        <f t="shared" si="108"/>
        <v>7.4555360518703982E-107</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1.8919132746280987E-2</v>
      </c>
      <c r="C173" s="3">
        <f t="shared" si="109"/>
        <v>1.8919132746280987E-2</v>
      </c>
      <c r="D173" s="3">
        <f t="shared" si="109"/>
        <v>1.8919132746280987E-2</v>
      </c>
      <c r="E173" s="3">
        <f t="shared" si="109"/>
        <v>1.8919132746280987E-2</v>
      </c>
      <c r="F173" s="3">
        <f t="shared" si="109"/>
        <v>1.8919132746280987E-2</v>
      </c>
      <c r="G173" s="3">
        <f t="shared" si="109"/>
        <v>1.8919132746280987E-2</v>
      </c>
      <c r="H173" s="3">
        <f t="shared" si="109"/>
        <v>1.8919132746280987E-2</v>
      </c>
      <c r="I173" s="3">
        <f t="shared" si="109"/>
        <v>1.8919132746280983E-2</v>
      </c>
      <c r="J173" s="3">
        <f t="shared" si="109"/>
        <v>1.8919132746280945E-2</v>
      </c>
      <c r="K173" s="3">
        <f t="shared" si="109"/>
        <v>1.8919132746280574E-2</v>
      </c>
      <c r="L173" s="3">
        <f t="shared" si="109"/>
        <v>1.8919132746276865E-2</v>
      </c>
      <c r="M173" s="3">
        <f t="shared" si="109"/>
        <v>1.8919132746239766E-2</v>
      </c>
      <c r="N173" s="3">
        <f t="shared" si="109"/>
        <v>1.8919132745868789E-2</v>
      </c>
      <c r="O173" s="3">
        <f t="shared" si="109"/>
        <v>1.8919132742158999E-2</v>
      </c>
      <c r="P173" s="3">
        <f t="shared" si="109"/>
        <v>1.8919132705061136E-2</v>
      </c>
      <c r="Q173" s="3">
        <f t="shared" si="109"/>
        <v>1.8919132334082489E-2</v>
      </c>
      <c r="R173" s="3">
        <f t="shared" si="109"/>
        <v>1.8919128624296424E-2</v>
      </c>
      <c r="S173" s="3">
        <f t="shared" si="109"/>
        <v>1.8919091526475775E-2</v>
      </c>
      <c r="T173" s="3">
        <f t="shared" si="109"/>
        <v>1.8918720552270174E-2</v>
      </c>
      <c r="U173" s="3">
        <f t="shared" si="109"/>
        <v>1.8915011210273374E-2</v>
      </c>
      <c r="V173" s="3">
        <f t="shared" si="109"/>
        <v>1.8877957767218165E-2</v>
      </c>
      <c r="W173" s="3">
        <f t="shared" si="109"/>
        <v>1.8511392175392601E-2</v>
      </c>
      <c r="X173" s="3">
        <f t="shared" si="109"/>
        <v>1.5215274681326925E-2</v>
      </c>
      <c r="Y173" s="3">
        <f t="shared" si="109"/>
        <v>2.1413465140863253E-3</v>
      </c>
      <c r="Z173" s="3">
        <f t="shared" si="109"/>
        <v>6.5276744636925064E-12</v>
      </c>
      <c r="AA173" s="3">
        <f t="shared" si="109"/>
        <v>4.5234923416576648E-97</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2.9962799778578724E-2</v>
      </c>
      <c r="C174" s="3">
        <f t="shared" si="110"/>
        <v>2.9962799778578724E-2</v>
      </c>
      <c r="D174" s="3">
        <f t="shared" si="110"/>
        <v>2.9962799778578724E-2</v>
      </c>
      <c r="E174" s="3">
        <f t="shared" si="110"/>
        <v>2.9962799778578724E-2</v>
      </c>
      <c r="F174" s="3">
        <f t="shared" si="110"/>
        <v>2.9962799778578724E-2</v>
      </c>
      <c r="G174" s="3">
        <f t="shared" si="110"/>
        <v>2.9962799778578724E-2</v>
      </c>
      <c r="H174" s="3">
        <f t="shared" si="110"/>
        <v>2.9962799778578724E-2</v>
      </c>
      <c r="I174" s="3">
        <f t="shared" si="110"/>
        <v>2.9962799778578724E-2</v>
      </c>
      <c r="J174" s="3">
        <f t="shared" si="110"/>
        <v>2.9962799778578717E-2</v>
      </c>
      <c r="K174" s="3">
        <f t="shared" si="110"/>
        <v>2.9962799778578665E-2</v>
      </c>
      <c r="L174" s="3">
        <f t="shared" si="110"/>
        <v>2.9962799778578134E-2</v>
      </c>
      <c r="M174" s="3">
        <f t="shared" si="110"/>
        <v>2.9962799778572836E-2</v>
      </c>
      <c r="N174" s="3">
        <f t="shared" si="110"/>
        <v>2.9962799778519834E-2</v>
      </c>
      <c r="O174" s="3">
        <f t="shared" si="110"/>
        <v>2.9962799777989834E-2</v>
      </c>
      <c r="P174" s="3">
        <f t="shared" si="110"/>
        <v>2.9962799772689824E-2</v>
      </c>
      <c r="Q174" s="3">
        <f t="shared" si="110"/>
        <v>2.9962799719689726E-2</v>
      </c>
      <c r="R174" s="3">
        <f t="shared" si="110"/>
        <v>2.9962799189688746E-2</v>
      </c>
      <c r="S174" s="3">
        <f t="shared" si="110"/>
        <v>2.9962793889679474E-2</v>
      </c>
      <c r="T174" s="3">
        <f t="shared" si="110"/>
        <v>2.9962740889638313E-2</v>
      </c>
      <c r="U174" s="3">
        <f t="shared" si="110"/>
        <v>2.9962210894382894E-2</v>
      </c>
      <c r="V174" s="3">
        <f t="shared" si="110"/>
        <v>2.9956911457415865E-2</v>
      </c>
      <c r="W174" s="3">
        <f t="shared" si="110"/>
        <v>2.9903968612730467E-2</v>
      </c>
      <c r="X174" s="3">
        <f t="shared" si="110"/>
        <v>2.9379659101285947E-2</v>
      </c>
      <c r="Y174" s="3">
        <f t="shared" si="110"/>
        <v>2.4616482339563588E-2</v>
      </c>
      <c r="Z174" s="3">
        <f t="shared" si="110"/>
        <v>4.197767684503066E-3</v>
      </c>
      <c r="AA174" s="3">
        <f t="shared" si="110"/>
        <v>8.7285573434528574E-11</v>
      </c>
      <c r="AB174" s="3">
        <f t="shared" si="110"/>
        <v>1.3188128328406133E-87</v>
      </c>
      <c r="AC174" s="3">
        <f t="shared" si="110"/>
        <v>0</v>
      </c>
      <c r="AD174" s="3">
        <f t="shared" si="110"/>
        <v>0</v>
      </c>
      <c r="AE174" s="3">
        <f t="shared" si="110"/>
        <v>0</v>
      </c>
      <c r="AF174" s="3">
        <f t="shared" si="110"/>
        <v>0</v>
      </c>
      <c r="AG174" s="3"/>
      <c r="AH174" s="3"/>
    </row>
    <row r="175" spans="1:34" x14ac:dyDescent="0.25">
      <c r="B175" s="3">
        <f t="shared" ref="B175:AF175" si="111">$C22*EXP(-B$168/$A22/EXP(-$C$126))</f>
        <v>3.3253137152511318E-2</v>
      </c>
      <c r="C175" s="3">
        <f t="shared" si="111"/>
        <v>3.3253137152511318E-2</v>
      </c>
      <c r="D175" s="3">
        <f t="shared" si="111"/>
        <v>3.3253137152511318E-2</v>
      </c>
      <c r="E175" s="3">
        <f t="shared" si="111"/>
        <v>3.3253137152511318E-2</v>
      </c>
      <c r="F175" s="3">
        <f t="shared" si="111"/>
        <v>3.3253137152511318E-2</v>
      </c>
      <c r="G175" s="3">
        <f t="shared" si="111"/>
        <v>3.3253137152511318E-2</v>
      </c>
      <c r="H175" s="3">
        <f t="shared" si="111"/>
        <v>3.3253137152511318E-2</v>
      </c>
      <c r="I175" s="3">
        <f t="shared" si="111"/>
        <v>3.3253137152511318E-2</v>
      </c>
      <c r="J175" s="3">
        <f t="shared" si="111"/>
        <v>3.3253137152511318E-2</v>
      </c>
      <c r="K175" s="3">
        <f t="shared" si="111"/>
        <v>3.3253137152511311E-2</v>
      </c>
      <c r="L175" s="3">
        <f t="shared" si="111"/>
        <v>3.3253137152511256E-2</v>
      </c>
      <c r="M175" s="3">
        <f t="shared" si="111"/>
        <v>3.3253137152510728E-2</v>
      </c>
      <c r="N175" s="3">
        <f t="shared" si="111"/>
        <v>3.325313715250542E-2</v>
      </c>
      <c r="O175" s="3">
        <f t="shared" si="111"/>
        <v>3.3253137152452365E-2</v>
      </c>
      <c r="P175" s="3">
        <f t="shared" si="111"/>
        <v>3.3253137151921755E-2</v>
      </c>
      <c r="Q175" s="3">
        <f t="shared" si="111"/>
        <v>3.325313714661568E-2</v>
      </c>
      <c r="R175" s="3">
        <f t="shared" si="111"/>
        <v>3.3253137093554916E-2</v>
      </c>
      <c r="S175" s="3">
        <f t="shared" si="111"/>
        <v>3.3253136562947282E-2</v>
      </c>
      <c r="T175" s="3">
        <f t="shared" si="111"/>
        <v>3.3253131256871397E-2</v>
      </c>
      <c r="U175" s="3">
        <f t="shared" si="111"/>
        <v>3.3253078196159171E-2</v>
      </c>
      <c r="V175" s="3">
        <f t="shared" si="111"/>
        <v>3.3252547593693525E-2</v>
      </c>
      <c r="W175" s="3">
        <f t="shared" si="111"/>
        <v>3.3247242034675266E-2</v>
      </c>
      <c r="X175" s="3">
        <f t="shared" si="111"/>
        <v>3.3194232980830379E-2</v>
      </c>
      <c r="Y175" s="3">
        <f t="shared" si="111"/>
        <v>3.2668768718213052E-2</v>
      </c>
      <c r="Z175" s="3">
        <f t="shared" si="111"/>
        <v>2.7850567594140892E-2</v>
      </c>
      <c r="AA175" s="3">
        <f t="shared" si="111"/>
        <v>5.647378457919335E-3</v>
      </c>
      <c r="AB175" s="3">
        <f t="shared" si="111"/>
        <v>6.6370534692223397E-10</v>
      </c>
      <c r="AC175" s="3">
        <f t="shared" si="111"/>
        <v>3.3362574130005346E-79</v>
      </c>
      <c r="AD175" s="3">
        <f t="shared" si="111"/>
        <v>0</v>
      </c>
      <c r="AE175" s="3">
        <f t="shared" si="111"/>
        <v>0</v>
      </c>
      <c r="AF175" s="3">
        <f t="shared" si="111"/>
        <v>0</v>
      </c>
      <c r="AG175" s="3"/>
      <c r="AH175" s="3"/>
    </row>
    <row r="176" spans="1:34" x14ac:dyDescent="0.25">
      <c r="B176" s="3">
        <f t="shared" ref="B176:AF176" si="112">$C23*EXP(-B$168/$A23/EXP(-$C$126))</f>
        <v>3.5952334962287925E-2</v>
      </c>
      <c r="C176" s="3">
        <f t="shared" si="112"/>
        <v>3.5952334962287925E-2</v>
      </c>
      <c r="D176" s="3">
        <f t="shared" si="112"/>
        <v>3.5952334962287925E-2</v>
      </c>
      <c r="E176" s="3">
        <f t="shared" si="112"/>
        <v>3.5952334962287925E-2</v>
      </c>
      <c r="F176" s="3">
        <f t="shared" si="112"/>
        <v>3.5952334962287925E-2</v>
      </c>
      <c r="G176" s="3">
        <f t="shared" si="112"/>
        <v>3.5952334962287925E-2</v>
      </c>
      <c r="H176" s="3">
        <f t="shared" si="112"/>
        <v>3.5952334962287925E-2</v>
      </c>
      <c r="I176" s="3">
        <f t="shared" si="112"/>
        <v>3.5952334962287925E-2</v>
      </c>
      <c r="J176" s="3">
        <f t="shared" si="112"/>
        <v>3.5952334962287925E-2</v>
      </c>
      <c r="K176" s="3">
        <f t="shared" si="112"/>
        <v>3.5952334962287925E-2</v>
      </c>
      <c r="L176" s="3">
        <f t="shared" si="112"/>
        <v>3.5952334962287918E-2</v>
      </c>
      <c r="M176" s="3">
        <f t="shared" si="112"/>
        <v>3.595233496228787E-2</v>
      </c>
      <c r="N176" s="3">
        <f t="shared" si="112"/>
        <v>3.5952334962287349E-2</v>
      </c>
      <c r="O176" s="3">
        <f t="shared" si="112"/>
        <v>3.5952334962282173E-2</v>
      </c>
      <c r="P176" s="3">
        <f t="shared" si="112"/>
        <v>3.5952334962230423E-2</v>
      </c>
      <c r="Q176" s="3">
        <f t="shared" si="112"/>
        <v>3.595233496171292E-2</v>
      </c>
      <c r="R176" s="3">
        <f t="shared" si="112"/>
        <v>3.5952334956537872E-2</v>
      </c>
      <c r="S176" s="3">
        <f t="shared" si="112"/>
        <v>3.5952334904787366E-2</v>
      </c>
      <c r="T176" s="3">
        <f t="shared" si="112"/>
        <v>3.5952334387282354E-2</v>
      </c>
      <c r="U176" s="3">
        <f t="shared" si="112"/>
        <v>3.5952329212232605E-2</v>
      </c>
      <c r="V176" s="3">
        <f t="shared" si="112"/>
        <v>3.5952277461776073E-2</v>
      </c>
      <c r="W176" s="3">
        <f t="shared" si="112"/>
        <v>3.5951759961307797E-2</v>
      </c>
      <c r="X176" s="3">
        <f t="shared" si="112"/>
        <v>3.5946585366299522E-2</v>
      </c>
      <c r="Y176" s="3">
        <f t="shared" si="112"/>
        <v>3.5894880361865153E-2</v>
      </c>
      <c r="Z176" s="3">
        <f t="shared" si="112"/>
        <v>3.5381903159010943E-2</v>
      </c>
      <c r="AA176" s="3">
        <f t="shared" si="112"/>
        <v>3.0638534108832095E-2</v>
      </c>
      <c r="AB176" s="3">
        <f t="shared" si="112"/>
        <v>7.2633323310583682E-3</v>
      </c>
      <c r="AC176" s="3">
        <f t="shared" si="112"/>
        <v>4.0720700826483928E-9</v>
      </c>
      <c r="AD176" s="3">
        <f t="shared" si="112"/>
        <v>1.2491325527914647E-71</v>
      </c>
      <c r="AE176" s="3">
        <f t="shared" si="112"/>
        <v>0</v>
      </c>
      <c r="AF176" s="3">
        <f t="shared" si="112"/>
        <v>0</v>
      </c>
      <c r="AG176" s="3"/>
      <c r="AH176" s="3"/>
    </row>
    <row r="177" spans="2:34" x14ac:dyDescent="0.25">
      <c r="B177" s="3">
        <f t="shared" ref="B177:AF177" si="113">$C24*EXP(-B$168/$A24/EXP(-$C$126))</f>
        <v>4.1559944347360683E-2</v>
      </c>
      <c r="C177" s="3">
        <f t="shared" si="113"/>
        <v>4.1559944347360683E-2</v>
      </c>
      <c r="D177" s="3">
        <f t="shared" si="113"/>
        <v>4.1559944347360683E-2</v>
      </c>
      <c r="E177" s="3">
        <f t="shared" si="113"/>
        <v>4.1559944347360683E-2</v>
      </c>
      <c r="F177" s="3">
        <f t="shared" si="113"/>
        <v>4.1559944347360683E-2</v>
      </c>
      <c r="G177" s="3">
        <f t="shared" si="113"/>
        <v>4.1559944347360683E-2</v>
      </c>
      <c r="H177" s="3">
        <f t="shared" si="113"/>
        <v>4.1559944347360683E-2</v>
      </c>
      <c r="I177" s="3">
        <f t="shared" si="113"/>
        <v>4.1559944347360683E-2</v>
      </c>
      <c r="J177" s="3">
        <f t="shared" si="113"/>
        <v>4.1559944347360683E-2</v>
      </c>
      <c r="K177" s="3">
        <f t="shared" si="113"/>
        <v>4.1559944347360683E-2</v>
      </c>
      <c r="L177" s="3">
        <f t="shared" si="113"/>
        <v>4.1559944347360683E-2</v>
      </c>
      <c r="M177" s="3">
        <f t="shared" si="113"/>
        <v>4.1559944347360676E-2</v>
      </c>
      <c r="N177" s="3">
        <f t="shared" si="113"/>
        <v>4.1559944347360621E-2</v>
      </c>
      <c r="O177" s="3">
        <f t="shared" si="113"/>
        <v>4.1559944347360087E-2</v>
      </c>
      <c r="P177" s="3">
        <f t="shared" si="113"/>
        <v>4.1559944347354688E-2</v>
      </c>
      <c r="Q177" s="3">
        <f t="shared" si="113"/>
        <v>4.1559944347300724E-2</v>
      </c>
      <c r="R177" s="3">
        <f t="shared" si="113"/>
        <v>4.1559944346761073E-2</v>
      </c>
      <c r="S177" s="3">
        <f t="shared" si="113"/>
        <v>4.1559944341364619E-2</v>
      </c>
      <c r="T177" s="3">
        <f t="shared" si="113"/>
        <v>4.1559944287400008E-2</v>
      </c>
      <c r="U177" s="3">
        <f t="shared" si="113"/>
        <v>4.1559943747753951E-2</v>
      </c>
      <c r="V177" s="3">
        <f t="shared" si="113"/>
        <v>4.1559938351293728E-2</v>
      </c>
      <c r="W177" s="3">
        <f t="shared" si="113"/>
        <v>4.1559884386730098E-2</v>
      </c>
      <c r="X177" s="3">
        <f t="shared" si="113"/>
        <v>4.1559344744947657E-2</v>
      </c>
      <c r="Y177" s="3">
        <f t="shared" si="113"/>
        <v>4.1553948712497429E-2</v>
      </c>
      <c r="Z177" s="3">
        <f t="shared" si="113"/>
        <v>4.1500026906901646E-2</v>
      </c>
      <c r="AA177" s="3">
        <f t="shared" si="113"/>
        <v>4.0964642299810415E-2</v>
      </c>
      <c r="AB177" s="3">
        <f t="shared" si="113"/>
        <v>3.5976346211337162E-2</v>
      </c>
      <c r="AC177" s="3">
        <f t="shared" si="113"/>
        <v>9.8196480730031403E-3</v>
      </c>
      <c r="AD177" s="3">
        <f t="shared" si="113"/>
        <v>2.253640390702751E-8</v>
      </c>
      <c r="AE177" s="3">
        <f t="shared" si="113"/>
        <v>9.1363254340548484E-65</v>
      </c>
      <c r="AF177" s="3">
        <f t="shared" si="113"/>
        <v>0</v>
      </c>
      <c r="AG177" s="3"/>
      <c r="AH177" s="3"/>
    </row>
    <row r="178" spans="2:34" x14ac:dyDescent="0.25">
      <c r="B178" s="3">
        <f t="shared" ref="B178:AF178" si="114">$C25*EXP(-B$168/$A25/EXP(-$C$126))</f>
        <v>4.609677170559115E-2</v>
      </c>
      <c r="C178" s="3">
        <f t="shared" si="114"/>
        <v>4.609677170559115E-2</v>
      </c>
      <c r="D178" s="3">
        <f t="shared" si="114"/>
        <v>4.609677170559115E-2</v>
      </c>
      <c r="E178" s="3">
        <f t="shared" si="114"/>
        <v>4.609677170559115E-2</v>
      </c>
      <c r="F178" s="3">
        <f t="shared" si="114"/>
        <v>4.609677170559115E-2</v>
      </c>
      <c r="G178" s="3">
        <f t="shared" si="114"/>
        <v>4.609677170559115E-2</v>
      </c>
      <c r="H178" s="3">
        <f t="shared" si="114"/>
        <v>4.609677170559115E-2</v>
      </c>
      <c r="I178" s="3">
        <f t="shared" si="114"/>
        <v>4.609677170559115E-2</v>
      </c>
      <c r="J178" s="3">
        <f t="shared" si="114"/>
        <v>4.609677170559115E-2</v>
      </c>
      <c r="K178" s="3">
        <f t="shared" si="114"/>
        <v>4.609677170559115E-2</v>
      </c>
      <c r="L178" s="3">
        <f t="shared" si="114"/>
        <v>4.609677170559115E-2</v>
      </c>
      <c r="M178" s="3">
        <f t="shared" si="114"/>
        <v>4.609677170559115E-2</v>
      </c>
      <c r="N178" s="3">
        <f t="shared" si="114"/>
        <v>4.6096771705591143E-2</v>
      </c>
      <c r="O178" s="3">
        <f t="shared" si="114"/>
        <v>4.6096771705591087E-2</v>
      </c>
      <c r="P178" s="3">
        <f t="shared" si="114"/>
        <v>4.6096771705590553E-2</v>
      </c>
      <c r="Q178" s="3">
        <f t="shared" si="114"/>
        <v>4.6096771705585154E-2</v>
      </c>
      <c r="R178" s="3">
        <f t="shared" si="114"/>
        <v>4.6096771705531156E-2</v>
      </c>
      <c r="S178" s="3">
        <f t="shared" si="114"/>
        <v>4.6096771704991206E-2</v>
      </c>
      <c r="T178" s="3">
        <f t="shared" si="114"/>
        <v>4.6096771699591733E-2</v>
      </c>
      <c r="U178" s="3">
        <f t="shared" si="114"/>
        <v>4.6096771645597036E-2</v>
      </c>
      <c r="V178" s="3">
        <f t="shared" si="114"/>
        <v>4.6096771105650004E-2</v>
      </c>
      <c r="W178" s="3">
        <f t="shared" si="114"/>
        <v>4.6096765706180057E-2</v>
      </c>
      <c r="X178" s="3">
        <f t="shared" si="114"/>
        <v>4.6096711711515373E-2</v>
      </c>
      <c r="Y178" s="3">
        <f t="shared" si="114"/>
        <v>4.6096171768346975E-2</v>
      </c>
      <c r="Z178" s="3">
        <f t="shared" si="114"/>
        <v>4.6090772684498293E-2</v>
      </c>
      <c r="AA178" s="3">
        <f t="shared" si="114"/>
        <v>4.6036816614465563E-2</v>
      </c>
      <c r="AB178" s="3">
        <f t="shared" si="114"/>
        <v>4.5500717738224623E-2</v>
      </c>
      <c r="AC178" s="3">
        <f t="shared" si="114"/>
        <v>4.0471366648503863E-2</v>
      </c>
      <c r="AD178" s="3">
        <f t="shared" si="114"/>
        <v>1.2544232549559785E-2</v>
      </c>
      <c r="AE178" s="3">
        <f t="shared" si="114"/>
        <v>1.0266120595711868E-7</v>
      </c>
      <c r="AF178" s="3">
        <f t="shared" si="114"/>
        <v>1.3836588088350805E-58</v>
      </c>
      <c r="AG178" s="3"/>
      <c r="AH178" s="3"/>
    </row>
    <row r="179" spans="2:34" x14ac:dyDescent="0.25">
      <c r="B179" s="3">
        <f t="shared" ref="B179:AF179" si="115">$C26*EXP(-B$168/$A26/EXP(-$C$126))</f>
        <v>5.5576139774485327E-2</v>
      </c>
      <c r="C179" s="3">
        <f t="shared" si="115"/>
        <v>5.5576139774485327E-2</v>
      </c>
      <c r="D179" s="3">
        <f t="shared" si="115"/>
        <v>5.5576139774485327E-2</v>
      </c>
      <c r="E179" s="3">
        <f t="shared" si="115"/>
        <v>5.5576139774485327E-2</v>
      </c>
      <c r="F179" s="3">
        <f t="shared" si="115"/>
        <v>5.5576139774485327E-2</v>
      </c>
      <c r="G179" s="3">
        <f t="shared" si="115"/>
        <v>5.5576139774485327E-2</v>
      </c>
      <c r="H179" s="3">
        <f t="shared" si="115"/>
        <v>5.5576139774485327E-2</v>
      </c>
      <c r="I179" s="3">
        <f t="shared" si="115"/>
        <v>5.5576139774485327E-2</v>
      </c>
      <c r="J179" s="3">
        <f t="shared" si="115"/>
        <v>5.5576139774485327E-2</v>
      </c>
      <c r="K179" s="3">
        <f t="shared" si="115"/>
        <v>5.5576139774485327E-2</v>
      </c>
      <c r="L179" s="3">
        <f t="shared" si="115"/>
        <v>5.5576139774485327E-2</v>
      </c>
      <c r="M179" s="3">
        <f t="shared" si="115"/>
        <v>5.5576139774485327E-2</v>
      </c>
      <c r="N179" s="3">
        <f t="shared" si="115"/>
        <v>5.5576139774485327E-2</v>
      </c>
      <c r="O179" s="3">
        <f t="shared" si="115"/>
        <v>5.557613977448532E-2</v>
      </c>
      <c r="P179" s="3">
        <f t="shared" si="115"/>
        <v>5.5576139774485257E-2</v>
      </c>
      <c r="Q179" s="3">
        <f t="shared" si="115"/>
        <v>5.5576139774484674E-2</v>
      </c>
      <c r="R179" s="3">
        <f t="shared" si="115"/>
        <v>5.5576139774478804E-2</v>
      </c>
      <c r="S179" s="3">
        <f t="shared" si="115"/>
        <v>5.557613977442008E-2</v>
      </c>
      <c r="T179" s="3">
        <f t="shared" si="115"/>
        <v>5.5576139773832835E-2</v>
      </c>
      <c r="U179" s="3">
        <f t="shared" si="115"/>
        <v>5.5576139767960435E-2</v>
      </c>
      <c r="V179" s="3">
        <f t="shared" si="115"/>
        <v>5.5576139709236437E-2</v>
      </c>
      <c r="W179" s="3">
        <f t="shared" si="115"/>
        <v>5.5576139121996465E-2</v>
      </c>
      <c r="X179" s="3">
        <f t="shared" si="115"/>
        <v>5.5576133249597016E-2</v>
      </c>
      <c r="Y179" s="3">
        <f t="shared" si="115"/>
        <v>5.5576074525636704E-2</v>
      </c>
      <c r="Z179" s="3">
        <f t="shared" si="115"/>
        <v>5.5575487289446307E-2</v>
      </c>
      <c r="AA179" s="3">
        <f t="shared" si="115"/>
        <v>5.5569615268803371E-2</v>
      </c>
      <c r="AB179" s="3">
        <f t="shared" si="115"/>
        <v>5.5510929175137544E-2</v>
      </c>
      <c r="AC179" s="3">
        <f t="shared" si="115"/>
        <v>5.4927466215823804E-2</v>
      </c>
      <c r="AD179" s="3">
        <f t="shared" si="115"/>
        <v>4.9419716903908936E-2</v>
      </c>
      <c r="AE179" s="3">
        <f t="shared" si="115"/>
        <v>1.7179365890198715E-2</v>
      </c>
      <c r="AF179" s="3">
        <f t="shared" si="115"/>
        <v>4.4266572026811067E-7</v>
      </c>
      <c r="AG179" s="3"/>
      <c r="AH179" s="3"/>
    </row>
    <row r="180" spans="2:34" x14ac:dyDescent="0.25">
      <c r="B180" s="3">
        <f t="shared" ref="B180:AF180" si="116">$C27*EXP(-B$168/$A27/EXP(-$C$126))</f>
        <v>6.5368051844924516E-2</v>
      </c>
      <c r="C180" s="3">
        <f t="shared" si="116"/>
        <v>6.5368051844924516E-2</v>
      </c>
      <c r="D180" s="3">
        <f t="shared" si="116"/>
        <v>6.5368051844924516E-2</v>
      </c>
      <c r="E180" s="3">
        <f t="shared" si="116"/>
        <v>6.5368051844924516E-2</v>
      </c>
      <c r="F180" s="3">
        <f t="shared" si="116"/>
        <v>6.5368051844924516E-2</v>
      </c>
      <c r="G180" s="3">
        <f t="shared" si="116"/>
        <v>6.5368051844924516E-2</v>
      </c>
      <c r="H180" s="3">
        <f t="shared" si="116"/>
        <v>6.5368051844924516E-2</v>
      </c>
      <c r="I180" s="3">
        <f t="shared" si="116"/>
        <v>6.5368051844924516E-2</v>
      </c>
      <c r="J180" s="3">
        <f t="shared" si="116"/>
        <v>6.5368051844924516E-2</v>
      </c>
      <c r="K180" s="3">
        <f t="shared" si="116"/>
        <v>6.5368051844924516E-2</v>
      </c>
      <c r="L180" s="3">
        <f t="shared" si="116"/>
        <v>6.5368051844924516E-2</v>
      </c>
      <c r="M180" s="3">
        <f t="shared" si="116"/>
        <v>6.5368051844924516E-2</v>
      </c>
      <c r="N180" s="3">
        <f t="shared" si="116"/>
        <v>6.5368051844924516E-2</v>
      </c>
      <c r="O180" s="3">
        <f t="shared" si="116"/>
        <v>6.5368051844924516E-2</v>
      </c>
      <c r="P180" s="3">
        <f t="shared" si="116"/>
        <v>6.5368051844924502E-2</v>
      </c>
      <c r="Q180" s="3">
        <f t="shared" si="116"/>
        <v>6.5368051844924446E-2</v>
      </c>
      <c r="R180" s="3">
        <f t="shared" si="116"/>
        <v>6.5368051844923822E-2</v>
      </c>
      <c r="S180" s="3">
        <f t="shared" si="116"/>
        <v>6.5368051844917591E-2</v>
      </c>
      <c r="T180" s="3">
        <f t="shared" si="116"/>
        <v>6.5368051844855293E-2</v>
      </c>
      <c r="U180" s="3">
        <f t="shared" si="116"/>
        <v>6.5368051844232208E-2</v>
      </c>
      <c r="V180" s="3">
        <f t="shared" si="116"/>
        <v>6.536805183800147E-2</v>
      </c>
      <c r="W180" s="3">
        <f t="shared" si="116"/>
        <v>6.5368051775694117E-2</v>
      </c>
      <c r="X180" s="3">
        <f t="shared" si="116"/>
        <v>6.5368051152620482E-2</v>
      </c>
      <c r="Y180" s="3">
        <f t="shared" si="116"/>
        <v>6.5368044921884541E-2</v>
      </c>
      <c r="Z180" s="3">
        <f t="shared" si="116"/>
        <v>6.5367982614557771E-2</v>
      </c>
      <c r="AA180" s="3">
        <f t="shared" si="116"/>
        <v>6.5367359544556525E-2</v>
      </c>
      <c r="AB180" s="3">
        <f t="shared" si="116"/>
        <v>6.5361129171176133E-2</v>
      </c>
      <c r="AC180" s="3">
        <f t="shared" si="116"/>
        <v>6.5298858089066339E-2</v>
      </c>
      <c r="AD180" s="3">
        <f t="shared" si="116"/>
        <v>6.4679400951224417E-2</v>
      </c>
      <c r="AE180" s="3">
        <f t="shared" si="116"/>
        <v>5.8799009674585512E-2</v>
      </c>
      <c r="AF180" s="3">
        <f t="shared" si="116"/>
        <v>2.2667845173021391E-2</v>
      </c>
      <c r="AG180" s="3"/>
      <c r="AH180" s="3"/>
    </row>
    <row r="181" spans="2:34" x14ac:dyDescent="0.25">
      <c r="B181" s="3">
        <f t="shared" ref="B181:AF181" si="117">$C28*EXP(-B$168/$A28/EXP(-$C$126))</f>
        <v>6.6907973989911038E-2</v>
      </c>
      <c r="C181" s="3">
        <f t="shared" si="117"/>
        <v>6.6907973989911038E-2</v>
      </c>
      <c r="D181" s="3">
        <f t="shared" si="117"/>
        <v>6.6907973989911038E-2</v>
      </c>
      <c r="E181" s="3">
        <f t="shared" si="117"/>
        <v>6.6907973989911038E-2</v>
      </c>
      <c r="F181" s="3">
        <f t="shared" si="117"/>
        <v>6.6907973989911038E-2</v>
      </c>
      <c r="G181" s="3">
        <f t="shared" si="117"/>
        <v>6.6907973989911038E-2</v>
      </c>
      <c r="H181" s="3">
        <f t="shared" si="117"/>
        <v>6.6907973989911038E-2</v>
      </c>
      <c r="I181" s="3">
        <f t="shared" si="117"/>
        <v>6.6907973989911038E-2</v>
      </c>
      <c r="J181" s="3">
        <f t="shared" si="117"/>
        <v>6.6907973989911038E-2</v>
      </c>
      <c r="K181" s="3">
        <f t="shared" si="117"/>
        <v>6.6907973989911038E-2</v>
      </c>
      <c r="L181" s="3">
        <f t="shared" si="117"/>
        <v>6.6907973989911038E-2</v>
      </c>
      <c r="M181" s="3">
        <f t="shared" si="117"/>
        <v>6.6907973989911038E-2</v>
      </c>
      <c r="N181" s="3">
        <f t="shared" si="117"/>
        <v>6.6907973989911038E-2</v>
      </c>
      <c r="O181" s="3">
        <f t="shared" si="117"/>
        <v>6.6907973989911038E-2</v>
      </c>
      <c r="P181" s="3">
        <f t="shared" si="117"/>
        <v>6.6907973989911038E-2</v>
      </c>
      <c r="Q181" s="3">
        <f t="shared" si="117"/>
        <v>6.6907973989911024E-2</v>
      </c>
      <c r="R181" s="3">
        <f t="shared" si="117"/>
        <v>6.6907973989910968E-2</v>
      </c>
      <c r="S181" s="3">
        <f t="shared" si="117"/>
        <v>6.6907973989910399E-2</v>
      </c>
      <c r="T181" s="3">
        <f t="shared" si="117"/>
        <v>6.690797398990464E-2</v>
      </c>
      <c r="U181" s="3">
        <f t="shared" si="117"/>
        <v>6.6907973989847117E-2</v>
      </c>
      <c r="V181" s="3">
        <f t="shared" si="117"/>
        <v>6.6907973989271813E-2</v>
      </c>
      <c r="W181" s="3">
        <f t="shared" si="117"/>
        <v>6.6907973983518762E-2</v>
      </c>
      <c r="X181" s="3">
        <f t="shared" si="117"/>
        <v>6.690797392598824E-2</v>
      </c>
      <c r="Y181" s="3">
        <f t="shared" si="117"/>
        <v>6.6907973350683034E-2</v>
      </c>
      <c r="Z181" s="3">
        <f t="shared" si="117"/>
        <v>6.6907967597631332E-2</v>
      </c>
      <c r="AA181" s="3">
        <f t="shared" si="117"/>
        <v>6.6907910067141488E-2</v>
      </c>
      <c r="AB181" s="3">
        <f t="shared" si="117"/>
        <v>6.6907334764963716E-2</v>
      </c>
      <c r="AC181" s="3">
        <f t="shared" si="117"/>
        <v>6.690158201524693E-2</v>
      </c>
      <c r="AD181" s="3">
        <f t="shared" si="117"/>
        <v>6.6844081715511011E-2</v>
      </c>
      <c r="AE181" s="3">
        <f t="shared" si="117"/>
        <v>6.6271789828554722E-2</v>
      </c>
      <c r="AF181" s="3">
        <f t="shared" si="117"/>
        <v>6.0811551595366727E-2</v>
      </c>
      <c r="AG181" s="3"/>
      <c r="AH181" s="3"/>
    </row>
    <row r="182" spans="2:34" x14ac:dyDescent="0.25">
      <c r="B182" s="3">
        <f t="shared" ref="B182:AF182" si="118">$C29*EXP(-B$168/$A29/EXP(-$C$126))</f>
        <v>5.3174535073566002E-2</v>
      </c>
      <c r="C182" s="3">
        <f t="shared" si="118"/>
        <v>5.3174535073566002E-2</v>
      </c>
      <c r="D182" s="3">
        <f t="shared" si="118"/>
        <v>5.3174535073566002E-2</v>
      </c>
      <c r="E182" s="3">
        <f t="shared" si="118"/>
        <v>5.3174535073566002E-2</v>
      </c>
      <c r="F182" s="3">
        <f t="shared" si="118"/>
        <v>5.3174535073566002E-2</v>
      </c>
      <c r="G182" s="3">
        <f t="shared" si="118"/>
        <v>5.3174535073566002E-2</v>
      </c>
      <c r="H182" s="3">
        <f t="shared" si="118"/>
        <v>5.3174535073566002E-2</v>
      </c>
      <c r="I182" s="3">
        <f t="shared" si="118"/>
        <v>5.3174535073566002E-2</v>
      </c>
      <c r="J182" s="3">
        <f t="shared" si="118"/>
        <v>5.3174535073566002E-2</v>
      </c>
      <c r="K182" s="3">
        <f t="shared" si="118"/>
        <v>5.3174535073566002E-2</v>
      </c>
      <c r="L182" s="3">
        <f t="shared" si="118"/>
        <v>5.3174535073566002E-2</v>
      </c>
      <c r="M182" s="3">
        <f t="shared" si="118"/>
        <v>5.3174535073566002E-2</v>
      </c>
      <c r="N182" s="3">
        <f t="shared" si="118"/>
        <v>5.3174535073566002E-2</v>
      </c>
      <c r="O182" s="3">
        <f t="shared" si="118"/>
        <v>5.3174535073566002E-2</v>
      </c>
      <c r="P182" s="3">
        <f t="shared" si="118"/>
        <v>5.3174535073566002E-2</v>
      </c>
      <c r="Q182" s="3">
        <f t="shared" si="118"/>
        <v>5.3174535073566002E-2</v>
      </c>
      <c r="R182" s="3">
        <f t="shared" si="118"/>
        <v>5.3174535073565996E-2</v>
      </c>
      <c r="S182" s="3">
        <f t="shared" si="118"/>
        <v>5.3174535073565954E-2</v>
      </c>
      <c r="T182" s="3">
        <f t="shared" si="118"/>
        <v>5.3174535073565544E-2</v>
      </c>
      <c r="U182" s="3">
        <f t="shared" si="118"/>
        <v>5.3174535073561423E-2</v>
      </c>
      <c r="V182" s="3">
        <f t="shared" si="118"/>
        <v>5.3174535073520171E-2</v>
      </c>
      <c r="W182" s="3">
        <f t="shared" si="118"/>
        <v>5.317453507310773E-2</v>
      </c>
      <c r="X182" s="3">
        <f t="shared" si="118"/>
        <v>5.3174535068983231E-2</v>
      </c>
      <c r="Y182" s="3">
        <f t="shared" si="118"/>
        <v>5.3174535027738286E-2</v>
      </c>
      <c r="Z182" s="3">
        <f t="shared" si="118"/>
        <v>5.3174534615288857E-2</v>
      </c>
      <c r="AA182" s="3">
        <f t="shared" si="118"/>
        <v>5.3174530490794701E-2</v>
      </c>
      <c r="AB182" s="3">
        <f t="shared" si="118"/>
        <v>5.3174489245870753E-2</v>
      </c>
      <c r="AC182" s="3">
        <f t="shared" si="118"/>
        <v>5.317407679839084E-2</v>
      </c>
      <c r="AD182" s="3">
        <f t="shared" si="118"/>
        <v>5.3169952499540624E-2</v>
      </c>
      <c r="AE182" s="3">
        <f t="shared" si="118"/>
        <v>5.3128727100880235E-2</v>
      </c>
      <c r="AF182" s="3">
        <f t="shared" si="118"/>
        <v>5.2718227060786174E-2</v>
      </c>
      <c r="AG182" s="3"/>
      <c r="AH182" s="3"/>
    </row>
    <row r="183" spans="2:34" x14ac:dyDescent="0.25">
      <c r="B183" s="3">
        <f t="shared" ref="B183:AF183" si="119">$C30*EXP(-B$168/$A30/EXP(-$C$126))</f>
        <v>3.2923061735419888E-2</v>
      </c>
      <c r="C183" s="3">
        <f t="shared" si="119"/>
        <v>3.2923061735419888E-2</v>
      </c>
      <c r="D183" s="3">
        <f t="shared" si="119"/>
        <v>3.2923061735419888E-2</v>
      </c>
      <c r="E183" s="3">
        <f t="shared" si="119"/>
        <v>3.2923061735419888E-2</v>
      </c>
      <c r="F183" s="3">
        <f t="shared" si="119"/>
        <v>3.2923061735419888E-2</v>
      </c>
      <c r="G183" s="3">
        <f t="shared" si="119"/>
        <v>3.2923061735419888E-2</v>
      </c>
      <c r="H183" s="3">
        <f t="shared" si="119"/>
        <v>3.2923061735419888E-2</v>
      </c>
      <c r="I183" s="3">
        <f t="shared" si="119"/>
        <v>3.2923061735419888E-2</v>
      </c>
      <c r="J183" s="3">
        <f t="shared" si="119"/>
        <v>3.2923061735419888E-2</v>
      </c>
      <c r="K183" s="3">
        <f t="shared" si="119"/>
        <v>3.2923061735419888E-2</v>
      </c>
      <c r="L183" s="3">
        <f t="shared" si="119"/>
        <v>3.2923061735419888E-2</v>
      </c>
      <c r="M183" s="3">
        <f t="shared" si="119"/>
        <v>3.2923061735419888E-2</v>
      </c>
      <c r="N183" s="3">
        <f t="shared" si="119"/>
        <v>3.2923061735419888E-2</v>
      </c>
      <c r="O183" s="3">
        <f t="shared" si="119"/>
        <v>3.2923061735419888E-2</v>
      </c>
      <c r="P183" s="3">
        <f t="shared" si="119"/>
        <v>3.2923061735419888E-2</v>
      </c>
      <c r="Q183" s="3">
        <f t="shared" si="119"/>
        <v>3.2923061735419888E-2</v>
      </c>
      <c r="R183" s="3">
        <f t="shared" si="119"/>
        <v>3.2923061735419888E-2</v>
      </c>
      <c r="S183" s="3">
        <f t="shared" si="119"/>
        <v>3.2923061735419881E-2</v>
      </c>
      <c r="T183" s="3">
        <f t="shared" si="119"/>
        <v>3.292306173541986E-2</v>
      </c>
      <c r="U183" s="3">
        <f t="shared" si="119"/>
        <v>3.2923061735419631E-2</v>
      </c>
      <c r="V183" s="3">
        <f t="shared" si="119"/>
        <v>3.2923061735417328E-2</v>
      </c>
      <c r="W183" s="3">
        <f t="shared" si="119"/>
        <v>3.2923061735394291E-2</v>
      </c>
      <c r="X183" s="3">
        <f t="shared" si="119"/>
        <v>3.2923061735163926E-2</v>
      </c>
      <c r="Y183" s="3">
        <f t="shared" si="119"/>
        <v>3.2923061732860297E-2</v>
      </c>
      <c r="Z183" s="3">
        <f t="shared" si="119"/>
        <v>3.2923061709823932E-2</v>
      </c>
      <c r="AA183" s="3">
        <f t="shared" si="119"/>
        <v>3.2923061479460357E-2</v>
      </c>
      <c r="AB183" s="3">
        <f t="shared" si="119"/>
        <v>3.2923059175824658E-2</v>
      </c>
      <c r="AC183" s="3">
        <f t="shared" si="119"/>
        <v>3.2923036139476516E-2</v>
      </c>
      <c r="AD183" s="3">
        <f t="shared" si="119"/>
        <v>3.292280577688167E-2</v>
      </c>
      <c r="AE183" s="3">
        <f t="shared" si="119"/>
        <v>3.292050223958299E-2</v>
      </c>
      <c r="AF183" s="3">
        <f t="shared" si="119"/>
        <v>3.2897475729278591E-2</v>
      </c>
      <c r="AG183" s="3"/>
      <c r="AH183" s="3"/>
    </row>
    <row r="184" spans="2:34" x14ac:dyDescent="0.25">
      <c r="B184" s="3">
        <f t="shared" ref="B184:AF184" si="120">$C31*EXP(-B$168/$A31/EXP(-$C$126))</f>
        <v>1.6325787748200139E-2</v>
      </c>
      <c r="C184" s="3">
        <f t="shared" si="120"/>
        <v>1.6325787748200139E-2</v>
      </c>
      <c r="D184" s="3">
        <f t="shared" si="120"/>
        <v>1.6325787748200139E-2</v>
      </c>
      <c r="E184" s="3">
        <f t="shared" si="120"/>
        <v>1.6325787748200139E-2</v>
      </c>
      <c r="F184" s="3">
        <f t="shared" si="120"/>
        <v>1.6325787748200139E-2</v>
      </c>
      <c r="G184" s="3">
        <f t="shared" si="120"/>
        <v>1.6325787748200139E-2</v>
      </c>
      <c r="H184" s="3">
        <f t="shared" si="120"/>
        <v>1.6325787748200139E-2</v>
      </c>
      <c r="I184" s="3">
        <f t="shared" si="120"/>
        <v>1.6325787748200139E-2</v>
      </c>
      <c r="J184" s="3">
        <f t="shared" si="120"/>
        <v>1.6325787748200139E-2</v>
      </c>
      <c r="K184" s="3">
        <f t="shared" si="120"/>
        <v>1.6325787748200139E-2</v>
      </c>
      <c r="L184" s="3">
        <f t="shared" si="120"/>
        <v>1.6325787748200139E-2</v>
      </c>
      <c r="M184" s="3">
        <f t="shared" si="120"/>
        <v>1.6325787748200139E-2</v>
      </c>
      <c r="N184" s="3">
        <f t="shared" si="120"/>
        <v>1.6325787748200139E-2</v>
      </c>
      <c r="O184" s="3">
        <f t="shared" si="120"/>
        <v>1.6325787748200139E-2</v>
      </c>
      <c r="P184" s="3">
        <f t="shared" si="120"/>
        <v>1.6325787748200139E-2</v>
      </c>
      <c r="Q184" s="3">
        <f t="shared" si="120"/>
        <v>1.6325787748200139E-2</v>
      </c>
      <c r="R184" s="3">
        <f t="shared" si="120"/>
        <v>1.6325787748200139E-2</v>
      </c>
      <c r="S184" s="3">
        <f t="shared" si="120"/>
        <v>1.6325787748200139E-2</v>
      </c>
      <c r="T184" s="3">
        <f t="shared" si="120"/>
        <v>1.6325787748200135E-2</v>
      </c>
      <c r="U184" s="3">
        <f t="shared" si="120"/>
        <v>1.6325787748200128E-2</v>
      </c>
      <c r="V184" s="3">
        <f t="shared" si="120"/>
        <v>1.6325787748200024E-2</v>
      </c>
      <c r="W184" s="3">
        <f t="shared" si="120"/>
        <v>1.6325787748198994E-2</v>
      </c>
      <c r="X184" s="3">
        <f t="shared" si="120"/>
        <v>1.6325787748188689E-2</v>
      </c>
      <c r="Y184" s="3">
        <f t="shared" si="120"/>
        <v>1.632578774808564E-2</v>
      </c>
      <c r="Z184" s="3">
        <f t="shared" si="120"/>
        <v>1.6325787747055176E-2</v>
      </c>
      <c r="AA184" s="3">
        <f t="shared" si="120"/>
        <v>1.6325787736750499E-2</v>
      </c>
      <c r="AB184" s="3">
        <f t="shared" si="120"/>
        <v>1.632578763370374E-2</v>
      </c>
      <c r="AC184" s="3">
        <f t="shared" si="120"/>
        <v>1.6325786603236185E-2</v>
      </c>
      <c r="AD184" s="3">
        <f t="shared" si="120"/>
        <v>1.6325776298564201E-2</v>
      </c>
      <c r="AE184" s="3">
        <f t="shared" si="120"/>
        <v>1.6325673252202119E-2</v>
      </c>
      <c r="AF184" s="3">
        <f t="shared" si="120"/>
        <v>1.6324642824353516E-2</v>
      </c>
      <c r="AG184" s="3"/>
      <c r="AH184" s="3"/>
    </row>
    <row r="185" spans="2:34" x14ac:dyDescent="0.25">
      <c r="B185" s="3">
        <f t="shared" ref="B185:AF185" si="121">$C32*EXP(-B$168/$A32/EXP(-$C$126))</f>
        <v>7.8974635041155969E-3</v>
      </c>
      <c r="C185" s="3">
        <f t="shared" si="121"/>
        <v>7.8974635041155969E-3</v>
      </c>
      <c r="D185" s="3">
        <f t="shared" si="121"/>
        <v>7.8974635041155969E-3</v>
      </c>
      <c r="E185" s="3">
        <f t="shared" si="121"/>
        <v>7.8974635041155969E-3</v>
      </c>
      <c r="F185" s="3">
        <f t="shared" si="121"/>
        <v>7.8974635041155969E-3</v>
      </c>
      <c r="G185" s="3">
        <f t="shared" si="121"/>
        <v>7.8974635041155969E-3</v>
      </c>
      <c r="H185" s="3">
        <f t="shared" si="121"/>
        <v>7.8974635041155969E-3</v>
      </c>
      <c r="I185" s="3">
        <f t="shared" si="121"/>
        <v>7.8974635041155969E-3</v>
      </c>
      <c r="J185" s="3">
        <f t="shared" si="121"/>
        <v>7.8974635041155969E-3</v>
      </c>
      <c r="K185" s="3">
        <f t="shared" si="121"/>
        <v>7.8974635041155969E-3</v>
      </c>
      <c r="L185" s="3">
        <f t="shared" si="121"/>
        <v>7.8974635041155969E-3</v>
      </c>
      <c r="M185" s="3">
        <f t="shared" si="121"/>
        <v>7.8974635041155969E-3</v>
      </c>
      <c r="N185" s="3">
        <f t="shared" si="121"/>
        <v>7.8974635041155969E-3</v>
      </c>
      <c r="O185" s="3">
        <f t="shared" si="121"/>
        <v>7.8974635041155969E-3</v>
      </c>
      <c r="P185" s="3">
        <f t="shared" si="121"/>
        <v>7.8974635041155969E-3</v>
      </c>
      <c r="Q185" s="3">
        <f t="shared" si="121"/>
        <v>7.8974635041155969E-3</v>
      </c>
      <c r="R185" s="3">
        <f t="shared" si="121"/>
        <v>7.8974635041155969E-3</v>
      </c>
      <c r="S185" s="3">
        <f t="shared" si="121"/>
        <v>7.8974635041155969E-3</v>
      </c>
      <c r="T185" s="3">
        <f t="shared" si="121"/>
        <v>7.8974635041155969E-3</v>
      </c>
      <c r="U185" s="3">
        <f t="shared" si="121"/>
        <v>7.8974635041155952E-3</v>
      </c>
      <c r="V185" s="3">
        <f t="shared" si="121"/>
        <v>7.8974635041155917E-3</v>
      </c>
      <c r="W185" s="3">
        <f t="shared" si="121"/>
        <v>7.8974635041155466E-3</v>
      </c>
      <c r="X185" s="3">
        <f t="shared" si="121"/>
        <v>7.8974635041150973E-3</v>
      </c>
      <c r="Y185" s="3">
        <f t="shared" si="121"/>
        <v>7.8974635041106009E-3</v>
      </c>
      <c r="Z185" s="3">
        <f t="shared" si="121"/>
        <v>7.8974635040656334E-3</v>
      </c>
      <c r="AA185" s="3">
        <f t="shared" si="121"/>
        <v>7.8974635036159636E-3</v>
      </c>
      <c r="AB185" s="3">
        <f t="shared" si="121"/>
        <v>7.8974634991192567E-3</v>
      </c>
      <c r="AC185" s="3">
        <f t="shared" si="121"/>
        <v>7.8974634541522058E-3</v>
      </c>
      <c r="AD185" s="3">
        <f t="shared" si="121"/>
        <v>7.8974630044817071E-3</v>
      </c>
      <c r="AE185" s="3">
        <f t="shared" si="121"/>
        <v>7.8974585077781177E-3</v>
      </c>
      <c r="AF185" s="3">
        <f t="shared" si="121"/>
        <v>7.8974135408830561E-3</v>
      </c>
      <c r="AG185" s="3"/>
      <c r="AH185" s="3"/>
    </row>
    <row r="186" spans="2:34" x14ac:dyDescent="0.25">
      <c r="B186" s="3">
        <f t="shared" ref="B186:AF186" si="122">$C33*EXP(-B$168/$A33/EXP(-$C$126))</f>
        <v>4.1550471728530186E-3</v>
      </c>
      <c r="C186" s="3">
        <f t="shared" si="122"/>
        <v>4.1550471728530186E-3</v>
      </c>
      <c r="D186" s="3">
        <f t="shared" si="122"/>
        <v>4.1550471728530186E-3</v>
      </c>
      <c r="E186" s="3">
        <f t="shared" si="122"/>
        <v>4.1550471728530186E-3</v>
      </c>
      <c r="F186" s="3">
        <f t="shared" si="122"/>
        <v>4.1550471728530186E-3</v>
      </c>
      <c r="G186" s="3">
        <f t="shared" si="122"/>
        <v>4.1550471728530186E-3</v>
      </c>
      <c r="H186" s="3">
        <f t="shared" si="122"/>
        <v>4.1550471728530186E-3</v>
      </c>
      <c r="I186" s="3">
        <f t="shared" si="122"/>
        <v>4.1550471728530186E-3</v>
      </c>
      <c r="J186" s="3">
        <f t="shared" si="122"/>
        <v>4.1550471728530186E-3</v>
      </c>
      <c r="K186" s="3">
        <f t="shared" si="122"/>
        <v>4.1550471728530186E-3</v>
      </c>
      <c r="L186" s="3">
        <f t="shared" si="122"/>
        <v>4.1550471728530186E-3</v>
      </c>
      <c r="M186" s="3">
        <f t="shared" si="122"/>
        <v>4.1550471728530186E-3</v>
      </c>
      <c r="N186" s="3">
        <f t="shared" si="122"/>
        <v>4.1550471728530186E-3</v>
      </c>
      <c r="O186" s="3">
        <f t="shared" si="122"/>
        <v>4.1550471728530186E-3</v>
      </c>
      <c r="P186" s="3">
        <f t="shared" si="122"/>
        <v>4.1550471728530186E-3</v>
      </c>
      <c r="Q186" s="3">
        <f t="shared" si="122"/>
        <v>4.1550471728530186E-3</v>
      </c>
      <c r="R186" s="3">
        <f t="shared" si="122"/>
        <v>4.1550471728530186E-3</v>
      </c>
      <c r="S186" s="3">
        <f t="shared" si="122"/>
        <v>4.1550471728530186E-3</v>
      </c>
      <c r="T186" s="3">
        <f t="shared" si="122"/>
        <v>4.1550471728530186E-3</v>
      </c>
      <c r="U186" s="3">
        <f t="shared" si="122"/>
        <v>4.1550471728530186E-3</v>
      </c>
      <c r="V186" s="3">
        <f t="shared" si="122"/>
        <v>4.1550471728530177E-3</v>
      </c>
      <c r="W186" s="3">
        <f t="shared" si="122"/>
        <v>4.155047172853016E-3</v>
      </c>
      <c r="X186" s="3">
        <f t="shared" si="122"/>
        <v>4.1550471728529952E-3</v>
      </c>
      <c r="Y186" s="3">
        <f t="shared" si="122"/>
        <v>4.1550471728527818E-3</v>
      </c>
      <c r="Z186" s="3">
        <f t="shared" si="122"/>
        <v>4.1550471728506472E-3</v>
      </c>
      <c r="AA186" s="3">
        <f t="shared" si="122"/>
        <v>4.1550471728293058E-3</v>
      </c>
      <c r="AB186" s="3">
        <f t="shared" si="122"/>
        <v>4.1550471726158889E-3</v>
      </c>
      <c r="AC186" s="3">
        <f t="shared" si="122"/>
        <v>4.1550471704817167E-3</v>
      </c>
      <c r="AD186" s="3">
        <f t="shared" si="122"/>
        <v>4.155047149140001E-3</v>
      </c>
      <c r="AE186" s="3">
        <f t="shared" si="122"/>
        <v>4.1550469357228489E-3</v>
      </c>
      <c r="AF186" s="3">
        <f t="shared" si="122"/>
        <v>4.15504480155193E-3</v>
      </c>
      <c r="AG186" s="3"/>
      <c r="AH186" s="3"/>
    </row>
    <row r="187" spans="2:34" x14ac:dyDescent="0.25">
      <c r="B187" s="3">
        <f t="shared" ref="B187:AF187" si="123">$C34*EXP(-B$168/$A34/EXP(-$C$126))</f>
        <v>4.2575321437709054E-3</v>
      </c>
      <c r="C187" s="3">
        <f t="shared" si="123"/>
        <v>4.2575321437709054E-3</v>
      </c>
      <c r="D187" s="3">
        <f t="shared" si="123"/>
        <v>4.2575321437709054E-3</v>
      </c>
      <c r="E187" s="3">
        <f t="shared" si="123"/>
        <v>4.2575321437709054E-3</v>
      </c>
      <c r="F187" s="3">
        <f t="shared" si="123"/>
        <v>4.2575321437709054E-3</v>
      </c>
      <c r="G187" s="3">
        <f t="shared" si="123"/>
        <v>4.2575321437709054E-3</v>
      </c>
      <c r="H187" s="3">
        <f t="shared" si="123"/>
        <v>4.2575321437709054E-3</v>
      </c>
      <c r="I187" s="3">
        <f t="shared" si="123"/>
        <v>4.2575321437709054E-3</v>
      </c>
      <c r="J187" s="3">
        <f t="shared" si="123"/>
        <v>4.2575321437709054E-3</v>
      </c>
      <c r="K187" s="3">
        <f t="shared" si="123"/>
        <v>4.2575321437709054E-3</v>
      </c>
      <c r="L187" s="3">
        <f t="shared" si="123"/>
        <v>4.2575321437709054E-3</v>
      </c>
      <c r="M187" s="3">
        <f t="shared" si="123"/>
        <v>4.2575321437709054E-3</v>
      </c>
      <c r="N187" s="3">
        <f t="shared" si="123"/>
        <v>4.2575321437709054E-3</v>
      </c>
      <c r="O187" s="3">
        <f t="shared" si="123"/>
        <v>4.2575321437709054E-3</v>
      </c>
      <c r="P187" s="3">
        <f t="shared" si="123"/>
        <v>4.2575321437709054E-3</v>
      </c>
      <c r="Q187" s="3">
        <f t="shared" si="123"/>
        <v>4.2575321437709054E-3</v>
      </c>
      <c r="R187" s="3">
        <f t="shared" si="123"/>
        <v>4.2575321437709054E-3</v>
      </c>
      <c r="S187" s="3">
        <f t="shared" si="123"/>
        <v>4.2575321437709054E-3</v>
      </c>
      <c r="T187" s="3">
        <f t="shared" si="123"/>
        <v>4.2575321437709054E-3</v>
      </c>
      <c r="U187" s="3">
        <f t="shared" si="123"/>
        <v>4.2575321437709054E-3</v>
      </c>
      <c r="V187" s="3">
        <f t="shared" si="123"/>
        <v>4.2575321437709054E-3</v>
      </c>
      <c r="W187" s="3">
        <f t="shared" si="123"/>
        <v>4.2575321437709054E-3</v>
      </c>
      <c r="X187" s="3">
        <f t="shared" si="123"/>
        <v>4.2575321437709028E-3</v>
      </c>
      <c r="Y187" s="3">
        <f t="shared" si="123"/>
        <v>4.2575321437708837E-3</v>
      </c>
      <c r="Z187" s="3">
        <f t="shared" si="123"/>
        <v>4.257532143770686E-3</v>
      </c>
      <c r="AA187" s="3">
        <f t="shared" si="123"/>
        <v>4.2575321437687136E-3</v>
      </c>
      <c r="AB187" s="3">
        <f t="shared" si="123"/>
        <v>4.2575321437489863E-3</v>
      </c>
      <c r="AC187" s="3">
        <f t="shared" si="123"/>
        <v>4.2575321435517179E-3</v>
      </c>
      <c r="AD187" s="3">
        <f t="shared" si="123"/>
        <v>4.2575321415790329E-3</v>
      </c>
      <c r="AE187" s="3">
        <f t="shared" si="123"/>
        <v>4.2575321218521747E-3</v>
      </c>
      <c r="AF187" s="3">
        <f t="shared" si="123"/>
        <v>4.2575319245836086E-3</v>
      </c>
      <c r="AG187" s="3"/>
      <c r="AH187" s="3"/>
    </row>
    <row r="188" spans="2:34" x14ac:dyDescent="0.25">
      <c r="B188" s="3">
        <f t="shared" ref="B188:AF188" si="124">$C35*EXP(-B$168/$A35/EXP(-$C$126))</f>
        <v>9.5394971617709327E-4</v>
      </c>
      <c r="C188" s="3">
        <f t="shared" si="124"/>
        <v>9.5394971617709327E-4</v>
      </c>
      <c r="D188" s="3">
        <f t="shared" si="124"/>
        <v>9.5394971617709327E-4</v>
      </c>
      <c r="E188" s="3">
        <f t="shared" si="124"/>
        <v>9.5394971617709327E-4</v>
      </c>
      <c r="F188" s="3">
        <f t="shared" si="124"/>
        <v>9.5394971617709327E-4</v>
      </c>
      <c r="G188" s="3">
        <f t="shared" si="124"/>
        <v>9.5394971617709327E-4</v>
      </c>
      <c r="H188" s="3">
        <f t="shared" si="124"/>
        <v>9.5394971617709327E-4</v>
      </c>
      <c r="I188" s="3">
        <f t="shared" si="124"/>
        <v>9.5394971617709327E-4</v>
      </c>
      <c r="J188" s="3">
        <f t="shared" si="124"/>
        <v>9.5394971617709327E-4</v>
      </c>
      <c r="K188" s="3">
        <f t="shared" si="124"/>
        <v>9.5394971617709327E-4</v>
      </c>
      <c r="L188" s="3">
        <f t="shared" si="124"/>
        <v>9.5394971617709327E-4</v>
      </c>
      <c r="M188" s="3">
        <f t="shared" si="124"/>
        <v>9.5394971617709327E-4</v>
      </c>
      <c r="N188" s="3">
        <f t="shared" si="124"/>
        <v>9.5394971617709327E-4</v>
      </c>
      <c r="O188" s="3">
        <f t="shared" si="124"/>
        <v>9.5394971617709327E-4</v>
      </c>
      <c r="P188" s="3">
        <f t="shared" si="124"/>
        <v>9.5394971617709327E-4</v>
      </c>
      <c r="Q188" s="3">
        <f t="shared" si="124"/>
        <v>9.5394971617709327E-4</v>
      </c>
      <c r="R188" s="3">
        <f t="shared" si="124"/>
        <v>9.5394971617709327E-4</v>
      </c>
      <c r="S188" s="3">
        <f t="shared" si="124"/>
        <v>9.5394971617709327E-4</v>
      </c>
      <c r="T188" s="3">
        <f t="shared" si="124"/>
        <v>9.5394971617709327E-4</v>
      </c>
      <c r="U188" s="3">
        <f t="shared" si="124"/>
        <v>9.5394971617709327E-4</v>
      </c>
      <c r="V188" s="3">
        <f t="shared" si="124"/>
        <v>9.5394971617709327E-4</v>
      </c>
      <c r="W188" s="3">
        <f t="shared" si="124"/>
        <v>9.5394971617709327E-4</v>
      </c>
      <c r="X188" s="3">
        <f t="shared" si="124"/>
        <v>9.5394971617709327E-4</v>
      </c>
      <c r="Y188" s="3">
        <f t="shared" si="124"/>
        <v>9.5394971617709283E-4</v>
      </c>
      <c r="Z188" s="3">
        <f t="shared" si="124"/>
        <v>9.5394971617708882E-4</v>
      </c>
      <c r="AA188" s="3">
        <f t="shared" si="124"/>
        <v>9.5394971617704903E-4</v>
      </c>
      <c r="AB188" s="3">
        <f t="shared" si="124"/>
        <v>9.5394971617665026E-4</v>
      </c>
      <c r="AC188" s="3">
        <f t="shared" si="124"/>
        <v>9.53949716172663E-4</v>
      </c>
      <c r="AD188" s="3">
        <f t="shared" si="124"/>
        <v>9.539497161327906E-4</v>
      </c>
      <c r="AE188" s="3">
        <f t="shared" si="124"/>
        <v>9.5394971573406701E-4</v>
      </c>
      <c r="AF188" s="3">
        <f t="shared" si="124"/>
        <v>9.5394971174683004E-4</v>
      </c>
      <c r="AG188" s="3"/>
      <c r="AH188" s="3"/>
    </row>
    <row r="189" spans="2:34" x14ac:dyDescent="0.25">
      <c r="B189" s="3">
        <f t="shared" ref="B189:AF189" si="125">$C36*EXP(-B$168/$A36/EXP(-$C$126))</f>
        <v>4.0589760414466262E-3</v>
      </c>
      <c r="C189" s="3">
        <f t="shared" si="125"/>
        <v>4.0589760414466262E-3</v>
      </c>
      <c r="D189" s="3">
        <f t="shared" si="125"/>
        <v>4.0589760414466262E-3</v>
      </c>
      <c r="E189" s="3">
        <f t="shared" si="125"/>
        <v>4.0589760414466262E-3</v>
      </c>
      <c r="F189" s="3">
        <f t="shared" si="125"/>
        <v>4.0589760414466262E-3</v>
      </c>
      <c r="G189" s="3">
        <f t="shared" si="125"/>
        <v>4.0589760414466262E-3</v>
      </c>
      <c r="H189" s="3">
        <f t="shared" si="125"/>
        <v>4.0589760414466262E-3</v>
      </c>
      <c r="I189" s="3">
        <f t="shared" si="125"/>
        <v>4.0589760414466262E-3</v>
      </c>
      <c r="J189" s="3">
        <f t="shared" si="125"/>
        <v>4.0589760414466262E-3</v>
      </c>
      <c r="K189" s="3">
        <f t="shared" si="125"/>
        <v>4.0589760414466262E-3</v>
      </c>
      <c r="L189" s="3">
        <f t="shared" si="125"/>
        <v>4.0589760414466262E-3</v>
      </c>
      <c r="M189" s="3">
        <f t="shared" si="125"/>
        <v>4.0589760414466262E-3</v>
      </c>
      <c r="N189" s="3">
        <f t="shared" si="125"/>
        <v>4.0589760414466262E-3</v>
      </c>
      <c r="O189" s="3">
        <f t="shared" si="125"/>
        <v>4.0589760414466262E-3</v>
      </c>
      <c r="P189" s="3">
        <f t="shared" si="125"/>
        <v>4.0589760414466262E-3</v>
      </c>
      <c r="Q189" s="3">
        <f t="shared" si="125"/>
        <v>4.0589760414466262E-3</v>
      </c>
      <c r="R189" s="3">
        <f t="shared" si="125"/>
        <v>4.0589760414466262E-3</v>
      </c>
      <c r="S189" s="3">
        <f t="shared" si="125"/>
        <v>4.0589760414466262E-3</v>
      </c>
      <c r="T189" s="3">
        <f t="shared" si="125"/>
        <v>4.0589760414466262E-3</v>
      </c>
      <c r="U189" s="3">
        <f t="shared" si="125"/>
        <v>4.0589760414466262E-3</v>
      </c>
      <c r="V189" s="3">
        <f t="shared" si="125"/>
        <v>4.0589760414466262E-3</v>
      </c>
      <c r="W189" s="3">
        <f t="shared" si="125"/>
        <v>4.0589760414466262E-3</v>
      </c>
      <c r="X189" s="3">
        <f t="shared" si="125"/>
        <v>4.0589760414466262E-3</v>
      </c>
      <c r="Y189" s="3">
        <f t="shared" si="125"/>
        <v>4.0589760414466262E-3</v>
      </c>
      <c r="Z189" s="3">
        <f t="shared" si="125"/>
        <v>4.0589760414466245E-3</v>
      </c>
      <c r="AA189" s="3">
        <f t="shared" si="125"/>
        <v>4.0589760414466089E-3</v>
      </c>
      <c r="AB189" s="3">
        <f t="shared" si="125"/>
        <v>4.0589760414464562E-3</v>
      </c>
      <c r="AC189" s="3">
        <f t="shared" si="125"/>
        <v>4.0589760414449262E-3</v>
      </c>
      <c r="AD189" s="3">
        <f t="shared" si="125"/>
        <v>4.0589760414296216E-3</v>
      </c>
      <c r="AE189" s="3">
        <f t="shared" si="125"/>
        <v>4.05897604127658E-3</v>
      </c>
      <c r="AF189" s="3">
        <f t="shared" si="125"/>
        <v>4.0589760397461636E-3</v>
      </c>
      <c r="AG189" s="3"/>
      <c r="AH189" s="3"/>
    </row>
    <row r="190" spans="2:34" x14ac:dyDescent="0.25">
      <c r="B190" s="3">
        <f t="shared" ref="B190:AF190" si="126">$C37*EXP(-B$168/$A37/EXP(-$C$126))</f>
        <v>1.8079022275700322E-3</v>
      </c>
      <c r="C190" s="3">
        <f t="shared" si="126"/>
        <v>1.8079022275700322E-3</v>
      </c>
      <c r="D190" s="3">
        <f t="shared" si="126"/>
        <v>1.8079022275700322E-3</v>
      </c>
      <c r="E190" s="3">
        <f t="shared" si="126"/>
        <v>1.8079022275700322E-3</v>
      </c>
      <c r="F190" s="3">
        <f t="shared" si="126"/>
        <v>1.8079022275700322E-3</v>
      </c>
      <c r="G190" s="3">
        <f t="shared" si="126"/>
        <v>1.8079022275700322E-3</v>
      </c>
      <c r="H190" s="3">
        <f t="shared" si="126"/>
        <v>1.8079022275700322E-3</v>
      </c>
      <c r="I190" s="3">
        <f t="shared" si="126"/>
        <v>1.8079022275700322E-3</v>
      </c>
      <c r="J190" s="3">
        <f t="shared" si="126"/>
        <v>1.8079022275700322E-3</v>
      </c>
      <c r="K190" s="3">
        <f t="shared" si="126"/>
        <v>1.8079022275700322E-3</v>
      </c>
      <c r="L190" s="3">
        <f t="shared" si="126"/>
        <v>1.8079022275700322E-3</v>
      </c>
      <c r="M190" s="3">
        <f t="shared" si="126"/>
        <v>1.8079022275700322E-3</v>
      </c>
      <c r="N190" s="3">
        <f t="shared" si="126"/>
        <v>1.8079022275700322E-3</v>
      </c>
      <c r="O190" s="3">
        <f t="shared" si="126"/>
        <v>1.8079022275700322E-3</v>
      </c>
      <c r="P190" s="3">
        <f t="shared" si="126"/>
        <v>1.8079022275700322E-3</v>
      </c>
      <c r="Q190" s="3">
        <f t="shared" si="126"/>
        <v>1.8079022275700322E-3</v>
      </c>
      <c r="R190" s="3">
        <f t="shared" si="126"/>
        <v>1.8079022275700322E-3</v>
      </c>
      <c r="S190" s="3">
        <f t="shared" si="126"/>
        <v>1.8079022275700322E-3</v>
      </c>
      <c r="T190" s="3">
        <f t="shared" si="126"/>
        <v>1.8079022275700322E-3</v>
      </c>
      <c r="U190" s="3">
        <f t="shared" si="126"/>
        <v>1.8079022275700322E-3</v>
      </c>
      <c r="V190" s="3">
        <f t="shared" si="126"/>
        <v>1.8079022275700322E-3</v>
      </c>
      <c r="W190" s="3">
        <f t="shared" si="126"/>
        <v>1.8079022275700322E-3</v>
      </c>
      <c r="X190" s="3">
        <f t="shared" si="126"/>
        <v>1.8079022275700322E-3</v>
      </c>
      <c r="Y190" s="3">
        <f t="shared" si="126"/>
        <v>1.8079022275700322E-3</v>
      </c>
      <c r="Z190" s="3">
        <f t="shared" si="126"/>
        <v>1.8079022275700322E-3</v>
      </c>
      <c r="AA190" s="3">
        <f t="shared" si="126"/>
        <v>1.8079022275700315E-3</v>
      </c>
      <c r="AB190" s="3">
        <f t="shared" si="126"/>
        <v>1.8079022275700254E-3</v>
      </c>
      <c r="AC190" s="3">
        <f t="shared" si="126"/>
        <v>1.8079022275699639E-3</v>
      </c>
      <c r="AD190" s="3">
        <f t="shared" si="126"/>
        <v>1.8079022275693489E-3</v>
      </c>
      <c r="AE190" s="3">
        <f t="shared" si="126"/>
        <v>1.8079022275631997E-3</v>
      </c>
      <c r="AF190" s="3">
        <f t="shared" si="126"/>
        <v>1.8079022275017083E-3</v>
      </c>
      <c r="AG190" s="3"/>
      <c r="AH190" s="3"/>
    </row>
    <row r="191" spans="2:34" x14ac:dyDescent="0.25">
      <c r="B191" s="3">
        <f t="shared" ref="B191:AF191" si="127">$C38*EXP(-B$168/$A38/EXP(-$C$126))</f>
        <v>6.6593482592524332E-4</v>
      </c>
      <c r="C191" s="3">
        <f t="shared" si="127"/>
        <v>6.6593482592524332E-4</v>
      </c>
      <c r="D191" s="3">
        <f t="shared" si="127"/>
        <v>6.6593482592524332E-4</v>
      </c>
      <c r="E191" s="3">
        <f t="shared" si="127"/>
        <v>6.6593482592524332E-4</v>
      </c>
      <c r="F191" s="3">
        <f t="shared" si="127"/>
        <v>6.6593482592524332E-4</v>
      </c>
      <c r="G191" s="3">
        <f t="shared" si="127"/>
        <v>6.6593482592524332E-4</v>
      </c>
      <c r="H191" s="3">
        <f t="shared" si="127"/>
        <v>6.6593482592524332E-4</v>
      </c>
      <c r="I191" s="3">
        <f t="shared" si="127"/>
        <v>6.6593482592524332E-4</v>
      </c>
      <c r="J191" s="3">
        <f t="shared" si="127"/>
        <v>6.6593482592524332E-4</v>
      </c>
      <c r="K191" s="3">
        <f t="shared" si="127"/>
        <v>6.6593482592524332E-4</v>
      </c>
      <c r="L191" s="3">
        <f t="shared" si="127"/>
        <v>6.6593482592524332E-4</v>
      </c>
      <c r="M191" s="3">
        <f t="shared" si="127"/>
        <v>6.6593482592524332E-4</v>
      </c>
      <c r="N191" s="3">
        <f t="shared" si="127"/>
        <v>6.6593482592524332E-4</v>
      </c>
      <c r="O191" s="3">
        <f t="shared" si="127"/>
        <v>6.6593482592524332E-4</v>
      </c>
      <c r="P191" s="3">
        <f t="shared" si="127"/>
        <v>6.6593482592524332E-4</v>
      </c>
      <c r="Q191" s="3">
        <f t="shared" si="127"/>
        <v>6.6593482592524332E-4</v>
      </c>
      <c r="R191" s="3">
        <f t="shared" si="127"/>
        <v>6.6593482592524332E-4</v>
      </c>
      <c r="S191" s="3">
        <f t="shared" si="127"/>
        <v>6.6593482592524332E-4</v>
      </c>
      <c r="T191" s="3">
        <f t="shared" si="127"/>
        <v>6.6593482592524332E-4</v>
      </c>
      <c r="U191" s="3">
        <f t="shared" si="127"/>
        <v>6.6593482592524332E-4</v>
      </c>
      <c r="V191" s="3">
        <f t="shared" si="127"/>
        <v>6.6593482592524332E-4</v>
      </c>
      <c r="W191" s="3">
        <f t="shared" si="127"/>
        <v>6.6593482592524332E-4</v>
      </c>
      <c r="X191" s="3">
        <f t="shared" si="127"/>
        <v>6.6593482592524332E-4</v>
      </c>
      <c r="Y191" s="3">
        <f t="shared" si="127"/>
        <v>6.6593482592524332E-4</v>
      </c>
      <c r="Z191" s="3">
        <f t="shared" si="127"/>
        <v>6.6593482592524332E-4</v>
      </c>
      <c r="AA191" s="3">
        <f t="shared" si="127"/>
        <v>6.6593482592524332E-4</v>
      </c>
      <c r="AB191" s="3">
        <f t="shared" si="127"/>
        <v>6.659348259252431E-4</v>
      </c>
      <c r="AC191" s="3">
        <f t="shared" si="127"/>
        <v>6.6593482592524104E-4</v>
      </c>
      <c r="AD191" s="3">
        <f t="shared" si="127"/>
        <v>6.6593482592522066E-4</v>
      </c>
      <c r="AE191" s="3">
        <f t="shared" si="127"/>
        <v>6.6593482592501628E-4</v>
      </c>
      <c r="AF191" s="3">
        <f t="shared" si="127"/>
        <v>6.65934825922973E-4</v>
      </c>
      <c r="AG191" s="3"/>
      <c r="AH191" s="3"/>
    </row>
    <row r="192" spans="2:34" x14ac:dyDescent="0.25">
      <c r="B192" s="3">
        <f t="shared" ref="B192:AF192" si="128">$C39*EXP(-B$168/$A39/EXP(-$C$126))</f>
        <v>0</v>
      </c>
      <c r="C192" s="3">
        <f t="shared" si="128"/>
        <v>0</v>
      </c>
      <c r="D192" s="3">
        <f t="shared" si="128"/>
        <v>0</v>
      </c>
      <c r="E192" s="3">
        <f t="shared" si="128"/>
        <v>0</v>
      </c>
      <c r="F192" s="3">
        <f t="shared" si="128"/>
        <v>0</v>
      </c>
      <c r="G192" s="3">
        <f t="shared" si="128"/>
        <v>0</v>
      </c>
      <c r="H192" s="3">
        <f t="shared" si="128"/>
        <v>0</v>
      </c>
      <c r="I192" s="3">
        <f t="shared" si="128"/>
        <v>0</v>
      </c>
      <c r="J192" s="3">
        <f t="shared" si="128"/>
        <v>0</v>
      </c>
      <c r="K192" s="3">
        <f t="shared" si="128"/>
        <v>0</v>
      </c>
      <c r="L192" s="3">
        <f t="shared" si="128"/>
        <v>0</v>
      </c>
      <c r="M192" s="3">
        <f t="shared" si="128"/>
        <v>0</v>
      </c>
      <c r="N192" s="3">
        <f t="shared" si="128"/>
        <v>0</v>
      </c>
      <c r="O192" s="3">
        <f t="shared" si="128"/>
        <v>0</v>
      </c>
      <c r="P192" s="3">
        <f t="shared" si="128"/>
        <v>0</v>
      </c>
      <c r="Q192" s="3">
        <f t="shared" si="128"/>
        <v>0</v>
      </c>
      <c r="R192" s="3">
        <f t="shared" si="128"/>
        <v>0</v>
      </c>
      <c r="S192" s="3">
        <f t="shared" si="128"/>
        <v>0</v>
      </c>
      <c r="T192" s="3">
        <f t="shared" si="128"/>
        <v>0</v>
      </c>
      <c r="U192" s="3">
        <f t="shared" si="128"/>
        <v>0</v>
      </c>
      <c r="V192" s="3">
        <f t="shared" si="128"/>
        <v>0</v>
      </c>
      <c r="W192" s="3">
        <f t="shared" si="128"/>
        <v>0</v>
      </c>
      <c r="X192" s="3">
        <f t="shared" si="128"/>
        <v>0</v>
      </c>
      <c r="Y192" s="3">
        <f t="shared" si="128"/>
        <v>0</v>
      </c>
      <c r="Z192" s="3">
        <f t="shared" si="128"/>
        <v>0</v>
      </c>
      <c r="AA192" s="3">
        <f t="shared" si="128"/>
        <v>0</v>
      </c>
      <c r="AB192" s="3">
        <f t="shared" si="128"/>
        <v>0</v>
      </c>
      <c r="AC192" s="3">
        <f t="shared" si="128"/>
        <v>0</v>
      </c>
      <c r="AD192" s="3">
        <f t="shared" si="128"/>
        <v>0</v>
      </c>
      <c r="AE192" s="3">
        <f t="shared" si="128"/>
        <v>0</v>
      </c>
      <c r="AF192" s="3">
        <f t="shared" si="128"/>
        <v>0</v>
      </c>
      <c r="AG192" s="3"/>
      <c r="AH192" s="3"/>
    </row>
    <row r="193" spans="1:34" x14ac:dyDescent="0.25">
      <c r="B193" s="3">
        <f t="shared" ref="B193:AF193" si="129">$C40*EXP(-B$168/$A40/EXP(-$C$126))</f>
        <v>5.5929921649114952E-4</v>
      </c>
      <c r="C193" s="3">
        <f t="shared" si="129"/>
        <v>5.5929921649114952E-4</v>
      </c>
      <c r="D193" s="3">
        <f t="shared" si="129"/>
        <v>5.5929921649114952E-4</v>
      </c>
      <c r="E193" s="3">
        <f t="shared" si="129"/>
        <v>5.5929921649114952E-4</v>
      </c>
      <c r="F193" s="3">
        <f t="shared" si="129"/>
        <v>5.5929921649114952E-4</v>
      </c>
      <c r="G193" s="3">
        <f t="shared" si="129"/>
        <v>5.5929921649114952E-4</v>
      </c>
      <c r="H193" s="3">
        <f t="shared" si="129"/>
        <v>5.5929921649114952E-4</v>
      </c>
      <c r="I193" s="3">
        <f t="shared" si="129"/>
        <v>5.5929921649114952E-4</v>
      </c>
      <c r="J193" s="3">
        <f t="shared" si="129"/>
        <v>5.5929921649114952E-4</v>
      </c>
      <c r="K193" s="3">
        <f t="shared" si="129"/>
        <v>5.5929921649114952E-4</v>
      </c>
      <c r="L193" s="3">
        <f t="shared" si="129"/>
        <v>5.5929921649114952E-4</v>
      </c>
      <c r="M193" s="3">
        <f t="shared" si="129"/>
        <v>5.5929921649114952E-4</v>
      </c>
      <c r="N193" s="3">
        <f t="shared" si="129"/>
        <v>5.5929921649114952E-4</v>
      </c>
      <c r="O193" s="3">
        <f t="shared" si="129"/>
        <v>5.5929921649114952E-4</v>
      </c>
      <c r="P193" s="3">
        <f t="shared" si="129"/>
        <v>5.5929921649114952E-4</v>
      </c>
      <c r="Q193" s="3">
        <f t="shared" si="129"/>
        <v>5.5929921649114952E-4</v>
      </c>
      <c r="R193" s="3">
        <f t="shared" si="129"/>
        <v>5.5929921649114952E-4</v>
      </c>
      <c r="S193" s="3">
        <f t="shared" si="129"/>
        <v>5.5929921649114952E-4</v>
      </c>
      <c r="T193" s="3">
        <f t="shared" si="129"/>
        <v>5.5929921649114952E-4</v>
      </c>
      <c r="U193" s="3">
        <f t="shared" si="129"/>
        <v>5.5929921649114952E-4</v>
      </c>
      <c r="V193" s="3">
        <f t="shared" si="129"/>
        <v>5.5929921649114952E-4</v>
      </c>
      <c r="W193" s="3">
        <f t="shared" si="129"/>
        <v>5.5929921649114952E-4</v>
      </c>
      <c r="X193" s="3">
        <f t="shared" si="129"/>
        <v>5.5929921649114952E-4</v>
      </c>
      <c r="Y193" s="3">
        <f t="shared" si="129"/>
        <v>5.5929921649114952E-4</v>
      </c>
      <c r="Z193" s="3">
        <f t="shared" si="129"/>
        <v>5.5929921649114952E-4</v>
      </c>
      <c r="AA193" s="3">
        <f t="shared" si="129"/>
        <v>5.5929921649114952E-4</v>
      </c>
      <c r="AB193" s="3">
        <f t="shared" si="129"/>
        <v>5.5929921649114952E-4</v>
      </c>
      <c r="AC193" s="3">
        <f t="shared" si="129"/>
        <v>5.5929921649114942E-4</v>
      </c>
      <c r="AD193" s="3">
        <f t="shared" si="129"/>
        <v>5.5929921649114898E-4</v>
      </c>
      <c r="AE193" s="3">
        <f t="shared" si="129"/>
        <v>5.5929921649114421E-4</v>
      </c>
      <c r="AF193" s="3">
        <f t="shared" si="129"/>
        <v>5.5929921649109683E-4</v>
      </c>
      <c r="AG193" s="3"/>
      <c r="AH193" s="3"/>
    </row>
    <row r="194" spans="1:34" x14ac:dyDescent="0.25">
      <c r="B194" s="3">
        <f t="shared" ref="B194:AF194" si="130">$C41*EXP(-B$168/$A41/EXP(-$C$126))</f>
        <v>0</v>
      </c>
      <c r="C194" s="3">
        <f t="shared" si="130"/>
        <v>0</v>
      </c>
      <c r="D194" s="3">
        <f t="shared" si="130"/>
        <v>0</v>
      </c>
      <c r="E194" s="3">
        <f t="shared" si="130"/>
        <v>0</v>
      </c>
      <c r="F194" s="3">
        <f t="shared" si="130"/>
        <v>0</v>
      </c>
      <c r="G194" s="3">
        <f t="shared" si="130"/>
        <v>0</v>
      </c>
      <c r="H194" s="3">
        <f t="shared" si="130"/>
        <v>0</v>
      </c>
      <c r="I194" s="3">
        <f t="shared" si="130"/>
        <v>0</v>
      </c>
      <c r="J194" s="3">
        <f t="shared" si="130"/>
        <v>0</v>
      </c>
      <c r="K194" s="3">
        <f t="shared" si="130"/>
        <v>0</v>
      </c>
      <c r="L194" s="3">
        <f t="shared" si="130"/>
        <v>0</v>
      </c>
      <c r="M194" s="3">
        <f t="shared" si="130"/>
        <v>0</v>
      </c>
      <c r="N194" s="3">
        <f t="shared" si="130"/>
        <v>0</v>
      </c>
      <c r="O194" s="3">
        <f t="shared" si="130"/>
        <v>0</v>
      </c>
      <c r="P194" s="3">
        <f t="shared" si="130"/>
        <v>0</v>
      </c>
      <c r="Q194" s="3">
        <f t="shared" si="130"/>
        <v>0</v>
      </c>
      <c r="R194" s="3">
        <f t="shared" si="130"/>
        <v>0</v>
      </c>
      <c r="S194" s="3">
        <f t="shared" si="130"/>
        <v>0</v>
      </c>
      <c r="T194" s="3">
        <f t="shared" si="130"/>
        <v>0</v>
      </c>
      <c r="U194" s="3">
        <f t="shared" si="130"/>
        <v>0</v>
      </c>
      <c r="V194" s="3">
        <f t="shared" si="130"/>
        <v>0</v>
      </c>
      <c r="W194" s="3">
        <f t="shared" si="130"/>
        <v>0</v>
      </c>
      <c r="X194" s="3">
        <f t="shared" si="130"/>
        <v>0</v>
      </c>
      <c r="Y194" s="3">
        <f t="shared" si="130"/>
        <v>0</v>
      </c>
      <c r="Z194" s="3">
        <f t="shared" si="130"/>
        <v>0</v>
      </c>
      <c r="AA194" s="3">
        <f t="shared" si="130"/>
        <v>0</v>
      </c>
      <c r="AB194" s="3">
        <f t="shared" si="130"/>
        <v>0</v>
      </c>
      <c r="AC194" s="3">
        <f t="shared" si="130"/>
        <v>0</v>
      </c>
      <c r="AD194" s="3">
        <f t="shared" si="130"/>
        <v>0</v>
      </c>
      <c r="AE194" s="3">
        <f t="shared" si="130"/>
        <v>0</v>
      </c>
      <c r="AF194" s="3">
        <f t="shared" si="130"/>
        <v>0</v>
      </c>
      <c r="AG194" s="3"/>
      <c r="AH194" s="3"/>
    </row>
    <row r="195" spans="1:34" x14ac:dyDescent="0.25">
      <c r="B195" s="3">
        <f t="shared" ref="B195:AF195" si="131">$C42*EXP(-B$168/$A42/EXP(-$C$126))</f>
        <v>1.7201579278298637E-4</v>
      </c>
      <c r="C195" s="3">
        <f t="shared" si="131"/>
        <v>1.7201579278298637E-4</v>
      </c>
      <c r="D195" s="3">
        <f t="shared" si="131"/>
        <v>1.7201579278298637E-4</v>
      </c>
      <c r="E195" s="3">
        <f t="shared" si="131"/>
        <v>1.7201579278298637E-4</v>
      </c>
      <c r="F195" s="3">
        <f t="shared" si="131"/>
        <v>1.7201579278298637E-4</v>
      </c>
      <c r="G195" s="3">
        <f t="shared" si="131"/>
        <v>1.7201579278298637E-4</v>
      </c>
      <c r="H195" s="3">
        <f t="shared" si="131"/>
        <v>1.7201579278298637E-4</v>
      </c>
      <c r="I195" s="3">
        <f t="shared" si="131"/>
        <v>1.7201579278298637E-4</v>
      </c>
      <c r="J195" s="3">
        <f t="shared" si="131"/>
        <v>1.7201579278298637E-4</v>
      </c>
      <c r="K195" s="3">
        <f t="shared" si="131"/>
        <v>1.7201579278298637E-4</v>
      </c>
      <c r="L195" s="3">
        <f t="shared" si="131"/>
        <v>1.7201579278298637E-4</v>
      </c>
      <c r="M195" s="3">
        <f t="shared" si="131"/>
        <v>1.7201579278298637E-4</v>
      </c>
      <c r="N195" s="3">
        <f t="shared" si="131"/>
        <v>1.7201579278298637E-4</v>
      </c>
      <c r="O195" s="3">
        <f t="shared" si="131"/>
        <v>1.7201579278298637E-4</v>
      </c>
      <c r="P195" s="3">
        <f t="shared" si="131"/>
        <v>1.7201579278298637E-4</v>
      </c>
      <c r="Q195" s="3">
        <f t="shared" si="131"/>
        <v>1.7201579278298637E-4</v>
      </c>
      <c r="R195" s="3">
        <f t="shared" si="131"/>
        <v>1.7201579278298637E-4</v>
      </c>
      <c r="S195" s="3">
        <f t="shared" si="131"/>
        <v>1.7201579278298637E-4</v>
      </c>
      <c r="T195" s="3">
        <f t="shared" si="131"/>
        <v>1.7201579278298637E-4</v>
      </c>
      <c r="U195" s="3">
        <f t="shared" si="131"/>
        <v>1.7201579278298637E-4</v>
      </c>
      <c r="V195" s="3">
        <f t="shared" si="131"/>
        <v>1.7201579278298637E-4</v>
      </c>
      <c r="W195" s="3">
        <f t="shared" si="131"/>
        <v>1.7201579278298637E-4</v>
      </c>
      <c r="X195" s="3">
        <f t="shared" si="131"/>
        <v>1.7201579278298637E-4</v>
      </c>
      <c r="Y195" s="3">
        <f t="shared" si="131"/>
        <v>1.7201579278298637E-4</v>
      </c>
      <c r="Z195" s="3">
        <f t="shared" si="131"/>
        <v>1.7201579278298637E-4</v>
      </c>
      <c r="AA195" s="3">
        <f t="shared" si="131"/>
        <v>1.7201579278298637E-4</v>
      </c>
      <c r="AB195" s="3">
        <f t="shared" si="131"/>
        <v>1.7201579278298637E-4</v>
      </c>
      <c r="AC195" s="3">
        <f t="shared" si="131"/>
        <v>1.7201579278298637E-4</v>
      </c>
      <c r="AD195" s="3">
        <f t="shared" si="131"/>
        <v>1.7201579278298637E-4</v>
      </c>
      <c r="AE195" s="3">
        <f t="shared" si="131"/>
        <v>1.7201579278298634E-4</v>
      </c>
      <c r="AF195" s="3">
        <f t="shared" si="131"/>
        <v>1.720157927829862E-4</v>
      </c>
      <c r="AG195" s="3"/>
      <c r="AH195" s="3"/>
    </row>
    <row r="196" spans="1:34" x14ac:dyDescent="0.25">
      <c r="B196" s="3">
        <f t="shared" ref="B196:AF196" si="132">$C43*EXP(-B$168/$A43/EXP(-$C$126))</f>
        <v>1.7468461922378131E-4</v>
      </c>
      <c r="C196" s="3">
        <f t="shared" si="132"/>
        <v>1.7468461922378131E-4</v>
      </c>
      <c r="D196" s="3">
        <f t="shared" si="132"/>
        <v>1.7468461922378131E-4</v>
      </c>
      <c r="E196" s="3">
        <f t="shared" si="132"/>
        <v>1.7468461922378131E-4</v>
      </c>
      <c r="F196" s="3">
        <f t="shared" si="132"/>
        <v>1.7468461922378131E-4</v>
      </c>
      <c r="G196" s="3">
        <f t="shared" si="132"/>
        <v>1.7468461922378131E-4</v>
      </c>
      <c r="H196" s="3">
        <f t="shared" si="132"/>
        <v>1.7468461922378131E-4</v>
      </c>
      <c r="I196" s="3">
        <f t="shared" si="132"/>
        <v>1.7468461922378131E-4</v>
      </c>
      <c r="J196" s="3">
        <f t="shared" si="132"/>
        <v>1.7468461922378131E-4</v>
      </c>
      <c r="K196" s="3">
        <f t="shared" si="132"/>
        <v>1.7468461922378131E-4</v>
      </c>
      <c r="L196" s="3">
        <f t="shared" si="132"/>
        <v>1.7468461922378131E-4</v>
      </c>
      <c r="M196" s="3">
        <f t="shared" si="132"/>
        <v>1.7468461922378131E-4</v>
      </c>
      <c r="N196" s="3">
        <f t="shared" si="132"/>
        <v>1.7468461922378131E-4</v>
      </c>
      <c r="O196" s="3">
        <f t="shared" si="132"/>
        <v>1.7468461922378131E-4</v>
      </c>
      <c r="P196" s="3">
        <f t="shared" si="132"/>
        <v>1.7468461922378131E-4</v>
      </c>
      <c r="Q196" s="3">
        <f t="shared" si="132"/>
        <v>1.7468461922378131E-4</v>
      </c>
      <c r="R196" s="3">
        <f t="shared" si="132"/>
        <v>1.7468461922378131E-4</v>
      </c>
      <c r="S196" s="3">
        <f t="shared" si="132"/>
        <v>1.7468461922378131E-4</v>
      </c>
      <c r="T196" s="3">
        <f t="shared" si="132"/>
        <v>1.7468461922378131E-4</v>
      </c>
      <c r="U196" s="3">
        <f t="shared" si="132"/>
        <v>1.7468461922378131E-4</v>
      </c>
      <c r="V196" s="3">
        <f t="shared" si="132"/>
        <v>1.7468461922378131E-4</v>
      </c>
      <c r="W196" s="3">
        <f t="shared" si="132"/>
        <v>1.7468461922378131E-4</v>
      </c>
      <c r="X196" s="3">
        <f t="shared" si="132"/>
        <v>1.7468461922378131E-4</v>
      </c>
      <c r="Y196" s="3">
        <f t="shared" si="132"/>
        <v>1.7468461922378131E-4</v>
      </c>
      <c r="Z196" s="3">
        <f t="shared" si="132"/>
        <v>1.7468461922378131E-4</v>
      </c>
      <c r="AA196" s="3">
        <f t="shared" si="132"/>
        <v>1.7468461922378131E-4</v>
      </c>
      <c r="AB196" s="3">
        <f t="shared" si="132"/>
        <v>1.7468461922378131E-4</v>
      </c>
      <c r="AC196" s="3">
        <f t="shared" si="132"/>
        <v>1.7468461922378131E-4</v>
      </c>
      <c r="AD196" s="3">
        <f t="shared" si="132"/>
        <v>1.7468461922378131E-4</v>
      </c>
      <c r="AE196" s="3">
        <f t="shared" si="132"/>
        <v>1.7468461922378131E-4</v>
      </c>
      <c r="AF196" s="3">
        <f t="shared" si="132"/>
        <v>1.7468461922378128E-4</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2.0999278642033111E-4</v>
      </c>
      <c r="C198" s="3">
        <f t="shared" si="134"/>
        <v>2.0999278642033111E-4</v>
      </c>
      <c r="D198" s="3">
        <f t="shared" si="134"/>
        <v>2.0999278642033111E-4</v>
      </c>
      <c r="E198" s="3">
        <f t="shared" si="134"/>
        <v>2.0999278642033111E-4</v>
      </c>
      <c r="F198" s="3">
        <f t="shared" si="134"/>
        <v>2.0999278642033111E-4</v>
      </c>
      <c r="G198" s="3">
        <f t="shared" si="134"/>
        <v>2.0999278642033111E-4</v>
      </c>
      <c r="H198" s="3">
        <f t="shared" si="134"/>
        <v>2.0999278642033111E-4</v>
      </c>
      <c r="I198" s="3">
        <f t="shared" si="134"/>
        <v>2.0999278642033111E-4</v>
      </c>
      <c r="J198" s="3">
        <f t="shared" si="134"/>
        <v>2.0999278642033111E-4</v>
      </c>
      <c r="K198" s="3">
        <f t="shared" si="134"/>
        <v>2.0999278642033111E-4</v>
      </c>
      <c r="L198" s="3">
        <f t="shared" si="134"/>
        <v>2.0999278642033111E-4</v>
      </c>
      <c r="M198" s="3">
        <f t="shared" si="134"/>
        <v>2.0999278642033111E-4</v>
      </c>
      <c r="N198" s="3">
        <f t="shared" si="134"/>
        <v>2.0999278642033111E-4</v>
      </c>
      <c r="O198" s="3">
        <f t="shared" si="134"/>
        <v>2.0999278642033111E-4</v>
      </c>
      <c r="P198" s="3">
        <f t="shared" si="134"/>
        <v>2.0999278642033111E-4</v>
      </c>
      <c r="Q198" s="3">
        <f t="shared" si="134"/>
        <v>2.0999278642033111E-4</v>
      </c>
      <c r="R198" s="3">
        <f t="shared" si="134"/>
        <v>2.0999278642033111E-4</v>
      </c>
      <c r="S198" s="3">
        <f t="shared" si="134"/>
        <v>2.0999278642033111E-4</v>
      </c>
      <c r="T198" s="3">
        <f t="shared" si="134"/>
        <v>2.0999278642033111E-4</v>
      </c>
      <c r="U198" s="3">
        <f t="shared" si="134"/>
        <v>2.0999278642033111E-4</v>
      </c>
      <c r="V198" s="3">
        <f t="shared" si="134"/>
        <v>2.0999278642033111E-4</v>
      </c>
      <c r="W198" s="3">
        <f t="shared" si="134"/>
        <v>2.0999278642033111E-4</v>
      </c>
      <c r="X198" s="3">
        <f t="shared" si="134"/>
        <v>2.0999278642033111E-4</v>
      </c>
      <c r="Y198" s="3">
        <f t="shared" si="134"/>
        <v>2.0999278642033111E-4</v>
      </c>
      <c r="Z198" s="3">
        <f t="shared" si="134"/>
        <v>2.0999278642033111E-4</v>
      </c>
      <c r="AA198" s="3">
        <f t="shared" si="134"/>
        <v>2.0999278642033111E-4</v>
      </c>
      <c r="AB198" s="3">
        <f t="shared" si="134"/>
        <v>2.0999278642033111E-4</v>
      </c>
      <c r="AC198" s="3">
        <f t="shared" si="134"/>
        <v>2.0999278642033111E-4</v>
      </c>
      <c r="AD198" s="3">
        <f t="shared" si="134"/>
        <v>2.0999278642033111E-4</v>
      </c>
      <c r="AE198" s="3">
        <f t="shared" si="134"/>
        <v>2.0999278642033111E-4</v>
      </c>
      <c r="AF198" s="3">
        <f t="shared" si="134"/>
        <v>2.0999278642033111E-4</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1.7320221207897527E-4</v>
      </c>
      <c r="C201" s="3">
        <f t="shared" si="137"/>
        <v>1.7320221207897527E-4</v>
      </c>
      <c r="D201" s="3">
        <f t="shared" si="137"/>
        <v>1.7320221207897527E-4</v>
      </c>
      <c r="E201" s="3">
        <f t="shared" si="137"/>
        <v>1.7320221207897527E-4</v>
      </c>
      <c r="F201" s="3">
        <f t="shared" si="137"/>
        <v>1.7320221207897527E-4</v>
      </c>
      <c r="G201" s="3">
        <f t="shared" si="137"/>
        <v>1.7320221207897527E-4</v>
      </c>
      <c r="H201" s="3">
        <f t="shared" si="137"/>
        <v>1.7320221207897527E-4</v>
      </c>
      <c r="I201" s="3">
        <f t="shared" si="137"/>
        <v>1.7320221207897527E-4</v>
      </c>
      <c r="J201" s="3">
        <f t="shared" si="137"/>
        <v>1.7320221207897527E-4</v>
      </c>
      <c r="K201" s="3">
        <f t="shared" si="137"/>
        <v>1.7320221207897527E-4</v>
      </c>
      <c r="L201" s="3">
        <f t="shared" si="137"/>
        <v>1.7320221207897527E-4</v>
      </c>
      <c r="M201" s="3">
        <f t="shared" si="137"/>
        <v>1.7320221207897527E-4</v>
      </c>
      <c r="N201" s="3">
        <f t="shared" si="137"/>
        <v>1.7320221207897527E-4</v>
      </c>
      <c r="O201" s="3">
        <f t="shared" si="137"/>
        <v>1.7320221207897527E-4</v>
      </c>
      <c r="P201" s="3">
        <f t="shared" si="137"/>
        <v>1.7320221207897527E-4</v>
      </c>
      <c r="Q201" s="3">
        <f t="shared" si="137"/>
        <v>1.7320221207897527E-4</v>
      </c>
      <c r="R201" s="3">
        <f t="shared" si="137"/>
        <v>1.7320221207897527E-4</v>
      </c>
      <c r="S201" s="3">
        <f t="shared" si="137"/>
        <v>1.7320221207897527E-4</v>
      </c>
      <c r="T201" s="3">
        <f t="shared" si="137"/>
        <v>1.7320221207897527E-4</v>
      </c>
      <c r="U201" s="3">
        <f t="shared" si="137"/>
        <v>1.7320221207897527E-4</v>
      </c>
      <c r="V201" s="3">
        <f t="shared" si="137"/>
        <v>1.7320221207897527E-4</v>
      </c>
      <c r="W201" s="3">
        <f t="shared" si="137"/>
        <v>1.7320221207897527E-4</v>
      </c>
      <c r="X201" s="3">
        <f t="shared" si="137"/>
        <v>1.7320221207897527E-4</v>
      </c>
      <c r="Y201" s="3">
        <f t="shared" si="137"/>
        <v>1.7320221207897527E-4</v>
      </c>
      <c r="Z201" s="3">
        <f t="shared" si="137"/>
        <v>1.7320221207897527E-4</v>
      </c>
      <c r="AA201" s="3">
        <f t="shared" si="137"/>
        <v>1.7320221207897527E-4</v>
      </c>
      <c r="AB201" s="3">
        <f t="shared" si="137"/>
        <v>1.7320221207897527E-4</v>
      </c>
      <c r="AC201" s="3">
        <f t="shared" si="137"/>
        <v>1.7320221207897527E-4</v>
      </c>
      <c r="AD201" s="3">
        <f t="shared" si="137"/>
        <v>1.7320221207897527E-4</v>
      </c>
      <c r="AE201" s="3">
        <f t="shared" si="137"/>
        <v>1.7320221207897527E-4</v>
      </c>
      <c r="AF201" s="3">
        <f t="shared" si="137"/>
        <v>1.7320221207897527E-4</v>
      </c>
      <c r="AG201" s="3"/>
      <c r="AH201" s="3"/>
    </row>
    <row r="202" spans="1:34" x14ac:dyDescent="0.25">
      <c r="A202" s="79">
        <f>AVERAGE(B202:AF202)</f>
        <v>7.4836277910891549E-2</v>
      </c>
      <c r="B202" s="80">
        <f>IF($A$64&lt;=B168,IF($B$64&gt;=B168,ABS((B170-B169)/B169),0),0)</f>
        <v>2.891838878446424E-3</v>
      </c>
      <c r="C202" s="80">
        <f t="shared" ref="C202:AF202" si="138">IF($A$64&lt;=C168,IF($B$64&gt;=C168,ABS((C170-C169)/C169),0),0)</f>
        <v>2.8998517352983874E-3</v>
      </c>
      <c r="D202" s="80">
        <f t="shared" si="138"/>
        <v>2.894821147057784E-3</v>
      </c>
      <c r="E202" s="80">
        <f t="shared" si="138"/>
        <v>2.8931725861068821E-3</v>
      </c>
      <c r="F202" s="80">
        <f t="shared" si="138"/>
        <v>2.8911419580923124E-3</v>
      </c>
      <c r="G202" s="80">
        <f t="shared" si="138"/>
        <v>2.8751693422461692E-3</v>
      </c>
      <c r="H202" s="80">
        <f t="shared" si="138"/>
        <v>2.7182238043645976E-3</v>
      </c>
      <c r="I202" s="80">
        <f t="shared" si="138"/>
        <v>1.203185103857372E-3</v>
      </c>
      <c r="J202" s="80">
        <f t="shared" si="138"/>
        <v>1.0949501507578745E-2</v>
      </c>
      <c r="K202" s="80">
        <f t="shared" si="138"/>
        <v>4.0546541709915479E-2</v>
      </c>
      <c r="L202" s="80">
        <f t="shared" si="138"/>
        <v>6.1495749605975383E-2</v>
      </c>
      <c r="M202" s="80">
        <f t="shared" si="138"/>
        <v>8.2580546489854009E-2</v>
      </c>
      <c r="N202" s="80">
        <f t="shared" si="138"/>
        <v>0.10696827905564721</v>
      </c>
      <c r="O202" s="80">
        <f t="shared" si="138"/>
        <v>0.13070222848241614</v>
      </c>
      <c r="P202" s="80">
        <f t="shared" si="138"/>
        <v>0.12699797897411808</v>
      </c>
      <c r="Q202" s="80">
        <f t="shared" si="138"/>
        <v>7.8299900213408963E-2</v>
      </c>
      <c r="R202" s="80">
        <f t="shared" si="138"/>
        <v>0.23363067697300641</v>
      </c>
      <c r="S202" s="80">
        <f t="shared" si="138"/>
        <v>0.20705607139156132</v>
      </c>
      <c r="T202" s="80">
        <f t="shared" si="138"/>
        <v>0.1707725257539979</v>
      </c>
      <c r="U202" s="80">
        <f t="shared" si="138"/>
        <v>0.1030939330335524</v>
      </c>
      <c r="V202" s="80">
        <f t="shared" si="138"/>
        <v>6.1731113233120033E-3</v>
      </c>
      <c r="W202" s="80">
        <f t="shared" si="138"/>
        <v>7.7163746439970538E-2</v>
      </c>
      <c r="X202" s="80">
        <f t="shared" si="138"/>
        <v>8.5262754416579045E-2</v>
      </c>
      <c r="Y202" s="80">
        <f t="shared" si="138"/>
        <v>0.12146395965517774</v>
      </c>
      <c r="Z202" s="80">
        <f t="shared" si="138"/>
        <v>0.13664866447333041</v>
      </c>
      <c r="AA202" s="80">
        <f t="shared" si="138"/>
        <v>0.13649560701984401</v>
      </c>
      <c r="AB202" s="80">
        <f t="shared" si="138"/>
        <v>0.12434914274231187</v>
      </c>
      <c r="AC202" s="80">
        <f t="shared" si="138"/>
        <v>0.10383961921666439</v>
      </c>
      <c r="AD202" s="80">
        <f t="shared" si="138"/>
        <v>6.91416449919878E-2</v>
      </c>
      <c r="AE202" s="80">
        <f t="shared" si="138"/>
        <v>1.3964996526948778E-2</v>
      </c>
      <c r="AF202" s="80">
        <f t="shared" si="138"/>
        <v>7.1060030685009379E-2</v>
      </c>
    </row>
    <row r="203" spans="1:34" x14ac:dyDescent="0.25">
      <c r="B203" s="21">
        <f>(B170-B169)^2</f>
        <v>322.38742641509867</v>
      </c>
      <c r="C203" s="21">
        <f t="shared" ref="C203:AF203" si="139">(C170-C169)^2</f>
        <v>324.18168740953962</v>
      </c>
      <c r="D203" s="21">
        <f t="shared" si="139"/>
        <v>323.05463913024471</v>
      </c>
      <c r="E203" s="21">
        <f t="shared" si="139"/>
        <v>322.68572650264099</v>
      </c>
      <c r="F203" s="21">
        <f t="shared" si="139"/>
        <v>322.23160681223959</v>
      </c>
      <c r="G203" s="21">
        <f t="shared" si="139"/>
        <v>318.67078339344221</v>
      </c>
      <c r="H203" s="21">
        <f t="shared" si="139"/>
        <v>284.74041205708721</v>
      </c>
      <c r="I203" s="21">
        <f t="shared" si="139"/>
        <v>55.619239336880476</v>
      </c>
      <c r="J203" s="21">
        <f t="shared" si="139"/>
        <v>4496.1852005332676</v>
      </c>
      <c r="K203" s="21">
        <f t="shared" si="139"/>
        <v>58196.752908663482</v>
      </c>
      <c r="L203" s="21">
        <f t="shared" si="139"/>
        <v>128636.72669294248</v>
      </c>
      <c r="M203" s="21">
        <f t="shared" si="139"/>
        <v>223006.74234997851</v>
      </c>
      <c r="N203" s="21">
        <f t="shared" si="139"/>
        <v>357634.10920623696</v>
      </c>
      <c r="O203" s="21">
        <f t="shared" si="139"/>
        <v>508440.69947559712</v>
      </c>
      <c r="P203" s="21">
        <f t="shared" si="139"/>
        <v>453566.92121812125</v>
      </c>
      <c r="Q203" s="21">
        <f t="shared" si="139"/>
        <v>161867.02919440414</v>
      </c>
      <c r="R203" s="21">
        <f t="shared" si="139"/>
        <v>1347538.8539708457</v>
      </c>
      <c r="S203" s="21">
        <f t="shared" si="139"/>
        <v>988560.43744751334</v>
      </c>
      <c r="T203" s="21">
        <f t="shared" si="139"/>
        <v>614868.75172361766</v>
      </c>
      <c r="U203" s="21">
        <f t="shared" si="139"/>
        <v>191461.60053975033</v>
      </c>
      <c r="V203" s="21">
        <f t="shared" si="139"/>
        <v>556.76420444612825</v>
      </c>
      <c r="W203" s="21">
        <f t="shared" si="139"/>
        <v>71300.16003356564</v>
      </c>
      <c r="X203" s="21">
        <f t="shared" si="139"/>
        <v>73586.398949190349</v>
      </c>
      <c r="Y203" s="21">
        <f t="shared" si="139"/>
        <v>128260.03468007388</v>
      </c>
      <c r="Z203" s="21">
        <f t="shared" si="139"/>
        <v>141917.86585718195</v>
      </c>
      <c r="AA203" s="21">
        <f t="shared" si="139"/>
        <v>124431.33934481186</v>
      </c>
      <c r="AB203" s="21">
        <f t="shared" si="139"/>
        <v>90679.566789644334</v>
      </c>
      <c r="AC203" s="21">
        <f t="shared" si="139"/>
        <v>54458.539888193322</v>
      </c>
      <c r="AD203" s="21">
        <f t="shared" si="139"/>
        <v>20402.542621233541</v>
      </c>
      <c r="AE203" s="21">
        <f t="shared" si="139"/>
        <v>678.4587792259681</v>
      </c>
      <c r="AF203" s="21">
        <f t="shared" si="139"/>
        <v>13603.167315387122</v>
      </c>
      <c r="AG203" s="3"/>
      <c r="AH203" s="3"/>
    </row>
    <row r="204" spans="1:34" x14ac:dyDescent="0.25">
      <c r="A204" s="71">
        <f>SUM(B204:AF204)</f>
        <v>5760423.2199122151</v>
      </c>
      <c r="B204" s="60">
        <f>IF($A$64&lt;=B168,IF($B$64&gt;=B168,ABS(B203),0),0)</f>
        <v>322.38742641509867</v>
      </c>
      <c r="C204" s="60">
        <f t="shared" ref="C204" si="140">IF($A$64&lt;=C168,IF($B$64&gt;=C168,ABS(C203),0),0)</f>
        <v>324.18168740953962</v>
      </c>
      <c r="D204" s="60">
        <f t="shared" ref="D204" si="141">IF($A$64&lt;=D168,IF($B$64&gt;=D168,ABS(D203),0),0)</f>
        <v>323.05463913024471</v>
      </c>
      <c r="E204" s="60">
        <f t="shared" ref="E204" si="142">IF($A$64&lt;=E168,IF($B$64&gt;=E168,ABS(E203),0),0)</f>
        <v>322.68572650264099</v>
      </c>
      <c r="F204" s="60">
        <f t="shared" ref="F204" si="143">IF($A$64&lt;=F168,IF($B$64&gt;=F168,ABS(F203),0),0)</f>
        <v>322.23160681223959</v>
      </c>
      <c r="G204" s="60">
        <f t="shared" ref="G204" si="144">IF($A$64&lt;=G168,IF($B$64&gt;=G168,ABS(G203),0),0)</f>
        <v>318.67078339344221</v>
      </c>
      <c r="H204" s="60">
        <f t="shared" ref="H204" si="145">IF($A$64&lt;=H168,IF($B$64&gt;=H168,ABS(H203),0),0)</f>
        <v>284.74041205708721</v>
      </c>
      <c r="I204" s="60">
        <f t="shared" ref="I204" si="146">IF($A$64&lt;=I168,IF($B$64&gt;=I168,ABS(I203),0),0)</f>
        <v>55.619239336880476</v>
      </c>
      <c r="J204" s="60">
        <f t="shared" ref="J204" si="147">IF($A$64&lt;=J168,IF($B$64&gt;=J168,ABS(J203),0),0)</f>
        <v>4496.1852005332676</v>
      </c>
      <c r="K204" s="60">
        <f t="shared" ref="K204" si="148">IF($A$64&lt;=K168,IF($B$64&gt;=K168,ABS(K203),0),0)</f>
        <v>58196.752908663482</v>
      </c>
      <c r="L204" s="60">
        <f t="shared" ref="L204" si="149">IF($A$64&lt;=L168,IF($B$64&gt;=L168,ABS(L203),0),0)</f>
        <v>128636.72669294248</v>
      </c>
      <c r="M204" s="60">
        <f t="shared" ref="M204" si="150">IF($A$64&lt;=M168,IF($B$64&gt;=M168,ABS(M203),0),0)</f>
        <v>223006.74234997851</v>
      </c>
      <c r="N204" s="60">
        <f t="shared" ref="N204" si="151">IF($A$64&lt;=N168,IF($B$64&gt;=N168,ABS(N203),0),0)</f>
        <v>357634.10920623696</v>
      </c>
      <c r="O204" s="60">
        <f t="shared" ref="O204" si="152">IF($A$64&lt;=O168,IF($B$64&gt;=O168,ABS(O203),0),0)</f>
        <v>508440.69947559712</v>
      </c>
      <c r="P204" s="60">
        <f t="shared" ref="P204" si="153">IF($A$64&lt;=P168,IF($B$64&gt;=P168,ABS(P203),0),0)</f>
        <v>453566.92121812125</v>
      </c>
      <c r="Q204" s="60">
        <f t="shared" ref="Q204" si="154">IF($A$64&lt;=Q168,IF($B$64&gt;=Q168,ABS(Q203),0),0)</f>
        <v>161867.02919440414</v>
      </c>
      <c r="R204" s="60">
        <f t="shared" ref="R204" si="155">IF($A$64&lt;=R168,IF($B$64&gt;=R168,ABS(R203),0),0)</f>
        <v>1347538.8539708457</v>
      </c>
      <c r="S204" s="60">
        <f t="shared" ref="S204" si="156">IF($A$64&lt;=S168,IF($B$64&gt;=S168,ABS(S203),0),0)</f>
        <v>988560.43744751334</v>
      </c>
      <c r="T204" s="60">
        <f t="shared" ref="T204" si="157">IF($A$64&lt;=T168,IF($B$64&gt;=T168,ABS(T203),0),0)</f>
        <v>614868.75172361766</v>
      </c>
      <c r="U204" s="60">
        <f t="shared" ref="U204" si="158">IF($A$64&lt;=U168,IF($B$64&gt;=U168,ABS(U203),0),0)</f>
        <v>191461.60053975033</v>
      </c>
      <c r="V204" s="60">
        <f t="shared" ref="V204" si="159">IF($A$64&lt;=V168,IF($B$64&gt;=V168,ABS(V203),0),0)</f>
        <v>556.76420444612825</v>
      </c>
      <c r="W204" s="60">
        <f t="shared" ref="W204" si="160">IF($A$64&lt;=W168,IF($B$64&gt;=W168,ABS(W203),0),0)</f>
        <v>71300.16003356564</v>
      </c>
      <c r="X204" s="60">
        <f t="shared" ref="X204" si="161">IF($A$64&lt;=X168,IF($B$64&gt;=X168,ABS(X203),0),0)</f>
        <v>73586.398949190349</v>
      </c>
      <c r="Y204" s="60">
        <f t="shared" ref="Y204" si="162">IF($A$64&lt;=Y168,IF($B$64&gt;=Y168,ABS(Y203),0),0)</f>
        <v>128260.03468007388</v>
      </c>
      <c r="Z204" s="60">
        <f t="shared" ref="Z204" si="163">IF($A$64&lt;=Z168,IF($B$64&gt;=Z168,ABS(Z203),0),0)</f>
        <v>141917.86585718195</v>
      </c>
      <c r="AA204" s="60">
        <f t="shared" ref="AA204" si="164">IF($A$64&lt;=AA168,IF($B$64&gt;=AA168,ABS(AA203),0),0)</f>
        <v>124431.33934481186</v>
      </c>
      <c r="AB204" s="60">
        <f t="shared" ref="AB204" si="165">IF($A$64&lt;=AB168,IF($B$64&gt;=AB168,ABS(AB203),0),0)</f>
        <v>90679.566789644334</v>
      </c>
      <c r="AC204" s="60">
        <f t="shared" ref="AC204" si="166">IF($A$64&lt;=AC168,IF($B$64&gt;=AC168,ABS(AC203),0),0)</f>
        <v>54458.539888193322</v>
      </c>
      <c r="AD204" s="60">
        <f t="shared" ref="AD204" si="167">IF($A$64&lt;=AD168,IF($B$64&gt;=AD168,ABS(AD203),0),0)</f>
        <v>20402.542621233541</v>
      </c>
      <c r="AE204" s="60">
        <f t="shared" ref="AE204" si="168">IF($A$64&lt;=AE168,IF($B$64&gt;=AE168,ABS(AE203),0),0)</f>
        <v>678.4587792259681</v>
      </c>
      <c r="AF204" s="60">
        <f t="shared" ref="AF204" si="169">IF($A$64&lt;=AF168,IF($B$64&gt;=AF168,ABS(AF203),0),0)</f>
        <v>13603.167315387122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6190.94782109273</v>
      </c>
      <c r="C208" s="26">
        <f>INDEX(Comparison!$AM$3:$AS$33,G$14,$D$122)</f>
        <v>6190.9909456828163</v>
      </c>
      <c r="D208" s="26">
        <f>INDEX(Comparison!$AM$3:$AS$33,H$14,$D$122)</f>
        <v>6190.9010614872959</v>
      </c>
      <c r="E208" s="26">
        <f>INDEX(Comparison!$AM$3:$AS$33,I$14,$D$122)</f>
        <v>6190.3012651957024</v>
      </c>
      <c r="F208" s="26">
        <f>INDEX(Comparison!$AM$3:$AS$33,J$14,$D$122)</f>
        <v>6184.546733156315</v>
      </c>
      <c r="G208" s="26">
        <f>INDEX(Comparison!$AM$3:$AS$33,K$14,$D$122)</f>
        <v>6134.9569154421024</v>
      </c>
      <c r="H208" s="26">
        <f>INDEX(Comparison!$AM$3:$AS$33,L$14,$D$122)</f>
        <v>5960.1402034772782</v>
      </c>
      <c r="I208" s="26">
        <f>INDEX(Comparison!$AM$3:$AS$33,M$14,$D$122)</f>
        <v>5837.5204894884346</v>
      </c>
      <c r="J208" s="26">
        <f>INDEX(Comparison!$AM$3:$AS$33,N$14,$D$122)</f>
        <v>5726.4044877419674</v>
      </c>
      <c r="K208" s="26">
        <f>INDEX(Comparison!$AM$3:$AS$33,O$14,$D$122)</f>
        <v>5600.4012933944368</v>
      </c>
      <c r="L208" s="26">
        <f>INDEX(Comparison!$AM$3:$AS$33,P$14,$D$122)</f>
        <v>5468.7266553730897</v>
      </c>
      <c r="M208" s="26">
        <f>INDEX(Comparison!$AM$3:$AS$33,Q$14,$D$122)</f>
        <v>5319.6907361616632</v>
      </c>
      <c r="N208" s="26">
        <f>INDEX(Comparison!$AM$3:$AS$33,R$14,$D$122)</f>
        <v>5157.813288998067</v>
      </c>
      <c r="O208" s="26">
        <f>INDEX(Comparison!$AM$3:$AS$33,S$14,$D$122)</f>
        <v>4988.4254277432274</v>
      </c>
      <c r="P208" s="26">
        <f>INDEX(Comparison!$AM$3:$AS$33,T$14,$D$122)</f>
        <v>4826.1776287086414</v>
      </c>
      <c r="Q208" s="26">
        <f>INDEX(Comparison!$AM$3:$AS$33,U$14,$D$122)</f>
        <v>4657.2476007324067</v>
      </c>
      <c r="R208" s="26">
        <f>INDEX(Comparison!$AM$3:$AS$33,V$14,$D$122)</f>
        <v>4447.8021820917502</v>
      </c>
      <c r="S208" s="26">
        <f>INDEX(Comparison!$AM$3:$AS$33,W$14,$D$122)</f>
        <v>4189.6330379426572</v>
      </c>
      <c r="T208" s="26">
        <f>INDEX(Comparison!$AM$3:$AS$33,X$14,$D$122)</f>
        <v>3869.887397775818</v>
      </c>
      <c r="U208" s="26">
        <f>INDEX(Comparison!$AM$3:$AS$33,Y$14,$D$122)</f>
        <v>3525.2708334642716</v>
      </c>
      <c r="V208" s="26">
        <f>INDEX(Comparison!$AM$3:$AS$33,Z$14,$D$122)</f>
        <v>3199.7360053237758</v>
      </c>
      <c r="W208" s="26">
        <f>INDEX(Comparison!$AM$3:$AS$33,AA$14,$D$122)</f>
        <v>2935.0143216958841</v>
      </c>
      <c r="X208" s="26">
        <f>INDEX(Comparison!$AM$3:$AS$33,AB$14,$D$122)</f>
        <v>2710.2185258489567</v>
      </c>
      <c r="Y208" s="26">
        <f>INDEX(Comparison!$AM$3:$AS$33,AC$14,$D$122)</f>
        <v>2516.1939727894755</v>
      </c>
      <c r="Z208" s="26">
        <f>INDEX(Comparison!$AM$3:$AS$33,AD$14,$D$122)</f>
        <v>2320.7205267001218</v>
      </c>
      <c r="AA208" s="26">
        <f>INDEX(Comparison!$AM$3:$AS$33,AE$14,$D$122)</f>
        <v>2127.9207460173989</v>
      </c>
      <c r="AB208" s="26">
        <f>INDEX(Comparison!$AM$3:$AS$33,AF$14,$D$122)</f>
        <v>1922.2915507959665</v>
      </c>
      <c r="AC208" s="26">
        <f>INDEX(Comparison!$AM$3:$AS$33,AG$14,$D$122)</f>
        <v>1699.2357565810794</v>
      </c>
      <c r="AD208" s="26">
        <f>INDEX(Comparison!$AM$3:$AS$33,AH$14,$D$122)</f>
        <v>1442.431856366361</v>
      </c>
      <c r="AE208" s="26">
        <f>INDEX(Comparison!$AM$3:$AS$33,AI$14,$D$122)</f>
        <v>1152.6742388142764</v>
      </c>
      <c r="AF208" s="26">
        <f>INDEX(Comparison!$AM$3:$AS$33,AJ$14,$D$122)</f>
        <v>856.60079316828069</v>
      </c>
      <c r="AG208" s="26"/>
      <c r="AH208" s="26"/>
    </row>
    <row r="209" spans="1:34" x14ac:dyDescent="0.25">
      <c r="A209" s="70" t="s">
        <v>22</v>
      </c>
      <c r="B209" s="27">
        <f>($C$17+SUM(B210:B240))*$B$51</f>
        <v>6190.9489999996831</v>
      </c>
      <c r="C209" s="27">
        <f t="shared" ref="C209:AF209" si="170">($C$17+SUM(C210:C240))*$B$51</f>
        <v>6190.9489999968582</v>
      </c>
      <c r="D209" s="27">
        <f t="shared" si="170"/>
        <v>6190.9489999686084</v>
      </c>
      <c r="E209" s="27">
        <f t="shared" si="170"/>
        <v>6190.9489996861121</v>
      </c>
      <c r="F209" s="27">
        <f t="shared" si="170"/>
        <v>6190.9489968611497</v>
      </c>
      <c r="G209" s="27">
        <f t="shared" si="170"/>
        <v>6190.9489686115257</v>
      </c>
      <c r="H209" s="27">
        <f t="shared" si="170"/>
        <v>6190.9486861153</v>
      </c>
      <c r="I209" s="27">
        <f t="shared" si="170"/>
        <v>6190.9458611548926</v>
      </c>
      <c r="J209" s="27">
        <f t="shared" si="170"/>
        <v>6190.9176117349753</v>
      </c>
      <c r="K209" s="27">
        <f t="shared" si="170"/>
        <v>6190.6351359515138</v>
      </c>
      <c r="L209" s="27">
        <f t="shared" si="170"/>
        <v>6187.812218880742</v>
      </c>
      <c r="M209" s="27">
        <f t="shared" si="170"/>
        <v>6159.7663198116197</v>
      </c>
      <c r="N209" s="27">
        <f t="shared" si="170"/>
        <v>5896.8555774313099</v>
      </c>
      <c r="O209" s="27">
        <f t="shared" si="170"/>
        <v>4446.215125157687</v>
      </c>
      <c r="P209" s="27">
        <f t="shared" si="170"/>
        <v>3807.6543923885638</v>
      </c>
      <c r="Q209" s="27">
        <f t="shared" si="170"/>
        <v>3807.6385447795524</v>
      </c>
      <c r="R209" s="27">
        <f t="shared" si="170"/>
        <v>3807.5255272028849</v>
      </c>
      <c r="S209" s="27">
        <f t="shared" si="170"/>
        <v>3806.3971796357246</v>
      </c>
      <c r="T209" s="27">
        <f t="shared" si="170"/>
        <v>3795.294491637118</v>
      </c>
      <c r="U209" s="27">
        <f t="shared" si="170"/>
        <v>3700.4747945833319</v>
      </c>
      <c r="V209" s="27">
        <f t="shared" si="170"/>
        <v>3423.6162429109118</v>
      </c>
      <c r="W209" s="27">
        <f t="shared" si="170"/>
        <v>3285.9331116283715</v>
      </c>
      <c r="X209" s="27">
        <f t="shared" si="170"/>
        <v>3106.2337860516373</v>
      </c>
      <c r="Y209" s="27">
        <f t="shared" si="170"/>
        <v>2906.1296921668695</v>
      </c>
      <c r="Z209" s="27">
        <f t="shared" si="170"/>
        <v>2687.6324882719846</v>
      </c>
      <c r="AA209" s="27">
        <f t="shared" si="170"/>
        <v>2439.8325999237618</v>
      </c>
      <c r="AB209" s="27">
        <f t="shared" si="170"/>
        <v>2161.6054642907366</v>
      </c>
      <c r="AC209" s="27">
        <f t="shared" si="170"/>
        <v>1834.9667981692005</v>
      </c>
      <c r="AD209" s="27">
        <f t="shared" si="170"/>
        <v>1461.3532101135295</v>
      </c>
      <c r="AE209" s="27">
        <f t="shared" si="170"/>
        <v>1080.2846356441742</v>
      </c>
      <c r="AF209" s="27">
        <f t="shared" si="170"/>
        <v>758.43418366115031</v>
      </c>
      <c r="AG209" s="27"/>
      <c r="AH209" s="27"/>
    </row>
    <row r="210" spans="1:34" x14ac:dyDescent="0.25">
      <c r="B210" s="3">
        <f t="shared" ref="B210:AF210" si="171">$C18*EXP(-B$207/$A18/EXP(-$D$126))</f>
        <v>0.38496487301986493</v>
      </c>
      <c r="C210" s="3">
        <f t="shared" si="171"/>
        <v>0.38496487301940857</v>
      </c>
      <c r="D210" s="3">
        <f t="shared" si="171"/>
        <v>0.38496487301484555</v>
      </c>
      <c r="E210" s="3">
        <f t="shared" si="171"/>
        <v>0.384964872969215</v>
      </c>
      <c r="F210" s="3">
        <f t="shared" si="171"/>
        <v>0.38496487251290978</v>
      </c>
      <c r="G210" s="3">
        <f t="shared" si="171"/>
        <v>0.38496486794985763</v>
      </c>
      <c r="H210" s="3">
        <f t="shared" si="171"/>
        <v>0.38496482231933904</v>
      </c>
      <c r="I210" s="3">
        <f t="shared" si="171"/>
        <v>0.38496436601445017</v>
      </c>
      <c r="J210" s="3">
        <f t="shared" si="171"/>
        <v>0.38495980299530935</v>
      </c>
      <c r="K210" s="3">
        <f t="shared" si="171"/>
        <v>0.38491417577851961</v>
      </c>
      <c r="L210" s="3">
        <f t="shared" si="171"/>
        <v>0.38445820094207134</v>
      </c>
      <c r="M210" s="3">
        <f t="shared" si="171"/>
        <v>0.37992805573513405</v>
      </c>
      <c r="N210" s="3">
        <f t="shared" si="171"/>
        <v>0.337461104210171</v>
      </c>
      <c r="O210" s="3">
        <f t="shared" si="171"/>
        <v>0.10314479192335831</v>
      </c>
      <c r="P210" s="3">
        <f t="shared" si="171"/>
        <v>7.3397811803855875E-7</v>
      </c>
      <c r="Q210" s="3">
        <f t="shared" si="171"/>
        <v>2.4436623483413101E-58</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5.8157909381167036E-2</v>
      </c>
      <c r="C211" s="3">
        <f t="shared" si="172"/>
        <v>5.8157909381167036E-2</v>
      </c>
      <c r="D211" s="3">
        <f t="shared" si="172"/>
        <v>5.8157909381167036E-2</v>
      </c>
      <c r="E211" s="3">
        <f t="shared" si="172"/>
        <v>5.8157909381167036E-2</v>
      </c>
      <c r="F211" s="3">
        <f t="shared" si="172"/>
        <v>5.8157909381167015E-2</v>
      </c>
      <c r="G211" s="3">
        <f t="shared" si="172"/>
        <v>5.8157909381166842E-2</v>
      </c>
      <c r="H211" s="3">
        <f t="shared" si="172"/>
        <v>5.8157909381165072E-2</v>
      </c>
      <c r="I211" s="3">
        <f t="shared" si="172"/>
        <v>5.8157909381147413E-2</v>
      </c>
      <c r="J211" s="3">
        <f t="shared" si="172"/>
        <v>5.8157909380970832E-2</v>
      </c>
      <c r="K211" s="3">
        <f t="shared" si="172"/>
        <v>5.8157909379205022E-2</v>
      </c>
      <c r="L211" s="3">
        <f t="shared" si="172"/>
        <v>5.8157909361546876E-2</v>
      </c>
      <c r="M211" s="3">
        <f t="shared" si="172"/>
        <v>5.8157909184965446E-2</v>
      </c>
      <c r="N211" s="3">
        <f t="shared" si="172"/>
        <v>5.8157907419151181E-2</v>
      </c>
      <c r="O211" s="3">
        <f t="shared" si="172"/>
        <v>5.8157889761011425E-2</v>
      </c>
      <c r="P211" s="3">
        <f t="shared" si="172"/>
        <v>5.8157713179908761E-2</v>
      </c>
      <c r="Q211" s="3">
        <f t="shared" si="172"/>
        <v>5.8155947398369698E-2</v>
      </c>
      <c r="R211" s="3">
        <f t="shared" si="172"/>
        <v>5.8138292531401764E-2</v>
      </c>
      <c r="S211" s="3">
        <f t="shared" si="172"/>
        <v>5.7962038373038663E-2</v>
      </c>
      <c r="T211" s="3">
        <f t="shared" si="172"/>
        <v>5.6228619734180078E-2</v>
      </c>
      <c r="U211" s="3">
        <f t="shared" si="172"/>
        <v>4.1504496587222023E-2</v>
      </c>
      <c r="V211" s="3">
        <f t="shared" si="172"/>
        <v>1.9928399847447781E-3</v>
      </c>
      <c r="W211" s="3">
        <f t="shared" si="172"/>
        <v>1.2979118753355207E-16</v>
      </c>
      <c r="X211" s="3">
        <f t="shared" si="172"/>
        <v>1.782267890020949E-148</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1.8919132746280987E-2</v>
      </c>
      <c r="C212" s="3">
        <f t="shared" si="173"/>
        <v>1.8919132746280987E-2</v>
      </c>
      <c r="D212" s="3">
        <f t="shared" si="173"/>
        <v>1.8919132746280987E-2</v>
      </c>
      <c r="E212" s="3">
        <f t="shared" si="173"/>
        <v>1.8919132746280987E-2</v>
      </c>
      <c r="F212" s="3">
        <f t="shared" si="173"/>
        <v>1.8919132746280987E-2</v>
      </c>
      <c r="G212" s="3">
        <f t="shared" si="173"/>
        <v>1.891913274628098E-2</v>
      </c>
      <c r="H212" s="3">
        <f t="shared" si="173"/>
        <v>1.8919132746280931E-2</v>
      </c>
      <c r="I212" s="3">
        <f t="shared" si="173"/>
        <v>1.8919132746280411E-2</v>
      </c>
      <c r="J212" s="3">
        <f t="shared" si="173"/>
        <v>1.8919132746275231E-2</v>
      </c>
      <c r="K212" s="3">
        <f t="shared" si="173"/>
        <v>1.8919132746223411E-2</v>
      </c>
      <c r="L212" s="3">
        <f t="shared" si="173"/>
        <v>1.8919132745705228E-2</v>
      </c>
      <c r="M212" s="3">
        <f t="shared" si="173"/>
        <v>1.8919132740523387E-2</v>
      </c>
      <c r="N212" s="3">
        <f t="shared" si="173"/>
        <v>1.891913268870498E-2</v>
      </c>
      <c r="O212" s="3">
        <f t="shared" si="173"/>
        <v>1.8919132170520915E-2</v>
      </c>
      <c r="P212" s="3">
        <f t="shared" si="173"/>
        <v>1.8919126988681065E-2</v>
      </c>
      <c r="Q212" s="3">
        <f t="shared" si="173"/>
        <v>1.8919075170360629E-2</v>
      </c>
      <c r="R212" s="3">
        <f t="shared" si="173"/>
        <v>1.8918556994962182E-2</v>
      </c>
      <c r="S212" s="3">
        <f t="shared" si="173"/>
        <v>1.8913376021491707E-2</v>
      </c>
      <c r="T212" s="3">
        <f t="shared" si="173"/>
        <v>1.8861644259144238E-2</v>
      </c>
      <c r="U212" s="3">
        <f t="shared" si="173"/>
        <v>1.8352045429114869E-2</v>
      </c>
      <c r="V212" s="3">
        <f t="shared" si="173"/>
        <v>1.3955125168753751E-2</v>
      </c>
      <c r="W212" s="3">
        <f t="shared" si="173"/>
        <v>9.0204113322758718E-4</v>
      </c>
      <c r="X212" s="3">
        <f t="shared" si="173"/>
        <v>1.1485565924903243E-15</v>
      </c>
      <c r="Y212" s="3">
        <f t="shared" si="173"/>
        <v>1.2865094160658969E-134</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2.9962799778578724E-2</v>
      </c>
      <c r="C213" s="3">
        <f t="shared" si="174"/>
        <v>2.9962799778578724E-2</v>
      </c>
      <c r="D213" s="3">
        <f t="shared" si="174"/>
        <v>2.9962799778578724E-2</v>
      </c>
      <c r="E213" s="3">
        <f t="shared" si="174"/>
        <v>2.9962799778578724E-2</v>
      </c>
      <c r="F213" s="3">
        <f t="shared" si="174"/>
        <v>2.9962799778578724E-2</v>
      </c>
      <c r="G213" s="3">
        <f t="shared" si="174"/>
        <v>2.9962799778578724E-2</v>
      </c>
      <c r="H213" s="3">
        <f t="shared" si="174"/>
        <v>2.9962799778578717E-2</v>
      </c>
      <c r="I213" s="3">
        <f t="shared" si="174"/>
        <v>2.9962799778578641E-2</v>
      </c>
      <c r="J213" s="3">
        <f t="shared" si="174"/>
        <v>2.9962799778577902E-2</v>
      </c>
      <c r="K213" s="3">
        <f t="shared" si="174"/>
        <v>2.9962799778570498E-2</v>
      </c>
      <c r="L213" s="3">
        <f t="shared" si="174"/>
        <v>2.996279977849647E-2</v>
      </c>
      <c r="M213" s="3">
        <f t="shared" si="174"/>
        <v>2.996279977775616E-2</v>
      </c>
      <c r="N213" s="3">
        <f t="shared" si="174"/>
        <v>2.9962799770353092E-2</v>
      </c>
      <c r="O213" s="3">
        <f t="shared" si="174"/>
        <v>2.9962799696322401E-2</v>
      </c>
      <c r="P213" s="3">
        <f t="shared" si="174"/>
        <v>2.9962798956015474E-2</v>
      </c>
      <c r="Q213" s="3">
        <f t="shared" si="174"/>
        <v>2.9962791552947239E-2</v>
      </c>
      <c r="R213" s="3">
        <f t="shared" si="174"/>
        <v>2.9962717522365494E-2</v>
      </c>
      <c r="S213" s="3">
        <f t="shared" si="174"/>
        <v>2.9961977226608094E-2</v>
      </c>
      <c r="T213" s="3">
        <f t="shared" si="174"/>
        <v>2.9954575274945695E-2</v>
      </c>
      <c r="U213" s="3">
        <f t="shared" si="174"/>
        <v>2.9880656257585063E-2</v>
      </c>
      <c r="V213" s="3">
        <f t="shared" si="174"/>
        <v>2.9151424740047269E-2</v>
      </c>
      <c r="W213" s="3">
        <f t="shared" si="174"/>
        <v>2.2769648297621192E-2</v>
      </c>
      <c r="X213" s="3">
        <f t="shared" si="174"/>
        <v>1.9245167502130584E-3</v>
      </c>
      <c r="Y213" s="3">
        <f t="shared" si="174"/>
        <v>3.5807617358196949E-14</v>
      </c>
      <c r="Z213" s="3">
        <f t="shared" si="174"/>
        <v>1.780380012888114E-121</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3.3253137152511318E-2</v>
      </c>
      <c r="C214" s="3">
        <f t="shared" si="175"/>
        <v>3.3253137152511318E-2</v>
      </c>
      <c r="D214" s="3">
        <f t="shared" si="175"/>
        <v>3.3253137152511318E-2</v>
      </c>
      <c r="E214" s="3">
        <f t="shared" si="175"/>
        <v>3.3253137152511318E-2</v>
      </c>
      <c r="F214" s="3">
        <f t="shared" si="175"/>
        <v>3.3253137152511318E-2</v>
      </c>
      <c r="G214" s="3">
        <f t="shared" si="175"/>
        <v>3.3253137152511318E-2</v>
      </c>
      <c r="H214" s="3">
        <f t="shared" si="175"/>
        <v>3.3253137152511318E-2</v>
      </c>
      <c r="I214" s="3">
        <f t="shared" si="175"/>
        <v>3.3253137152511311E-2</v>
      </c>
      <c r="J214" s="3">
        <f t="shared" si="175"/>
        <v>3.3253137152511235E-2</v>
      </c>
      <c r="K214" s="3">
        <f t="shared" si="175"/>
        <v>3.3253137152510492E-2</v>
      </c>
      <c r="L214" s="3">
        <f t="shared" si="175"/>
        <v>3.3253137152503082E-2</v>
      </c>
      <c r="M214" s="3">
        <f t="shared" si="175"/>
        <v>3.3253137152428967E-2</v>
      </c>
      <c r="N214" s="3">
        <f t="shared" si="175"/>
        <v>3.325313715168781E-2</v>
      </c>
      <c r="O214" s="3">
        <f t="shared" si="175"/>
        <v>3.3253137144276274E-2</v>
      </c>
      <c r="P214" s="3">
        <f t="shared" si="175"/>
        <v>3.3253137070160838E-2</v>
      </c>
      <c r="Q214" s="3">
        <f t="shared" si="175"/>
        <v>3.3253136329006533E-2</v>
      </c>
      <c r="R214" s="3">
        <f t="shared" si="175"/>
        <v>3.3253128917464417E-2</v>
      </c>
      <c r="S214" s="3">
        <f t="shared" si="175"/>
        <v>3.3253054802134072E-2</v>
      </c>
      <c r="T214" s="3">
        <f t="shared" si="175"/>
        <v>3.3252313657915998E-2</v>
      </c>
      <c r="U214" s="3">
        <f t="shared" si="175"/>
        <v>3.3244903124198928E-2</v>
      </c>
      <c r="V214" s="3">
        <f t="shared" si="175"/>
        <v>3.3170888558519587E-2</v>
      </c>
      <c r="W214" s="3">
        <f t="shared" si="175"/>
        <v>3.243974563894781E-2</v>
      </c>
      <c r="X214" s="3">
        <f t="shared" si="175"/>
        <v>2.5958571530850797E-2</v>
      </c>
      <c r="Y214" s="3">
        <f t="shared" si="175"/>
        <v>2.794565469772001E-3</v>
      </c>
      <c r="Z214" s="3">
        <f t="shared" si="175"/>
        <v>5.8431801061529759E-13</v>
      </c>
      <c r="AA214" s="3">
        <f t="shared" si="175"/>
        <v>9.3325240293869088E-110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3.5952334962287925E-2</v>
      </c>
      <c r="C215" s="3">
        <f t="shared" si="176"/>
        <v>3.5952334962287925E-2</v>
      </c>
      <c r="D215" s="3">
        <f t="shared" si="176"/>
        <v>3.5952334962287925E-2</v>
      </c>
      <c r="E215" s="3">
        <f t="shared" si="176"/>
        <v>3.5952334962287925E-2</v>
      </c>
      <c r="F215" s="3">
        <f t="shared" si="176"/>
        <v>3.5952334962287925E-2</v>
      </c>
      <c r="G215" s="3">
        <f t="shared" si="176"/>
        <v>3.5952334962287925E-2</v>
      </c>
      <c r="H215" s="3">
        <f t="shared" si="176"/>
        <v>3.5952334962287925E-2</v>
      </c>
      <c r="I215" s="3">
        <f t="shared" si="176"/>
        <v>3.5952334962287925E-2</v>
      </c>
      <c r="J215" s="3">
        <f t="shared" si="176"/>
        <v>3.5952334962287918E-2</v>
      </c>
      <c r="K215" s="3">
        <f t="shared" si="176"/>
        <v>3.5952334962287842E-2</v>
      </c>
      <c r="L215" s="3">
        <f t="shared" si="176"/>
        <v>3.5952334962287121E-2</v>
      </c>
      <c r="M215" s="3">
        <f t="shared" si="176"/>
        <v>3.5952334962279897E-2</v>
      </c>
      <c r="N215" s="3">
        <f t="shared" si="176"/>
        <v>3.5952334962207608E-2</v>
      </c>
      <c r="O215" s="3">
        <f t="shared" si="176"/>
        <v>3.5952334961484755E-2</v>
      </c>
      <c r="P215" s="3">
        <f t="shared" si="176"/>
        <v>3.5952334954256232E-2</v>
      </c>
      <c r="Q215" s="3">
        <f t="shared" si="176"/>
        <v>3.5952334881970978E-2</v>
      </c>
      <c r="R215" s="3">
        <f t="shared" si="176"/>
        <v>3.595233415911845E-2</v>
      </c>
      <c r="S215" s="3">
        <f t="shared" si="176"/>
        <v>3.5952326930593977E-2</v>
      </c>
      <c r="T215" s="3">
        <f t="shared" si="176"/>
        <v>3.5952254645429213E-2</v>
      </c>
      <c r="U215" s="3">
        <f t="shared" si="176"/>
        <v>3.595153180177494E-2</v>
      </c>
      <c r="V215" s="3">
        <f t="shared" si="176"/>
        <v>3.5944304164512497E-2</v>
      </c>
      <c r="W215" s="3">
        <f t="shared" si="176"/>
        <v>3.5872107660490246E-2</v>
      </c>
      <c r="X215" s="3">
        <f t="shared" si="176"/>
        <v>3.5158070383080553E-2</v>
      </c>
      <c r="Y215" s="3">
        <f t="shared" si="176"/>
        <v>2.8754538391054768E-2</v>
      </c>
      <c r="Z215" s="3">
        <f t="shared" si="176"/>
        <v>3.8505262515879631E-3</v>
      </c>
      <c r="AA215" s="3">
        <f t="shared" si="176"/>
        <v>7.1393220638504231E-12</v>
      </c>
      <c r="AB215" s="3">
        <f t="shared" si="176"/>
        <v>3.4278817164578074E-99</v>
      </c>
      <c r="AC215" s="3">
        <f t="shared" si="176"/>
        <v>0</v>
      </c>
      <c r="AD215" s="3">
        <f t="shared" si="176"/>
        <v>0</v>
      </c>
      <c r="AE215" s="3">
        <f t="shared" si="176"/>
        <v>0</v>
      </c>
      <c r="AF215" s="3">
        <f t="shared" si="176"/>
        <v>0</v>
      </c>
      <c r="AG215" s="3"/>
      <c r="AH215" s="3"/>
    </row>
    <row r="216" spans="1:34" x14ac:dyDescent="0.25">
      <c r="B216" s="3">
        <f t="shared" ref="B216:AF216" si="177">$C24*EXP(-B$207/$A24/EXP(-$D$126))</f>
        <v>4.1559944347360683E-2</v>
      </c>
      <c r="C216" s="3">
        <f t="shared" si="177"/>
        <v>4.1559944347360683E-2</v>
      </c>
      <c r="D216" s="3">
        <f t="shared" si="177"/>
        <v>4.1559944347360683E-2</v>
      </c>
      <c r="E216" s="3">
        <f t="shared" si="177"/>
        <v>4.1559944347360683E-2</v>
      </c>
      <c r="F216" s="3">
        <f t="shared" si="177"/>
        <v>4.1559944347360683E-2</v>
      </c>
      <c r="G216" s="3">
        <f t="shared" si="177"/>
        <v>4.1559944347360683E-2</v>
      </c>
      <c r="H216" s="3">
        <f t="shared" si="177"/>
        <v>4.1559944347360683E-2</v>
      </c>
      <c r="I216" s="3">
        <f t="shared" si="177"/>
        <v>4.1559944347360683E-2</v>
      </c>
      <c r="J216" s="3">
        <f t="shared" si="177"/>
        <v>4.1559944347360683E-2</v>
      </c>
      <c r="K216" s="3">
        <f t="shared" si="177"/>
        <v>4.1559944347360676E-2</v>
      </c>
      <c r="L216" s="3">
        <f t="shared" si="177"/>
        <v>4.15599443473606E-2</v>
      </c>
      <c r="M216" s="3">
        <f t="shared" si="177"/>
        <v>4.1559944347359844E-2</v>
      </c>
      <c r="N216" s="3">
        <f t="shared" si="177"/>
        <v>4.1559944347352308E-2</v>
      </c>
      <c r="O216" s="3">
        <f t="shared" si="177"/>
        <v>4.1559944347276931E-2</v>
      </c>
      <c r="P216" s="3">
        <f t="shared" si="177"/>
        <v>4.1559944346523152E-2</v>
      </c>
      <c r="Q216" s="3">
        <f t="shared" si="177"/>
        <v>4.1559944338985362E-2</v>
      </c>
      <c r="R216" s="3">
        <f t="shared" si="177"/>
        <v>4.1559944263607436E-2</v>
      </c>
      <c r="S216" s="3">
        <f t="shared" si="177"/>
        <v>4.155994350982823E-2</v>
      </c>
      <c r="T216" s="3">
        <f t="shared" si="177"/>
        <v>4.1559935972036957E-2</v>
      </c>
      <c r="U216" s="3">
        <f t="shared" si="177"/>
        <v>4.155986059419936E-2</v>
      </c>
      <c r="V216" s="3">
        <f t="shared" si="177"/>
        <v>4.1559106823342643E-2</v>
      </c>
      <c r="W216" s="3">
        <f t="shared" si="177"/>
        <v>4.1551569866646987E-2</v>
      </c>
      <c r="X216" s="3">
        <f t="shared" si="177"/>
        <v>4.147627543641539E-2</v>
      </c>
      <c r="Y216" s="3">
        <f t="shared" si="177"/>
        <v>4.0730794627920446E-2</v>
      </c>
      <c r="Z216" s="3">
        <f t="shared" si="177"/>
        <v>3.3974589138869186E-2</v>
      </c>
      <c r="AA216" s="3">
        <f t="shared" si="177"/>
        <v>5.5394611183048744E-3</v>
      </c>
      <c r="AB216" s="3">
        <f t="shared" si="177"/>
        <v>7.3553029975996238E-11</v>
      </c>
      <c r="AC216" s="3">
        <f t="shared" si="177"/>
        <v>1.2529422771694283E-89</v>
      </c>
      <c r="AD216" s="3">
        <f t="shared" si="177"/>
        <v>0</v>
      </c>
      <c r="AE216" s="3">
        <f t="shared" si="177"/>
        <v>0</v>
      </c>
      <c r="AF216" s="3">
        <f t="shared" si="177"/>
        <v>0</v>
      </c>
      <c r="AG216" s="3"/>
      <c r="AH216" s="3"/>
    </row>
    <row r="217" spans="1:34" x14ac:dyDescent="0.25">
      <c r="B217" s="3">
        <f t="shared" ref="B217:AF217" si="178">$C25*EXP(-B$207/$A25/EXP(-$D$126))</f>
        <v>4.609677170559115E-2</v>
      </c>
      <c r="C217" s="3">
        <f t="shared" si="178"/>
        <v>4.609677170559115E-2</v>
      </c>
      <c r="D217" s="3">
        <f t="shared" si="178"/>
        <v>4.609677170559115E-2</v>
      </c>
      <c r="E217" s="3">
        <f t="shared" si="178"/>
        <v>4.609677170559115E-2</v>
      </c>
      <c r="F217" s="3">
        <f t="shared" si="178"/>
        <v>4.609677170559115E-2</v>
      </c>
      <c r="G217" s="3">
        <f t="shared" si="178"/>
        <v>4.609677170559115E-2</v>
      </c>
      <c r="H217" s="3">
        <f t="shared" si="178"/>
        <v>4.609677170559115E-2</v>
      </c>
      <c r="I217" s="3">
        <f t="shared" si="178"/>
        <v>4.609677170559115E-2</v>
      </c>
      <c r="J217" s="3">
        <f t="shared" si="178"/>
        <v>4.609677170559115E-2</v>
      </c>
      <c r="K217" s="3">
        <f t="shared" si="178"/>
        <v>4.609677170559115E-2</v>
      </c>
      <c r="L217" s="3">
        <f t="shared" si="178"/>
        <v>4.6096771705591143E-2</v>
      </c>
      <c r="M217" s="3">
        <f t="shared" si="178"/>
        <v>4.6096771705591066E-2</v>
      </c>
      <c r="N217" s="3">
        <f t="shared" si="178"/>
        <v>4.609677170559031E-2</v>
      </c>
      <c r="O217" s="3">
        <f t="shared" si="178"/>
        <v>4.6096771705582774E-2</v>
      </c>
      <c r="P217" s="3">
        <f t="shared" si="178"/>
        <v>4.6096771705507349E-2</v>
      </c>
      <c r="Q217" s="3">
        <f t="shared" si="178"/>
        <v>4.6096771704753153E-2</v>
      </c>
      <c r="R217" s="3">
        <f t="shared" si="178"/>
        <v>4.6096771697211152E-2</v>
      </c>
      <c r="S217" s="3">
        <f t="shared" si="178"/>
        <v>4.609677162179119E-2</v>
      </c>
      <c r="T217" s="3">
        <f t="shared" si="178"/>
        <v>4.6096770867591598E-2</v>
      </c>
      <c r="U217" s="3">
        <f t="shared" si="178"/>
        <v>4.6096763325596299E-2</v>
      </c>
      <c r="V217" s="3">
        <f t="shared" si="178"/>
        <v>4.6096687905711149E-2</v>
      </c>
      <c r="W217" s="3">
        <f t="shared" si="178"/>
        <v>4.6095933713646439E-2</v>
      </c>
      <c r="X217" s="3">
        <f t="shared" si="178"/>
        <v>4.6088392471633266E-2</v>
      </c>
      <c r="Y217" s="3">
        <f t="shared" si="178"/>
        <v>4.6013047873830239E-2</v>
      </c>
      <c r="Z217" s="3">
        <f t="shared" si="178"/>
        <v>4.5266343250447989E-2</v>
      </c>
      <c r="AA217" s="3">
        <f t="shared" si="178"/>
        <v>3.8434348123963492E-2</v>
      </c>
      <c r="AB217" s="3">
        <f t="shared" si="178"/>
        <v>7.4844620623073198E-3</v>
      </c>
      <c r="AC217" s="3">
        <f t="shared" si="178"/>
        <v>5.8690973052399496E-10</v>
      </c>
      <c r="AD217" s="3">
        <f t="shared" si="178"/>
        <v>5.160342113455735E-81</v>
      </c>
      <c r="AE217" s="3">
        <f t="shared" si="178"/>
        <v>0</v>
      </c>
      <c r="AF217" s="3">
        <f t="shared" si="178"/>
        <v>0</v>
      </c>
      <c r="AG217" s="3"/>
      <c r="AH217" s="3"/>
    </row>
    <row r="218" spans="1:34" x14ac:dyDescent="0.25">
      <c r="B218" s="3">
        <f t="shared" ref="B218:AF218" si="179">$C26*EXP(-B$207/$A26/EXP(-$D$126))</f>
        <v>5.5576139774485327E-2</v>
      </c>
      <c r="C218" s="3">
        <f t="shared" si="179"/>
        <v>5.5576139774485327E-2</v>
      </c>
      <c r="D218" s="3">
        <f t="shared" si="179"/>
        <v>5.5576139774485327E-2</v>
      </c>
      <c r="E218" s="3">
        <f t="shared" si="179"/>
        <v>5.5576139774485327E-2</v>
      </c>
      <c r="F218" s="3">
        <f t="shared" si="179"/>
        <v>5.5576139774485327E-2</v>
      </c>
      <c r="G218" s="3">
        <f t="shared" si="179"/>
        <v>5.5576139774485327E-2</v>
      </c>
      <c r="H218" s="3">
        <f t="shared" si="179"/>
        <v>5.5576139774485327E-2</v>
      </c>
      <c r="I218" s="3">
        <f t="shared" si="179"/>
        <v>5.5576139774485327E-2</v>
      </c>
      <c r="J218" s="3">
        <f t="shared" si="179"/>
        <v>5.5576139774485327E-2</v>
      </c>
      <c r="K218" s="3">
        <f t="shared" si="179"/>
        <v>5.5576139774485327E-2</v>
      </c>
      <c r="L218" s="3">
        <f t="shared" si="179"/>
        <v>5.5576139774485327E-2</v>
      </c>
      <c r="M218" s="3">
        <f t="shared" si="179"/>
        <v>5.557613977448532E-2</v>
      </c>
      <c r="N218" s="3">
        <f t="shared" si="179"/>
        <v>5.5576139774485236E-2</v>
      </c>
      <c r="O218" s="3">
        <f t="shared" si="179"/>
        <v>5.5576139774484411E-2</v>
      </c>
      <c r="P218" s="3">
        <f t="shared" si="179"/>
        <v>5.5576139774476216E-2</v>
      </c>
      <c r="Q218" s="3">
        <f t="shared" si="179"/>
        <v>5.5576139774394184E-2</v>
      </c>
      <c r="R218" s="3">
        <f t="shared" si="179"/>
        <v>5.5576139773573931E-2</v>
      </c>
      <c r="S218" s="3">
        <f t="shared" si="179"/>
        <v>5.5576139765371346E-2</v>
      </c>
      <c r="T218" s="3">
        <f t="shared" si="179"/>
        <v>5.5576139683345488E-2</v>
      </c>
      <c r="U218" s="3">
        <f t="shared" si="179"/>
        <v>5.557613886308696E-2</v>
      </c>
      <c r="V218" s="3">
        <f t="shared" si="179"/>
        <v>5.5576130660502342E-2</v>
      </c>
      <c r="W218" s="3">
        <f t="shared" si="179"/>
        <v>5.5576048634722743E-2</v>
      </c>
      <c r="X218" s="3">
        <f t="shared" si="179"/>
        <v>5.5575228383585196E-2</v>
      </c>
      <c r="Y218" s="3">
        <f t="shared" si="179"/>
        <v>5.5567026538018489E-2</v>
      </c>
      <c r="Z218" s="3">
        <f t="shared" si="179"/>
        <v>5.5485074626878336E-2</v>
      </c>
      <c r="AA218" s="3">
        <f t="shared" si="179"/>
        <v>5.467217377190086E-2</v>
      </c>
      <c r="AB218" s="3">
        <f t="shared" si="179"/>
        <v>4.7170232322300928E-2</v>
      </c>
      <c r="AC218" s="3">
        <f t="shared" si="179"/>
        <v>1.078163807932799E-2</v>
      </c>
      <c r="AD218" s="3">
        <f t="shared" si="179"/>
        <v>4.1961604802726778E-9</v>
      </c>
      <c r="AE218" s="3">
        <f t="shared" si="179"/>
        <v>3.3459965533344601E-73</v>
      </c>
      <c r="AF218" s="3">
        <f t="shared" si="179"/>
        <v>0</v>
      </c>
      <c r="AG218" s="3"/>
      <c r="AH218" s="3"/>
    </row>
    <row r="219" spans="1:34" x14ac:dyDescent="0.25">
      <c r="B219" s="3">
        <f t="shared" ref="B219:AF219" si="180">$C27*EXP(-B$207/$A27/EXP(-$D$126))</f>
        <v>6.5368051844924516E-2</v>
      </c>
      <c r="C219" s="3">
        <f t="shared" si="180"/>
        <v>6.5368051844924516E-2</v>
      </c>
      <c r="D219" s="3">
        <f t="shared" si="180"/>
        <v>6.5368051844924516E-2</v>
      </c>
      <c r="E219" s="3">
        <f t="shared" si="180"/>
        <v>6.5368051844924516E-2</v>
      </c>
      <c r="F219" s="3">
        <f t="shared" si="180"/>
        <v>6.5368051844924516E-2</v>
      </c>
      <c r="G219" s="3">
        <f t="shared" si="180"/>
        <v>6.5368051844924516E-2</v>
      </c>
      <c r="H219" s="3">
        <f t="shared" si="180"/>
        <v>6.5368051844924516E-2</v>
      </c>
      <c r="I219" s="3">
        <f t="shared" si="180"/>
        <v>6.5368051844924516E-2</v>
      </c>
      <c r="J219" s="3">
        <f t="shared" si="180"/>
        <v>6.5368051844924516E-2</v>
      </c>
      <c r="K219" s="3">
        <f t="shared" si="180"/>
        <v>6.5368051844924516E-2</v>
      </c>
      <c r="L219" s="3">
        <f t="shared" si="180"/>
        <v>6.5368051844924516E-2</v>
      </c>
      <c r="M219" s="3">
        <f t="shared" si="180"/>
        <v>6.5368051844924516E-2</v>
      </c>
      <c r="N219" s="3">
        <f t="shared" si="180"/>
        <v>6.5368051844924502E-2</v>
      </c>
      <c r="O219" s="3">
        <f t="shared" si="180"/>
        <v>6.5368051844924419E-2</v>
      </c>
      <c r="P219" s="3">
        <f t="shared" si="180"/>
        <v>6.5368051844923544E-2</v>
      </c>
      <c r="Q219" s="3">
        <f t="shared" si="180"/>
        <v>6.5368051844914843E-2</v>
      </c>
      <c r="R219" s="3">
        <f t="shared" si="180"/>
        <v>6.5368051844827815E-2</v>
      </c>
      <c r="S219" s="3">
        <f t="shared" si="180"/>
        <v>6.5368051843957498E-2</v>
      </c>
      <c r="T219" s="3">
        <f t="shared" si="180"/>
        <v>6.536805183525439E-2</v>
      </c>
      <c r="U219" s="3">
        <f t="shared" si="180"/>
        <v>6.5368051748223285E-2</v>
      </c>
      <c r="V219" s="3">
        <f t="shared" si="180"/>
        <v>6.5368050877912212E-2</v>
      </c>
      <c r="W219" s="3">
        <f t="shared" si="180"/>
        <v>6.5368042174802105E-2</v>
      </c>
      <c r="X219" s="3">
        <f t="shared" si="180"/>
        <v>6.5367955143764797E-2</v>
      </c>
      <c r="Y219" s="3">
        <f t="shared" si="180"/>
        <v>6.536708483976468E-2</v>
      </c>
      <c r="Z219" s="3">
        <f t="shared" si="180"/>
        <v>6.5358382437031917E-2</v>
      </c>
      <c r="AA219" s="3">
        <f t="shared" si="180"/>
        <v>6.5271422105165247E-2</v>
      </c>
      <c r="AB219" s="3">
        <f t="shared" si="180"/>
        <v>6.4408157066468338E-2</v>
      </c>
      <c r="AC219" s="3">
        <f t="shared" si="180"/>
        <v>5.6379192282270951E-2</v>
      </c>
      <c r="AD219" s="3">
        <f t="shared" si="180"/>
        <v>1.4890134444167305E-2</v>
      </c>
      <c r="AE219" s="3">
        <f t="shared" si="180"/>
        <v>2.4586477563094724E-8</v>
      </c>
      <c r="AF219" s="3">
        <f t="shared" si="180"/>
        <v>3.7040194008345248E-66</v>
      </c>
      <c r="AG219" s="3"/>
      <c r="AH219" s="3"/>
    </row>
    <row r="220" spans="1:34" x14ac:dyDescent="0.25">
      <c r="B220" s="3">
        <f t="shared" ref="B220:AF220" si="181">$C28*EXP(-B$207/$A28/EXP(-$D$126))</f>
        <v>6.6907973989911038E-2</v>
      </c>
      <c r="C220" s="3">
        <f t="shared" si="181"/>
        <v>6.6907973989911038E-2</v>
      </c>
      <c r="D220" s="3">
        <f t="shared" si="181"/>
        <v>6.6907973989911038E-2</v>
      </c>
      <c r="E220" s="3">
        <f t="shared" si="181"/>
        <v>6.6907973989911038E-2</v>
      </c>
      <c r="F220" s="3">
        <f t="shared" si="181"/>
        <v>6.6907973989911038E-2</v>
      </c>
      <c r="G220" s="3">
        <f t="shared" si="181"/>
        <v>6.6907973989911038E-2</v>
      </c>
      <c r="H220" s="3">
        <f t="shared" si="181"/>
        <v>6.6907973989911038E-2</v>
      </c>
      <c r="I220" s="3">
        <f t="shared" si="181"/>
        <v>6.6907973989911038E-2</v>
      </c>
      <c r="J220" s="3">
        <f t="shared" si="181"/>
        <v>6.6907973989911038E-2</v>
      </c>
      <c r="K220" s="3">
        <f t="shared" si="181"/>
        <v>6.6907973989911038E-2</v>
      </c>
      <c r="L220" s="3">
        <f t="shared" si="181"/>
        <v>6.6907973989911038E-2</v>
      </c>
      <c r="M220" s="3">
        <f t="shared" si="181"/>
        <v>6.6907973989911038E-2</v>
      </c>
      <c r="N220" s="3">
        <f t="shared" si="181"/>
        <v>6.6907973989911038E-2</v>
      </c>
      <c r="O220" s="3">
        <f t="shared" si="181"/>
        <v>6.6907973989911024E-2</v>
      </c>
      <c r="P220" s="3">
        <f t="shared" si="181"/>
        <v>6.6907973989910954E-2</v>
      </c>
      <c r="Q220" s="3">
        <f t="shared" si="181"/>
        <v>6.6907973989910149E-2</v>
      </c>
      <c r="R220" s="3">
        <f t="shared" si="181"/>
        <v>6.6907973989902114E-2</v>
      </c>
      <c r="S220" s="3">
        <f t="shared" si="181"/>
        <v>6.6907973989821748E-2</v>
      </c>
      <c r="T220" s="3">
        <f t="shared" si="181"/>
        <v>6.6907973989018155E-2</v>
      </c>
      <c r="U220" s="3">
        <f t="shared" si="181"/>
        <v>6.6907973980982291E-2</v>
      </c>
      <c r="V220" s="3">
        <f t="shared" si="181"/>
        <v>6.6907973900623488E-2</v>
      </c>
      <c r="W220" s="3">
        <f t="shared" si="181"/>
        <v>6.6907973097035486E-2</v>
      </c>
      <c r="X220" s="3">
        <f t="shared" si="181"/>
        <v>6.6907965061156094E-2</v>
      </c>
      <c r="Y220" s="3">
        <f t="shared" si="181"/>
        <v>6.6907884702415307E-2</v>
      </c>
      <c r="Z220" s="3">
        <f t="shared" si="181"/>
        <v>6.6907081120315542E-2</v>
      </c>
      <c r="AA220" s="3">
        <f t="shared" si="181"/>
        <v>6.6899045830117118E-2</v>
      </c>
      <c r="AB220" s="3">
        <f t="shared" si="181"/>
        <v>6.6818745984471489E-2</v>
      </c>
      <c r="AC220" s="3">
        <f t="shared" si="181"/>
        <v>6.6021029660100053E-2</v>
      </c>
      <c r="AD220" s="3">
        <f t="shared" si="181"/>
        <v>5.8549341930095089E-2</v>
      </c>
      <c r="AE220" s="3">
        <f t="shared" si="181"/>
        <v>1.7616485344335697E-2</v>
      </c>
      <c r="AF220" s="3">
        <f t="shared" si="181"/>
        <v>1.0712522668361896E-7</v>
      </c>
      <c r="AG220" s="3"/>
      <c r="AH220" s="3"/>
    </row>
    <row r="221" spans="1:34" x14ac:dyDescent="0.25">
      <c r="B221" s="3">
        <f t="shared" ref="B221:AF221" si="182">$C29*EXP(-B$207/$A29/EXP(-$D$126))</f>
        <v>5.3174535073566002E-2</v>
      </c>
      <c r="C221" s="3">
        <f t="shared" si="182"/>
        <v>5.3174535073566002E-2</v>
      </c>
      <c r="D221" s="3">
        <f t="shared" si="182"/>
        <v>5.3174535073566002E-2</v>
      </c>
      <c r="E221" s="3">
        <f t="shared" si="182"/>
        <v>5.3174535073566002E-2</v>
      </c>
      <c r="F221" s="3">
        <f t="shared" si="182"/>
        <v>5.3174535073566002E-2</v>
      </c>
      <c r="G221" s="3">
        <f t="shared" si="182"/>
        <v>5.3174535073566002E-2</v>
      </c>
      <c r="H221" s="3">
        <f t="shared" si="182"/>
        <v>5.3174535073566002E-2</v>
      </c>
      <c r="I221" s="3">
        <f t="shared" si="182"/>
        <v>5.3174535073566002E-2</v>
      </c>
      <c r="J221" s="3">
        <f t="shared" si="182"/>
        <v>5.3174535073566002E-2</v>
      </c>
      <c r="K221" s="3">
        <f t="shared" si="182"/>
        <v>5.3174535073566002E-2</v>
      </c>
      <c r="L221" s="3">
        <f t="shared" si="182"/>
        <v>5.3174535073566002E-2</v>
      </c>
      <c r="M221" s="3">
        <f t="shared" si="182"/>
        <v>5.3174535073566002E-2</v>
      </c>
      <c r="N221" s="3">
        <f t="shared" si="182"/>
        <v>5.3174535073566002E-2</v>
      </c>
      <c r="O221" s="3">
        <f t="shared" si="182"/>
        <v>5.3174535073566002E-2</v>
      </c>
      <c r="P221" s="3">
        <f t="shared" si="182"/>
        <v>5.3174535073565996E-2</v>
      </c>
      <c r="Q221" s="3">
        <f t="shared" si="182"/>
        <v>5.317453507356594E-2</v>
      </c>
      <c r="R221" s="3">
        <f t="shared" si="182"/>
        <v>5.3174535073565364E-2</v>
      </c>
      <c r="S221" s="3">
        <f t="shared" si="182"/>
        <v>5.3174535073559605E-2</v>
      </c>
      <c r="T221" s="3">
        <f t="shared" si="182"/>
        <v>5.3174535073501991E-2</v>
      </c>
      <c r="U221" s="3">
        <f t="shared" si="182"/>
        <v>5.3174535072925883E-2</v>
      </c>
      <c r="V221" s="3">
        <f t="shared" si="182"/>
        <v>5.3174535067164776E-2</v>
      </c>
      <c r="W221" s="3">
        <f t="shared" si="182"/>
        <v>5.3174535009553714E-2</v>
      </c>
      <c r="X221" s="3">
        <f t="shared" si="182"/>
        <v>5.3174534433443138E-2</v>
      </c>
      <c r="Y221" s="3">
        <f t="shared" si="182"/>
        <v>5.317452867233767E-2</v>
      </c>
      <c r="Z221" s="3">
        <f t="shared" si="182"/>
        <v>5.3174471061317334E-2</v>
      </c>
      <c r="AA221" s="3">
        <f t="shared" si="182"/>
        <v>5.3173894954546976E-2</v>
      </c>
      <c r="AB221" s="3">
        <f t="shared" si="182"/>
        <v>5.3168134230125598E-2</v>
      </c>
      <c r="AC221" s="3">
        <f t="shared" si="182"/>
        <v>5.3110561300380034E-2</v>
      </c>
      <c r="AD221" s="3">
        <f t="shared" si="182"/>
        <v>5.2538249733871424E-2</v>
      </c>
      <c r="AE221" s="3">
        <f t="shared" si="182"/>
        <v>4.7143594553548579E-2</v>
      </c>
      <c r="AF221" s="3">
        <f t="shared" si="182"/>
        <v>1.595488279599094E-2</v>
      </c>
      <c r="AG221" s="3"/>
      <c r="AH221" s="3"/>
    </row>
    <row r="222" spans="1:34" x14ac:dyDescent="0.25">
      <c r="B222" s="3">
        <f t="shared" ref="B222:AF222" si="183">$C30*EXP(-B$207/$A30/EXP(-$D$126))</f>
        <v>3.2923061735419888E-2</v>
      </c>
      <c r="C222" s="3">
        <f t="shared" si="183"/>
        <v>3.2923061735419888E-2</v>
      </c>
      <c r="D222" s="3">
        <f t="shared" si="183"/>
        <v>3.2923061735419888E-2</v>
      </c>
      <c r="E222" s="3">
        <f t="shared" si="183"/>
        <v>3.2923061735419888E-2</v>
      </c>
      <c r="F222" s="3">
        <f t="shared" si="183"/>
        <v>3.2923061735419888E-2</v>
      </c>
      <c r="G222" s="3">
        <f t="shared" si="183"/>
        <v>3.2923061735419888E-2</v>
      </c>
      <c r="H222" s="3">
        <f t="shared" si="183"/>
        <v>3.2923061735419888E-2</v>
      </c>
      <c r="I222" s="3">
        <f t="shared" si="183"/>
        <v>3.2923061735419888E-2</v>
      </c>
      <c r="J222" s="3">
        <f t="shared" si="183"/>
        <v>3.2923061735419888E-2</v>
      </c>
      <c r="K222" s="3">
        <f t="shared" si="183"/>
        <v>3.2923061735419888E-2</v>
      </c>
      <c r="L222" s="3">
        <f t="shared" si="183"/>
        <v>3.2923061735419888E-2</v>
      </c>
      <c r="M222" s="3">
        <f t="shared" si="183"/>
        <v>3.2923061735419888E-2</v>
      </c>
      <c r="N222" s="3">
        <f t="shared" si="183"/>
        <v>3.2923061735419888E-2</v>
      </c>
      <c r="O222" s="3">
        <f t="shared" si="183"/>
        <v>3.2923061735419888E-2</v>
      </c>
      <c r="P222" s="3">
        <f t="shared" si="183"/>
        <v>3.2923061735419888E-2</v>
      </c>
      <c r="Q222" s="3">
        <f t="shared" si="183"/>
        <v>3.2923061735419881E-2</v>
      </c>
      <c r="R222" s="3">
        <f t="shared" si="183"/>
        <v>3.2923061735419853E-2</v>
      </c>
      <c r="S222" s="3">
        <f t="shared" si="183"/>
        <v>3.2923061735419527E-2</v>
      </c>
      <c r="T222" s="3">
        <f t="shared" si="183"/>
        <v>3.2923061735416315E-2</v>
      </c>
      <c r="U222" s="3">
        <f t="shared" si="183"/>
        <v>3.2923061735384139E-2</v>
      </c>
      <c r="V222" s="3">
        <f t="shared" si="183"/>
        <v>3.2923061735062362E-2</v>
      </c>
      <c r="W222" s="3">
        <f t="shared" si="183"/>
        <v>3.2923061731844637E-2</v>
      </c>
      <c r="X222" s="3">
        <f t="shared" si="183"/>
        <v>3.2923061699667383E-2</v>
      </c>
      <c r="Y222" s="3">
        <f t="shared" si="183"/>
        <v>3.2923061377894858E-2</v>
      </c>
      <c r="Z222" s="3">
        <f t="shared" si="183"/>
        <v>3.2923058160169792E-2</v>
      </c>
      <c r="AA222" s="3">
        <f t="shared" si="183"/>
        <v>3.2923025982936366E-2</v>
      </c>
      <c r="AB222" s="3">
        <f t="shared" si="183"/>
        <v>3.2922704212331781E-2</v>
      </c>
      <c r="AC222" s="3">
        <f t="shared" si="183"/>
        <v>3.2919486679244846E-2</v>
      </c>
      <c r="AD222" s="3">
        <f t="shared" si="183"/>
        <v>3.2887328638013795E-2</v>
      </c>
      <c r="AE222" s="3">
        <f t="shared" si="183"/>
        <v>3.2567470953595003E-2</v>
      </c>
      <c r="AF222" s="3">
        <f t="shared" si="183"/>
        <v>2.9535096726860006E-2</v>
      </c>
      <c r="AG222" s="3"/>
      <c r="AH222" s="3"/>
    </row>
    <row r="223" spans="1:34" x14ac:dyDescent="0.25">
      <c r="B223" s="3">
        <f t="shared" ref="B223:AF223" si="184">$C31*EXP(-B$207/$A31/EXP(-$D$126))</f>
        <v>1.6325787748200139E-2</v>
      </c>
      <c r="C223" s="3">
        <f t="shared" si="184"/>
        <v>1.6325787748200139E-2</v>
      </c>
      <c r="D223" s="3">
        <f t="shared" si="184"/>
        <v>1.6325787748200139E-2</v>
      </c>
      <c r="E223" s="3">
        <f t="shared" si="184"/>
        <v>1.6325787748200139E-2</v>
      </c>
      <c r="F223" s="3">
        <f t="shared" si="184"/>
        <v>1.6325787748200139E-2</v>
      </c>
      <c r="G223" s="3">
        <f t="shared" si="184"/>
        <v>1.6325787748200139E-2</v>
      </c>
      <c r="H223" s="3">
        <f t="shared" si="184"/>
        <v>1.6325787748200139E-2</v>
      </c>
      <c r="I223" s="3">
        <f t="shared" si="184"/>
        <v>1.6325787748200139E-2</v>
      </c>
      <c r="J223" s="3">
        <f t="shared" si="184"/>
        <v>1.6325787748200139E-2</v>
      </c>
      <c r="K223" s="3">
        <f t="shared" si="184"/>
        <v>1.6325787748200139E-2</v>
      </c>
      <c r="L223" s="3">
        <f t="shared" si="184"/>
        <v>1.6325787748200139E-2</v>
      </c>
      <c r="M223" s="3">
        <f t="shared" si="184"/>
        <v>1.6325787748200139E-2</v>
      </c>
      <c r="N223" s="3">
        <f t="shared" si="184"/>
        <v>1.6325787748200139E-2</v>
      </c>
      <c r="O223" s="3">
        <f t="shared" si="184"/>
        <v>1.6325787748200139E-2</v>
      </c>
      <c r="P223" s="3">
        <f t="shared" si="184"/>
        <v>1.6325787748200139E-2</v>
      </c>
      <c r="Q223" s="3">
        <f t="shared" si="184"/>
        <v>1.6325787748200139E-2</v>
      </c>
      <c r="R223" s="3">
        <f t="shared" si="184"/>
        <v>1.6325787748200135E-2</v>
      </c>
      <c r="S223" s="3">
        <f t="shared" si="184"/>
        <v>1.6325787748200121E-2</v>
      </c>
      <c r="T223" s="3">
        <f t="shared" si="184"/>
        <v>1.6325787748199979E-2</v>
      </c>
      <c r="U223" s="3">
        <f t="shared" si="184"/>
        <v>1.6325787748198539E-2</v>
      </c>
      <c r="V223" s="3">
        <f t="shared" si="184"/>
        <v>1.6325787748184144E-2</v>
      </c>
      <c r="W223" s="3">
        <f t="shared" si="184"/>
        <v>1.6325787748040211E-2</v>
      </c>
      <c r="X223" s="3">
        <f t="shared" si="184"/>
        <v>1.6325787746600852E-2</v>
      </c>
      <c r="Y223" s="3">
        <f t="shared" si="184"/>
        <v>1.6325787732207248E-2</v>
      </c>
      <c r="Z223" s="3">
        <f t="shared" si="184"/>
        <v>1.6325787588271232E-2</v>
      </c>
      <c r="AA223" s="3">
        <f t="shared" si="184"/>
        <v>1.6325786148911139E-2</v>
      </c>
      <c r="AB223" s="3">
        <f t="shared" si="184"/>
        <v>1.6325771755317187E-2</v>
      </c>
      <c r="AC223" s="3">
        <f t="shared" si="184"/>
        <v>1.6325627820075624E-2</v>
      </c>
      <c r="AD223" s="3">
        <f t="shared" si="184"/>
        <v>1.6324188537452971E-2</v>
      </c>
      <c r="AE223" s="3">
        <f t="shared" si="184"/>
        <v>1.630980268824863E-2</v>
      </c>
      <c r="AF223" s="3">
        <f t="shared" si="184"/>
        <v>1.6166639627807233E-2</v>
      </c>
      <c r="AG223" s="3"/>
      <c r="AH223" s="3"/>
    </row>
    <row r="224" spans="1:34" x14ac:dyDescent="0.25">
      <c r="B224" s="3">
        <f t="shared" ref="B224:AF224" si="185">$C32*EXP(-B$207/$A32/EXP(-$D$126))</f>
        <v>7.8974635041155969E-3</v>
      </c>
      <c r="C224" s="3">
        <f t="shared" si="185"/>
        <v>7.8974635041155969E-3</v>
      </c>
      <c r="D224" s="3">
        <f t="shared" si="185"/>
        <v>7.8974635041155969E-3</v>
      </c>
      <c r="E224" s="3">
        <f t="shared" si="185"/>
        <v>7.8974635041155969E-3</v>
      </c>
      <c r="F224" s="3">
        <f t="shared" si="185"/>
        <v>7.8974635041155969E-3</v>
      </c>
      <c r="G224" s="3">
        <f t="shared" si="185"/>
        <v>7.8974635041155969E-3</v>
      </c>
      <c r="H224" s="3">
        <f t="shared" si="185"/>
        <v>7.8974635041155969E-3</v>
      </c>
      <c r="I224" s="3">
        <f t="shared" si="185"/>
        <v>7.8974635041155969E-3</v>
      </c>
      <c r="J224" s="3">
        <f t="shared" si="185"/>
        <v>7.8974635041155969E-3</v>
      </c>
      <c r="K224" s="3">
        <f t="shared" si="185"/>
        <v>7.8974635041155969E-3</v>
      </c>
      <c r="L224" s="3">
        <f t="shared" si="185"/>
        <v>7.8974635041155969E-3</v>
      </c>
      <c r="M224" s="3">
        <f t="shared" si="185"/>
        <v>7.8974635041155969E-3</v>
      </c>
      <c r="N224" s="3">
        <f t="shared" si="185"/>
        <v>7.8974635041155969E-3</v>
      </c>
      <c r="O224" s="3">
        <f t="shared" si="185"/>
        <v>7.8974635041155969E-3</v>
      </c>
      <c r="P224" s="3">
        <f t="shared" si="185"/>
        <v>7.8974635041155969E-3</v>
      </c>
      <c r="Q224" s="3">
        <f t="shared" si="185"/>
        <v>7.8974635041155969E-3</v>
      </c>
      <c r="R224" s="3">
        <f t="shared" si="185"/>
        <v>7.8974635041155969E-3</v>
      </c>
      <c r="S224" s="3">
        <f t="shared" si="185"/>
        <v>7.8974635041155952E-3</v>
      </c>
      <c r="T224" s="3">
        <f t="shared" si="185"/>
        <v>7.8974635041155899E-3</v>
      </c>
      <c r="U224" s="3">
        <f t="shared" si="185"/>
        <v>7.8974635041155275E-3</v>
      </c>
      <c r="V224" s="3">
        <f t="shared" si="185"/>
        <v>7.8974635041148995E-3</v>
      </c>
      <c r="W224" s="3">
        <f t="shared" si="185"/>
        <v>7.8974635041086181E-3</v>
      </c>
      <c r="X224" s="3">
        <f t="shared" si="185"/>
        <v>7.8974635040458072E-3</v>
      </c>
      <c r="Y224" s="3">
        <f t="shared" si="185"/>
        <v>7.8974635034177072E-3</v>
      </c>
      <c r="Z224" s="3">
        <f t="shared" si="185"/>
        <v>7.8974634971366968E-3</v>
      </c>
      <c r="AA224" s="3">
        <f t="shared" si="185"/>
        <v>7.8974634343265855E-3</v>
      </c>
      <c r="AB224" s="3">
        <f t="shared" si="185"/>
        <v>7.8974628062255178E-3</v>
      </c>
      <c r="AC224" s="3">
        <f t="shared" si="185"/>
        <v>7.8974565252175766E-3</v>
      </c>
      <c r="AD224" s="3">
        <f t="shared" si="185"/>
        <v>7.897393715412919E-3</v>
      </c>
      <c r="AE224" s="3">
        <f t="shared" si="185"/>
        <v>7.8967656448402125E-3</v>
      </c>
      <c r="AF224" s="3">
        <f t="shared" si="185"/>
        <v>7.8904876856926796E-3</v>
      </c>
      <c r="AG224" s="3"/>
      <c r="AH224" s="3"/>
    </row>
    <row r="225" spans="2:34" x14ac:dyDescent="0.25">
      <c r="B225" s="3">
        <f t="shared" ref="B225:AF225" si="186">$C33*EXP(-B$207/$A33/EXP(-$D$126))</f>
        <v>4.1550471728530186E-3</v>
      </c>
      <c r="C225" s="3">
        <f t="shared" si="186"/>
        <v>4.1550471728530186E-3</v>
      </c>
      <c r="D225" s="3">
        <f t="shared" si="186"/>
        <v>4.1550471728530186E-3</v>
      </c>
      <c r="E225" s="3">
        <f t="shared" si="186"/>
        <v>4.1550471728530186E-3</v>
      </c>
      <c r="F225" s="3">
        <f t="shared" si="186"/>
        <v>4.1550471728530186E-3</v>
      </c>
      <c r="G225" s="3">
        <f t="shared" si="186"/>
        <v>4.1550471728530186E-3</v>
      </c>
      <c r="H225" s="3">
        <f t="shared" si="186"/>
        <v>4.1550471728530186E-3</v>
      </c>
      <c r="I225" s="3">
        <f t="shared" si="186"/>
        <v>4.1550471728530186E-3</v>
      </c>
      <c r="J225" s="3">
        <f t="shared" si="186"/>
        <v>4.1550471728530186E-3</v>
      </c>
      <c r="K225" s="3">
        <f t="shared" si="186"/>
        <v>4.1550471728530186E-3</v>
      </c>
      <c r="L225" s="3">
        <f t="shared" si="186"/>
        <v>4.1550471728530186E-3</v>
      </c>
      <c r="M225" s="3">
        <f t="shared" si="186"/>
        <v>4.1550471728530186E-3</v>
      </c>
      <c r="N225" s="3">
        <f t="shared" si="186"/>
        <v>4.1550471728530186E-3</v>
      </c>
      <c r="O225" s="3">
        <f t="shared" si="186"/>
        <v>4.1550471728530186E-3</v>
      </c>
      <c r="P225" s="3">
        <f t="shared" si="186"/>
        <v>4.1550471728530186E-3</v>
      </c>
      <c r="Q225" s="3">
        <f t="shared" si="186"/>
        <v>4.1550471728530186E-3</v>
      </c>
      <c r="R225" s="3">
        <f t="shared" si="186"/>
        <v>4.1550471728530186E-3</v>
      </c>
      <c r="S225" s="3">
        <f t="shared" si="186"/>
        <v>4.1550471728530186E-3</v>
      </c>
      <c r="T225" s="3">
        <f t="shared" si="186"/>
        <v>4.1550471728530177E-3</v>
      </c>
      <c r="U225" s="3">
        <f t="shared" si="186"/>
        <v>4.1550471728530151E-3</v>
      </c>
      <c r="V225" s="3">
        <f t="shared" si="186"/>
        <v>4.1550471728529857E-3</v>
      </c>
      <c r="W225" s="3">
        <f t="shared" si="186"/>
        <v>4.1550471728526873E-3</v>
      </c>
      <c r="X225" s="3">
        <f t="shared" si="186"/>
        <v>4.1550471728497062E-3</v>
      </c>
      <c r="Y225" s="3">
        <f t="shared" si="186"/>
        <v>4.1550471728198958E-3</v>
      </c>
      <c r="Z225" s="3">
        <f t="shared" si="186"/>
        <v>4.155047172521794E-3</v>
      </c>
      <c r="AA225" s="3">
        <f t="shared" si="186"/>
        <v>4.1550471695407775E-3</v>
      </c>
      <c r="AB225" s="3">
        <f t="shared" si="186"/>
        <v>4.1550471397306058E-3</v>
      </c>
      <c r="AC225" s="3">
        <f t="shared" si="186"/>
        <v>4.1550468416289028E-3</v>
      </c>
      <c r="AD225" s="3">
        <f t="shared" si="186"/>
        <v>4.1550438606130528E-3</v>
      </c>
      <c r="AE225" s="3">
        <f t="shared" si="186"/>
        <v>4.1550140505721813E-3</v>
      </c>
      <c r="AF225" s="3">
        <f t="shared" si="186"/>
        <v>4.1547159619260516E-3</v>
      </c>
      <c r="AG225" s="3"/>
      <c r="AH225" s="3"/>
    </row>
    <row r="226" spans="2:34" x14ac:dyDescent="0.25">
      <c r="B226" s="3">
        <f t="shared" ref="B226:AF226" si="187">$C34*EXP(-B$207/$A34/EXP(-$D$126))</f>
        <v>4.2575321437709054E-3</v>
      </c>
      <c r="C226" s="3">
        <f t="shared" si="187"/>
        <v>4.2575321437709054E-3</v>
      </c>
      <c r="D226" s="3">
        <f t="shared" si="187"/>
        <v>4.2575321437709054E-3</v>
      </c>
      <c r="E226" s="3">
        <f t="shared" si="187"/>
        <v>4.2575321437709054E-3</v>
      </c>
      <c r="F226" s="3">
        <f t="shared" si="187"/>
        <v>4.2575321437709054E-3</v>
      </c>
      <c r="G226" s="3">
        <f t="shared" si="187"/>
        <v>4.2575321437709054E-3</v>
      </c>
      <c r="H226" s="3">
        <f t="shared" si="187"/>
        <v>4.2575321437709054E-3</v>
      </c>
      <c r="I226" s="3">
        <f t="shared" si="187"/>
        <v>4.2575321437709054E-3</v>
      </c>
      <c r="J226" s="3">
        <f t="shared" si="187"/>
        <v>4.2575321437709054E-3</v>
      </c>
      <c r="K226" s="3">
        <f t="shared" si="187"/>
        <v>4.2575321437709054E-3</v>
      </c>
      <c r="L226" s="3">
        <f t="shared" si="187"/>
        <v>4.2575321437709054E-3</v>
      </c>
      <c r="M226" s="3">
        <f t="shared" si="187"/>
        <v>4.2575321437709054E-3</v>
      </c>
      <c r="N226" s="3">
        <f t="shared" si="187"/>
        <v>4.2575321437709054E-3</v>
      </c>
      <c r="O226" s="3">
        <f t="shared" si="187"/>
        <v>4.2575321437709054E-3</v>
      </c>
      <c r="P226" s="3">
        <f t="shared" si="187"/>
        <v>4.2575321437709054E-3</v>
      </c>
      <c r="Q226" s="3">
        <f t="shared" si="187"/>
        <v>4.2575321437709054E-3</v>
      </c>
      <c r="R226" s="3">
        <f t="shared" si="187"/>
        <v>4.2575321437709054E-3</v>
      </c>
      <c r="S226" s="3">
        <f t="shared" si="187"/>
        <v>4.2575321437709054E-3</v>
      </c>
      <c r="T226" s="3">
        <f t="shared" si="187"/>
        <v>4.2575321437709054E-3</v>
      </c>
      <c r="U226" s="3">
        <f t="shared" si="187"/>
        <v>4.2575321437709045E-3</v>
      </c>
      <c r="V226" s="3">
        <f t="shared" si="187"/>
        <v>4.2575321437709028E-3</v>
      </c>
      <c r="W226" s="3">
        <f t="shared" si="187"/>
        <v>4.257532143770875E-3</v>
      </c>
      <c r="X226" s="3">
        <f t="shared" si="187"/>
        <v>4.2575321437705992E-3</v>
      </c>
      <c r="Y226" s="3">
        <f t="shared" si="187"/>
        <v>4.2575321437678436E-3</v>
      </c>
      <c r="Z226" s="3">
        <f t="shared" si="187"/>
        <v>4.2575321437402893E-3</v>
      </c>
      <c r="AA226" s="3">
        <f t="shared" si="187"/>
        <v>4.2575321434647441E-3</v>
      </c>
      <c r="AB226" s="3">
        <f t="shared" si="187"/>
        <v>4.2575321407092911E-3</v>
      </c>
      <c r="AC226" s="3">
        <f t="shared" si="187"/>
        <v>4.2575321131547586E-3</v>
      </c>
      <c r="AD226" s="3">
        <f t="shared" si="187"/>
        <v>4.2575318376094472E-3</v>
      </c>
      <c r="AE226" s="3">
        <f t="shared" si="187"/>
        <v>4.2575290821573108E-3</v>
      </c>
      <c r="AF226" s="3">
        <f t="shared" si="187"/>
        <v>4.2575015277340287E-3</v>
      </c>
      <c r="AG226" s="3"/>
      <c r="AH226" s="3"/>
    </row>
    <row r="227" spans="2:34" x14ac:dyDescent="0.25">
      <c r="B227" s="3">
        <f t="shared" ref="B227:AF227" si="188">$C35*EXP(-B$207/$A35/EXP(-$D$126))</f>
        <v>9.5394971617709327E-4</v>
      </c>
      <c r="C227" s="3">
        <f t="shared" si="188"/>
        <v>9.5394971617709327E-4</v>
      </c>
      <c r="D227" s="3">
        <f t="shared" si="188"/>
        <v>9.5394971617709327E-4</v>
      </c>
      <c r="E227" s="3">
        <f t="shared" si="188"/>
        <v>9.5394971617709327E-4</v>
      </c>
      <c r="F227" s="3">
        <f t="shared" si="188"/>
        <v>9.5394971617709327E-4</v>
      </c>
      <c r="G227" s="3">
        <f t="shared" si="188"/>
        <v>9.5394971617709327E-4</v>
      </c>
      <c r="H227" s="3">
        <f t="shared" si="188"/>
        <v>9.5394971617709327E-4</v>
      </c>
      <c r="I227" s="3">
        <f t="shared" si="188"/>
        <v>9.5394971617709327E-4</v>
      </c>
      <c r="J227" s="3">
        <f t="shared" si="188"/>
        <v>9.5394971617709327E-4</v>
      </c>
      <c r="K227" s="3">
        <f t="shared" si="188"/>
        <v>9.5394971617709327E-4</v>
      </c>
      <c r="L227" s="3">
        <f t="shared" si="188"/>
        <v>9.5394971617709327E-4</v>
      </c>
      <c r="M227" s="3">
        <f t="shared" si="188"/>
        <v>9.5394971617709327E-4</v>
      </c>
      <c r="N227" s="3">
        <f t="shared" si="188"/>
        <v>9.5394971617709327E-4</v>
      </c>
      <c r="O227" s="3">
        <f t="shared" si="188"/>
        <v>9.5394971617709327E-4</v>
      </c>
      <c r="P227" s="3">
        <f t="shared" si="188"/>
        <v>9.5394971617709327E-4</v>
      </c>
      <c r="Q227" s="3">
        <f t="shared" si="188"/>
        <v>9.5394971617709327E-4</v>
      </c>
      <c r="R227" s="3">
        <f t="shared" si="188"/>
        <v>9.5394971617709327E-4</v>
      </c>
      <c r="S227" s="3">
        <f t="shared" si="188"/>
        <v>9.5394971617709327E-4</v>
      </c>
      <c r="T227" s="3">
        <f t="shared" si="188"/>
        <v>9.5394971617709327E-4</v>
      </c>
      <c r="U227" s="3">
        <f t="shared" si="188"/>
        <v>9.5394971617709327E-4</v>
      </c>
      <c r="V227" s="3">
        <f t="shared" si="188"/>
        <v>9.5394971617709316E-4</v>
      </c>
      <c r="W227" s="3">
        <f t="shared" si="188"/>
        <v>9.5394971617709262E-4</v>
      </c>
      <c r="X227" s="3">
        <f t="shared" si="188"/>
        <v>9.5394971617708709E-4</v>
      </c>
      <c r="Y227" s="3">
        <f t="shared" si="188"/>
        <v>9.5394971617703147E-4</v>
      </c>
      <c r="Z227" s="3">
        <f t="shared" si="188"/>
        <v>9.539497161764744E-4</v>
      </c>
      <c r="AA227" s="3">
        <f t="shared" si="188"/>
        <v>9.5394971617090507E-4</v>
      </c>
      <c r="AB227" s="3">
        <f t="shared" si="188"/>
        <v>9.5394971611521124E-4</v>
      </c>
      <c r="AC227" s="3">
        <f t="shared" si="188"/>
        <v>9.5394971555827273E-4</v>
      </c>
      <c r="AD227" s="3">
        <f t="shared" si="188"/>
        <v>9.5394970998888859E-4</v>
      </c>
      <c r="AE227" s="3">
        <f t="shared" si="188"/>
        <v>9.539496542950481E-4</v>
      </c>
      <c r="AF227" s="3">
        <f t="shared" si="188"/>
        <v>9.5394909735682242E-4</v>
      </c>
      <c r="AG227" s="3"/>
      <c r="AH227" s="3"/>
    </row>
    <row r="228" spans="2:34" x14ac:dyDescent="0.25">
      <c r="B228" s="3">
        <f t="shared" ref="B228:AF228" si="189">$C36*EXP(-B$207/$A36/EXP(-$D$126))</f>
        <v>4.0589760414466262E-3</v>
      </c>
      <c r="C228" s="3">
        <f t="shared" si="189"/>
        <v>4.0589760414466262E-3</v>
      </c>
      <c r="D228" s="3">
        <f t="shared" si="189"/>
        <v>4.0589760414466262E-3</v>
      </c>
      <c r="E228" s="3">
        <f t="shared" si="189"/>
        <v>4.0589760414466262E-3</v>
      </c>
      <c r="F228" s="3">
        <f t="shared" si="189"/>
        <v>4.0589760414466262E-3</v>
      </c>
      <c r="G228" s="3">
        <f t="shared" si="189"/>
        <v>4.0589760414466262E-3</v>
      </c>
      <c r="H228" s="3">
        <f t="shared" si="189"/>
        <v>4.0589760414466262E-3</v>
      </c>
      <c r="I228" s="3">
        <f t="shared" si="189"/>
        <v>4.0589760414466262E-3</v>
      </c>
      <c r="J228" s="3">
        <f t="shared" si="189"/>
        <v>4.0589760414466262E-3</v>
      </c>
      <c r="K228" s="3">
        <f t="shared" si="189"/>
        <v>4.0589760414466262E-3</v>
      </c>
      <c r="L228" s="3">
        <f t="shared" si="189"/>
        <v>4.0589760414466262E-3</v>
      </c>
      <c r="M228" s="3">
        <f t="shared" si="189"/>
        <v>4.0589760414466262E-3</v>
      </c>
      <c r="N228" s="3">
        <f t="shared" si="189"/>
        <v>4.0589760414466262E-3</v>
      </c>
      <c r="O228" s="3">
        <f t="shared" si="189"/>
        <v>4.0589760414466262E-3</v>
      </c>
      <c r="P228" s="3">
        <f t="shared" si="189"/>
        <v>4.0589760414466262E-3</v>
      </c>
      <c r="Q228" s="3">
        <f t="shared" si="189"/>
        <v>4.0589760414466262E-3</v>
      </c>
      <c r="R228" s="3">
        <f t="shared" si="189"/>
        <v>4.0589760414466262E-3</v>
      </c>
      <c r="S228" s="3">
        <f t="shared" si="189"/>
        <v>4.0589760414466262E-3</v>
      </c>
      <c r="T228" s="3">
        <f t="shared" si="189"/>
        <v>4.0589760414466262E-3</v>
      </c>
      <c r="U228" s="3">
        <f t="shared" si="189"/>
        <v>4.0589760414466262E-3</v>
      </c>
      <c r="V228" s="3">
        <f t="shared" si="189"/>
        <v>4.0589760414466262E-3</v>
      </c>
      <c r="W228" s="3">
        <f t="shared" si="189"/>
        <v>4.0589760414466254E-3</v>
      </c>
      <c r="X228" s="3">
        <f t="shared" si="189"/>
        <v>4.0589760414466236E-3</v>
      </c>
      <c r="Y228" s="3">
        <f t="shared" si="189"/>
        <v>4.058976041446602E-3</v>
      </c>
      <c r="Z228" s="3">
        <f t="shared" si="189"/>
        <v>4.0589760414463886E-3</v>
      </c>
      <c r="AA228" s="3">
        <f t="shared" si="189"/>
        <v>4.0589760414442505E-3</v>
      </c>
      <c r="AB228" s="3">
        <f t="shared" si="189"/>
        <v>4.0589760414228744E-3</v>
      </c>
      <c r="AC228" s="3">
        <f t="shared" si="189"/>
        <v>4.0589760412091053E-3</v>
      </c>
      <c r="AD228" s="3">
        <f t="shared" si="189"/>
        <v>4.0589760390714151E-3</v>
      </c>
      <c r="AE228" s="3">
        <f t="shared" si="189"/>
        <v>4.0589760176945123E-3</v>
      </c>
      <c r="AF228" s="3">
        <f t="shared" si="189"/>
        <v>4.0589758039254933E-3</v>
      </c>
      <c r="AG228" s="3"/>
      <c r="AH228" s="3"/>
    </row>
    <row r="229" spans="2:34" x14ac:dyDescent="0.25">
      <c r="B229" s="3">
        <f t="shared" ref="B229:AF229" si="190">$C37*EXP(-B$207/$A37/EXP(-$D$126))</f>
        <v>1.8079022275700322E-3</v>
      </c>
      <c r="C229" s="3">
        <f t="shared" si="190"/>
        <v>1.8079022275700322E-3</v>
      </c>
      <c r="D229" s="3">
        <f t="shared" si="190"/>
        <v>1.8079022275700322E-3</v>
      </c>
      <c r="E229" s="3">
        <f t="shared" si="190"/>
        <v>1.8079022275700322E-3</v>
      </c>
      <c r="F229" s="3">
        <f t="shared" si="190"/>
        <v>1.8079022275700322E-3</v>
      </c>
      <c r="G229" s="3">
        <f t="shared" si="190"/>
        <v>1.8079022275700322E-3</v>
      </c>
      <c r="H229" s="3">
        <f t="shared" si="190"/>
        <v>1.8079022275700322E-3</v>
      </c>
      <c r="I229" s="3">
        <f t="shared" si="190"/>
        <v>1.8079022275700322E-3</v>
      </c>
      <c r="J229" s="3">
        <f t="shared" si="190"/>
        <v>1.8079022275700322E-3</v>
      </c>
      <c r="K229" s="3">
        <f t="shared" si="190"/>
        <v>1.8079022275700322E-3</v>
      </c>
      <c r="L229" s="3">
        <f t="shared" si="190"/>
        <v>1.8079022275700322E-3</v>
      </c>
      <c r="M229" s="3">
        <f t="shared" si="190"/>
        <v>1.8079022275700322E-3</v>
      </c>
      <c r="N229" s="3">
        <f t="shared" si="190"/>
        <v>1.8079022275700322E-3</v>
      </c>
      <c r="O229" s="3">
        <f t="shared" si="190"/>
        <v>1.8079022275700322E-3</v>
      </c>
      <c r="P229" s="3">
        <f t="shared" si="190"/>
        <v>1.8079022275700322E-3</v>
      </c>
      <c r="Q229" s="3">
        <f t="shared" si="190"/>
        <v>1.8079022275700322E-3</v>
      </c>
      <c r="R229" s="3">
        <f t="shared" si="190"/>
        <v>1.8079022275700322E-3</v>
      </c>
      <c r="S229" s="3">
        <f t="shared" si="190"/>
        <v>1.8079022275700322E-3</v>
      </c>
      <c r="T229" s="3">
        <f t="shared" si="190"/>
        <v>1.8079022275700322E-3</v>
      </c>
      <c r="U229" s="3">
        <f t="shared" si="190"/>
        <v>1.8079022275700322E-3</v>
      </c>
      <c r="V229" s="3">
        <f t="shared" si="190"/>
        <v>1.8079022275700322E-3</v>
      </c>
      <c r="W229" s="3">
        <f t="shared" si="190"/>
        <v>1.8079022275700322E-3</v>
      </c>
      <c r="X229" s="3">
        <f t="shared" si="190"/>
        <v>1.8079022275700322E-3</v>
      </c>
      <c r="Y229" s="3">
        <f t="shared" si="190"/>
        <v>1.8079022275700311E-3</v>
      </c>
      <c r="Z229" s="3">
        <f t="shared" si="190"/>
        <v>1.8079022275700226E-3</v>
      </c>
      <c r="AA229" s="3">
        <f t="shared" si="190"/>
        <v>1.8079022275699368E-3</v>
      </c>
      <c r="AB229" s="3">
        <f t="shared" si="190"/>
        <v>1.8079022275690779E-3</v>
      </c>
      <c r="AC229" s="3">
        <f t="shared" si="190"/>
        <v>1.8079022275604886E-3</v>
      </c>
      <c r="AD229" s="3">
        <f t="shared" si="190"/>
        <v>1.8079022274745972E-3</v>
      </c>
      <c r="AE229" s="3">
        <f t="shared" si="190"/>
        <v>1.8079022266156829E-3</v>
      </c>
      <c r="AF229" s="3">
        <f t="shared" si="190"/>
        <v>1.8079022180265403E-3</v>
      </c>
      <c r="AG229" s="3"/>
      <c r="AH229" s="3"/>
    </row>
    <row r="230" spans="2:34" x14ac:dyDescent="0.25">
      <c r="B230" s="3">
        <f t="shared" ref="B230:AF230" si="191">$C38*EXP(-B$207/$A38/EXP(-$D$126))</f>
        <v>6.6593482592524332E-4</v>
      </c>
      <c r="C230" s="3">
        <f t="shared" si="191"/>
        <v>6.6593482592524332E-4</v>
      </c>
      <c r="D230" s="3">
        <f t="shared" si="191"/>
        <v>6.6593482592524332E-4</v>
      </c>
      <c r="E230" s="3">
        <f t="shared" si="191"/>
        <v>6.6593482592524332E-4</v>
      </c>
      <c r="F230" s="3">
        <f t="shared" si="191"/>
        <v>6.6593482592524332E-4</v>
      </c>
      <c r="G230" s="3">
        <f t="shared" si="191"/>
        <v>6.6593482592524332E-4</v>
      </c>
      <c r="H230" s="3">
        <f t="shared" si="191"/>
        <v>6.6593482592524332E-4</v>
      </c>
      <c r="I230" s="3">
        <f t="shared" si="191"/>
        <v>6.6593482592524332E-4</v>
      </c>
      <c r="J230" s="3">
        <f t="shared" si="191"/>
        <v>6.6593482592524332E-4</v>
      </c>
      <c r="K230" s="3">
        <f t="shared" si="191"/>
        <v>6.6593482592524332E-4</v>
      </c>
      <c r="L230" s="3">
        <f t="shared" si="191"/>
        <v>6.6593482592524332E-4</v>
      </c>
      <c r="M230" s="3">
        <f t="shared" si="191"/>
        <v>6.6593482592524332E-4</v>
      </c>
      <c r="N230" s="3">
        <f t="shared" si="191"/>
        <v>6.6593482592524332E-4</v>
      </c>
      <c r="O230" s="3">
        <f t="shared" si="191"/>
        <v>6.6593482592524332E-4</v>
      </c>
      <c r="P230" s="3">
        <f t="shared" si="191"/>
        <v>6.6593482592524332E-4</v>
      </c>
      <c r="Q230" s="3">
        <f t="shared" si="191"/>
        <v>6.6593482592524332E-4</v>
      </c>
      <c r="R230" s="3">
        <f t="shared" si="191"/>
        <v>6.6593482592524332E-4</v>
      </c>
      <c r="S230" s="3">
        <f t="shared" si="191"/>
        <v>6.6593482592524332E-4</v>
      </c>
      <c r="T230" s="3">
        <f t="shared" si="191"/>
        <v>6.6593482592524332E-4</v>
      </c>
      <c r="U230" s="3">
        <f t="shared" si="191"/>
        <v>6.6593482592524332E-4</v>
      </c>
      <c r="V230" s="3">
        <f t="shared" si="191"/>
        <v>6.6593482592524332E-4</v>
      </c>
      <c r="W230" s="3">
        <f t="shared" si="191"/>
        <v>6.6593482592524332E-4</v>
      </c>
      <c r="X230" s="3">
        <f t="shared" si="191"/>
        <v>6.6593482592524332E-4</v>
      </c>
      <c r="Y230" s="3">
        <f t="shared" si="191"/>
        <v>6.6593482592524332E-4</v>
      </c>
      <c r="Z230" s="3">
        <f t="shared" si="191"/>
        <v>6.6593482592524299E-4</v>
      </c>
      <c r="AA230" s="3">
        <f t="shared" si="191"/>
        <v>6.6593482592524017E-4</v>
      </c>
      <c r="AB230" s="3">
        <f t="shared" si="191"/>
        <v>6.6593482592521155E-4</v>
      </c>
      <c r="AC230" s="3">
        <f t="shared" si="191"/>
        <v>6.6593482592492619E-4</v>
      </c>
      <c r="AD230" s="3">
        <f t="shared" si="191"/>
        <v>6.6593482592207224E-4</v>
      </c>
      <c r="AE230" s="3">
        <f t="shared" si="191"/>
        <v>6.6593482589353224E-4</v>
      </c>
      <c r="AF230" s="3">
        <f t="shared" si="191"/>
        <v>6.6593482560813283E-4</v>
      </c>
      <c r="AG230" s="3"/>
      <c r="AH230" s="3"/>
    </row>
    <row r="231" spans="2:34" x14ac:dyDescent="0.25">
      <c r="B231" s="3">
        <f t="shared" ref="B231:AF231" si="192">$C39*EXP(-B$207/$A39/EXP(-$D$126))</f>
        <v>0</v>
      </c>
      <c r="C231" s="3">
        <f t="shared" si="192"/>
        <v>0</v>
      </c>
      <c r="D231" s="3">
        <f t="shared" si="192"/>
        <v>0</v>
      </c>
      <c r="E231" s="3">
        <f t="shared" si="192"/>
        <v>0</v>
      </c>
      <c r="F231" s="3">
        <f t="shared" si="192"/>
        <v>0</v>
      </c>
      <c r="G231" s="3">
        <f t="shared" si="192"/>
        <v>0</v>
      </c>
      <c r="H231" s="3">
        <f t="shared" si="192"/>
        <v>0</v>
      </c>
      <c r="I231" s="3">
        <f t="shared" si="192"/>
        <v>0</v>
      </c>
      <c r="J231" s="3">
        <f t="shared" si="192"/>
        <v>0</v>
      </c>
      <c r="K231" s="3">
        <f t="shared" si="192"/>
        <v>0</v>
      </c>
      <c r="L231" s="3">
        <f t="shared" si="192"/>
        <v>0</v>
      </c>
      <c r="M231" s="3">
        <f t="shared" si="192"/>
        <v>0</v>
      </c>
      <c r="N231" s="3">
        <f t="shared" si="192"/>
        <v>0</v>
      </c>
      <c r="O231" s="3">
        <f t="shared" si="192"/>
        <v>0</v>
      </c>
      <c r="P231" s="3">
        <f t="shared" si="192"/>
        <v>0</v>
      </c>
      <c r="Q231" s="3">
        <f t="shared" si="192"/>
        <v>0</v>
      </c>
      <c r="R231" s="3">
        <f t="shared" si="192"/>
        <v>0</v>
      </c>
      <c r="S231" s="3">
        <f t="shared" si="192"/>
        <v>0</v>
      </c>
      <c r="T231" s="3">
        <f t="shared" si="192"/>
        <v>0</v>
      </c>
      <c r="U231" s="3">
        <f t="shared" si="192"/>
        <v>0</v>
      </c>
      <c r="V231" s="3">
        <f t="shared" si="192"/>
        <v>0</v>
      </c>
      <c r="W231" s="3">
        <f t="shared" si="192"/>
        <v>0</v>
      </c>
      <c r="X231" s="3">
        <f t="shared" si="192"/>
        <v>0</v>
      </c>
      <c r="Y231" s="3">
        <f t="shared" si="192"/>
        <v>0</v>
      </c>
      <c r="Z231" s="3">
        <f t="shared" si="192"/>
        <v>0</v>
      </c>
      <c r="AA231" s="3">
        <f t="shared" si="192"/>
        <v>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5.5929921649114952E-4</v>
      </c>
      <c r="C232" s="3">
        <f t="shared" si="193"/>
        <v>5.5929921649114952E-4</v>
      </c>
      <c r="D232" s="3">
        <f t="shared" si="193"/>
        <v>5.5929921649114952E-4</v>
      </c>
      <c r="E232" s="3">
        <f t="shared" si="193"/>
        <v>5.5929921649114952E-4</v>
      </c>
      <c r="F232" s="3">
        <f t="shared" si="193"/>
        <v>5.5929921649114952E-4</v>
      </c>
      <c r="G232" s="3">
        <f t="shared" si="193"/>
        <v>5.5929921649114952E-4</v>
      </c>
      <c r="H232" s="3">
        <f t="shared" si="193"/>
        <v>5.5929921649114952E-4</v>
      </c>
      <c r="I232" s="3">
        <f t="shared" si="193"/>
        <v>5.5929921649114952E-4</v>
      </c>
      <c r="J232" s="3">
        <f t="shared" si="193"/>
        <v>5.5929921649114952E-4</v>
      </c>
      <c r="K232" s="3">
        <f t="shared" si="193"/>
        <v>5.5929921649114952E-4</v>
      </c>
      <c r="L232" s="3">
        <f t="shared" si="193"/>
        <v>5.5929921649114952E-4</v>
      </c>
      <c r="M232" s="3">
        <f t="shared" si="193"/>
        <v>5.5929921649114952E-4</v>
      </c>
      <c r="N232" s="3">
        <f t="shared" si="193"/>
        <v>5.5929921649114952E-4</v>
      </c>
      <c r="O232" s="3">
        <f t="shared" si="193"/>
        <v>5.5929921649114952E-4</v>
      </c>
      <c r="P232" s="3">
        <f t="shared" si="193"/>
        <v>5.5929921649114952E-4</v>
      </c>
      <c r="Q232" s="3">
        <f t="shared" si="193"/>
        <v>5.5929921649114952E-4</v>
      </c>
      <c r="R232" s="3">
        <f t="shared" si="193"/>
        <v>5.5929921649114952E-4</v>
      </c>
      <c r="S232" s="3">
        <f t="shared" si="193"/>
        <v>5.5929921649114952E-4</v>
      </c>
      <c r="T232" s="3">
        <f t="shared" si="193"/>
        <v>5.5929921649114952E-4</v>
      </c>
      <c r="U232" s="3">
        <f t="shared" si="193"/>
        <v>5.5929921649114952E-4</v>
      </c>
      <c r="V232" s="3">
        <f t="shared" si="193"/>
        <v>5.5929921649114952E-4</v>
      </c>
      <c r="W232" s="3">
        <f t="shared" si="193"/>
        <v>5.5929921649114952E-4</v>
      </c>
      <c r="X232" s="3">
        <f t="shared" si="193"/>
        <v>5.5929921649114952E-4</v>
      </c>
      <c r="Y232" s="3">
        <f t="shared" si="193"/>
        <v>5.5929921649114952E-4</v>
      </c>
      <c r="Z232" s="3">
        <f t="shared" si="193"/>
        <v>5.5929921649114952E-4</v>
      </c>
      <c r="AA232" s="3">
        <f t="shared" si="193"/>
        <v>5.5929921649114942E-4</v>
      </c>
      <c r="AB232" s="3">
        <f t="shared" si="193"/>
        <v>5.5929921649114876E-4</v>
      </c>
      <c r="AC232" s="3">
        <f t="shared" si="193"/>
        <v>5.5929921649114215E-4</v>
      </c>
      <c r="AD232" s="3">
        <f t="shared" si="193"/>
        <v>5.5929921649107591E-4</v>
      </c>
      <c r="AE232" s="3">
        <f t="shared" si="193"/>
        <v>5.5929921649041292E-4</v>
      </c>
      <c r="AF232" s="3">
        <f t="shared" si="193"/>
        <v>5.5929921648378345E-4</v>
      </c>
      <c r="AG232" s="3"/>
      <c r="AH232" s="3"/>
    </row>
    <row r="233" spans="2:34" x14ac:dyDescent="0.25">
      <c r="B233" s="3">
        <f t="shared" ref="B233:AF233" si="194">$C41*EXP(-B$207/$A41/EXP(-$D$126))</f>
        <v>0</v>
      </c>
      <c r="C233" s="3">
        <f t="shared" si="194"/>
        <v>0</v>
      </c>
      <c r="D233" s="3">
        <f t="shared" si="194"/>
        <v>0</v>
      </c>
      <c r="E233" s="3">
        <f t="shared" si="194"/>
        <v>0</v>
      </c>
      <c r="F233" s="3">
        <f t="shared" si="194"/>
        <v>0</v>
      </c>
      <c r="G233" s="3">
        <f t="shared" si="194"/>
        <v>0</v>
      </c>
      <c r="H233" s="3">
        <f t="shared" si="194"/>
        <v>0</v>
      </c>
      <c r="I233" s="3">
        <f t="shared" si="194"/>
        <v>0</v>
      </c>
      <c r="J233" s="3">
        <f t="shared" si="194"/>
        <v>0</v>
      </c>
      <c r="K233" s="3">
        <f t="shared" si="194"/>
        <v>0</v>
      </c>
      <c r="L233" s="3">
        <f t="shared" si="194"/>
        <v>0</v>
      </c>
      <c r="M233" s="3">
        <f t="shared" si="194"/>
        <v>0</v>
      </c>
      <c r="N233" s="3">
        <f t="shared" si="194"/>
        <v>0</v>
      </c>
      <c r="O233" s="3">
        <f t="shared" si="194"/>
        <v>0</v>
      </c>
      <c r="P233" s="3">
        <f t="shared" si="194"/>
        <v>0</v>
      </c>
      <c r="Q233" s="3">
        <f t="shared" si="194"/>
        <v>0</v>
      </c>
      <c r="R233" s="3">
        <f t="shared" si="194"/>
        <v>0</v>
      </c>
      <c r="S233" s="3">
        <f t="shared" si="194"/>
        <v>0</v>
      </c>
      <c r="T233" s="3">
        <f t="shared" si="194"/>
        <v>0</v>
      </c>
      <c r="U233" s="3">
        <f t="shared" si="194"/>
        <v>0</v>
      </c>
      <c r="V233" s="3">
        <f t="shared" si="194"/>
        <v>0</v>
      </c>
      <c r="W233" s="3">
        <f t="shared" si="194"/>
        <v>0</v>
      </c>
      <c r="X233" s="3">
        <f t="shared" si="194"/>
        <v>0</v>
      </c>
      <c r="Y233" s="3">
        <f t="shared" si="194"/>
        <v>0</v>
      </c>
      <c r="Z233" s="3">
        <f t="shared" si="194"/>
        <v>0</v>
      </c>
      <c r="AA233" s="3">
        <f t="shared" si="194"/>
        <v>0</v>
      </c>
      <c r="AB233" s="3">
        <f t="shared" si="194"/>
        <v>0</v>
      </c>
      <c r="AC233" s="3">
        <f t="shared" si="194"/>
        <v>0</v>
      </c>
      <c r="AD233" s="3">
        <f t="shared" si="194"/>
        <v>0</v>
      </c>
      <c r="AE233" s="3">
        <f t="shared" si="194"/>
        <v>0</v>
      </c>
      <c r="AF233" s="3">
        <f t="shared" si="194"/>
        <v>0</v>
      </c>
      <c r="AG233" s="3"/>
      <c r="AH233" s="3"/>
    </row>
    <row r="234" spans="2:34" x14ac:dyDescent="0.25">
      <c r="B234" s="3">
        <f t="shared" ref="B234:AF234" si="195">$C42*EXP(-B$207/$A42/EXP(-$D$126))</f>
        <v>1.7201579278298637E-4</v>
      </c>
      <c r="C234" s="3">
        <f t="shared" si="195"/>
        <v>1.7201579278298637E-4</v>
      </c>
      <c r="D234" s="3">
        <f t="shared" si="195"/>
        <v>1.7201579278298637E-4</v>
      </c>
      <c r="E234" s="3">
        <f t="shared" si="195"/>
        <v>1.7201579278298637E-4</v>
      </c>
      <c r="F234" s="3">
        <f t="shared" si="195"/>
        <v>1.7201579278298637E-4</v>
      </c>
      <c r="G234" s="3">
        <f t="shared" si="195"/>
        <v>1.7201579278298637E-4</v>
      </c>
      <c r="H234" s="3">
        <f t="shared" si="195"/>
        <v>1.7201579278298637E-4</v>
      </c>
      <c r="I234" s="3">
        <f t="shared" si="195"/>
        <v>1.7201579278298637E-4</v>
      </c>
      <c r="J234" s="3">
        <f t="shared" si="195"/>
        <v>1.7201579278298637E-4</v>
      </c>
      <c r="K234" s="3">
        <f t="shared" si="195"/>
        <v>1.7201579278298637E-4</v>
      </c>
      <c r="L234" s="3">
        <f t="shared" si="195"/>
        <v>1.7201579278298637E-4</v>
      </c>
      <c r="M234" s="3">
        <f t="shared" si="195"/>
        <v>1.7201579278298637E-4</v>
      </c>
      <c r="N234" s="3">
        <f t="shared" si="195"/>
        <v>1.7201579278298637E-4</v>
      </c>
      <c r="O234" s="3">
        <f t="shared" si="195"/>
        <v>1.7201579278298637E-4</v>
      </c>
      <c r="P234" s="3">
        <f t="shared" si="195"/>
        <v>1.7201579278298637E-4</v>
      </c>
      <c r="Q234" s="3">
        <f t="shared" si="195"/>
        <v>1.7201579278298637E-4</v>
      </c>
      <c r="R234" s="3">
        <f t="shared" si="195"/>
        <v>1.7201579278298637E-4</v>
      </c>
      <c r="S234" s="3">
        <f t="shared" si="195"/>
        <v>1.7201579278298637E-4</v>
      </c>
      <c r="T234" s="3">
        <f t="shared" si="195"/>
        <v>1.7201579278298637E-4</v>
      </c>
      <c r="U234" s="3">
        <f t="shared" si="195"/>
        <v>1.7201579278298637E-4</v>
      </c>
      <c r="V234" s="3">
        <f t="shared" si="195"/>
        <v>1.7201579278298637E-4</v>
      </c>
      <c r="W234" s="3">
        <f t="shared" si="195"/>
        <v>1.7201579278298637E-4</v>
      </c>
      <c r="X234" s="3">
        <f t="shared" si="195"/>
        <v>1.7201579278298637E-4</v>
      </c>
      <c r="Y234" s="3">
        <f t="shared" si="195"/>
        <v>1.7201579278298637E-4</v>
      </c>
      <c r="Z234" s="3">
        <f t="shared" si="195"/>
        <v>1.7201579278298637E-4</v>
      </c>
      <c r="AA234" s="3">
        <f t="shared" si="195"/>
        <v>1.7201579278298637E-4</v>
      </c>
      <c r="AB234" s="3">
        <f t="shared" si="195"/>
        <v>1.7201579278298637E-4</v>
      </c>
      <c r="AC234" s="3">
        <f t="shared" si="195"/>
        <v>1.7201579278298634E-4</v>
      </c>
      <c r="AD234" s="3">
        <f t="shared" si="195"/>
        <v>1.7201579278298615E-4</v>
      </c>
      <c r="AE234" s="3">
        <f t="shared" si="195"/>
        <v>1.7201579278298409E-4</v>
      </c>
      <c r="AF234" s="3">
        <f t="shared" si="195"/>
        <v>1.7201579278296371E-4</v>
      </c>
      <c r="AG234" s="3"/>
      <c r="AH234" s="3"/>
    </row>
    <row r="235" spans="2:34" x14ac:dyDescent="0.25">
      <c r="B235" s="3">
        <f t="shared" ref="B235:AF235" si="196">$C43*EXP(-B$207/$A43/EXP(-$D$126))</f>
        <v>1.7468461922378131E-4</v>
      </c>
      <c r="C235" s="3">
        <f t="shared" si="196"/>
        <v>1.7468461922378131E-4</v>
      </c>
      <c r="D235" s="3">
        <f t="shared" si="196"/>
        <v>1.7468461922378131E-4</v>
      </c>
      <c r="E235" s="3">
        <f t="shared" si="196"/>
        <v>1.7468461922378131E-4</v>
      </c>
      <c r="F235" s="3">
        <f t="shared" si="196"/>
        <v>1.7468461922378131E-4</v>
      </c>
      <c r="G235" s="3">
        <f t="shared" si="196"/>
        <v>1.7468461922378131E-4</v>
      </c>
      <c r="H235" s="3">
        <f t="shared" si="196"/>
        <v>1.7468461922378131E-4</v>
      </c>
      <c r="I235" s="3">
        <f t="shared" si="196"/>
        <v>1.7468461922378131E-4</v>
      </c>
      <c r="J235" s="3">
        <f t="shared" si="196"/>
        <v>1.7468461922378131E-4</v>
      </c>
      <c r="K235" s="3">
        <f t="shared" si="196"/>
        <v>1.7468461922378131E-4</v>
      </c>
      <c r="L235" s="3">
        <f t="shared" si="196"/>
        <v>1.7468461922378131E-4</v>
      </c>
      <c r="M235" s="3">
        <f t="shared" si="196"/>
        <v>1.7468461922378131E-4</v>
      </c>
      <c r="N235" s="3">
        <f t="shared" si="196"/>
        <v>1.7468461922378131E-4</v>
      </c>
      <c r="O235" s="3">
        <f t="shared" si="196"/>
        <v>1.7468461922378131E-4</v>
      </c>
      <c r="P235" s="3">
        <f t="shared" si="196"/>
        <v>1.7468461922378131E-4</v>
      </c>
      <c r="Q235" s="3">
        <f t="shared" si="196"/>
        <v>1.7468461922378131E-4</v>
      </c>
      <c r="R235" s="3">
        <f t="shared" si="196"/>
        <v>1.7468461922378131E-4</v>
      </c>
      <c r="S235" s="3">
        <f t="shared" si="196"/>
        <v>1.7468461922378131E-4</v>
      </c>
      <c r="T235" s="3">
        <f t="shared" si="196"/>
        <v>1.7468461922378131E-4</v>
      </c>
      <c r="U235" s="3">
        <f t="shared" si="196"/>
        <v>1.7468461922378131E-4</v>
      </c>
      <c r="V235" s="3">
        <f t="shared" si="196"/>
        <v>1.7468461922378131E-4</v>
      </c>
      <c r="W235" s="3">
        <f t="shared" si="196"/>
        <v>1.7468461922378131E-4</v>
      </c>
      <c r="X235" s="3">
        <f t="shared" si="196"/>
        <v>1.7468461922378131E-4</v>
      </c>
      <c r="Y235" s="3">
        <f t="shared" si="196"/>
        <v>1.7468461922378131E-4</v>
      </c>
      <c r="Z235" s="3">
        <f t="shared" si="196"/>
        <v>1.7468461922378131E-4</v>
      </c>
      <c r="AA235" s="3">
        <f t="shared" si="196"/>
        <v>1.7468461922378131E-4</v>
      </c>
      <c r="AB235" s="3">
        <f t="shared" si="196"/>
        <v>1.7468461922378131E-4</v>
      </c>
      <c r="AC235" s="3">
        <f t="shared" si="196"/>
        <v>1.7468461922378131E-4</v>
      </c>
      <c r="AD235" s="3">
        <f t="shared" si="196"/>
        <v>1.7468461922378128E-4</v>
      </c>
      <c r="AE235" s="3">
        <f t="shared" si="196"/>
        <v>1.7468461922378107E-4</v>
      </c>
      <c r="AF235" s="3">
        <f t="shared" si="196"/>
        <v>1.7468461922377901E-4</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2.0999278642033111E-4</v>
      </c>
      <c r="C237" s="3">
        <f t="shared" si="198"/>
        <v>2.0999278642033111E-4</v>
      </c>
      <c r="D237" s="3">
        <f t="shared" si="198"/>
        <v>2.0999278642033111E-4</v>
      </c>
      <c r="E237" s="3">
        <f t="shared" si="198"/>
        <v>2.0999278642033111E-4</v>
      </c>
      <c r="F237" s="3">
        <f t="shared" si="198"/>
        <v>2.0999278642033111E-4</v>
      </c>
      <c r="G237" s="3">
        <f t="shared" si="198"/>
        <v>2.0999278642033111E-4</v>
      </c>
      <c r="H237" s="3">
        <f t="shared" si="198"/>
        <v>2.0999278642033111E-4</v>
      </c>
      <c r="I237" s="3">
        <f t="shared" si="198"/>
        <v>2.0999278642033111E-4</v>
      </c>
      <c r="J237" s="3">
        <f t="shared" si="198"/>
        <v>2.0999278642033111E-4</v>
      </c>
      <c r="K237" s="3">
        <f t="shared" si="198"/>
        <v>2.0999278642033111E-4</v>
      </c>
      <c r="L237" s="3">
        <f t="shared" si="198"/>
        <v>2.0999278642033111E-4</v>
      </c>
      <c r="M237" s="3">
        <f t="shared" si="198"/>
        <v>2.0999278642033111E-4</v>
      </c>
      <c r="N237" s="3">
        <f t="shared" si="198"/>
        <v>2.0999278642033111E-4</v>
      </c>
      <c r="O237" s="3">
        <f t="shared" si="198"/>
        <v>2.0999278642033111E-4</v>
      </c>
      <c r="P237" s="3">
        <f t="shared" si="198"/>
        <v>2.0999278642033111E-4</v>
      </c>
      <c r="Q237" s="3">
        <f t="shared" si="198"/>
        <v>2.0999278642033111E-4</v>
      </c>
      <c r="R237" s="3">
        <f t="shared" si="198"/>
        <v>2.0999278642033111E-4</v>
      </c>
      <c r="S237" s="3">
        <f t="shared" si="198"/>
        <v>2.0999278642033111E-4</v>
      </c>
      <c r="T237" s="3">
        <f t="shared" si="198"/>
        <v>2.0999278642033111E-4</v>
      </c>
      <c r="U237" s="3">
        <f t="shared" si="198"/>
        <v>2.0999278642033111E-4</v>
      </c>
      <c r="V237" s="3">
        <f t="shared" si="198"/>
        <v>2.0999278642033111E-4</v>
      </c>
      <c r="W237" s="3">
        <f t="shared" si="198"/>
        <v>2.0999278642033111E-4</v>
      </c>
      <c r="X237" s="3">
        <f t="shared" si="198"/>
        <v>2.0999278642033111E-4</v>
      </c>
      <c r="Y237" s="3">
        <f t="shared" si="198"/>
        <v>2.0999278642033111E-4</v>
      </c>
      <c r="Z237" s="3">
        <f t="shared" si="198"/>
        <v>2.0999278642033111E-4</v>
      </c>
      <c r="AA237" s="3">
        <f t="shared" si="198"/>
        <v>2.0999278642033111E-4</v>
      </c>
      <c r="AB237" s="3">
        <f t="shared" si="198"/>
        <v>2.0999278642033111E-4</v>
      </c>
      <c r="AC237" s="3">
        <f t="shared" si="198"/>
        <v>2.0999278642033111E-4</v>
      </c>
      <c r="AD237" s="3">
        <f t="shared" si="198"/>
        <v>2.0999278642033111E-4</v>
      </c>
      <c r="AE237" s="3">
        <f t="shared" si="198"/>
        <v>2.0999278642033111E-4</v>
      </c>
      <c r="AF237" s="3">
        <f t="shared" si="198"/>
        <v>2.0999278642033108E-4</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1.7320221207897527E-4</v>
      </c>
      <c r="C240" s="3">
        <f t="shared" si="201"/>
        <v>1.7320221207897527E-4</v>
      </c>
      <c r="D240" s="3">
        <f t="shared" si="201"/>
        <v>1.7320221207897527E-4</v>
      </c>
      <c r="E240" s="3">
        <f t="shared" si="201"/>
        <v>1.7320221207897527E-4</v>
      </c>
      <c r="F240" s="3">
        <f t="shared" si="201"/>
        <v>1.7320221207897527E-4</v>
      </c>
      <c r="G240" s="3">
        <f t="shared" si="201"/>
        <v>1.7320221207897527E-4</v>
      </c>
      <c r="H240" s="3">
        <f t="shared" si="201"/>
        <v>1.7320221207897527E-4</v>
      </c>
      <c r="I240" s="3">
        <f t="shared" si="201"/>
        <v>1.7320221207897527E-4</v>
      </c>
      <c r="J240" s="3">
        <f t="shared" si="201"/>
        <v>1.7320221207897527E-4</v>
      </c>
      <c r="K240" s="3">
        <f t="shared" si="201"/>
        <v>1.7320221207897527E-4</v>
      </c>
      <c r="L240" s="3">
        <f t="shared" si="201"/>
        <v>1.7320221207897527E-4</v>
      </c>
      <c r="M240" s="3">
        <f t="shared" si="201"/>
        <v>1.7320221207897527E-4</v>
      </c>
      <c r="N240" s="3">
        <f t="shared" si="201"/>
        <v>1.7320221207897527E-4</v>
      </c>
      <c r="O240" s="3">
        <f t="shared" si="201"/>
        <v>1.7320221207897527E-4</v>
      </c>
      <c r="P240" s="3">
        <f t="shared" si="201"/>
        <v>1.7320221207897527E-4</v>
      </c>
      <c r="Q240" s="3">
        <f t="shared" si="201"/>
        <v>1.7320221207897527E-4</v>
      </c>
      <c r="R240" s="3">
        <f t="shared" si="201"/>
        <v>1.7320221207897527E-4</v>
      </c>
      <c r="S240" s="3">
        <f t="shared" si="201"/>
        <v>1.7320221207897527E-4</v>
      </c>
      <c r="T240" s="3">
        <f t="shared" si="201"/>
        <v>1.7320221207897527E-4</v>
      </c>
      <c r="U240" s="3">
        <f t="shared" si="201"/>
        <v>1.7320221207897527E-4</v>
      </c>
      <c r="V240" s="3">
        <f t="shared" si="201"/>
        <v>1.7320221207897527E-4</v>
      </c>
      <c r="W240" s="3">
        <f t="shared" si="201"/>
        <v>1.7320221207897527E-4</v>
      </c>
      <c r="X240" s="3">
        <f t="shared" si="201"/>
        <v>1.7320221207897527E-4</v>
      </c>
      <c r="Y240" s="3">
        <f t="shared" si="201"/>
        <v>1.7320221207897527E-4</v>
      </c>
      <c r="Z240" s="3">
        <f t="shared" si="201"/>
        <v>1.7320221207897527E-4</v>
      </c>
      <c r="AA240" s="3">
        <f t="shared" si="201"/>
        <v>1.7320221207897527E-4</v>
      </c>
      <c r="AB240" s="3">
        <f t="shared" si="201"/>
        <v>1.7320221207897527E-4</v>
      </c>
      <c r="AC240" s="3">
        <f t="shared" si="201"/>
        <v>1.7320221207897527E-4</v>
      </c>
      <c r="AD240" s="3">
        <f t="shared" si="201"/>
        <v>1.7320221207897527E-4</v>
      </c>
      <c r="AE240" s="3">
        <f t="shared" si="201"/>
        <v>1.7320221207897527E-4</v>
      </c>
      <c r="AF240" s="3">
        <f t="shared" si="201"/>
        <v>1.7320221207897527E-4</v>
      </c>
      <c r="AG240" s="3"/>
      <c r="AH240" s="3"/>
    </row>
    <row r="241" spans="1:34" x14ac:dyDescent="0.25">
      <c r="A241" s="79">
        <f>AVERAGE(B241:AF241)</f>
        <v>8.7919749583036888E-2</v>
      </c>
      <c r="B241" s="80">
        <f>IF($A$64&lt;=B207,IF($B$64&gt;=B207,ABS((B209-B208)/B208),0),0)</f>
        <v>1.9042430774233858E-7</v>
      </c>
      <c r="C241" s="80">
        <f t="shared" ref="C241:AF241" si="202">IF($A$64&lt;=C207,IF($B$64&gt;=C207,ABS((C209-C208)/C208),0),0)</f>
        <v>6.7752781947413601E-6</v>
      </c>
      <c r="D241" s="80">
        <f t="shared" si="202"/>
        <v>7.74337706843736E-6</v>
      </c>
      <c r="E241" s="80">
        <f t="shared" si="202"/>
        <v>1.0463698981041396E-4</v>
      </c>
      <c r="F241" s="80">
        <f t="shared" si="202"/>
        <v>1.0352033837033143E-3</v>
      </c>
      <c r="G241" s="80">
        <f t="shared" si="202"/>
        <v>9.1267231279958221E-3</v>
      </c>
      <c r="H241" s="80">
        <f t="shared" si="202"/>
        <v>3.8725344498332946E-2</v>
      </c>
      <c r="I241" s="80">
        <f t="shared" si="202"/>
        <v>6.0543748377905916E-2</v>
      </c>
      <c r="J241" s="80">
        <f t="shared" si="202"/>
        <v>8.1117763334279308E-2</v>
      </c>
      <c r="K241" s="80">
        <f t="shared" si="202"/>
        <v>0.10539134816164802</v>
      </c>
      <c r="L241" s="80">
        <f t="shared" si="202"/>
        <v>0.13149049291047343</v>
      </c>
      <c r="M241" s="80">
        <f t="shared" si="202"/>
        <v>0.15791812443895931</v>
      </c>
      <c r="N241" s="80">
        <f t="shared" si="202"/>
        <v>0.14328597159762754</v>
      </c>
      <c r="O241" s="80">
        <f t="shared" si="202"/>
        <v>0.10869367708095364</v>
      </c>
      <c r="P241" s="80">
        <f t="shared" si="202"/>
        <v>0.21104139024253188</v>
      </c>
      <c r="Q241" s="80">
        <f t="shared" si="202"/>
        <v>0.18242728941859207</v>
      </c>
      <c r="R241" s="80">
        <f t="shared" si="202"/>
        <v>0.14395349178675715</v>
      </c>
      <c r="S241" s="80">
        <f t="shared" si="202"/>
        <v>9.1472416518636857E-2</v>
      </c>
      <c r="T241" s="80">
        <f t="shared" si="202"/>
        <v>1.9275213584139854E-2</v>
      </c>
      <c r="U241" s="80">
        <f t="shared" si="202"/>
        <v>4.9699432865102158E-2</v>
      </c>
      <c r="V241" s="80">
        <f t="shared" si="202"/>
        <v>6.9968346518162805E-2</v>
      </c>
      <c r="W241" s="80">
        <f t="shared" si="202"/>
        <v>0.11956288844605115</v>
      </c>
      <c r="X241" s="80">
        <f t="shared" si="202"/>
        <v>0.14611930972563608</v>
      </c>
      <c r="Y241" s="80">
        <f t="shared" si="202"/>
        <v>0.15497045283242122</v>
      </c>
      <c r="Z241" s="80">
        <f t="shared" si="202"/>
        <v>0.1581026053548904</v>
      </c>
      <c r="AA241" s="80">
        <f t="shared" si="202"/>
        <v>0.14658057847790379</v>
      </c>
      <c r="AB241" s="80">
        <f t="shared" si="202"/>
        <v>0.12449407760007943</v>
      </c>
      <c r="AC241" s="80">
        <f t="shared" si="202"/>
        <v>7.9877698584460477E-2</v>
      </c>
      <c r="AD241" s="80">
        <f t="shared" si="202"/>
        <v>1.3117676002271188E-2</v>
      </c>
      <c r="AE241" s="80">
        <f t="shared" si="202"/>
        <v>6.2801440973095174E-2</v>
      </c>
      <c r="AF241" s="80">
        <f t="shared" si="202"/>
        <v>0.11460018516215099</v>
      </c>
    </row>
    <row r="242" spans="1:34" x14ac:dyDescent="0.25">
      <c r="B242" s="21">
        <f>(B209-B208)^2</f>
        <v>1.3898216040687575E-6</v>
      </c>
      <c r="C242" s="21">
        <f t="shared" ref="C242:AF242" si="203">(C209-C208)^2</f>
        <v>1.7594405704977269E-3</v>
      </c>
      <c r="D242" s="21">
        <f t="shared" si="203"/>
        <v>2.2980979905474963E-3</v>
      </c>
      <c r="E242" s="21">
        <f t="shared" si="203"/>
        <v>0.41955997006628182</v>
      </c>
      <c r="F242" s="21">
        <f t="shared" si="203"/>
        <v>40.988980546243674</v>
      </c>
      <c r="G242" s="21">
        <f t="shared" si="203"/>
        <v>3135.1100181275306</v>
      </c>
      <c r="H242" s="21">
        <f t="shared" si="203"/>
        <v>53272.555657666016</v>
      </c>
      <c r="I242" s="21">
        <f t="shared" si="203"/>
        <v>124909.49333757396</v>
      </c>
      <c r="J242" s="21">
        <f t="shared" si="203"/>
        <v>215772.44236174351</v>
      </c>
      <c r="K242" s="21">
        <f t="shared" si="203"/>
        <v>348375.98889969231</v>
      </c>
      <c r="L242" s="21">
        <f t="shared" si="203"/>
        <v>517084.04764511785</v>
      </c>
      <c r="M242" s="21">
        <f t="shared" si="203"/>
        <v>705726.98624481517</v>
      </c>
      <c r="N242" s="21">
        <f t="shared" si="203"/>
        <v>546183.50409264455</v>
      </c>
      <c r="O242" s="21">
        <f t="shared" si="203"/>
        <v>293992.01222990325</v>
      </c>
      <c r="P242" s="21">
        <f t="shared" si="203"/>
        <v>1037389.5829239246</v>
      </c>
      <c r="Q242" s="21">
        <f t="shared" si="203"/>
        <v>721835.54795710032</v>
      </c>
      <c r="R242" s="21">
        <f t="shared" si="203"/>
        <v>409954.19479567517</v>
      </c>
      <c r="S242" s="21">
        <f t="shared" si="203"/>
        <v>146869.72309225134</v>
      </c>
      <c r="T242" s="21">
        <f t="shared" si="203"/>
        <v>5564.1016462169191</v>
      </c>
      <c r="U242" s="21">
        <f t="shared" si="203"/>
        <v>30696.427991809192</v>
      </c>
      <c r="V242" s="21">
        <f t="shared" si="203"/>
        <v>50122.360782072457</v>
      </c>
      <c r="W242" s="21">
        <f t="shared" si="203"/>
        <v>123143.99712768127</v>
      </c>
      <c r="X242" s="21">
        <f t="shared" si="203"/>
        <v>156828.08631339678</v>
      </c>
      <c r="Y242" s="21">
        <f t="shared" si="203"/>
        <v>152049.86524636575</v>
      </c>
      <c r="Z242" s="21">
        <f t="shared" si="203"/>
        <v>134624.38754451211</v>
      </c>
      <c r="AA242" s="21">
        <f t="shared" si="203"/>
        <v>97289.00460730429</v>
      </c>
      <c r="AB242" s="21">
        <f t="shared" si="203"/>
        <v>57271.149192182296</v>
      </c>
      <c r="AC242" s="21">
        <f t="shared" si="203"/>
        <v>18422.915650596264</v>
      </c>
      <c r="AD242" s="21">
        <f t="shared" si="203"/>
        <v>358.01762762548725</v>
      </c>
      <c r="AE242" s="21">
        <f t="shared" si="203"/>
        <v>5240.2546471248688</v>
      </c>
      <c r="AF242" s="21">
        <f t="shared" si="203"/>
        <v>9636.683222125419</v>
      </c>
      <c r="AG242" s="3"/>
      <c r="AH242" s="3"/>
    </row>
    <row r="243" spans="1:34" x14ac:dyDescent="0.25">
      <c r="A243" s="71">
        <f>SUM(B243:AF243)</f>
        <v>5965789.8534546923</v>
      </c>
      <c r="B243" s="60">
        <f>IF($A$64&lt;=B207,IF($B$64&gt;=B207,ABS(B242),0),0)</f>
        <v>1.3898216040687575E-6</v>
      </c>
      <c r="C243" s="60">
        <f t="shared" ref="C243" si="204">IF($A$64&lt;=C207,IF($B$64&gt;=C207,ABS(C242),0),0)</f>
        <v>1.7594405704977269E-3</v>
      </c>
      <c r="D243" s="60">
        <f t="shared" ref="D243" si="205">IF($A$64&lt;=D207,IF($B$64&gt;=D207,ABS(D242),0),0)</f>
        <v>2.2980979905474963E-3</v>
      </c>
      <c r="E243" s="60">
        <f t="shared" ref="E243" si="206">IF($A$64&lt;=E207,IF($B$64&gt;=E207,ABS(E242),0),0)</f>
        <v>0.41955997006628182</v>
      </c>
      <c r="F243" s="60">
        <f t="shared" ref="F243" si="207">IF($A$64&lt;=F207,IF($B$64&gt;=F207,ABS(F242),0),0)</f>
        <v>40.988980546243674</v>
      </c>
      <c r="G243" s="60">
        <f t="shared" ref="G243" si="208">IF($A$64&lt;=G207,IF($B$64&gt;=G207,ABS(G242),0),0)</f>
        <v>3135.1100181275306</v>
      </c>
      <c r="H243" s="60">
        <f t="shared" ref="H243" si="209">IF($A$64&lt;=H207,IF($B$64&gt;=H207,ABS(H242),0),0)</f>
        <v>53272.555657666016</v>
      </c>
      <c r="I243" s="60">
        <f t="shared" ref="I243" si="210">IF($A$64&lt;=I207,IF($B$64&gt;=I207,ABS(I242),0),0)</f>
        <v>124909.49333757396</v>
      </c>
      <c r="J243" s="60">
        <f t="shared" ref="J243" si="211">IF($A$64&lt;=J207,IF($B$64&gt;=J207,ABS(J242),0),0)</f>
        <v>215772.44236174351</v>
      </c>
      <c r="K243" s="60">
        <f t="shared" ref="K243" si="212">IF($A$64&lt;=K207,IF($B$64&gt;=K207,ABS(K242),0),0)</f>
        <v>348375.98889969231</v>
      </c>
      <c r="L243" s="60">
        <f t="shared" ref="L243" si="213">IF($A$64&lt;=L207,IF($B$64&gt;=L207,ABS(L242),0),0)</f>
        <v>517084.04764511785</v>
      </c>
      <c r="M243" s="60">
        <f t="shared" ref="M243" si="214">IF($A$64&lt;=M207,IF($B$64&gt;=M207,ABS(M242),0),0)</f>
        <v>705726.98624481517</v>
      </c>
      <c r="N243" s="60">
        <f t="shared" ref="N243" si="215">IF($A$64&lt;=N207,IF($B$64&gt;=N207,ABS(N242),0),0)</f>
        <v>546183.50409264455</v>
      </c>
      <c r="O243" s="60">
        <f t="shared" ref="O243" si="216">IF($A$64&lt;=O207,IF($B$64&gt;=O207,ABS(O242),0),0)</f>
        <v>293992.01222990325</v>
      </c>
      <c r="P243" s="60">
        <f t="shared" ref="P243" si="217">IF($A$64&lt;=P207,IF($B$64&gt;=P207,ABS(P242),0),0)</f>
        <v>1037389.5829239246</v>
      </c>
      <c r="Q243" s="60">
        <f t="shared" ref="Q243" si="218">IF($A$64&lt;=Q207,IF($B$64&gt;=Q207,ABS(Q242),0),0)</f>
        <v>721835.54795710032</v>
      </c>
      <c r="R243" s="60">
        <f t="shared" ref="R243" si="219">IF($A$64&lt;=R207,IF($B$64&gt;=R207,ABS(R242),0),0)</f>
        <v>409954.19479567517</v>
      </c>
      <c r="S243" s="60">
        <f t="shared" ref="S243" si="220">IF($A$64&lt;=S207,IF($B$64&gt;=S207,ABS(S242),0),0)</f>
        <v>146869.72309225134</v>
      </c>
      <c r="T243" s="60">
        <f t="shared" ref="T243" si="221">IF($A$64&lt;=T207,IF($B$64&gt;=T207,ABS(T242),0),0)</f>
        <v>5564.1016462169191</v>
      </c>
      <c r="U243" s="60">
        <f t="shared" ref="U243" si="222">IF($A$64&lt;=U207,IF($B$64&gt;=U207,ABS(U242),0),0)</f>
        <v>30696.427991809192</v>
      </c>
      <c r="V243" s="60">
        <f t="shared" ref="V243" si="223">IF($A$64&lt;=V207,IF($B$64&gt;=V207,ABS(V242),0),0)</f>
        <v>50122.360782072457</v>
      </c>
      <c r="W243" s="60">
        <f t="shared" ref="W243" si="224">IF($A$64&lt;=W207,IF($B$64&gt;=W207,ABS(W242),0),0)</f>
        <v>123143.99712768127</v>
      </c>
      <c r="X243" s="60">
        <f t="shared" ref="X243" si="225">IF($A$64&lt;=X207,IF($B$64&gt;=X207,ABS(X242),0),0)</f>
        <v>156828.08631339678</v>
      </c>
      <c r="Y243" s="60">
        <f t="shared" ref="Y243" si="226">IF($A$64&lt;=Y207,IF($B$64&gt;=Y207,ABS(Y242),0),0)</f>
        <v>152049.86524636575</v>
      </c>
      <c r="Z243" s="60">
        <f t="shared" ref="Z243" si="227">IF($A$64&lt;=Z207,IF($B$64&gt;=Z207,ABS(Z242),0),0)</f>
        <v>134624.38754451211</v>
      </c>
      <c r="AA243" s="60">
        <f t="shared" ref="AA243" si="228">IF($A$64&lt;=AA207,IF($B$64&gt;=AA207,ABS(AA242),0),0)</f>
        <v>97289.00460730429</v>
      </c>
      <c r="AB243" s="60">
        <f t="shared" ref="AB243" si="229">IF($A$64&lt;=AB207,IF($B$64&gt;=AB207,ABS(AB242),0),0)</f>
        <v>57271.149192182296</v>
      </c>
      <c r="AC243" s="60">
        <f t="shared" ref="AC243" si="230">IF($A$64&lt;=AC207,IF($B$64&gt;=AC207,ABS(AC242),0),0)</f>
        <v>18422.915650596264</v>
      </c>
      <c r="AD243" s="60">
        <f t="shared" ref="AD243" si="231">IF($A$64&lt;=AD207,IF($B$64&gt;=AD207,ABS(AD242),0),0)</f>
        <v>358.01762762548725</v>
      </c>
      <c r="AE243" s="60">
        <f t="shared" ref="AE243" si="232">IF($A$64&lt;=AE207,IF($B$64&gt;=AE207,ABS(AE242),0),0)</f>
        <v>5240.2546471248688</v>
      </c>
      <c r="AF243" s="60">
        <f t="shared" ref="AF243" si="233">IF($A$64&lt;=AF207,IF($B$64&gt;=AF207,ABS(AF242),0),0)</f>
        <v>9636.683222125419</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6172.4582725066966</v>
      </c>
      <c r="C247" s="26">
        <f>INDEX(Comparison!$AM$3:$AS$33,G$14,$E$122)</f>
        <v>6171.4179467154336</v>
      </c>
      <c r="D247" s="26">
        <f>INDEX(Comparison!$AM$3:$AS$33,H$14,$E$122)</f>
        <v>6160.9029577093925</v>
      </c>
      <c r="E247" s="26">
        <f>INDEX(Comparison!$AM$3:$AS$33,I$14,$E$122)</f>
        <v>6080.1494402060262</v>
      </c>
      <c r="F247" s="26">
        <f>INDEX(Comparison!$AM$3:$AS$33,J$14,$E$122)</f>
        <v>5909.4727930371473</v>
      </c>
      <c r="G247" s="26">
        <f>INDEX(Comparison!$AM$3:$AS$33,K$14,$E$122)</f>
        <v>5793.8515184178423</v>
      </c>
      <c r="H247" s="26">
        <f>INDEX(Comparison!$AM$3:$AS$33,L$14,$E$122)</f>
        <v>5680.232087661574</v>
      </c>
      <c r="I247" s="26">
        <f>INDEX(Comparison!$AM$3:$AS$33,M$14,$E$122)</f>
        <v>5553.2872228346014</v>
      </c>
      <c r="J247" s="26">
        <f>INDEX(Comparison!$AM$3:$AS$33,N$14,$E$122)</f>
        <v>5418.4008813428445</v>
      </c>
      <c r="K247" s="26">
        <f>INDEX(Comparison!$AM$3:$AS$33,O$14,$E$122)</f>
        <v>5266.5010696158342</v>
      </c>
      <c r="L247" s="26">
        <f>INDEX(Comparison!$AM$3:$AS$33,P$14,$E$122)</f>
        <v>5102.6301031593184</v>
      </c>
      <c r="M247" s="26">
        <f>INDEX(Comparison!$AM$3:$AS$33,Q$14,$E$122)</f>
        <v>4935.1703334559215</v>
      </c>
      <c r="N247" s="26">
        <f>INDEX(Comparison!$AM$3:$AS$33,R$14,$E$122)</f>
        <v>4773.9141111745284</v>
      </c>
      <c r="O247" s="26">
        <f>INDEX(Comparison!$AM$3:$AS$33,S$14,$E$122)</f>
        <v>4598.1434168288733</v>
      </c>
      <c r="P247" s="26">
        <f>INDEX(Comparison!$AM$3:$AS$33,T$14,$E$122)</f>
        <v>4383.948625533154</v>
      </c>
      <c r="Q247" s="26">
        <f>INDEX(Comparison!$AM$3:$AS$33,U$14,$E$122)</f>
        <v>4152.9128127042486</v>
      </c>
      <c r="R247" s="26">
        <f>INDEX(Comparison!$AM$3:$AS$33,V$14,$E$122)</f>
        <v>3937.3787582645855</v>
      </c>
      <c r="S247" s="26">
        <f>INDEX(Comparison!$AM$3:$AS$33,W$14,$E$122)</f>
        <v>3687.7590044854528</v>
      </c>
      <c r="T247" s="26">
        <f>INDEX(Comparison!$AM$3:$AS$33,X$14,$E$122)</f>
        <v>3362.1408606761684</v>
      </c>
      <c r="U247" s="26">
        <f>INDEX(Comparison!$AM$3:$AS$33,Y$14,$E$122)</f>
        <v>3051.8261997186564</v>
      </c>
      <c r="V247" s="26">
        <f>INDEX(Comparison!$AM$3:$AS$33,Z$14,$E$122)</f>
        <v>2781.8342661671418</v>
      </c>
      <c r="W247" s="26">
        <f>INDEX(Comparison!$AM$3:$AS$33,AA$14,$E$122)</f>
        <v>2548.0002478694637</v>
      </c>
      <c r="X247" s="26">
        <f>INDEX(Comparison!$AM$3:$AS$33,AB$14,$E$122)</f>
        <v>2324.6967439739478</v>
      </c>
      <c r="Y247" s="26">
        <f>INDEX(Comparison!$AM$3:$AS$33,AC$14,$E$122)</f>
        <v>2110.9011240283112</v>
      </c>
      <c r="Z247" s="26">
        <f>INDEX(Comparison!$AM$3:$AS$33,AD$14,$E$122)</f>
        <v>1889.1026777393556</v>
      </c>
      <c r="AA247" s="26">
        <f>INDEX(Comparison!$AM$3:$AS$33,AE$14,$E$122)</f>
        <v>1651.1191781124999</v>
      </c>
      <c r="AB247" s="26">
        <f>INDEX(Comparison!$AM$3:$AS$33,AF$14,$E$122)</f>
        <v>1380.4414853809117</v>
      </c>
      <c r="AC247" s="26">
        <f>INDEX(Comparison!$AM$3:$AS$33,AG$14,$E$122)</f>
        <v>1081.4922585918935</v>
      </c>
      <c r="AD247" s="26">
        <f>INDEX(Comparison!$AM$3:$AS$33,AH$14,$E$122)</f>
        <v>789.75528719390093</v>
      </c>
      <c r="AE247" s="26">
        <f>INDEX(Comparison!$AM$3:$AS$33,AI$14,$E$122)</f>
        <v>556.62130157468891</v>
      </c>
      <c r="AF247" s="26">
        <f>INDEX(Comparison!$AM$3:$AS$33,AJ$14,$E$122)</f>
        <v>403.21517792249892</v>
      </c>
      <c r="AG247" s="26"/>
      <c r="AH247" s="26"/>
    </row>
    <row r="248" spans="1:34" x14ac:dyDescent="0.25">
      <c r="A248" s="70" t="s">
        <v>22</v>
      </c>
      <c r="B248" s="27">
        <f>($C$17+SUM(B249:B279))*$B$51</f>
        <v>6190.94899981251</v>
      </c>
      <c r="C248" s="27">
        <f t="shared" ref="C248:AF248" si="234">($C$17+SUM(C249:C279))*$B$51</f>
        <v>6190.9489981251272</v>
      </c>
      <c r="D248" s="27">
        <f t="shared" si="234"/>
        <v>6190.9489812512993</v>
      </c>
      <c r="E248" s="27">
        <f t="shared" si="234"/>
        <v>6190.9488125130283</v>
      </c>
      <c r="F248" s="27">
        <f t="shared" si="234"/>
        <v>6190.9471251309815</v>
      </c>
      <c r="G248" s="27">
        <f t="shared" si="234"/>
        <v>6190.9302513762113</v>
      </c>
      <c r="H248" s="27">
        <f t="shared" si="234"/>
        <v>6190.7615203990199</v>
      </c>
      <c r="I248" s="27">
        <f t="shared" si="234"/>
        <v>6189.0748675057484</v>
      </c>
      <c r="J248" s="27">
        <f t="shared" si="234"/>
        <v>6172.2738546867813</v>
      </c>
      <c r="K248" s="27">
        <f t="shared" si="234"/>
        <v>6010.6469129919078</v>
      </c>
      <c r="L248" s="27">
        <f t="shared" si="234"/>
        <v>4892.90593535675</v>
      </c>
      <c r="M248" s="27">
        <f t="shared" si="234"/>
        <v>3808.5638626745217</v>
      </c>
      <c r="N248" s="27">
        <f t="shared" si="234"/>
        <v>3807.6436023206284</v>
      </c>
      <c r="O248" s="27">
        <f t="shared" si="234"/>
        <v>3807.5760907225426</v>
      </c>
      <c r="P248" s="27">
        <f t="shared" si="234"/>
        <v>3806.9016273357734</v>
      </c>
      <c r="Q248" s="27">
        <f t="shared" si="234"/>
        <v>3800.2218181482776</v>
      </c>
      <c r="R248" s="27">
        <f t="shared" si="234"/>
        <v>3739.4925280859338</v>
      </c>
      <c r="S248" s="27">
        <f t="shared" si="234"/>
        <v>3472.7738717341108</v>
      </c>
      <c r="T248" s="27">
        <f t="shared" si="234"/>
        <v>3318.0820551952056</v>
      </c>
      <c r="U248" s="27">
        <f t="shared" si="234"/>
        <v>3149.3614967232488</v>
      </c>
      <c r="V248" s="27">
        <f t="shared" si="234"/>
        <v>2954.7739637675322</v>
      </c>
      <c r="W248" s="27">
        <f t="shared" si="234"/>
        <v>2742.4968471653228</v>
      </c>
      <c r="X248" s="27">
        <f t="shared" si="234"/>
        <v>2503.3257183297183</v>
      </c>
      <c r="Y248" s="27">
        <f t="shared" si="234"/>
        <v>2234.1769126610616</v>
      </c>
      <c r="Z248" s="27">
        <f t="shared" si="234"/>
        <v>1921.2121290186033</v>
      </c>
      <c r="AA248" s="27">
        <f t="shared" si="234"/>
        <v>1558.1251602149466</v>
      </c>
      <c r="AB248" s="27">
        <f t="shared" si="234"/>
        <v>1173.3657399379167</v>
      </c>
      <c r="AC248" s="27">
        <f t="shared" si="234"/>
        <v>828.77911519852796</v>
      </c>
      <c r="AD248" s="27">
        <f t="shared" si="234"/>
        <v>578.62128852081207</v>
      </c>
      <c r="AE248" s="27">
        <f t="shared" si="234"/>
        <v>430.72938146277517</v>
      </c>
      <c r="AF248" s="27">
        <f t="shared" si="234"/>
        <v>355.69239179272967</v>
      </c>
      <c r="AG248" s="27"/>
      <c r="AH248" s="27"/>
    </row>
    <row r="249" spans="1:34" x14ac:dyDescent="0.25">
      <c r="B249" s="3">
        <f t="shared" ref="B249:AF249" si="235">$C18*EXP(-B$246/$A18/EXP(-$E$126))</f>
        <v>0.38496487298963156</v>
      </c>
      <c r="C249" s="3">
        <f t="shared" si="235"/>
        <v>0.38496487271707519</v>
      </c>
      <c r="D249" s="3">
        <f t="shared" si="235"/>
        <v>0.3849648699915113</v>
      </c>
      <c r="E249" s="3">
        <f t="shared" si="235"/>
        <v>0.38496484273587345</v>
      </c>
      <c r="F249" s="3">
        <f t="shared" si="235"/>
        <v>0.3849645701796014</v>
      </c>
      <c r="G249" s="3">
        <f t="shared" si="235"/>
        <v>0.38496184462749378</v>
      </c>
      <c r="H249" s="3">
        <f t="shared" si="235"/>
        <v>0.38493459016772674</v>
      </c>
      <c r="I249" s="3">
        <f t="shared" si="235"/>
        <v>0.38466215167311907</v>
      </c>
      <c r="J249" s="3">
        <f t="shared" si="235"/>
        <v>0.38194834929099986</v>
      </c>
      <c r="K249" s="3">
        <f t="shared" si="235"/>
        <v>0.35584137684735873</v>
      </c>
      <c r="L249" s="3">
        <f t="shared" si="235"/>
        <v>0.17529701925108224</v>
      </c>
      <c r="M249" s="3">
        <f t="shared" si="235"/>
        <v>1.4755549448927351E-4</v>
      </c>
      <c r="N249" s="3">
        <f t="shared" si="235"/>
        <v>2.6348987429107555E-35</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5.8157909381167036E-2</v>
      </c>
      <c r="C250" s="3">
        <f t="shared" si="236"/>
        <v>5.8157909381167022E-2</v>
      </c>
      <c r="D250" s="3">
        <f t="shared" si="236"/>
        <v>5.8157909381166918E-2</v>
      </c>
      <c r="E250" s="3">
        <f t="shared" si="236"/>
        <v>5.8157909381165863E-2</v>
      </c>
      <c r="F250" s="3">
        <f t="shared" si="236"/>
        <v>5.8157909381155316E-2</v>
      </c>
      <c r="G250" s="3">
        <f t="shared" si="236"/>
        <v>5.8157909381049845E-2</v>
      </c>
      <c r="H250" s="3">
        <f t="shared" si="236"/>
        <v>5.8157909379995106E-2</v>
      </c>
      <c r="I250" s="3">
        <f t="shared" si="236"/>
        <v>5.8157909369447688E-2</v>
      </c>
      <c r="J250" s="3">
        <f t="shared" si="236"/>
        <v>5.8157909263973559E-2</v>
      </c>
      <c r="K250" s="3">
        <f t="shared" si="236"/>
        <v>5.8157908209232244E-2</v>
      </c>
      <c r="L250" s="3">
        <f t="shared" si="236"/>
        <v>5.8157897661820161E-2</v>
      </c>
      <c r="M250" s="3">
        <f t="shared" si="236"/>
        <v>5.8157792187804508E-2</v>
      </c>
      <c r="N250" s="3">
        <f t="shared" si="236"/>
        <v>5.8156737458168677E-2</v>
      </c>
      <c r="O250" s="3">
        <f t="shared" si="236"/>
        <v>5.8146191213804793E-2</v>
      </c>
      <c r="P250" s="3">
        <f t="shared" si="236"/>
        <v>5.8040833899053498E-2</v>
      </c>
      <c r="Q250" s="3">
        <f t="shared" si="236"/>
        <v>5.6997703437062654E-2</v>
      </c>
      <c r="R250" s="3">
        <f t="shared" si="236"/>
        <v>4.7543866263266912E-2</v>
      </c>
      <c r="S250" s="3">
        <f t="shared" si="236"/>
        <v>7.7529302777985523E-3</v>
      </c>
      <c r="T250" s="3">
        <f t="shared" si="236"/>
        <v>1.0308125701798897E-10</v>
      </c>
      <c r="U250" s="3">
        <f t="shared" si="236"/>
        <v>1.7795819046638663E-89</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1.8919132746280987E-2</v>
      </c>
      <c r="C251" s="3">
        <f t="shared" si="237"/>
        <v>1.8919132746280987E-2</v>
      </c>
      <c r="D251" s="3">
        <f t="shared" si="237"/>
        <v>1.8919132746280983E-2</v>
      </c>
      <c r="E251" s="3">
        <f t="shared" si="237"/>
        <v>1.8919132746280952E-2</v>
      </c>
      <c r="F251" s="3">
        <f t="shared" si="237"/>
        <v>1.8919132746280643E-2</v>
      </c>
      <c r="G251" s="3">
        <f t="shared" si="237"/>
        <v>1.8919132746277548E-2</v>
      </c>
      <c r="H251" s="3">
        <f t="shared" si="237"/>
        <v>1.8919132746246597E-2</v>
      </c>
      <c r="I251" s="3">
        <f t="shared" si="237"/>
        <v>1.8919132745937078E-2</v>
      </c>
      <c r="J251" s="3">
        <f t="shared" si="237"/>
        <v>1.8919132742841904E-2</v>
      </c>
      <c r="K251" s="3">
        <f t="shared" si="237"/>
        <v>1.891913271189017E-2</v>
      </c>
      <c r="L251" s="3">
        <f t="shared" si="237"/>
        <v>1.8919132402372828E-2</v>
      </c>
      <c r="M251" s="3">
        <f t="shared" si="237"/>
        <v>1.8919129307199689E-2</v>
      </c>
      <c r="N251" s="3">
        <f t="shared" si="237"/>
        <v>1.8919098355496145E-2</v>
      </c>
      <c r="O251" s="3">
        <f t="shared" si="237"/>
        <v>1.8918788841245739E-2</v>
      </c>
      <c r="P251" s="3">
        <f t="shared" si="237"/>
        <v>1.8915693977226936E-2</v>
      </c>
      <c r="Q251" s="3">
        <f t="shared" si="237"/>
        <v>1.888477316871659E-2</v>
      </c>
      <c r="R251" s="3">
        <f t="shared" si="237"/>
        <v>1.8578331477763294E-2</v>
      </c>
      <c r="S251" s="3">
        <f t="shared" si="237"/>
        <v>1.5774516389721681E-2</v>
      </c>
      <c r="T251" s="3">
        <f t="shared" si="237"/>
        <v>3.072200224154309E-3</v>
      </c>
      <c r="U251" s="3">
        <f t="shared" si="237"/>
        <v>2.4120379972475769E-10</v>
      </c>
      <c r="V251" s="3">
        <f t="shared" si="237"/>
        <v>2.1464977142443857E-81</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2.9962799778578724E-2</v>
      </c>
      <c r="C252" s="3">
        <f t="shared" si="238"/>
        <v>2.9962799778578724E-2</v>
      </c>
      <c r="D252" s="3">
        <f t="shared" si="238"/>
        <v>2.9962799778578724E-2</v>
      </c>
      <c r="E252" s="3">
        <f t="shared" si="238"/>
        <v>2.9962799778578721E-2</v>
      </c>
      <c r="F252" s="3">
        <f t="shared" si="238"/>
        <v>2.9962799778578676E-2</v>
      </c>
      <c r="G252" s="3">
        <f t="shared" si="238"/>
        <v>2.9962799778578231E-2</v>
      </c>
      <c r="H252" s="3">
        <f t="shared" si="238"/>
        <v>2.9962799778573811E-2</v>
      </c>
      <c r="I252" s="3">
        <f t="shared" si="238"/>
        <v>2.996279977852959E-2</v>
      </c>
      <c r="J252" s="3">
        <f t="shared" si="238"/>
        <v>2.9962799778087398E-2</v>
      </c>
      <c r="K252" s="3">
        <f t="shared" si="238"/>
        <v>2.996279977366546E-2</v>
      </c>
      <c r="L252" s="3">
        <f t="shared" si="238"/>
        <v>2.9962799729446068E-2</v>
      </c>
      <c r="M252" s="3">
        <f t="shared" si="238"/>
        <v>2.9962799287252172E-2</v>
      </c>
      <c r="N252" s="3">
        <f t="shared" si="238"/>
        <v>2.996279486531354E-2</v>
      </c>
      <c r="O252" s="3">
        <f t="shared" si="238"/>
        <v>2.9962750645963154E-2</v>
      </c>
      <c r="P252" s="3">
        <f t="shared" si="238"/>
        <v>2.9962308456048505E-2</v>
      </c>
      <c r="Q252" s="3">
        <f t="shared" si="238"/>
        <v>2.9957886915806978E-2</v>
      </c>
      <c r="R252" s="3">
        <f t="shared" si="238"/>
        <v>2.9913707384296453E-2</v>
      </c>
      <c r="S252" s="3">
        <f t="shared" si="238"/>
        <v>2.9475479649453816E-2</v>
      </c>
      <c r="T252" s="3">
        <f t="shared" si="238"/>
        <v>2.5431225015331262E-2</v>
      </c>
      <c r="U252" s="3">
        <f t="shared" si="238"/>
        <v>5.8134143132765395E-3</v>
      </c>
      <c r="V252" s="3">
        <f t="shared" si="238"/>
        <v>2.2650157486495106E-9</v>
      </c>
      <c r="W252" s="3">
        <f t="shared" si="238"/>
        <v>1.8258736886496148E-73</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3.3253137152511318E-2</v>
      </c>
      <c r="C253" s="3">
        <f t="shared" si="239"/>
        <v>3.3253137152511318E-2</v>
      </c>
      <c r="D253" s="3">
        <f t="shared" si="239"/>
        <v>3.3253137152511318E-2</v>
      </c>
      <c r="E253" s="3">
        <f t="shared" si="239"/>
        <v>3.3253137152511318E-2</v>
      </c>
      <c r="F253" s="3">
        <f t="shared" si="239"/>
        <v>3.3253137152511311E-2</v>
      </c>
      <c r="G253" s="3">
        <f t="shared" si="239"/>
        <v>3.325313715251127E-2</v>
      </c>
      <c r="H253" s="3">
        <f t="shared" si="239"/>
        <v>3.3253137152510825E-2</v>
      </c>
      <c r="I253" s="3">
        <f t="shared" si="239"/>
        <v>3.3253137152506398E-2</v>
      </c>
      <c r="J253" s="3">
        <f t="shared" si="239"/>
        <v>3.3253137152462128E-2</v>
      </c>
      <c r="K253" s="3">
        <f t="shared" si="239"/>
        <v>3.3253137152019427E-2</v>
      </c>
      <c r="L253" s="3">
        <f t="shared" si="239"/>
        <v>3.3253137147592426E-2</v>
      </c>
      <c r="M253" s="3">
        <f t="shared" si="239"/>
        <v>3.3253137103322422E-2</v>
      </c>
      <c r="N253" s="3">
        <f t="shared" si="239"/>
        <v>3.3253136660622379E-2</v>
      </c>
      <c r="O253" s="3">
        <f t="shared" si="239"/>
        <v>3.3253132233622223E-2</v>
      </c>
      <c r="P253" s="3">
        <f t="shared" si="239"/>
        <v>3.3253087963653116E-2</v>
      </c>
      <c r="Q253" s="3">
        <f t="shared" si="239"/>
        <v>3.3252645267203569E-2</v>
      </c>
      <c r="R253" s="3">
        <f t="shared" si="239"/>
        <v>3.3248218626842706E-2</v>
      </c>
      <c r="S253" s="3">
        <f t="shared" si="239"/>
        <v>3.3203984620737093E-2</v>
      </c>
      <c r="T253" s="3">
        <f t="shared" si="239"/>
        <v>3.2764868408220564E-2</v>
      </c>
      <c r="U253" s="3">
        <f t="shared" si="239"/>
        <v>2.8680760858313347E-2</v>
      </c>
      <c r="V253" s="3">
        <f t="shared" si="239"/>
        <v>7.5755308501727608E-3</v>
      </c>
      <c r="W253" s="3">
        <f t="shared" si="239"/>
        <v>1.2520944745715909E-8</v>
      </c>
      <c r="X253" s="3">
        <f t="shared" si="239"/>
        <v>1.9049227918397111E-66</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3.5952334962287925E-2</v>
      </c>
      <c r="C254" s="3">
        <f t="shared" si="240"/>
        <v>3.5952334962287925E-2</v>
      </c>
      <c r="D254" s="3">
        <f t="shared" si="240"/>
        <v>3.5952334962287925E-2</v>
      </c>
      <c r="E254" s="3">
        <f t="shared" si="240"/>
        <v>3.5952334962287925E-2</v>
      </c>
      <c r="F254" s="3">
        <f t="shared" si="240"/>
        <v>3.5952334962287925E-2</v>
      </c>
      <c r="G254" s="3">
        <f t="shared" si="240"/>
        <v>3.5952334962287918E-2</v>
      </c>
      <c r="H254" s="3">
        <f t="shared" si="240"/>
        <v>3.5952334962287877E-2</v>
      </c>
      <c r="I254" s="3">
        <f t="shared" si="240"/>
        <v>3.5952334962287447E-2</v>
      </c>
      <c r="J254" s="3">
        <f t="shared" si="240"/>
        <v>3.5952334962283131E-2</v>
      </c>
      <c r="K254" s="3">
        <f t="shared" si="240"/>
        <v>3.595233496223995E-2</v>
      </c>
      <c r="L254" s="3">
        <f t="shared" si="240"/>
        <v>3.5952334961808184E-2</v>
      </c>
      <c r="M254" s="3">
        <f t="shared" si="240"/>
        <v>3.5952334957490499E-2</v>
      </c>
      <c r="N254" s="3">
        <f t="shared" si="240"/>
        <v>3.5952334914313683E-2</v>
      </c>
      <c r="O254" s="3">
        <f t="shared" si="240"/>
        <v>3.5952334482545499E-2</v>
      </c>
      <c r="P254" s="3">
        <f t="shared" si="240"/>
        <v>3.5952330164863933E-2</v>
      </c>
      <c r="Q254" s="3">
        <f t="shared" si="240"/>
        <v>3.5952286988076836E-2</v>
      </c>
      <c r="R254" s="3">
        <f t="shared" si="240"/>
        <v>3.5951855223057744E-2</v>
      </c>
      <c r="S254" s="3">
        <f t="shared" si="240"/>
        <v>3.5947537858044401E-2</v>
      </c>
      <c r="T254" s="3">
        <f t="shared" si="240"/>
        <v>3.5904392713004385E-2</v>
      </c>
      <c r="U254" s="3">
        <f t="shared" si="240"/>
        <v>3.5475779146290701E-2</v>
      </c>
      <c r="V254" s="3">
        <f t="shared" si="240"/>
        <v>3.1461216642974237E-2</v>
      </c>
      <c r="W254" s="3">
        <f t="shared" si="240"/>
        <v>9.4669747955874583E-3</v>
      </c>
      <c r="X254" s="3">
        <f t="shared" si="240"/>
        <v>5.7619342290278593E-8</v>
      </c>
      <c r="Y254" s="3">
        <f t="shared" si="240"/>
        <v>4.0191947831853209E-60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4.1559944347360683E-2</v>
      </c>
      <c r="C255" s="3">
        <f t="shared" si="241"/>
        <v>4.1559944347360683E-2</v>
      </c>
      <c r="D255" s="3">
        <f t="shared" si="241"/>
        <v>4.1559944347360683E-2</v>
      </c>
      <c r="E255" s="3">
        <f t="shared" si="241"/>
        <v>4.1559944347360683E-2</v>
      </c>
      <c r="F255" s="3">
        <f t="shared" si="241"/>
        <v>4.1559944347360683E-2</v>
      </c>
      <c r="G255" s="3">
        <f t="shared" si="241"/>
        <v>4.1559944347360683E-2</v>
      </c>
      <c r="H255" s="3">
        <f t="shared" si="241"/>
        <v>4.1559944347360676E-2</v>
      </c>
      <c r="I255" s="3">
        <f t="shared" si="241"/>
        <v>4.1559944347360635E-2</v>
      </c>
      <c r="J255" s="3">
        <f t="shared" si="241"/>
        <v>4.1559944347360184E-2</v>
      </c>
      <c r="K255" s="3">
        <f t="shared" si="241"/>
        <v>4.155994434735568E-2</v>
      </c>
      <c r="L255" s="3">
        <f t="shared" si="241"/>
        <v>4.1559944347310661E-2</v>
      </c>
      <c r="M255" s="3">
        <f t="shared" si="241"/>
        <v>4.1559944346860417E-2</v>
      </c>
      <c r="N255" s="3">
        <f t="shared" si="241"/>
        <v>4.1559944342358004E-2</v>
      </c>
      <c r="O255" s="3">
        <f t="shared" si="241"/>
        <v>4.1559944297333902E-2</v>
      </c>
      <c r="P255" s="3">
        <f t="shared" si="241"/>
        <v>4.1559943847092849E-2</v>
      </c>
      <c r="Q255" s="3">
        <f t="shared" si="241"/>
        <v>4.1559939344682661E-2</v>
      </c>
      <c r="R255" s="3">
        <f t="shared" si="241"/>
        <v>4.1559894320607547E-2</v>
      </c>
      <c r="S255" s="3">
        <f t="shared" si="241"/>
        <v>4.1559444082539115E-2</v>
      </c>
      <c r="T255" s="3">
        <f t="shared" si="241"/>
        <v>4.1554941970116492E-2</v>
      </c>
      <c r="U255" s="3">
        <f t="shared" si="241"/>
        <v>4.1509947661303719E-2</v>
      </c>
      <c r="V255" s="3">
        <f t="shared" si="241"/>
        <v>4.1062675396892012E-2</v>
      </c>
      <c r="W255" s="3">
        <f t="shared" si="241"/>
        <v>3.6846632583061145E-2</v>
      </c>
      <c r="X255" s="3">
        <f t="shared" si="241"/>
        <v>1.2471061532809939E-2</v>
      </c>
      <c r="Y255" s="3">
        <f t="shared" si="241"/>
        <v>2.4601387670188088E-7</v>
      </c>
      <c r="Z255" s="3">
        <f t="shared" si="241"/>
        <v>2.1954392837866504E-54</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4.609677170559115E-2</v>
      </c>
      <c r="C256" s="3">
        <f t="shared" si="242"/>
        <v>4.609677170559115E-2</v>
      </c>
      <c r="D256" s="3">
        <f t="shared" si="242"/>
        <v>4.609677170559115E-2</v>
      </c>
      <c r="E256" s="3">
        <f t="shared" si="242"/>
        <v>4.609677170559115E-2</v>
      </c>
      <c r="F256" s="3">
        <f t="shared" si="242"/>
        <v>4.609677170559115E-2</v>
      </c>
      <c r="G256" s="3">
        <f t="shared" si="242"/>
        <v>4.609677170559115E-2</v>
      </c>
      <c r="H256" s="3">
        <f t="shared" si="242"/>
        <v>4.609677170559115E-2</v>
      </c>
      <c r="I256" s="3">
        <f t="shared" si="242"/>
        <v>4.6096771705591143E-2</v>
      </c>
      <c r="J256" s="3">
        <f t="shared" si="242"/>
        <v>4.6096771705591101E-2</v>
      </c>
      <c r="K256" s="3">
        <f t="shared" si="242"/>
        <v>4.609677170559065E-2</v>
      </c>
      <c r="L256" s="3">
        <f t="shared" si="242"/>
        <v>4.6096771705586147E-2</v>
      </c>
      <c r="M256" s="3">
        <f t="shared" si="242"/>
        <v>4.6096771705541092E-2</v>
      </c>
      <c r="N256" s="3">
        <f t="shared" si="242"/>
        <v>4.6096771705090599E-2</v>
      </c>
      <c r="O256" s="3">
        <f t="shared" si="242"/>
        <v>4.6096771700585681E-2</v>
      </c>
      <c r="P256" s="3">
        <f t="shared" si="242"/>
        <v>4.6096771655536467E-2</v>
      </c>
      <c r="Q256" s="3">
        <f t="shared" si="242"/>
        <v>4.6096771205044317E-2</v>
      </c>
      <c r="R256" s="3">
        <f t="shared" si="242"/>
        <v>4.6096766700123026E-2</v>
      </c>
      <c r="S256" s="3">
        <f t="shared" si="242"/>
        <v>4.6096721650934383E-2</v>
      </c>
      <c r="T256" s="3">
        <f t="shared" si="242"/>
        <v>4.6096271161469297E-2</v>
      </c>
      <c r="U256" s="3">
        <f t="shared" si="242"/>
        <v>4.6091766508948862E-2</v>
      </c>
      <c r="V256" s="3">
        <f t="shared" si="242"/>
        <v>4.6046744188024569E-2</v>
      </c>
      <c r="W256" s="3">
        <f t="shared" si="242"/>
        <v>4.5598932677560974E-2</v>
      </c>
      <c r="X256" s="3">
        <f t="shared" si="242"/>
        <v>4.1353490244665787E-2</v>
      </c>
      <c r="Y256" s="3">
        <f t="shared" si="242"/>
        <v>1.5562777066021648E-2</v>
      </c>
      <c r="Z256" s="3">
        <f t="shared" si="242"/>
        <v>8.8682179783659655E-7</v>
      </c>
      <c r="AA256" s="3">
        <f t="shared" si="242"/>
        <v>3.2013192822076829E-49</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5.5576139774485327E-2</v>
      </c>
      <c r="C257" s="3">
        <f t="shared" si="243"/>
        <v>5.5576139774485327E-2</v>
      </c>
      <c r="D257" s="3">
        <f t="shared" si="243"/>
        <v>5.5576139774485327E-2</v>
      </c>
      <c r="E257" s="3">
        <f t="shared" si="243"/>
        <v>5.5576139774485327E-2</v>
      </c>
      <c r="F257" s="3">
        <f t="shared" si="243"/>
        <v>5.5576139774485327E-2</v>
      </c>
      <c r="G257" s="3">
        <f t="shared" si="243"/>
        <v>5.5576139774485327E-2</v>
      </c>
      <c r="H257" s="3">
        <f t="shared" si="243"/>
        <v>5.5576139774485327E-2</v>
      </c>
      <c r="I257" s="3">
        <f t="shared" si="243"/>
        <v>5.5576139774485327E-2</v>
      </c>
      <c r="J257" s="3">
        <f t="shared" si="243"/>
        <v>5.557613977448532E-2</v>
      </c>
      <c r="K257" s="3">
        <f t="shared" si="243"/>
        <v>5.5576139774485271E-2</v>
      </c>
      <c r="L257" s="3">
        <f t="shared" si="243"/>
        <v>5.5576139774484785E-2</v>
      </c>
      <c r="M257" s="3">
        <f t="shared" si="243"/>
        <v>5.5576139774479887E-2</v>
      </c>
      <c r="N257" s="3">
        <f t="shared" si="243"/>
        <v>5.5576139774430884E-2</v>
      </c>
      <c r="O257" s="3">
        <f t="shared" si="243"/>
        <v>5.5576139773940936E-2</v>
      </c>
      <c r="P257" s="3">
        <f t="shared" si="243"/>
        <v>5.5576139769041438E-2</v>
      </c>
      <c r="Q257" s="3">
        <f t="shared" si="243"/>
        <v>5.557613972004645E-2</v>
      </c>
      <c r="R257" s="3">
        <f t="shared" si="243"/>
        <v>5.5576139230096529E-2</v>
      </c>
      <c r="S257" s="3">
        <f t="shared" si="243"/>
        <v>5.5576134330597604E-2</v>
      </c>
      <c r="T257" s="3">
        <f t="shared" si="243"/>
        <v>5.5576085335632061E-2</v>
      </c>
      <c r="U257" s="3">
        <f t="shared" si="243"/>
        <v>5.5575595388352328E-2</v>
      </c>
      <c r="V257" s="3">
        <f t="shared" si="243"/>
        <v>5.5570696153108744E-2</v>
      </c>
      <c r="W257" s="3">
        <f t="shared" si="243"/>
        <v>5.5521727548304471E-2</v>
      </c>
      <c r="X257" s="3">
        <f t="shared" si="243"/>
        <v>5.5034408535508852E-2</v>
      </c>
      <c r="Y257" s="3">
        <f t="shared" si="243"/>
        <v>5.0390379702773436E-2</v>
      </c>
      <c r="Z257" s="3">
        <f t="shared" si="243"/>
        <v>2.0868003728281372E-2</v>
      </c>
      <c r="AA257" s="3">
        <f t="shared" si="243"/>
        <v>3.096090546427551E-6</v>
      </c>
      <c r="AB257" s="3">
        <f t="shared" si="243"/>
        <v>1.6000779117922482E-44</v>
      </c>
      <c r="AC257" s="3">
        <f t="shared" si="243"/>
        <v>0</v>
      </c>
      <c r="AD257" s="3">
        <f t="shared" si="243"/>
        <v>0</v>
      </c>
      <c r="AE257" s="3">
        <f t="shared" si="243"/>
        <v>0</v>
      </c>
      <c r="AF257" s="3">
        <f t="shared" si="243"/>
        <v>0</v>
      </c>
      <c r="AG257" s="3"/>
      <c r="AH257" s="3"/>
    </row>
    <row r="258" spans="2:34" x14ac:dyDescent="0.25">
      <c r="B258" s="3">
        <f t="shared" ref="B258:AF258" si="244">$C27*EXP(-B$246/$A27/EXP(-$E$126))</f>
        <v>6.5368051844924516E-2</v>
      </c>
      <c r="C258" s="3">
        <f t="shared" si="244"/>
        <v>6.5368051844924516E-2</v>
      </c>
      <c r="D258" s="3">
        <f t="shared" si="244"/>
        <v>6.5368051844924516E-2</v>
      </c>
      <c r="E258" s="3">
        <f t="shared" si="244"/>
        <v>6.5368051844924516E-2</v>
      </c>
      <c r="F258" s="3">
        <f t="shared" si="244"/>
        <v>6.5368051844924516E-2</v>
      </c>
      <c r="G258" s="3">
        <f t="shared" si="244"/>
        <v>6.5368051844924516E-2</v>
      </c>
      <c r="H258" s="3">
        <f t="shared" si="244"/>
        <v>6.5368051844924516E-2</v>
      </c>
      <c r="I258" s="3">
        <f t="shared" si="244"/>
        <v>6.5368051844924516E-2</v>
      </c>
      <c r="J258" s="3">
        <f t="shared" si="244"/>
        <v>6.5368051844924516E-2</v>
      </c>
      <c r="K258" s="3">
        <f t="shared" si="244"/>
        <v>6.5368051844924502E-2</v>
      </c>
      <c r="L258" s="3">
        <f t="shared" si="244"/>
        <v>6.536805184492446E-2</v>
      </c>
      <c r="M258" s="3">
        <f t="shared" si="244"/>
        <v>6.5368051844923933E-2</v>
      </c>
      <c r="N258" s="3">
        <f t="shared" si="244"/>
        <v>6.5368051844918743E-2</v>
      </c>
      <c r="O258" s="3">
        <f t="shared" si="244"/>
        <v>6.5368051844866756E-2</v>
      </c>
      <c r="P258" s="3">
        <f t="shared" si="244"/>
        <v>6.5368051844346908E-2</v>
      </c>
      <c r="Q258" s="3">
        <f t="shared" si="244"/>
        <v>6.5368051839148442E-2</v>
      </c>
      <c r="R258" s="3">
        <f t="shared" si="244"/>
        <v>6.5368051787163747E-2</v>
      </c>
      <c r="S258" s="3">
        <f t="shared" si="244"/>
        <v>6.5368051267316873E-2</v>
      </c>
      <c r="T258" s="3">
        <f t="shared" si="244"/>
        <v>6.5368046068848273E-2</v>
      </c>
      <c r="U258" s="3">
        <f t="shared" si="244"/>
        <v>6.536799408418513E-2</v>
      </c>
      <c r="V258" s="3">
        <f t="shared" si="244"/>
        <v>6.5367474239827417E-2</v>
      </c>
      <c r="W258" s="3">
        <f t="shared" si="244"/>
        <v>6.5362276023620672E-2</v>
      </c>
      <c r="X258" s="3">
        <f t="shared" si="244"/>
        <v>6.5310316591899759E-2</v>
      </c>
      <c r="Y258" s="3">
        <f t="shared" si="244"/>
        <v>6.4792988635224077E-2</v>
      </c>
      <c r="Z258" s="3">
        <f t="shared" si="244"/>
        <v>5.983981591954271E-2</v>
      </c>
      <c r="AA258" s="3">
        <f t="shared" si="244"/>
        <v>2.7015475207653551E-2</v>
      </c>
      <c r="AB258" s="3">
        <f t="shared" si="244"/>
        <v>9.5024640499202924E-6</v>
      </c>
      <c r="AC258" s="3">
        <f t="shared" si="244"/>
        <v>2.754688366536264E-40</v>
      </c>
      <c r="AD258" s="3">
        <f t="shared" si="244"/>
        <v>0</v>
      </c>
      <c r="AE258" s="3">
        <f t="shared" si="244"/>
        <v>0</v>
      </c>
      <c r="AF258" s="3">
        <f t="shared" si="244"/>
        <v>0</v>
      </c>
      <c r="AG258" s="3"/>
      <c r="AH258" s="3"/>
    </row>
    <row r="259" spans="2:34" x14ac:dyDescent="0.25">
      <c r="B259" s="3">
        <f t="shared" ref="B259:AF259" si="245">$C28*EXP(-B$246/$A28/EXP(-$E$126))</f>
        <v>6.6907973989911038E-2</v>
      </c>
      <c r="C259" s="3">
        <f t="shared" si="245"/>
        <v>6.6907973989911038E-2</v>
      </c>
      <c r="D259" s="3">
        <f t="shared" si="245"/>
        <v>6.6907973989911038E-2</v>
      </c>
      <c r="E259" s="3">
        <f t="shared" si="245"/>
        <v>6.6907973989911038E-2</v>
      </c>
      <c r="F259" s="3">
        <f t="shared" si="245"/>
        <v>6.6907973989911038E-2</v>
      </c>
      <c r="G259" s="3">
        <f t="shared" si="245"/>
        <v>6.6907973989911038E-2</v>
      </c>
      <c r="H259" s="3">
        <f t="shared" si="245"/>
        <v>6.6907973989911038E-2</v>
      </c>
      <c r="I259" s="3">
        <f t="shared" si="245"/>
        <v>6.6907973989911038E-2</v>
      </c>
      <c r="J259" s="3">
        <f t="shared" si="245"/>
        <v>6.6907973989911038E-2</v>
      </c>
      <c r="K259" s="3">
        <f t="shared" si="245"/>
        <v>6.6907973989911038E-2</v>
      </c>
      <c r="L259" s="3">
        <f t="shared" si="245"/>
        <v>6.6907973989911024E-2</v>
      </c>
      <c r="M259" s="3">
        <f t="shared" si="245"/>
        <v>6.6907973989910982E-2</v>
      </c>
      <c r="N259" s="3">
        <f t="shared" si="245"/>
        <v>6.6907973989910496E-2</v>
      </c>
      <c r="O259" s="3">
        <f t="shared" si="245"/>
        <v>6.6907973989905709E-2</v>
      </c>
      <c r="P259" s="3">
        <f t="shared" si="245"/>
        <v>6.6907973989857705E-2</v>
      </c>
      <c r="Q259" s="3">
        <f t="shared" si="245"/>
        <v>6.6907973989377714E-2</v>
      </c>
      <c r="R259" s="3">
        <f t="shared" si="245"/>
        <v>6.690797398457779E-2</v>
      </c>
      <c r="S259" s="3">
        <f t="shared" si="245"/>
        <v>6.6907973936578546E-2</v>
      </c>
      <c r="T259" s="3">
        <f t="shared" si="245"/>
        <v>6.6907973456586139E-2</v>
      </c>
      <c r="U259" s="3">
        <f t="shared" si="245"/>
        <v>6.6907968656662209E-2</v>
      </c>
      <c r="V259" s="3">
        <f t="shared" si="245"/>
        <v>6.6907920657441861E-2</v>
      </c>
      <c r="W259" s="3">
        <f t="shared" si="245"/>
        <v>6.6907440667132209E-2</v>
      </c>
      <c r="X259" s="3">
        <f t="shared" si="245"/>
        <v>6.6902640953418663E-2</v>
      </c>
      <c r="Y259" s="3">
        <f t="shared" si="245"/>
        <v>6.6854662749546698E-2</v>
      </c>
      <c r="Z259" s="3">
        <f t="shared" si="245"/>
        <v>6.6376769021253348E-2</v>
      </c>
      <c r="AA259" s="3">
        <f t="shared" si="245"/>
        <v>6.1781745274938682E-2</v>
      </c>
      <c r="AB259" s="3">
        <f t="shared" si="245"/>
        <v>3.0150936828177061E-2</v>
      </c>
      <c r="AC259" s="3">
        <f t="shared" si="245"/>
        <v>2.3105064917305465E-5</v>
      </c>
      <c r="AD259" s="3">
        <f t="shared" si="245"/>
        <v>1.6135076027536485E-36</v>
      </c>
      <c r="AE259" s="3">
        <f t="shared" si="245"/>
        <v>0</v>
      </c>
      <c r="AF259" s="3">
        <f t="shared" si="245"/>
        <v>0</v>
      </c>
      <c r="AG259" s="3"/>
      <c r="AH259" s="3"/>
    </row>
    <row r="260" spans="2:34" x14ac:dyDescent="0.25">
      <c r="B260" s="3">
        <f t="shared" ref="B260:AF260" si="246">$C29*EXP(-B$246/$A29/EXP(-$E$126))</f>
        <v>5.3174535073566002E-2</v>
      </c>
      <c r="C260" s="3">
        <f t="shared" si="246"/>
        <v>5.3174535073566002E-2</v>
      </c>
      <c r="D260" s="3">
        <f t="shared" si="246"/>
        <v>5.3174535073566002E-2</v>
      </c>
      <c r="E260" s="3">
        <f t="shared" si="246"/>
        <v>5.3174535073566002E-2</v>
      </c>
      <c r="F260" s="3">
        <f t="shared" si="246"/>
        <v>5.3174535073566002E-2</v>
      </c>
      <c r="G260" s="3">
        <f t="shared" si="246"/>
        <v>5.3174535073566002E-2</v>
      </c>
      <c r="H260" s="3">
        <f t="shared" si="246"/>
        <v>5.3174535073566002E-2</v>
      </c>
      <c r="I260" s="3">
        <f t="shared" si="246"/>
        <v>5.3174535073566002E-2</v>
      </c>
      <c r="J260" s="3">
        <f t="shared" si="246"/>
        <v>5.3174535073566002E-2</v>
      </c>
      <c r="K260" s="3">
        <f t="shared" si="246"/>
        <v>5.3174535073566002E-2</v>
      </c>
      <c r="L260" s="3">
        <f t="shared" si="246"/>
        <v>5.3174535073566002E-2</v>
      </c>
      <c r="M260" s="3">
        <f t="shared" si="246"/>
        <v>5.3174535073565996E-2</v>
      </c>
      <c r="N260" s="3">
        <f t="shared" si="246"/>
        <v>5.3174535073565968E-2</v>
      </c>
      <c r="O260" s="3">
        <f t="shared" si="246"/>
        <v>5.3174535073565621E-2</v>
      </c>
      <c r="P260" s="3">
        <f t="shared" si="246"/>
        <v>5.3174535073562179E-2</v>
      </c>
      <c r="Q260" s="3">
        <f t="shared" si="246"/>
        <v>5.3174535073527762E-2</v>
      </c>
      <c r="R260" s="3">
        <f t="shared" si="246"/>
        <v>5.3174535073183656E-2</v>
      </c>
      <c r="S260" s="3">
        <f t="shared" si="246"/>
        <v>5.3174535069742471E-2</v>
      </c>
      <c r="T260" s="3">
        <f t="shared" si="246"/>
        <v>5.3174535035330719E-2</v>
      </c>
      <c r="U260" s="3">
        <f t="shared" si="246"/>
        <v>5.3174534691213207E-2</v>
      </c>
      <c r="V260" s="3">
        <f t="shared" si="246"/>
        <v>5.3174531250038119E-2</v>
      </c>
      <c r="W260" s="3">
        <f t="shared" si="246"/>
        <v>5.3174496838299556E-2</v>
      </c>
      <c r="X260" s="3">
        <f t="shared" si="246"/>
        <v>5.3174152722138747E-2</v>
      </c>
      <c r="Y260" s="3">
        <f t="shared" si="246"/>
        <v>5.3170711683009436E-2</v>
      </c>
      <c r="Z260" s="3">
        <f t="shared" si="246"/>
        <v>5.3136313536666584E-2</v>
      </c>
      <c r="AA260" s="3">
        <f t="shared" si="246"/>
        <v>5.2793553641340425E-2</v>
      </c>
      <c r="AB260" s="3">
        <f t="shared" si="246"/>
        <v>4.9485236464141408E-2</v>
      </c>
      <c r="AC260" s="3">
        <f t="shared" si="246"/>
        <v>2.5907361572034479E-2</v>
      </c>
      <c r="AD260" s="3">
        <f t="shared" si="246"/>
        <v>4.007730878731343E-5</v>
      </c>
      <c r="AE260" s="3">
        <f t="shared" si="246"/>
        <v>3.1452284464169688E-33</v>
      </c>
      <c r="AF260" s="3">
        <f t="shared" si="246"/>
        <v>0</v>
      </c>
      <c r="AG260" s="3"/>
      <c r="AH260" s="3"/>
    </row>
    <row r="261" spans="2:34" x14ac:dyDescent="0.25">
      <c r="B261" s="3">
        <f t="shared" ref="B261:AF261" si="247">$C30*EXP(-B$246/$A30/EXP(-$E$126))</f>
        <v>3.2923061735419888E-2</v>
      </c>
      <c r="C261" s="3">
        <f t="shared" si="247"/>
        <v>3.2923061735419888E-2</v>
      </c>
      <c r="D261" s="3">
        <f t="shared" si="247"/>
        <v>3.2923061735419888E-2</v>
      </c>
      <c r="E261" s="3">
        <f t="shared" si="247"/>
        <v>3.2923061735419888E-2</v>
      </c>
      <c r="F261" s="3">
        <f t="shared" si="247"/>
        <v>3.2923061735419888E-2</v>
      </c>
      <c r="G261" s="3">
        <f t="shared" si="247"/>
        <v>3.2923061735419888E-2</v>
      </c>
      <c r="H261" s="3">
        <f t="shared" si="247"/>
        <v>3.2923061735419888E-2</v>
      </c>
      <c r="I261" s="3">
        <f t="shared" si="247"/>
        <v>3.2923061735419888E-2</v>
      </c>
      <c r="J261" s="3">
        <f t="shared" si="247"/>
        <v>3.2923061735419888E-2</v>
      </c>
      <c r="K261" s="3">
        <f t="shared" si="247"/>
        <v>3.2923061735419888E-2</v>
      </c>
      <c r="L261" s="3">
        <f t="shared" si="247"/>
        <v>3.2923061735419888E-2</v>
      </c>
      <c r="M261" s="3">
        <f t="shared" si="247"/>
        <v>3.2923061735419888E-2</v>
      </c>
      <c r="N261" s="3">
        <f t="shared" si="247"/>
        <v>3.2923061735419881E-2</v>
      </c>
      <c r="O261" s="3">
        <f t="shared" si="247"/>
        <v>3.2923061735419867E-2</v>
      </c>
      <c r="P261" s="3">
        <f t="shared" si="247"/>
        <v>3.2923061735419673E-2</v>
      </c>
      <c r="Q261" s="3">
        <f t="shared" si="247"/>
        <v>3.2923061735417751E-2</v>
      </c>
      <c r="R261" s="3">
        <f t="shared" si="247"/>
        <v>3.2923061735398537E-2</v>
      </c>
      <c r="S261" s="3">
        <f t="shared" si="247"/>
        <v>3.2923061735206337E-2</v>
      </c>
      <c r="T261" s="3">
        <f t="shared" si="247"/>
        <v>3.2923061733284346E-2</v>
      </c>
      <c r="U261" s="3">
        <f t="shared" si="247"/>
        <v>3.2923061714064505E-2</v>
      </c>
      <c r="V261" s="3">
        <f t="shared" si="247"/>
        <v>3.2923061521866047E-2</v>
      </c>
      <c r="W261" s="3">
        <f t="shared" si="247"/>
        <v>3.2923059599881566E-2</v>
      </c>
      <c r="X261" s="3">
        <f t="shared" si="247"/>
        <v>3.2923040380042914E-2</v>
      </c>
      <c r="Y261" s="3">
        <f t="shared" si="247"/>
        <v>3.2922848182273506E-2</v>
      </c>
      <c r="Z261" s="3">
        <f t="shared" si="247"/>
        <v>3.2920926266288883E-2</v>
      </c>
      <c r="AA261" s="3">
        <f t="shared" si="247"/>
        <v>3.2901713276057246E-2</v>
      </c>
      <c r="AB261" s="3">
        <f t="shared" si="247"/>
        <v>3.2710199004645238E-2</v>
      </c>
      <c r="AC261" s="3">
        <f t="shared" si="247"/>
        <v>3.085531013485068E-2</v>
      </c>
      <c r="AD261" s="3">
        <f t="shared" si="247"/>
        <v>1.7210647612972255E-2</v>
      </c>
      <c r="AE261" s="3">
        <f t="shared" si="247"/>
        <v>5.0173012533835625E-5</v>
      </c>
      <c r="AF261" s="3">
        <f t="shared" si="247"/>
        <v>2.2243331477551586E-30</v>
      </c>
      <c r="AG261" s="3"/>
      <c r="AH261" s="3"/>
    </row>
    <row r="262" spans="2:34" x14ac:dyDescent="0.25">
      <c r="B262" s="3">
        <f t="shared" ref="B262:AF262" si="248">$C31*EXP(-B$246/$A31/EXP(-$E$126))</f>
        <v>1.6325787748200139E-2</v>
      </c>
      <c r="C262" s="3">
        <f t="shared" si="248"/>
        <v>1.6325787748200139E-2</v>
      </c>
      <c r="D262" s="3">
        <f t="shared" si="248"/>
        <v>1.6325787748200139E-2</v>
      </c>
      <c r="E262" s="3">
        <f t="shared" si="248"/>
        <v>1.6325787748200139E-2</v>
      </c>
      <c r="F262" s="3">
        <f t="shared" si="248"/>
        <v>1.6325787748200139E-2</v>
      </c>
      <c r="G262" s="3">
        <f t="shared" si="248"/>
        <v>1.6325787748200139E-2</v>
      </c>
      <c r="H262" s="3">
        <f t="shared" si="248"/>
        <v>1.6325787748200139E-2</v>
      </c>
      <c r="I262" s="3">
        <f t="shared" si="248"/>
        <v>1.6325787748200139E-2</v>
      </c>
      <c r="J262" s="3">
        <f t="shared" si="248"/>
        <v>1.6325787748200139E-2</v>
      </c>
      <c r="K262" s="3">
        <f t="shared" si="248"/>
        <v>1.6325787748200139E-2</v>
      </c>
      <c r="L262" s="3">
        <f t="shared" si="248"/>
        <v>1.6325787748200139E-2</v>
      </c>
      <c r="M262" s="3">
        <f t="shared" si="248"/>
        <v>1.6325787748200139E-2</v>
      </c>
      <c r="N262" s="3">
        <f t="shared" si="248"/>
        <v>1.6325787748200139E-2</v>
      </c>
      <c r="O262" s="3">
        <f t="shared" si="248"/>
        <v>1.6325787748200135E-2</v>
      </c>
      <c r="P262" s="3">
        <f t="shared" si="248"/>
        <v>1.6325787748200128E-2</v>
      </c>
      <c r="Q262" s="3">
        <f t="shared" si="248"/>
        <v>1.6325787748200041E-2</v>
      </c>
      <c r="R262" s="3">
        <f t="shared" si="248"/>
        <v>1.6325787748199184E-2</v>
      </c>
      <c r="S262" s="3">
        <f t="shared" si="248"/>
        <v>1.6325787748190587E-2</v>
      </c>
      <c r="T262" s="3">
        <f t="shared" si="248"/>
        <v>1.6325787748104611E-2</v>
      </c>
      <c r="U262" s="3">
        <f t="shared" si="248"/>
        <v>1.6325787747244865E-2</v>
      </c>
      <c r="V262" s="3">
        <f t="shared" si="248"/>
        <v>1.6325787738647402E-2</v>
      </c>
      <c r="W262" s="3">
        <f t="shared" si="248"/>
        <v>1.6325787652672751E-2</v>
      </c>
      <c r="X262" s="3">
        <f t="shared" si="248"/>
        <v>1.6325786792926286E-2</v>
      </c>
      <c r="Y262" s="3">
        <f t="shared" si="248"/>
        <v>1.6325778195464123E-2</v>
      </c>
      <c r="Z262" s="3">
        <f t="shared" si="248"/>
        <v>1.6325692221091516E-2</v>
      </c>
      <c r="AA262" s="3">
        <f t="shared" si="248"/>
        <v>1.6324832502266615E-2</v>
      </c>
      <c r="AB262" s="3">
        <f t="shared" si="248"/>
        <v>1.6316237803650706E-2</v>
      </c>
      <c r="AC262" s="3">
        <f t="shared" si="248"/>
        <v>1.6230539296381668E-2</v>
      </c>
      <c r="AD262" s="3">
        <f t="shared" si="248"/>
        <v>1.5397924698653431E-2</v>
      </c>
      <c r="AE262" s="3">
        <f t="shared" si="248"/>
        <v>9.0939926958145158E-3</v>
      </c>
      <c r="AF262" s="3">
        <f t="shared" si="248"/>
        <v>4.695465967058927E-5</v>
      </c>
      <c r="AG262" s="3"/>
      <c r="AH262" s="3"/>
    </row>
    <row r="263" spans="2:34" x14ac:dyDescent="0.25">
      <c r="B263" s="3">
        <f t="shared" ref="B263:AF263" si="249">$C32*EXP(-B$246/$A32/EXP(-$E$126))</f>
        <v>7.8974635041155969E-3</v>
      </c>
      <c r="C263" s="3">
        <f t="shared" si="249"/>
        <v>7.8974635041155969E-3</v>
      </c>
      <c r="D263" s="3">
        <f t="shared" si="249"/>
        <v>7.8974635041155969E-3</v>
      </c>
      <c r="E263" s="3">
        <f t="shared" si="249"/>
        <v>7.8974635041155969E-3</v>
      </c>
      <c r="F263" s="3">
        <f t="shared" si="249"/>
        <v>7.8974635041155969E-3</v>
      </c>
      <c r="G263" s="3">
        <f t="shared" si="249"/>
        <v>7.8974635041155969E-3</v>
      </c>
      <c r="H263" s="3">
        <f t="shared" si="249"/>
        <v>7.8974635041155969E-3</v>
      </c>
      <c r="I263" s="3">
        <f t="shared" si="249"/>
        <v>7.8974635041155969E-3</v>
      </c>
      <c r="J263" s="3">
        <f t="shared" si="249"/>
        <v>7.8974635041155969E-3</v>
      </c>
      <c r="K263" s="3">
        <f t="shared" si="249"/>
        <v>7.8974635041155969E-3</v>
      </c>
      <c r="L263" s="3">
        <f t="shared" si="249"/>
        <v>7.8974635041155969E-3</v>
      </c>
      <c r="M263" s="3">
        <f t="shared" si="249"/>
        <v>7.8974635041155969E-3</v>
      </c>
      <c r="N263" s="3">
        <f t="shared" si="249"/>
        <v>7.8974635041155969E-3</v>
      </c>
      <c r="O263" s="3">
        <f t="shared" si="249"/>
        <v>7.8974635041155969E-3</v>
      </c>
      <c r="P263" s="3">
        <f t="shared" si="249"/>
        <v>7.8974635041155969E-3</v>
      </c>
      <c r="Q263" s="3">
        <f t="shared" si="249"/>
        <v>7.8974635041155917E-3</v>
      </c>
      <c r="R263" s="3">
        <f t="shared" si="249"/>
        <v>7.8974635041155553E-3</v>
      </c>
      <c r="S263" s="3">
        <f t="shared" si="249"/>
        <v>7.8974635041151806E-3</v>
      </c>
      <c r="T263" s="3">
        <f t="shared" si="249"/>
        <v>7.8974635041114283E-3</v>
      </c>
      <c r="U263" s="3">
        <f t="shared" si="249"/>
        <v>7.8974635040739115E-3</v>
      </c>
      <c r="V263" s="3">
        <f t="shared" si="249"/>
        <v>7.8974635036987394E-3</v>
      </c>
      <c r="W263" s="3">
        <f t="shared" si="249"/>
        <v>7.8974634999470182E-3</v>
      </c>
      <c r="X263" s="3">
        <f t="shared" si="249"/>
        <v>7.8974634624298136E-3</v>
      </c>
      <c r="Y263" s="3">
        <f t="shared" si="249"/>
        <v>7.8974630872577656E-3</v>
      </c>
      <c r="Z263" s="3">
        <f t="shared" si="249"/>
        <v>7.897459335538275E-3</v>
      </c>
      <c r="AA263" s="3">
        <f t="shared" si="249"/>
        <v>7.8974218184413962E-3</v>
      </c>
      <c r="AB263" s="3">
        <f t="shared" si="249"/>
        <v>7.8970466572749025E-3</v>
      </c>
      <c r="AC263" s="3">
        <f t="shared" si="249"/>
        <v>7.8932960256666972E-3</v>
      </c>
      <c r="AD263" s="3">
        <f t="shared" si="249"/>
        <v>7.8558875432125034E-3</v>
      </c>
      <c r="AE263" s="3">
        <f t="shared" si="249"/>
        <v>7.4914162826160216E-3</v>
      </c>
      <c r="AF263" s="3">
        <f t="shared" si="249"/>
        <v>4.6585488877204E-3</v>
      </c>
      <c r="AG263" s="3"/>
      <c r="AH263" s="3"/>
    </row>
    <row r="264" spans="2:34" x14ac:dyDescent="0.25">
      <c r="B264" s="3">
        <f t="shared" ref="B264:AF264" si="250">$C33*EXP(-B$246/$A33/EXP(-$E$126))</f>
        <v>4.1550471728530186E-3</v>
      </c>
      <c r="C264" s="3">
        <f t="shared" si="250"/>
        <v>4.1550471728530186E-3</v>
      </c>
      <c r="D264" s="3">
        <f t="shared" si="250"/>
        <v>4.1550471728530186E-3</v>
      </c>
      <c r="E264" s="3">
        <f t="shared" si="250"/>
        <v>4.1550471728530186E-3</v>
      </c>
      <c r="F264" s="3">
        <f t="shared" si="250"/>
        <v>4.1550471728530186E-3</v>
      </c>
      <c r="G264" s="3">
        <f t="shared" si="250"/>
        <v>4.1550471728530186E-3</v>
      </c>
      <c r="H264" s="3">
        <f t="shared" si="250"/>
        <v>4.1550471728530186E-3</v>
      </c>
      <c r="I264" s="3">
        <f t="shared" si="250"/>
        <v>4.1550471728530186E-3</v>
      </c>
      <c r="J264" s="3">
        <f t="shared" si="250"/>
        <v>4.1550471728530186E-3</v>
      </c>
      <c r="K264" s="3">
        <f t="shared" si="250"/>
        <v>4.1550471728530186E-3</v>
      </c>
      <c r="L264" s="3">
        <f t="shared" si="250"/>
        <v>4.1550471728530186E-3</v>
      </c>
      <c r="M264" s="3">
        <f t="shared" si="250"/>
        <v>4.1550471728530186E-3</v>
      </c>
      <c r="N264" s="3">
        <f t="shared" si="250"/>
        <v>4.1550471728530186E-3</v>
      </c>
      <c r="O264" s="3">
        <f t="shared" si="250"/>
        <v>4.1550471728530186E-3</v>
      </c>
      <c r="P264" s="3">
        <f t="shared" si="250"/>
        <v>4.1550471728530186E-3</v>
      </c>
      <c r="Q264" s="3">
        <f t="shared" si="250"/>
        <v>4.1550471728530186E-3</v>
      </c>
      <c r="R264" s="3">
        <f t="shared" si="250"/>
        <v>4.1550471728530169E-3</v>
      </c>
      <c r="S264" s="3">
        <f t="shared" si="250"/>
        <v>4.1550471728529987E-3</v>
      </c>
      <c r="T264" s="3">
        <f t="shared" si="250"/>
        <v>4.1550471728528209E-3</v>
      </c>
      <c r="U264" s="3">
        <f t="shared" si="250"/>
        <v>4.1550471728510402E-3</v>
      </c>
      <c r="V264" s="3">
        <f t="shared" si="250"/>
        <v>4.1550471728332341E-3</v>
      </c>
      <c r="W264" s="3">
        <f t="shared" si="250"/>
        <v>4.1550471726551743E-3</v>
      </c>
      <c r="X264" s="3">
        <f t="shared" si="250"/>
        <v>4.1550471708745786E-3</v>
      </c>
      <c r="Y264" s="3">
        <f t="shared" si="250"/>
        <v>4.1550471530686179E-3</v>
      </c>
      <c r="Z264" s="3">
        <f t="shared" si="250"/>
        <v>4.155046975009017E-3</v>
      </c>
      <c r="AA264" s="3">
        <f t="shared" si="250"/>
        <v>4.155045194413425E-3</v>
      </c>
      <c r="AB264" s="3">
        <f t="shared" si="250"/>
        <v>4.1550273884994743E-3</v>
      </c>
      <c r="AC264" s="3">
        <f t="shared" si="250"/>
        <v>4.154849333556687E-3</v>
      </c>
      <c r="AD264" s="3">
        <f t="shared" si="250"/>
        <v>4.1530692037341768E-3</v>
      </c>
      <c r="AE264" s="3">
        <f t="shared" si="250"/>
        <v>4.1353097995898589E-3</v>
      </c>
      <c r="AF264" s="3">
        <f t="shared" si="250"/>
        <v>3.9618394939093509E-3</v>
      </c>
      <c r="AG264" s="3"/>
      <c r="AH264" s="3"/>
    </row>
    <row r="265" spans="2:34" x14ac:dyDescent="0.25">
      <c r="B265" s="3">
        <f t="shared" ref="B265:AF265" si="251">$C34*EXP(-B$246/$A34/EXP(-$E$126))</f>
        <v>4.2575321437709054E-3</v>
      </c>
      <c r="C265" s="3">
        <f t="shared" si="251"/>
        <v>4.2575321437709054E-3</v>
      </c>
      <c r="D265" s="3">
        <f t="shared" si="251"/>
        <v>4.2575321437709054E-3</v>
      </c>
      <c r="E265" s="3">
        <f t="shared" si="251"/>
        <v>4.2575321437709054E-3</v>
      </c>
      <c r="F265" s="3">
        <f t="shared" si="251"/>
        <v>4.2575321437709054E-3</v>
      </c>
      <c r="G265" s="3">
        <f t="shared" si="251"/>
        <v>4.2575321437709054E-3</v>
      </c>
      <c r="H265" s="3">
        <f t="shared" si="251"/>
        <v>4.2575321437709054E-3</v>
      </c>
      <c r="I265" s="3">
        <f t="shared" si="251"/>
        <v>4.2575321437709054E-3</v>
      </c>
      <c r="J265" s="3">
        <f t="shared" si="251"/>
        <v>4.2575321437709054E-3</v>
      </c>
      <c r="K265" s="3">
        <f t="shared" si="251"/>
        <v>4.2575321437709054E-3</v>
      </c>
      <c r="L265" s="3">
        <f t="shared" si="251"/>
        <v>4.2575321437709054E-3</v>
      </c>
      <c r="M265" s="3">
        <f t="shared" si="251"/>
        <v>4.2575321437709054E-3</v>
      </c>
      <c r="N265" s="3">
        <f t="shared" si="251"/>
        <v>4.2575321437709054E-3</v>
      </c>
      <c r="O265" s="3">
        <f t="shared" si="251"/>
        <v>4.2575321437709054E-3</v>
      </c>
      <c r="P265" s="3">
        <f t="shared" si="251"/>
        <v>4.2575321437709054E-3</v>
      </c>
      <c r="Q265" s="3">
        <f t="shared" si="251"/>
        <v>4.2575321437709054E-3</v>
      </c>
      <c r="R265" s="3">
        <f t="shared" si="251"/>
        <v>4.2575321437709054E-3</v>
      </c>
      <c r="S265" s="3">
        <f t="shared" si="251"/>
        <v>4.2575321437709037E-3</v>
      </c>
      <c r="T265" s="3">
        <f t="shared" si="251"/>
        <v>4.2575321437708872E-3</v>
      </c>
      <c r="U265" s="3">
        <f t="shared" si="251"/>
        <v>4.2575321437707224E-3</v>
      </c>
      <c r="V265" s="3">
        <f t="shared" si="251"/>
        <v>4.257532143769077E-3</v>
      </c>
      <c r="W265" s="3">
        <f t="shared" si="251"/>
        <v>4.257532143752618E-3</v>
      </c>
      <c r="X265" s="3">
        <f t="shared" si="251"/>
        <v>4.2575321435880317E-3</v>
      </c>
      <c r="Y265" s="3">
        <f t="shared" si="251"/>
        <v>4.2575321419421677E-3</v>
      </c>
      <c r="Z265" s="3">
        <f t="shared" si="251"/>
        <v>4.2575321254835269E-3</v>
      </c>
      <c r="AA265" s="3">
        <f t="shared" si="251"/>
        <v>4.257531960897119E-3</v>
      </c>
      <c r="AB265" s="3">
        <f t="shared" si="251"/>
        <v>4.2575303150333968E-3</v>
      </c>
      <c r="AC265" s="3">
        <f t="shared" si="251"/>
        <v>4.2575138564311691E-3</v>
      </c>
      <c r="AD265" s="3">
        <f t="shared" si="251"/>
        <v>4.25734927390823E-3</v>
      </c>
      <c r="AE265" s="3">
        <f t="shared" si="251"/>
        <v>4.255703798562516E-3</v>
      </c>
      <c r="AF265" s="3">
        <f t="shared" si="251"/>
        <v>4.2392839834800109E-3</v>
      </c>
      <c r="AG265" s="3"/>
      <c r="AH265" s="3"/>
    </row>
    <row r="266" spans="2:34" x14ac:dyDescent="0.25">
      <c r="B266" s="3">
        <f t="shared" ref="B266:AF266" si="252">$C35*EXP(-B$246/$A35/EXP(-$E$126))</f>
        <v>9.5394971617709327E-4</v>
      </c>
      <c r="C266" s="3">
        <f t="shared" si="252"/>
        <v>9.5394971617709327E-4</v>
      </c>
      <c r="D266" s="3">
        <f t="shared" si="252"/>
        <v>9.5394971617709327E-4</v>
      </c>
      <c r="E266" s="3">
        <f t="shared" si="252"/>
        <v>9.5394971617709327E-4</v>
      </c>
      <c r="F266" s="3">
        <f t="shared" si="252"/>
        <v>9.5394971617709327E-4</v>
      </c>
      <c r="G266" s="3">
        <f t="shared" si="252"/>
        <v>9.5394971617709327E-4</v>
      </c>
      <c r="H266" s="3">
        <f t="shared" si="252"/>
        <v>9.5394971617709327E-4</v>
      </c>
      <c r="I266" s="3">
        <f t="shared" si="252"/>
        <v>9.5394971617709327E-4</v>
      </c>
      <c r="J266" s="3">
        <f t="shared" si="252"/>
        <v>9.5394971617709327E-4</v>
      </c>
      <c r="K266" s="3">
        <f t="shared" si="252"/>
        <v>9.5394971617709327E-4</v>
      </c>
      <c r="L266" s="3">
        <f t="shared" si="252"/>
        <v>9.5394971617709327E-4</v>
      </c>
      <c r="M266" s="3">
        <f t="shared" si="252"/>
        <v>9.5394971617709327E-4</v>
      </c>
      <c r="N266" s="3">
        <f t="shared" si="252"/>
        <v>9.5394971617709327E-4</v>
      </c>
      <c r="O266" s="3">
        <f t="shared" si="252"/>
        <v>9.5394971617709327E-4</v>
      </c>
      <c r="P266" s="3">
        <f t="shared" si="252"/>
        <v>9.5394971617709327E-4</v>
      </c>
      <c r="Q266" s="3">
        <f t="shared" si="252"/>
        <v>9.5394971617709327E-4</v>
      </c>
      <c r="R266" s="3">
        <f t="shared" si="252"/>
        <v>9.5394971617709327E-4</v>
      </c>
      <c r="S266" s="3">
        <f t="shared" si="252"/>
        <v>9.5394971617709327E-4</v>
      </c>
      <c r="T266" s="3">
        <f t="shared" si="252"/>
        <v>9.5394971617709294E-4</v>
      </c>
      <c r="U266" s="3">
        <f t="shared" si="252"/>
        <v>9.5394971617708958E-4</v>
      </c>
      <c r="V266" s="3">
        <f t="shared" si="252"/>
        <v>9.539497161770563E-4</v>
      </c>
      <c r="W266" s="3">
        <f t="shared" si="252"/>
        <v>9.5394971617672366E-4</v>
      </c>
      <c r="X266" s="3">
        <f t="shared" si="252"/>
        <v>9.53949716173397E-4</v>
      </c>
      <c r="Y266" s="3">
        <f t="shared" si="252"/>
        <v>9.5394971614013032E-4</v>
      </c>
      <c r="Z266" s="3">
        <f t="shared" si="252"/>
        <v>9.5394971580746457E-4</v>
      </c>
      <c r="AA266" s="3">
        <f t="shared" si="252"/>
        <v>9.5394971248080693E-4</v>
      </c>
      <c r="AB266" s="3">
        <f t="shared" si="252"/>
        <v>9.5394967921423081E-4</v>
      </c>
      <c r="AC266" s="3">
        <f t="shared" si="252"/>
        <v>9.539493465485333E-4</v>
      </c>
      <c r="AD266" s="3">
        <f t="shared" si="252"/>
        <v>9.5394601989793909E-4</v>
      </c>
      <c r="AE266" s="3">
        <f t="shared" si="252"/>
        <v>9.5391275403003547E-4</v>
      </c>
      <c r="AF266" s="3">
        <f t="shared" si="252"/>
        <v>9.5358015914666513E-4</v>
      </c>
      <c r="AG266" s="3"/>
      <c r="AH266" s="3"/>
    </row>
    <row r="267" spans="2:34" x14ac:dyDescent="0.25">
      <c r="B267" s="3">
        <f t="shared" ref="B267:AF267" si="253">$C36*EXP(-B$246/$A36/EXP(-$E$126))</f>
        <v>4.0589760414466262E-3</v>
      </c>
      <c r="C267" s="3">
        <f t="shared" si="253"/>
        <v>4.0589760414466262E-3</v>
      </c>
      <c r="D267" s="3">
        <f t="shared" si="253"/>
        <v>4.0589760414466262E-3</v>
      </c>
      <c r="E267" s="3">
        <f t="shared" si="253"/>
        <v>4.0589760414466262E-3</v>
      </c>
      <c r="F267" s="3">
        <f t="shared" si="253"/>
        <v>4.0589760414466262E-3</v>
      </c>
      <c r="G267" s="3">
        <f t="shared" si="253"/>
        <v>4.0589760414466262E-3</v>
      </c>
      <c r="H267" s="3">
        <f t="shared" si="253"/>
        <v>4.0589760414466262E-3</v>
      </c>
      <c r="I267" s="3">
        <f t="shared" si="253"/>
        <v>4.0589760414466262E-3</v>
      </c>
      <c r="J267" s="3">
        <f t="shared" si="253"/>
        <v>4.0589760414466262E-3</v>
      </c>
      <c r="K267" s="3">
        <f t="shared" si="253"/>
        <v>4.0589760414466262E-3</v>
      </c>
      <c r="L267" s="3">
        <f t="shared" si="253"/>
        <v>4.0589760414466262E-3</v>
      </c>
      <c r="M267" s="3">
        <f t="shared" si="253"/>
        <v>4.0589760414466262E-3</v>
      </c>
      <c r="N267" s="3">
        <f t="shared" si="253"/>
        <v>4.0589760414466262E-3</v>
      </c>
      <c r="O267" s="3">
        <f t="shared" si="253"/>
        <v>4.0589760414466262E-3</v>
      </c>
      <c r="P267" s="3">
        <f t="shared" si="253"/>
        <v>4.0589760414466262E-3</v>
      </c>
      <c r="Q267" s="3">
        <f t="shared" si="253"/>
        <v>4.0589760414466262E-3</v>
      </c>
      <c r="R267" s="3">
        <f t="shared" si="253"/>
        <v>4.0589760414466262E-3</v>
      </c>
      <c r="S267" s="3">
        <f t="shared" si="253"/>
        <v>4.0589760414466262E-3</v>
      </c>
      <c r="T267" s="3">
        <f t="shared" si="253"/>
        <v>4.0589760414466262E-3</v>
      </c>
      <c r="U267" s="3">
        <f t="shared" si="253"/>
        <v>4.0589760414466245E-3</v>
      </c>
      <c r="V267" s="3">
        <f t="shared" si="253"/>
        <v>4.0589760414466124E-3</v>
      </c>
      <c r="W267" s="3">
        <f t="shared" si="253"/>
        <v>4.058976041446484E-3</v>
      </c>
      <c r="X267" s="3">
        <f t="shared" si="253"/>
        <v>4.0589760414452072E-3</v>
      </c>
      <c r="Y267" s="3">
        <f t="shared" si="253"/>
        <v>4.0589760414324388E-3</v>
      </c>
      <c r="Z267" s="3">
        <f t="shared" si="253"/>
        <v>4.0589760413047519E-3</v>
      </c>
      <c r="AA267" s="3">
        <f t="shared" si="253"/>
        <v>4.0589760400278853E-3</v>
      </c>
      <c r="AB267" s="3">
        <f t="shared" si="253"/>
        <v>4.0589760272592137E-3</v>
      </c>
      <c r="AC267" s="3">
        <f t="shared" si="253"/>
        <v>4.0589758995725027E-3</v>
      </c>
      <c r="AD267" s="3">
        <f t="shared" si="253"/>
        <v>4.0589746227056109E-3</v>
      </c>
      <c r="AE267" s="3">
        <f t="shared" si="253"/>
        <v>4.0589618540587905E-3</v>
      </c>
      <c r="AF267" s="3">
        <f t="shared" si="253"/>
        <v>4.0588341697997687E-3</v>
      </c>
      <c r="AG267" s="3"/>
      <c r="AH267" s="3"/>
    </row>
    <row r="268" spans="2:34" x14ac:dyDescent="0.25">
      <c r="B268" s="3">
        <f t="shared" ref="B268:AF268" si="254">$C37*EXP(-B$246/$A37/EXP(-$E$126))</f>
        <v>1.8079022275700322E-3</v>
      </c>
      <c r="C268" s="3">
        <f t="shared" si="254"/>
        <v>1.8079022275700322E-3</v>
      </c>
      <c r="D268" s="3">
        <f t="shared" si="254"/>
        <v>1.8079022275700322E-3</v>
      </c>
      <c r="E268" s="3">
        <f t="shared" si="254"/>
        <v>1.8079022275700322E-3</v>
      </c>
      <c r="F268" s="3">
        <f t="shared" si="254"/>
        <v>1.8079022275700322E-3</v>
      </c>
      <c r="G268" s="3">
        <f t="shared" si="254"/>
        <v>1.8079022275700322E-3</v>
      </c>
      <c r="H268" s="3">
        <f t="shared" si="254"/>
        <v>1.8079022275700322E-3</v>
      </c>
      <c r="I268" s="3">
        <f t="shared" si="254"/>
        <v>1.8079022275700322E-3</v>
      </c>
      <c r="J268" s="3">
        <f t="shared" si="254"/>
        <v>1.8079022275700322E-3</v>
      </c>
      <c r="K268" s="3">
        <f t="shared" si="254"/>
        <v>1.8079022275700322E-3</v>
      </c>
      <c r="L268" s="3">
        <f t="shared" si="254"/>
        <v>1.8079022275700322E-3</v>
      </c>
      <c r="M268" s="3">
        <f t="shared" si="254"/>
        <v>1.8079022275700322E-3</v>
      </c>
      <c r="N268" s="3">
        <f t="shared" si="254"/>
        <v>1.8079022275700322E-3</v>
      </c>
      <c r="O268" s="3">
        <f t="shared" si="254"/>
        <v>1.8079022275700322E-3</v>
      </c>
      <c r="P268" s="3">
        <f t="shared" si="254"/>
        <v>1.8079022275700322E-3</v>
      </c>
      <c r="Q268" s="3">
        <f t="shared" si="254"/>
        <v>1.8079022275700322E-3</v>
      </c>
      <c r="R268" s="3">
        <f t="shared" si="254"/>
        <v>1.8079022275700322E-3</v>
      </c>
      <c r="S268" s="3">
        <f t="shared" si="254"/>
        <v>1.8079022275700322E-3</v>
      </c>
      <c r="T268" s="3">
        <f t="shared" si="254"/>
        <v>1.8079022275700322E-3</v>
      </c>
      <c r="U268" s="3">
        <f t="shared" si="254"/>
        <v>1.8079022275700322E-3</v>
      </c>
      <c r="V268" s="3">
        <f t="shared" si="254"/>
        <v>1.8079022275700315E-3</v>
      </c>
      <c r="W268" s="3">
        <f t="shared" si="254"/>
        <v>1.8079022275700265E-3</v>
      </c>
      <c r="X268" s="3">
        <f t="shared" si="254"/>
        <v>1.8079022275699751E-3</v>
      </c>
      <c r="Y268" s="3">
        <f t="shared" si="254"/>
        <v>1.8079022275694621E-3</v>
      </c>
      <c r="Z268" s="3">
        <f t="shared" si="254"/>
        <v>1.8079022275643319E-3</v>
      </c>
      <c r="AA268" s="3">
        <f t="shared" si="254"/>
        <v>1.8079022275130279E-3</v>
      </c>
      <c r="AB268" s="3">
        <f t="shared" si="254"/>
        <v>1.8079022269999884E-3</v>
      </c>
      <c r="AC268" s="3">
        <f t="shared" si="254"/>
        <v>1.807902221869594E-3</v>
      </c>
      <c r="AD268" s="3">
        <f t="shared" si="254"/>
        <v>1.8079021705656509E-3</v>
      </c>
      <c r="AE268" s="3">
        <f t="shared" si="254"/>
        <v>1.8079016575263003E-3</v>
      </c>
      <c r="AF268" s="3">
        <f t="shared" si="254"/>
        <v>1.8078965271408024E-3</v>
      </c>
      <c r="AG268" s="3"/>
      <c r="AH268" s="3"/>
    </row>
    <row r="269" spans="2:34" x14ac:dyDescent="0.25">
      <c r="B269" s="3">
        <f t="shared" ref="B269:AF269" si="255">$C38*EXP(-B$246/$A38/EXP(-$E$126))</f>
        <v>6.6593482592524332E-4</v>
      </c>
      <c r="C269" s="3">
        <f t="shared" si="255"/>
        <v>6.6593482592524332E-4</v>
      </c>
      <c r="D269" s="3">
        <f t="shared" si="255"/>
        <v>6.6593482592524332E-4</v>
      </c>
      <c r="E269" s="3">
        <f t="shared" si="255"/>
        <v>6.6593482592524332E-4</v>
      </c>
      <c r="F269" s="3">
        <f t="shared" si="255"/>
        <v>6.6593482592524332E-4</v>
      </c>
      <c r="G269" s="3">
        <f t="shared" si="255"/>
        <v>6.6593482592524332E-4</v>
      </c>
      <c r="H269" s="3">
        <f t="shared" si="255"/>
        <v>6.6593482592524332E-4</v>
      </c>
      <c r="I269" s="3">
        <f t="shared" si="255"/>
        <v>6.6593482592524332E-4</v>
      </c>
      <c r="J269" s="3">
        <f t="shared" si="255"/>
        <v>6.6593482592524332E-4</v>
      </c>
      <c r="K269" s="3">
        <f t="shared" si="255"/>
        <v>6.6593482592524332E-4</v>
      </c>
      <c r="L269" s="3">
        <f t="shared" si="255"/>
        <v>6.6593482592524332E-4</v>
      </c>
      <c r="M269" s="3">
        <f t="shared" si="255"/>
        <v>6.6593482592524332E-4</v>
      </c>
      <c r="N269" s="3">
        <f t="shared" si="255"/>
        <v>6.6593482592524332E-4</v>
      </c>
      <c r="O269" s="3">
        <f t="shared" si="255"/>
        <v>6.6593482592524332E-4</v>
      </c>
      <c r="P269" s="3">
        <f t="shared" si="255"/>
        <v>6.6593482592524332E-4</v>
      </c>
      <c r="Q269" s="3">
        <f t="shared" si="255"/>
        <v>6.6593482592524332E-4</v>
      </c>
      <c r="R269" s="3">
        <f t="shared" si="255"/>
        <v>6.6593482592524332E-4</v>
      </c>
      <c r="S269" s="3">
        <f t="shared" si="255"/>
        <v>6.6593482592524332E-4</v>
      </c>
      <c r="T269" s="3">
        <f t="shared" si="255"/>
        <v>6.6593482592524332E-4</v>
      </c>
      <c r="U269" s="3">
        <f t="shared" si="255"/>
        <v>6.6593482592524332E-4</v>
      </c>
      <c r="V269" s="3">
        <f t="shared" si="255"/>
        <v>6.6593482592524332E-4</v>
      </c>
      <c r="W269" s="3">
        <f t="shared" si="255"/>
        <v>6.659348259252431E-4</v>
      </c>
      <c r="X269" s="3">
        <f t="shared" si="255"/>
        <v>6.6593482592524136E-4</v>
      </c>
      <c r="Y269" s="3">
        <f t="shared" si="255"/>
        <v>6.6593482592522434E-4</v>
      </c>
      <c r="Z269" s="3">
        <f t="shared" si="255"/>
        <v>6.6593482592505391E-4</v>
      </c>
      <c r="AA269" s="3">
        <f t="shared" si="255"/>
        <v>6.6593482592334921E-4</v>
      </c>
      <c r="AB269" s="3">
        <f t="shared" si="255"/>
        <v>6.6593482590630198E-4</v>
      </c>
      <c r="AC269" s="3">
        <f t="shared" si="255"/>
        <v>6.6593482573582951E-4</v>
      </c>
      <c r="AD269" s="3">
        <f t="shared" si="255"/>
        <v>6.6593482403110526E-4</v>
      </c>
      <c r="AE269" s="3">
        <f t="shared" si="255"/>
        <v>6.6593480698386338E-4</v>
      </c>
      <c r="AF269" s="3">
        <f t="shared" si="255"/>
        <v>6.6593463651146818E-4</v>
      </c>
      <c r="AG269" s="3"/>
      <c r="AH269" s="3"/>
    </row>
    <row r="270" spans="2:34" x14ac:dyDescent="0.25">
      <c r="B270" s="3">
        <f t="shared" ref="B270:AF270" si="256">$C39*EXP(-B$246/$A39/EXP(-$E$126))</f>
        <v>0</v>
      </c>
      <c r="C270" s="3">
        <f t="shared" si="256"/>
        <v>0</v>
      </c>
      <c r="D270" s="3">
        <f t="shared" si="256"/>
        <v>0</v>
      </c>
      <c r="E270" s="3">
        <f t="shared" si="256"/>
        <v>0</v>
      </c>
      <c r="F270" s="3">
        <f t="shared" si="256"/>
        <v>0</v>
      </c>
      <c r="G270" s="3">
        <f t="shared" si="256"/>
        <v>0</v>
      </c>
      <c r="H270" s="3">
        <f t="shared" si="256"/>
        <v>0</v>
      </c>
      <c r="I270" s="3">
        <f t="shared" si="256"/>
        <v>0</v>
      </c>
      <c r="J270" s="3">
        <f t="shared" si="256"/>
        <v>0</v>
      </c>
      <c r="K270" s="3">
        <f t="shared" si="256"/>
        <v>0</v>
      </c>
      <c r="L270" s="3">
        <f t="shared" si="256"/>
        <v>0</v>
      </c>
      <c r="M270" s="3">
        <f t="shared" si="256"/>
        <v>0</v>
      </c>
      <c r="N270" s="3">
        <f t="shared" si="256"/>
        <v>0</v>
      </c>
      <c r="O270" s="3">
        <f t="shared" si="256"/>
        <v>0</v>
      </c>
      <c r="P270" s="3">
        <f t="shared" si="256"/>
        <v>0</v>
      </c>
      <c r="Q270" s="3">
        <f t="shared" si="256"/>
        <v>0</v>
      </c>
      <c r="R270" s="3">
        <f t="shared" si="256"/>
        <v>0</v>
      </c>
      <c r="S270" s="3">
        <f t="shared" si="256"/>
        <v>0</v>
      </c>
      <c r="T270" s="3">
        <f t="shared" si="256"/>
        <v>0</v>
      </c>
      <c r="U270" s="3">
        <f t="shared" si="256"/>
        <v>0</v>
      </c>
      <c r="V270" s="3">
        <f t="shared" si="256"/>
        <v>0</v>
      </c>
      <c r="W270" s="3">
        <f t="shared" si="256"/>
        <v>0</v>
      </c>
      <c r="X270" s="3">
        <f t="shared" si="256"/>
        <v>0</v>
      </c>
      <c r="Y270" s="3">
        <f t="shared" si="256"/>
        <v>0</v>
      </c>
      <c r="Z270" s="3">
        <f t="shared" si="256"/>
        <v>0</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5.5929921649114952E-4</v>
      </c>
      <c r="C271" s="3">
        <f t="shared" si="257"/>
        <v>5.5929921649114952E-4</v>
      </c>
      <c r="D271" s="3">
        <f t="shared" si="257"/>
        <v>5.5929921649114952E-4</v>
      </c>
      <c r="E271" s="3">
        <f t="shared" si="257"/>
        <v>5.5929921649114952E-4</v>
      </c>
      <c r="F271" s="3">
        <f t="shared" si="257"/>
        <v>5.5929921649114952E-4</v>
      </c>
      <c r="G271" s="3">
        <f t="shared" si="257"/>
        <v>5.5929921649114952E-4</v>
      </c>
      <c r="H271" s="3">
        <f t="shared" si="257"/>
        <v>5.5929921649114952E-4</v>
      </c>
      <c r="I271" s="3">
        <f t="shared" si="257"/>
        <v>5.5929921649114952E-4</v>
      </c>
      <c r="J271" s="3">
        <f t="shared" si="257"/>
        <v>5.5929921649114952E-4</v>
      </c>
      <c r="K271" s="3">
        <f t="shared" si="257"/>
        <v>5.5929921649114952E-4</v>
      </c>
      <c r="L271" s="3">
        <f t="shared" si="257"/>
        <v>5.5929921649114952E-4</v>
      </c>
      <c r="M271" s="3">
        <f t="shared" si="257"/>
        <v>5.5929921649114952E-4</v>
      </c>
      <c r="N271" s="3">
        <f t="shared" si="257"/>
        <v>5.5929921649114952E-4</v>
      </c>
      <c r="O271" s="3">
        <f t="shared" si="257"/>
        <v>5.5929921649114952E-4</v>
      </c>
      <c r="P271" s="3">
        <f t="shared" si="257"/>
        <v>5.5929921649114952E-4</v>
      </c>
      <c r="Q271" s="3">
        <f t="shared" si="257"/>
        <v>5.5929921649114952E-4</v>
      </c>
      <c r="R271" s="3">
        <f t="shared" si="257"/>
        <v>5.5929921649114952E-4</v>
      </c>
      <c r="S271" s="3">
        <f t="shared" si="257"/>
        <v>5.5929921649114952E-4</v>
      </c>
      <c r="T271" s="3">
        <f t="shared" si="257"/>
        <v>5.5929921649114952E-4</v>
      </c>
      <c r="U271" s="3">
        <f t="shared" si="257"/>
        <v>5.5929921649114952E-4</v>
      </c>
      <c r="V271" s="3">
        <f t="shared" si="257"/>
        <v>5.5929921649114952E-4</v>
      </c>
      <c r="W271" s="3">
        <f t="shared" si="257"/>
        <v>5.5929921649114952E-4</v>
      </c>
      <c r="X271" s="3">
        <f t="shared" si="257"/>
        <v>5.5929921649114942E-4</v>
      </c>
      <c r="Y271" s="3">
        <f t="shared" si="257"/>
        <v>5.5929921649114909E-4</v>
      </c>
      <c r="Z271" s="3">
        <f t="shared" si="257"/>
        <v>5.5929921649114508E-4</v>
      </c>
      <c r="AA271" s="3">
        <f t="shared" si="257"/>
        <v>5.5929921649110551E-4</v>
      </c>
      <c r="AB271" s="3">
        <f t="shared" si="257"/>
        <v>5.5929921649070955E-4</v>
      </c>
      <c r="AC271" s="3">
        <f t="shared" si="257"/>
        <v>5.5929921648674972E-4</v>
      </c>
      <c r="AD271" s="3">
        <f t="shared" si="257"/>
        <v>5.5929921644715108E-4</v>
      </c>
      <c r="AE271" s="3">
        <f t="shared" si="257"/>
        <v>5.5929921605116543E-4</v>
      </c>
      <c r="AF271" s="3">
        <f t="shared" si="257"/>
        <v>5.5929921209130868E-4</v>
      </c>
      <c r="AG271" s="3"/>
      <c r="AH271" s="3"/>
    </row>
    <row r="272" spans="2:34" x14ac:dyDescent="0.25">
      <c r="B272" s="3">
        <f t="shared" ref="B272:AF272" si="258">$C41*EXP(-B$246/$A41/EXP(-$E$126))</f>
        <v>0</v>
      </c>
      <c r="C272" s="3">
        <f t="shared" si="258"/>
        <v>0</v>
      </c>
      <c r="D272" s="3">
        <f t="shared" si="258"/>
        <v>0</v>
      </c>
      <c r="E272" s="3">
        <f t="shared" si="258"/>
        <v>0</v>
      </c>
      <c r="F272" s="3">
        <f t="shared" si="258"/>
        <v>0</v>
      </c>
      <c r="G272" s="3">
        <f t="shared" si="258"/>
        <v>0</v>
      </c>
      <c r="H272" s="3">
        <f t="shared" si="258"/>
        <v>0</v>
      </c>
      <c r="I272" s="3">
        <f t="shared" si="258"/>
        <v>0</v>
      </c>
      <c r="J272" s="3">
        <f t="shared" si="258"/>
        <v>0</v>
      </c>
      <c r="K272" s="3">
        <f t="shared" si="258"/>
        <v>0</v>
      </c>
      <c r="L272" s="3">
        <f t="shared" si="258"/>
        <v>0</v>
      </c>
      <c r="M272" s="3">
        <f t="shared" si="258"/>
        <v>0</v>
      </c>
      <c r="N272" s="3">
        <f t="shared" si="258"/>
        <v>0</v>
      </c>
      <c r="O272" s="3">
        <f t="shared" si="258"/>
        <v>0</v>
      </c>
      <c r="P272" s="3">
        <f t="shared" si="258"/>
        <v>0</v>
      </c>
      <c r="Q272" s="3">
        <f t="shared" si="258"/>
        <v>0</v>
      </c>
      <c r="R272" s="3">
        <f t="shared" si="258"/>
        <v>0</v>
      </c>
      <c r="S272" s="3">
        <f t="shared" si="258"/>
        <v>0</v>
      </c>
      <c r="T272" s="3">
        <f t="shared" si="258"/>
        <v>0</v>
      </c>
      <c r="U272" s="3">
        <f t="shared" si="258"/>
        <v>0</v>
      </c>
      <c r="V272" s="3">
        <f t="shared" si="258"/>
        <v>0</v>
      </c>
      <c r="W272" s="3">
        <f t="shared" si="258"/>
        <v>0</v>
      </c>
      <c r="X272" s="3">
        <f t="shared" si="258"/>
        <v>0</v>
      </c>
      <c r="Y272" s="3">
        <f t="shared" si="258"/>
        <v>0</v>
      </c>
      <c r="Z272" s="3">
        <f t="shared" si="258"/>
        <v>0</v>
      </c>
      <c r="AA272" s="3">
        <f t="shared" si="258"/>
        <v>0</v>
      </c>
      <c r="AB272" s="3">
        <f t="shared" si="258"/>
        <v>0</v>
      </c>
      <c r="AC272" s="3">
        <f t="shared" si="258"/>
        <v>0</v>
      </c>
      <c r="AD272" s="3">
        <f t="shared" si="258"/>
        <v>0</v>
      </c>
      <c r="AE272" s="3">
        <f t="shared" si="258"/>
        <v>0</v>
      </c>
      <c r="AF272" s="3">
        <f t="shared" si="258"/>
        <v>0</v>
      </c>
      <c r="AG272" s="3"/>
      <c r="AH272" s="3"/>
    </row>
    <row r="273" spans="1:34" x14ac:dyDescent="0.25">
      <c r="B273" s="3">
        <f t="shared" ref="B273:AF273" si="259">$C42*EXP(-B$246/$A42/EXP(-$E$126))</f>
        <v>1.7201579278298637E-4</v>
      </c>
      <c r="C273" s="3">
        <f t="shared" si="259"/>
        <v>1.7201579278298637E-4</v>
      </c>
      <c r="D273" s="3">
        <f t="shared" si="259"/>
        <v>1.7201579278298637E-4</v>
      </c>
      <c r="E273" s="3">
        <f t="shared" si="259"/>
        <v>1.7201579278298637E-4</v>
      </c>
      <c r="F273" s="3">
        <f t="shared" si="259"/>
        <v>1.7201579278298637E-4</v>
      </c>
      <c r="G273" s="3">
        <f t="shared" si="259"/>
        <v>1.7201579278298637E-4</v>
      </c>
      <c r="H273" s="3">
        <f t="shared" si="259"/>
        <v>1.7201579278298637E-4</v>
      </c>
      <c r="I273" s="3">
        <f t="shared" si="259"/>
        <v>1.7201579278298637E-4</v>
      </c>
      <c r="J273" s="3">
        <f t="shared" si="259"/>
        <v>1.7201579278298637E-4</v>
      </c>
      <c r="K273" s="3">
        <f t="shared" si="259"/>
        <v>1.7201579278298637E-4</v>
      </c>
      <c r="L273" s="3">
        <f t="shared" si="259"/>
        <v>1.7201579278298637E-4</v>
      </c>
      <c r="M273" s="3">
        <f t="shared" si="259"/>
        <v>1.7201579278298637E-4</v>
      </c>
      <c r="N273" s="3">
        <f t="shared" si="259"/>
        <v>1.7201579278298637E-4</v>
      </c>
      <c r="O273" s="3">
        <f t="shared" si="259"/>
        <v>1.7201579278298637E-4</v>
      </c>
      <c r="P273" s="3">
        <f t="shared" si="259"/>
        <v>1.7201579278298637E-4</v>
      </c>
      <c r="Q273" s="3">
        <f t="shared" si="259"/>
        <v>1.7201579278298637E-4</v>
      </c>
      <c r="R273" s="3">
        <f t="shared" si="259"/>
        <v>1.7201579278298637E-4</v>
      </c>
      <c r="S273" s="3">
        <f t="shared" si="259"/>
        <v>1.7201579278298637E-4</v>
      </c>
      <c r="T273" s="3">
        <f t="shared" si="259"/>
        <v>1.7201579278298637E-4</v>
      </c>
      <c r="U273" s="3">
        <f t="shared" si="259"/>
        <v>1.7201579278298637E-4</v>
      </c>
      <c r="V273" s="3">
        <f t="shared" si="259"/>
        <v>1.7201579278298637E-4</v>
      </c>
      <c r="W273" s="3">
        <f t="shared" si="259"/>
        <v>1.7201579278298637E-4</v>
      </c>
      <c r="X273" s="3">
        <f t="shared" si="259"/>
        <v>1.7201579278298637E-4</v>
      </c>
      <c r="Y273" s="3">
        <f t="shared" si="259"/>
        <v>1.7201579278298637E-4</v>
      </c>
      <c r="Z273" s="3">
        <f t="shared" si="259"/>
        <v>1.7201579278298634E-4</v>
      </c>
      <c r="AA273" s="3">
        <f t="shared" si="259"/>
        <v>1.7201579278298623E-4</v>
      </c>
      <c r="AB273" s="3">
        <f t="shared" si="259"/>
        <v>1.7201579278298501E-4</v>
      </c>
      <c r="AC273" s="3">
        <f t="shared" si="259"/>
        <v>1.7201579278297281E-4</v>
      </c>
      <c r="AD273" s="3">
        <f t="shared" si="259"/>
        <v>1.7201579278285103E-4</v>
      </c>
      <c r="AE273" s="3">
        <f t="shared" si="259"/>
        <v>1.7201579278163317E-4</v>
      </c>
      <c r="AF273" s="3">
        <f t="shared" si="259"/>
        <v>1.7201579276945438E-4</v>
      </c>
      <c r="AG273" s="3"/>
      <c r="AH273" s="3"/>
    </row>
    <row r="274" spans="1:34" x14ac:dyDescent="0.25">
      <c r="B274" s="3">
        <f t="shared" ref="B274:AF274" si="260">$C43*EXP(-B$246/$A43/EXP(-$E$126))</f>
        <v>1.7468461922378131E-4</v>
      </c>
      <c r="C274" s="3">
        <f t="shared" si="260"/>
        <v>1.7468461922378131E-4</v>
      </c>
      <c r="D274" s="3">
        <f t="shared" si="260"/>
        <v>1.7468461922378131E-4</v>
      </c>
      <c r="E274" s="3">
        <f t="shared" si="260"/>
        <v>1.7468461922378131E-4</v>
      </c>
      <c r="F274" s="3">
        <f t="shared" si="260"/>
        <v>1.7468461922378131E-4</v>
      </c>
      <c r="G274" s="3">
        <f t="shared" si="260"/>
        <v>1.7468461922378131E-4</v>
      </c>
      <c r="H274" s="3">
        <f t="shared" si="260"/>
        <v>1.7468461922378131E-4</v>
      </c>
      <c r="I274" s="3">
        <f t="shared" si="260"/>
        <v>1.7468461922378131E-4</v>
      </c>
      <c r="J274" s="3">
        <f t="shared" si="260"/>
        <v>1.7468461922378131E-4</v>
      </c>
      <c r="K274" s="3">
        <f t="shared" si="260"/>
        <v>1.7468461922378131E-4</v>
      </c>
      <c r="L274" s="3">
        <f t="shared" si="260"/>
        <v>1.7468461922378131E-4</v>
      </c>
      <c r="M274" s="3">
        <f t="shared" si="260"/>
        <v>1.7468461922378131E-4</v>
      </c>
      <c r="N274" s="3">
        <f t="shared" si="260"/>
        <v>1.7468461922378131E-4</v>
      </c>
      <c r="O274" s="3">
        <f t="shared" si="260"/>
        <v>1.7468461922378131E-4</v>
      </c>
      <c r="P274" s="3">
        <f t="shared" si="260"/>
        <v>1.7468461922378131E-4</v>
      </c>
      <c r="Q274" s="3">
        <f t="shared" si="260"/>
        <v>1.7468461922378131E-4</v>
      </c>
      <c r="R274" s="3">
        <f t="shared" si="260"/>
        <v>1.7468461922378131E-4</v>
      </c>
      <c r="S274" s="3">
        <f t="shared" si="260"/>
        <v>1.7468461922378131E-4</v>
      </c>
      <c r="T274" s="3">
        <f t="shared" si="260"/>
        <v>1.7468461922378131E-4</v>
      </c>
      <c r="U274" s="3">
        <f t="shared" si="260"/>
        <v>1.7468461922378131E-4</v>
      </c>
      <c r="V274" s="3">
        <f t="shared" si="260"/>
        <v>1.7468461922378131E-4</v>
      </c>
      <c r="W274" s="3">
        <f t="shared" si="260"/>
        <v>1.7468461922378131E-4</v>
      </c>
      <c r="X274" s="3">
        <f t="shared" si="260"/>
        <v>1.7468461922378131E-4</v>
      </c>
      <c r="Y274" s="3">
        <f t="shared" si="260"/>
        <v>1.7468461922378131E-4</v>
      </c>
      <c r="Z274" s="3">
        <f t="shared" si="260"/>
        <v>1.7468461922378131E-4</v>
      </c>
      <c r="AA274" s="3">
        <f t="shared" si="260"/>
        <v>1.7468461922378128E-4</v>
      </c>
      <c r="AB274" s="3">
        <f t="shared" si="260"/>
        <v>1.7468461922378117E-4</v>
      </c>
      <c r="AC274" s="3">
        <f t="shared" si="260"/>
        <v>1.7468461922377993E-4</v>
      </c>
      <c r="AD274" s="3">
        <f t="shared" si="260"/>
        <v>1.7468461922376757E-4</v>
      </c>
      <c r="AE274" s="3">
        <f t="shared" si="260"/>
        <v>1.7468461922364389E-4</v>
      </c>
      <c r="AF274" s="3">
        <f t="shared" si="260"/>
        <v>1.7468461922240711E-4</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2.0999278642033111E-4</v>
      </c>
      <c r="C276" s="3">
        <f t="shared" si="262"/>
        <v>2.0999278642033111E-4</v>
      </c>
      <c r="D276" s="3">
        <f t="shared" si="262"/>
        <v>2.0999278642033111E-4</v>
      </c>
      <c r="E276" s="3">
        <f t="shared" si="262"/>
        <v>2.0999278642033111E-4</v>
      </c>
      <c r="F276" s="3">
        <f t="shared" si="262"/>
        <v>2.0999278642033111E-4</v>
      </c>
      <c r="G276" s="3">
        <f t="shared" si="262"/>
        <v>2.0999278642033111E-4</v>
      </c>
      <c r="H276" s="3">
        <f t="shared" si="262"/>
        <v>2.0999278642033111E-4</v>
      </c>
      <c r="I276" s="3">
        <f t="shared" si="262"/>
        <v>2.0999278642033111E-4</v>
      </c>
      <c r="J276" s="3">
        <f t="shared" si="262"/>
        <v>2.0999278642033111E-4</v>
      </c>
      <c r="K276" s="3">
        <f t="shared" si="262"/>
        <v>2.0999278642033111E-4</v>
      </c>
      <c r="L276" s="3">
        <f t="shared" si="262"/>
        <v>2.0999278642033111E-4</v>
      </c>
      <c r="M276" s="3">
        <f t="shared" si="262"/>
        <v>2.0999278642033111E-4</v>
      </c>
      <c r="N276" s="3">
        <f t="shared" si="262"/>
        <v>2.0999278642033111E-4</v>
      </c>
      <c r="O276" s="3">
        <f t="shared" si="262"/>
        <v>2.0999278642033111E-4</v>
      </c>
      <c r="P276" s="3">
        <f t="shared" si="262"/>
        <v>2.0999278642033111E-4</v>
      </c>
      <c r="Q276" s="3">
        <f t="shared" si="262"/>
        <v>2.0999278642033111E-4</v>
      </c>
      <c r="R276" s="3">
        <f t="shared" si="262"/>
        <v>2.0999278642033111E-4</v>
      </c>
      <c r="S276" s="3">
        <f t="shared" si="262"/>
        <v>2.0999278642033111E-4</v>
      </c>
      <c r="T276" s="3">
        <f t="shared" si="262"/>
        <v>2.0999278642033111E-4</v>
      </c>
      <c r="U276" s="3">
        <f t="shared" si="262"/>
        <v>2.0999278642033111E-4</v>
      </c>
      <c r="V276" s="3">
        <f t="shared" si="262"/>
        <v>2.0999278642033111E-4</v>
      </c>
      <c r="W276" s="3">
        <f t="shared" si="262"/>
        <v>2.0999278642033111E-4</v>
      </c>
      <c r="X276" s="3">
        <f t="shared" si="262"/>
        <v>2.0999278642033111E-4</v>
      </c>
      <c r="Y276" s="3">
        <f t="shared" si="262"/>
        <v>2.0999278642033111E-4</v>
      </c>
      <c r="Z276" s="3">
        <f t="shared" si="262"/>
        <v>2.0999278642033111E-4</v>
      </c>
      <c r="AA276" s="3">
        <f t="shared" si="262"/>
        <v>2.0999278642033111E-4</v>
      </c>
      <c r="AB276" s="3">
        <f t="shared" si="262"/>
        <v>2.0999278642033111E-4</v>
      </c>
      <c r="AC276" s="3">
        <f t="shared" si="262"/>
        <v>2.0999278642033108E-4</v>
      </c>
      <c r="AD276" s="3">
        <f t="shared" si="262"/>
        <v>2.0999278642033095E-4</v>
      </c>
      <c r="AE276" s="3">
        <f t="shared" si="262"/>
        <v>2.0999278642032946E-4</v>
      </c>
      <c r="AF276" s="3">
        <f t="shared" si="262"/>
        <v>2.0999278642031458E-4</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1.7320221207897527E-4</v>
      </c>
      <c r="C279" s="3">
        <f t="shared" si="265"/>
        <v>1.7320221207897527E-4</v>
      </c>
      <c r="D279" s="3">
        <f t="shared" si="265"/>
        <v>1.7320221207897527E-4</v>
      </c>
      <c r="E279" s="3">
        <f t="shared" si="265"/>
        <v>1.7320221207897527E-4</v>
      </c>
      <c r="F279" s="3">
        <f t="shared" si="265"/>
        <v>1.7320221207897527E-4</v>
      </c>
      <c r="G279" s="3">
        <f t="shared" si="265"/>
        <v>1.7320221207897527E-4</v>
      </c>
      <c r="H279" s="3">
        <f t="shared" si="265"/>
        <v>1.7320221207897527E-4</v>
      </c>
      <c r="I279" s="3">
        <f t="shared" si="265"/>
        <v>1.7320221207897527E-4</v>
      </c>
      <c r="J279" s="3">
        <f t="shared" si="265"/>
        <v>1.7320221207897527E-4</v>
      </c>
      <c r="K279" s="3">
        <f t="shared" si="265"/>
        <v>1.7320221207897527E-4</v>
      </c>
      <c r="L279" s="3">
        <f t="shared" si="265"/>
        <v>1.7320221207897527E-4</v>
      </c>
      <c r="M279" s="3">
        <f t="shared" si="265"/>
        <v>1.7320221207897527E-4</v>
      </c>
      <c r="N279" s="3">
        <f t="shared" si="265"/>
        <v>1.7320221207897527E-4</v>
      </c>
      <c r="O279" s="3">
        <f t="shared" si="265"/>
        <v>1.7320221207897527E-4</v>
      </c>
      <c r="P279" s="3">
        <f t="shared" si="265"/>
        <v>1.7320221207897527E-4</v>
      </c>
      <c r="Q279" s="3">
        <f t="shared" si="265"/>
        <v>1.7320221207897527E-4</v>
      </c>
      <c r="R279" s="3">
        <f t="shared" si="265"/>
        <v>1.7320221207897527E-4</v>
      </c>
      <c r="S279" s="3">
        <f t="shared" si="265"/>
        <v>1.7320221207897527E-4</v>
      </c>
      <c r="T279" s="3">
        <f t="shared" si="265"/>
        <v>1.7320221207897527E-4</v>
      </c>
      <c r="U279" s="3">
        <f t="shared" si="265"/>
        <v>1.7320221207897527E-4</v>
      </c>
      <c r="V279" s="3">
        <f t="shared" si="265"/>
        <v>1.7320221207897527E-4</v>
      </c>
      <c r="W279" s="3">
        <f t="shared" si="265"/>
        <v>1.7320221207897527E-4</v>
      </c>
      <c r="X279" s="3">
        <f t="shared" si="265"/>
        <v>1.7320221207897527E-4</v>
      </c>
      <c r="Y279" s="3">
        <f t="shared" si="265"/>
        <v>1.7320221207897527E-4</v>
      </c>
      <c r="Z279" s="3">
        <f t="shared" si="265"/>
        <v>1.7320221207897527E-4</v>
      </c>
      <c r="AA279" s="3">
        <f t="shared" si="265"/>
        <v>1.7320221207897527E-4</v>
      </c>
      <c r="AB279" s="3">
        <f t="shared" si="265"/>
        <v>1.7320221207897527E-4</v>
      </c>
      <c r="AC279" s="3">
        <f t="shared" si="265"/>
        <v>1.7320221207897527E-4</v>
      </c>
      <c r="AD279" s="3">
        <f t="shared" si="265"/>
        <v>1.7320221207897527E-4</v>
      </c>
      <c r="AE279" s="3">
        <f t="shared" si="265"/>
        <v>1.7320221207897527E-4</v>
      </c>
      <c r="AF279" s="3">
        <f t="shared" si="265"/>
        <v>1.7320221207897524E-4</v>
      </c>
      <c r="AG279" s="3"/>
      <c r="AH279" s="3"/>
    </row>
    <row r="280" spans="1:34" x14ac:dyDescent="0.25">
      <c r="A280" s="79">
        <f>AVERAGE(B280:AF280)</f>
        <v>6.1866320039390368E-2</v>
      </c>
      <c r="B280" s="80">
        <f>IF($D$61&lt;=B246,IF($E$61&gt;=B246,ABS((B248-B247)/B247),0),0)</f>
        <v>2.9956828364761244E-3</v>
      </c>
      <c r="C280" s="80">
        <f t="shared" ref="C280:AF280" si="266">IF($D$61&lt;=C246,IF($E$61&gt;=C246,ABS((C248-C247)/C247),0),0)</f>
        <v>3.164759149084775E-3</v>
      </c>
      <c r="D280" s="80">
        <f t="shared" si="266"/>
        <v>4.8768863506134285E-3</v>
      </c>
      <c r="E280" s="80">
        <f t="shared" si="266"/>
        <v>1.8223133065500396E-2</v>
      </c>
      <c r="F280" s="80">
        <f t="shared" si="266"/>
        <v>4.7631039510915775E-2</v>
      </c>
      <c r="G280" s="80">
        <f t="shared" si="266"/>
        <v>6.8534502773519718E-2</v>
      </c>
      <c r="H280" s="80">
        <f t="shared" si="266"/>
        <v>8.9878269911964029E-2</v>
      </c>
      <c r="I280" s="80">
        <f t="shared" si="266"/>
        <v>0.11448852169159328</v>
      </c>
      <c r="J280" s="80">
        <f t="shared" si="266"/>
        <v>0.13913200404564827</v>
      </c>
      <c r="K280" s="80">
        <f t="shared" si="266"/>
        <v>0.14129795732299269</v>
      </c>
      <c r="L280" s="80">
        <f t="shared" si="266"/>
        <v>4.1101189692883421E-2</v>
      </c>
      <c r="M280" s="80">
        <f t="shared" si="266"/>
        <v>0.22828117261607828</v>
      </c>
      <c r="N280" s="80">
        <f t="shared" si="266"/>
        <v>0.20240634547490174</v>
      </c>
      <c r="O280" s="80">
        <f t="shared" si="266"/>
        <v>0.1719318547596648</v>
      </c>
      <c r="P280" s="80">
        <f t="shared" si="266"/>
        <v>0.13162722638593946</v>
      </c>
      <c r="Q280" s="80">
        <f t="shared" si="266"/>
        <v>8.4926173618923032E-2</v>
      </c>
      <c r="R280" s="80">
        <f t="shared" si="266"/>
        <v>5.0258367895973197E-2</v>
      </c>
      <c r="S280" s="80">
        <f t="shared" si="266"/>
        <v>5.8296958258349789E-2</v>
      </c>
      <c r="T280" s="80">
        <f t="shared" si="266"/>
        <v>1.3104390121269925E-2</v>
      </c>
      <c r="U280" s="80">
        <f t="shared" si="266"/>
        <v>3.1959649934712543E-2</v>
      </c>
      <c r="V280" s="80">
        <f t="shared" si="266"/>
        <v>6.2167505700715116E-2</v>
      </c>
      <c r="W280" s="80">
        <f t="shared" si="266"/>
        <v>7.6333037823873628E-2</v>
      </c>
      <c r="X280" s="80">
        <f t="shared" si="266"/>
        <v>7.6839688797607858E-2</v>
      </c>
      <c r="Y280" s="80">
        <f t="shared" si="266"/>
        <v>5.83996034819E-2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341.9069962979525</v>
      </c>
      <c r="C281" s="21">
        <f t="shared" ref="C281:AF281" si="267">(C248-C247)^2</f>
        <v>381.46196916809618</v>
      </c>
      <c r="D281" s="21">
        <f t="shared" si="267"/>
        <v>902.76353068081971</v>
      </c>
      <c r="E281" s="21">
        <f t="shared" si="267"/>
        <v>12276.500903625676</v>
      </c>
      <c r="F281" s="21">
        <f t="shared" si="267"/>
        <v>79227.799627670043</v>
      </c>
      <c r="G281" s="21">
        <f t="shared" si="267"/>
        <v>157671.52016782376</v>
      </c>
      <c r="H281" s="21">
        <f t="shared" si="267"/>
        <v>260640.30169121825</v>
      </c>
      <c r="I281" s="21">
        <f t="shared" si="267"/>
        <v>404225.92911648477</v>
      </c>
      <c r="J281" s="21">
        <f t="shared" si="267"/>
        <v>568324.45993842802</v>
      </c>
      <c r="K281" s="21">
        <f t="shared" si="267"/>
        <v>553753.03621388786</v>
      </c>
      <c r="L281" s="21">
        <f t="shared" si="267"/>
        <v>43984.226560479889</v>
      </c>
      <c r="M281" s="21">
        <f t="shared" si="267"/>
        <v>1269242.140006521</v>
      </c>
      <c r="N281" s="21">
        <f t="shared" si="267"/>
        <v>933678.69628077501</v>
      </c>
      <c r="O281" s="21">
        <f t="shared" si="267"/>
        <v>624996.69710691343</v>
      </c>
      <c r="P281" s="21">
        <f t="shared" si="267"/>
        <v>332983.2381286078</v>
      </c>
      <c r="Q281" s="21">
        <f t="shared" si="267"/>
        <v>124390.93764087994</v>
      </c>
      <c r="R281" s="21">
        <f t="shared" si="267"/>
        <v>39158.960094318303</v>
      </c>
      <c r="S281" s="21">
        <f t="shared" si="267"/>
        <v>46218.607304112149</v>
      </c>
      <c r="T281" s="21">
        <f t="shared" si="267"/>
        <v>1941.178340409313</v>
      </c>
      <c r="U281" s="21">
        <f t="shared" si="267"/>
        <v>9513.1341617740509</v>
      </c>
      <c r="V281" s="21">
        <f t="shared" si="267"/>
        <v>29908.139006114492</v>
      </c>
      <c r="W281" s="21">
        <f t="shared" si="267"/>
        <v>37828.927137653998</v>
      </c>
      <c r="X281" s="21">
        <f t="shared" si="267"/>
        <v>31908.310479394488</v>
      </c>
      <c r="Y281" s="21">
        <f t="shared" si="267"/>
        <v>15196.920063026551</v>
      </c>
      <c r="Z281" s="21">
        <f t="shared" si="267"/>
        <v>1031.0168614543786</v>
      </c>
      <c r="AA281" s="21">
        <f t="shared" si="267"/>
        <v>8647.8873647304536</v>
      </c>
      <c r="AB281" s="21">
        <f t="shared" si="267"/>
        <v>42880.364350772048</v>
      </c>
      <c r="AC281" s="21">
        <f t="shared" si="267"/>
        <v>63863.932843755712</v>
      </c>
      <c r="AD281" s="21">
        <f t="shared" si="267"/>
        <v>44577.565395687889</v>
      </c>
      <c r="AE281" s="21">
        <f t="shared" si="267"/>
        <v>15848.775549464473</v>
      </c>
      <c r="AF281" s="21">
        <f t="shared" si="267"/>
        <v>2258.4152015357895</v>
      </c>
      <c r="AG281" s="3"/>
      <c r="AH281" s="3"/>
    </row>
    <row r="282" spans="1:34" s="3" customFormat="1" x14ac:dyDescent="0.25">
      <c r="A282" s="71">
        <f>SUM(B282:AF282)</f>
        <v>5578695.7924662661</v>
      </c>
      <c r="B282" s="21">
        <f>IF($D$61&lt;=B246,IF($E$61&gt;=B246,ABS(B281),0),0)</f>
        <v>341.9069962979525</v>
      </c>
      <c r="C282" s="21">
        <f t="shared" ref="C282:AF282" si="268">IF($D$61&lt;=C246,IF($E$61&gt;=C246,ABS(C281),0),0)</f>
        <v>381.46196916809618</v>
      </c>
      <c r="D282" s="21">
        <f t="shared" si="268"/>
        <v>902.76353068081971</v>
      </c>
      <c r="E282" s="21">
        <f t="shared" si="268"/>
        <v>12276.500903625676</v>
      </c>
      <c r="F282" s="21">
        <f t="shared" si="268"/>
        <v>79227.799627670043</v>
      </c>
      <c r="G282" s="21">
        <f t="shared" si="268"/>
        <v>157671.52016782376</v>
      </c>
      <c r="H282" s="21">
        <f t="shared" si="268"/>
        <v>260640.30169121825</v>
      </c>
      <c r="I282" s="21">
        <f t="shared" si="268"/>
        <v>404225.92911648477</v>
      </c>
      <c r="J282" s="21">
        <f t="shared" si="268"/>
        <v>568324.45993842802</v>
      </c>
      <c r="K282" s="21">
        <f t="shared" si="268"/>
        <v>553753.03621388786</v>
      </c>
      <c r="L282" s="21">
        <f t="shared" si="268"/>
        <v>43984.226560479889</v>
      </c>
      <c r="M282" s="21">
        <f t="shared" si="268"/>
        <v>1269242.140006521</v>
      </c>
      <c r="N282" s="21">
        <f t="shared" si="268"/>
        <v>933678.69628077501</v>
      </c>
      <c r="O282" s="21">
        <f t="shared" si="268"/>
        <v>624996.69710691343</v>
      </c>
      <c r="P282" s="21">
        <f t="shared" si="268"/>
        <v>332983.2381286078</v>
      </c>
      <c r="Q282" s="21">
        <f t="shared" si="268"/>
        <v>124390.93764087994</v>
      </c>
      <c r="R282" s="21">
        <f t="shared" si="268"/>
        <v>39158.960094318303</v>
      </c>
      <c r="S282" s="21">
        <f t="shared" si="268"/>
        <v>46218.607304112149</v>
      </c>
      <c r="T282" s="21">
        <f t="shared" si="268"/>
        <v>1941.178340409313</v>
      </c>
      <c r="U282" s="21">
        <f t="shared" si="268"/>
        <v>9513.1341617740509</v>
      </c>
      <c r="V282" s="21">
        <f t="shared" si="268"/>
        <v>29908.139006114492</v>
      </c>
      <c r="W282" s="21">
        <f t="shared" si="268"/>
        <v>37828.927137653998</v>
      </c>
      <c r="X282" s="21">
        <f t="shared" si="268"/>
        <v>31908.310479394488</v>
      </c>
      <c r="Y282" s="21">
        <f t="shared" si="268"/>
        <v>15196.920063026551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6087.7263279674889</v>
      </c>
      <c r="C286" s="26">
        <f>INDEX(Comparison!$AM$3:$AS$33,G$14,$F$122)</f>
        <v>5883.2023767223172</v>
      </c>
      <c r="D286" s="26">
        <f>INDEX(Comparison!$AM$3:$AS$33,H$14,$F$122)</f>
        <v>5766.612112648796</v>
      </c>
      <c r="E286" s="26">
        <f>INDEX(Comparison!$AM$3:$AS$33,I$14,$F$122)</f>
        <v>5652.2426569527415</v>
      </c>
      <c r="F286" s="26">
        <f>INDEX(Comparison!$AM$3:$AS$33,J$14,$F$122)</f>
        <v>5525.6917701938164</v>
      </c>
      <c r="G286" s="26">
        <f>INDEX(Comparison!$AM$3:$AS$33,K$14,$F$122)</f>
        <v>5390.3124971142561</v>
      </c>
      <c r="H286" s="26">
        <f>INDEX(Comparison!$AM$3:$AS$33,L$14,$F$122)</f>
        <v>5238.3436481907338</v>
      </c>
      <c r="I286" s="26">
        <f>INDEX(Comparison!$AM$3:$AS$33,M$14,$F$122)</f>
        <v>5074.6532971494116</v>
      </c>
      <c r="J286" s="26">
        <f>INDEX(Comparison!$AM$3:$AS$33,N$14,$F$122)</f>
        <v>4908.5570875707617</v>
      </c>
      <c r="K286" s="26">
        <f>INDEX(Comparison!$AM$3:$AS$33,O$14,$F$122)</f>
        <v>4747.9849619649776</v>
      </c>
      <c r="L286" s="26">
        <f>INDEX(Comparison!$AM$3:$AS$33,P$14,$F$122)</f>
        <v>4570.6221718948836</v>
      </c>
      <c r="M286" s="26">
        <f>INDEX(Comparison!$AM$3:$AS$33,Q$14,$F$122)</f>
        <v>4355.6121901289935</v>
      </c>
      <c r="N286" s="26">
        <f>INDEX(Comparison!$AM$3:$AS$33,R$14,$F$122)</f>
        <v>4128.400911796266</v>
      </c>
      <c r="O286" s="26">
        <f>INDEX(Comparison!$AM$3:$AS$33,S$14,$F$122)</f>
        <v>3931.0953121014495</v>
      </c>
      <c r="P286" s="26">
        <f>INDEX(Comparison!$AM$3:$AS$33,T$14,$F$122)</f>
        <v>3756.0498426526324</v>
      </c>
      <c r="Q286" s="26">
        <f>INDEX(Comparison!$AM$3:$AS$33,U$14,$F$122)</f>
        <v>3572.9092141735305</v>
      </c>
      <c r="R286" s="26">
        <f>INDEX(Comparison!$AM$3:$AS$33,V$14,$F$122)</f>
        <v>3356.1944513859066</v>
      </c>
      <c r="S286" s="26">
        <f>INDEX(Comparison!$AM$3:$AS$33,W$14,$F$122)</f>
        <v>3066.2657883339552</v>
      </c>
      <c r="T286" s="26">
        <f>INDEX(Comparison!$AM$3:$AS$33,X$14,$F$122)</f>
        <v>2758.9237309250375</v>
      </c>
      <c r="U286" s="26">
        <f>INDEX(Comparison!$AM$3:$AS$33,Y$14,$F$122)</f>
        <v>2465.267862411738</v>
      </c>
      <c r="V286" s="26">
        <f>INDEX(Comparison!$AM$3:$AS$33,Z$14,$F$122)</f>
        <v>2197.1478961266816</v>
      </c>
      <c r="W286" s="26">
        <f>INDEX(Comparison!$AM$3:$AS$33,AA$14,$F$122)</f>
        <v>1937.1917706499551</v>
      </c>
      <c r="X286" s="26">
        <f>INDEX(Comparison!$AM$3:$AS$33,AB$14,$F$122)</f>
        <v>1672.2844115065361</v>
      </c>
      <c r="Y286" s="26">
        <f>INDEX(Comparison!$AM$3:$AS$33,AC$14,$F$122)</f>
        <v>1384.5529744446492</v>
      </c>
      <c r="Z286" s="26">
        <f>INDEX(Comparison!$AM$3:$AS$33,AD$14,$F$122)</f>
        <v>1075.4259318118629</v>
      </c>
      <c r="AA286" s="26">
        <f>INDEX(Comparison!$AM$3:$AS$33,AE$14,$F$122)</f>
        <v>780.58970474439741</v>
      </c>
      <c r="AB286" s="26">
        <f>INDEX(Comparison!$AM$3:$AS$33,AF$14,$F$122)</f>
        <v>548.72899064067769</v>
      </c>
      <c r="AC286" s="26">
        <f>INDEX(Comparison!$AM$3:$AS$33,AG$14,$F$122)</f>
        <v>398.73442150311388</v>
      </c>
      <c r="AD286" s="26">
        <f>INDEX(Comparison!$AM$3:$AS$33,AH$14,$F$122)</f>
        <v>320.69011633427954</v>
      </c>
      <c r="AE286" s="26">
        <f>INDEX(Comparison!$AM$3:$AS$33,AI$14,$F$122)</f>
        <v>281.72273678924813</v>
      </c>
      <c r="AF286" s="26">
        <f>INDEX(Comparison!$AM$3:$AS$33,AJ$14,$F$122)</f>
        <v>262.32128706515465</v>
      </c>
      <c r="AG286" s="26"/>
      <c r="AH286" s="26"/>
    </row>
    <row r="287" spans="1:34" x14ac:dyDescent="0.25">
      <c r="A287" s="70" t="s">
        <v>22</v>
      </c>
      <c r="B287" s="27">
        <f>($C$17+SUM(B288:B318))*$B$51</f>
        <v>6190.9488651442989</v>
      </c>
      <c r="C287" s="27">
        <f t="shared" ref="C287:AF287" si="269">($C$17+SUM(C288:C318))*$B$51</f>
        <v>6190.9476514433563</v>
      </c>
      <c r="D287" s="27">
        <f t="shared" si="269"/>
        <v>6190.9355144679239</v>
      </c>
      <c r="E287" s="27">
        <f t="shared" si="269"/>
        <v>6190.8141481129815</v>
      </c>
      <c r="F287" s="27">
        <f t="shared" si="269"/>
        <v>6189.6008244368495</v>
      </c>
      <c r="G287" s="27">
        <f t="shared" si="269"/>
        <v>6177.5015110529694</v>
      </c>
      <c r="H287" s="27">
        <f t="shared" si="269"/>
        <v>6059.8376566848674</v>
      </c>
      <c r="I287" s="27">
        <f t="shared" si="269"/>
        <v>5161.0899504127829</v>
      </c>
      <c r="J287" s="27">
        <f t="shared" si="269"/>
        <v>3815.9640203148856</v>
      </c>
      <c r="K287" s="27">
        <f t="shared" si="269"/>
        <v>3807.6457082705037</v>
      </c>
      <c r="L287" s="27">
        <f t="shared" si="269"/>
        <v>3807.5971470377672</v>
      </c>
      <c r="M287" s="27">
        <f t="shared" si="269"/>
        <v>3807.111872409741</v>
      </c>
      <c r="N287" s="27">
        <f t="shared" si="269"/>
        <v>3802.2927340344577</v>
      </c>
      <c r="O287" s="27">
        <f t="shared" si="269"/>
        <v>3757.3058190241481</v>
      </c>
      <c r="P287" s="27">
        <f t="shared" si="269"/>
        <v>3515.3322898016695</v>
      </c>
      <c r="Q287" s="27">
        <f t="shared" si="269"/>
        <v>3339.0988967499115</v>
      </c>
      <c r="R287" s="27">
        <f t="shared" si="269"/>
        <v>3178.8504428763144</v>
      </c>
      <c r="S287" s="27">
        <f t="shared" si="269"/>
        <v>2987.3091399468658</v>
      </c>
      <c r="T287" s="27">
        <f t="shared" si="269"/>
        <v>2777.9407655312475</v>
      </c>
      <c r="U287" s="27">
        <f t="shared" si="269"/>
        <v>2543.3516096695153</v>
      </c>
      <c r="V287" s="27">
        <f t="shared" si="269"/>
        <v>2278.3502854682897</v>
      </c>
      <c r="W287" s="27">
        <f t="shared" si="269"/>
        <v>1972.5067878048712</v>
      </c>
      <c r="X287" s="27">
        <f t="shared" si="269"/>
        <v>1614.8454940744678</v>
      </c>
      <c r="Y287" s="27">
        <f t="shared" si="269"/>
        <v>1227.453106382472</v>
      </c>
      <c r="Z287" s="27">
        <f t="shared" si="269"/>
        <v>869.53370792089822</v>
      </c>
      <c r="AA287" s="27">
        <f t="shared" si="269"/>
        <v>603.1755545056759</v>
      </c>
      <c r="AB287" s="27">
        <f t="shared" si="269"/>
        <v>443.11803938968711</v>
      </c>
      <c r="AC287" s="27">
        <f t="shared" si="269"/>
        <v>361.87307699752319</v>
      </c>
      <c r="AD287" s="27">
        <f t="shared" si="269"/>
        <v>320.68590267878278</v>
      </c>
      <c r="AE287" s="27">
        <f t="shared" si="269"/>
        <v>295.75324418042038</v>
      </c>
      <c r="AF287" s="27">
        <f t="shared" si="269"/>
        <v>274.9046269099822</v>
      </c>
      <c r="AG287" s="27"/>
      <c r="AH287" s="27"/>
    </row>
    <row r="288" spans="1:34" x14ac:dyDescent="0.25">
      <c r="B288" s="3">
        <f t="shared" ref="B288:AF288" si="270">$C18*EXP(-B$285/$A18/EXP(-$F$126))</f>
        <v>0.38496485123719809</v>
      </c>
      <c r="C288" s="3">
        <f t="shared" si="270"/>
        <v>0.38496465519279621</v>
      </c>
      <c r="D288" s="3">
        <f t="shared" si="270"/>
        <v>0.38496269475426792</v>
      </c>
      <c r="E288" s="3">
        <f t="shared" si="270"/>
        <v>0.38494309091807305</v>
      </c>
      <c r="F288" s="3">
        <f t="shared" si="270"/>
        <v>0.3847471074545416</v>
      </c>
      <c r="G288" s="3">
        <f t="shared" si="270"/>
        <v>0.38279275233091986</v>
      </c>
      <c r="H288" s="3">
        <f t="shared" si="270"/>
        <v>0.36378696670554933</v>
      </c>
      <c r="I288" s="3">
        <f t="shared" si="270"/>
        <v>0.21861574049982518</v>
      </c>
      <c r="J288" s="3">
        <f t="shared" si="270"/>
        <v>1.3428402629783473E-3</v>
      </c>
      <c r="K288" s="3">
        <f t="shared" si="270"/>
        <v>1.0267237681685987E-25</v>
      </c>
      <c r="L288" s="3">
        <f t="shared" si="270"/>
        <v>7.0104553916439513E-247</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5.815790938116619E-2</v>
      </c>
      <c r="C289" s="3">
        <f t="shared" si="271"/>
        <v>5.8157909381158605E-2</v>
      </c>
      <c r="D289" s="3">
        <f t="shared" si="271"/>
        <v>5.8157909381082742E-2</v>
      </c>
      <c r="E289" s="3">
        <f t="shared" si="271"/>
        <v>5.8157909380324085E-2</v>
      </c>
      <c r="F289" s="3">
        <f t="shared" si="271"/>
        <v>5.8157909372737543E-2</v>
      </c>
      <c r="G289" s="3">
        <f t="shared" si="271"/>
        <v>5.8157909296872062E-2</v>
      </c>
      <c r="H289" s="3">
        <f t="shared" si="271"/>
        <v>5.8157908538217333E-2</v>
      </c>
      <c r="I289" s="3">
        <f t="shared" si="271"/>
        <v>5.815790095167056E-2</v>
      </c>
      <c r="J289" s="3">
        <f t="shared" si="271"/>
        <v>5.8157825086257227E-2</v>
      </c>
      <c r="K289" s="3">
        <f t="shared" si="271"/>
        <v>5.8157066437566941E-2</v>
      </c>
      <c r="L289" s="3">
        <f t="shared" si="271"/>
        <v>5.814948049493987E-2</v>
      </c>
      <c r="M289" s="3">
        <f t="shared" si="271"/>
        <v>5.8073675469980574E-2</v>
      </c>
      <c r="N289" s="3">
        <f t="shared" si="271"/>
        <v>5.7321039185823618E-2</v>
      </c>
      <c r="O289" s="3">
        <f t="shared" si="271"/>
        <v>5.0310829098621584E-2</v>
      </c>
      <c r="P289" s="3">
        <f t="shared" si="271"/>
        <v>1.3650094741238432E-2</v>
      </c>
      <c r="Q289" s="3">
        <f t="shared" si="271"/>
        <v>2.9503774438808444E-8</v>
      </c>
      <c r="R289" s="3">
        <f t="shared" si="271"/>
        <v>6.5659370324235444E-65</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1.8919132746280962E-2</v>
      </c>
      <c r="C290" s="3">
        <f t="shared" si="272"/>
        <v>1.891913274628074E-2</v>
      </c>
      <c r="D290" s="3">
        <f t="shared" si="272"/>
        <v>1.8919132746278513E-2</v>
      </c>
      <c r="E290" s="3">
        <f t="shared" si="272"/>
        <v>1.8919132746256249E-2</v>
      </c>
      <c r="F290" s="3">
        <f t="shared" si="272"/>
        <v>1.8919132746033619E-2</v>
      </c>
      <c r="G290" s="3">
        <f t="shared" si="272"/>
        <v>1.8919132743807323E-2</v>
      </c>
      <c r="H290" s="3">
        <f t="shared" si="272"/>
        <v>1.8919132721544347E-2</v>
      </c>
      <c r="I290" s="3">
        <f t="shared" si="272"/>
        <v>1.8919132498914599E-2</v>
      </c>
      <c r="J290" s="3">
        <f t="shared" si="272"/>
        <v>1.891913027261723E-2</v>
      </c>
      <c r="K290" s="3">
        <f t="shared" si="272"/>
        <v>1.8919108009657994E-2</v>
      </c>
      <c r="L290" s="3">
        <f t="shared" si="272"/>
        <v>1.8918885381506489E-2</v>
      </c>
      <c r="M290" s="3">
        <f t="shared" si="272"/>
        <v>1.8916659244072501E-2</v>
      </c>
      <c r="N290" s="3">
        <f t="shared" si="272"/>
        <v>1.8894412271566269E-2</v>
      </c>
      <c r="O290" s="3">
        <f t="shared" si="272"/>
        <v>1.8673376479069127E-2</v>
      </c>
      <c r="P290" s="3">
        <f t="shared" si="272"/>
        <v>1.6600360224502609E-2</v>
      </c>
      <c r="Q290" s="3">
        <f t="shared" si="272"/>
        <v>5.1175736601926829E-3</v>
      </c>
      <c r="R290" s="3">
        <f t="shared" si="272"/>
        <v>3.9676193923870942E-8</v>
      </c>
      <c r="S290" s="3">
        <f t="shared" si="272"/>
        <v>3.1130709784672487E-59</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2.9962799778578721E-2</v>
      </c>
      <c r="C291" s="3">
        <f t="shared" si="273"/>
        <v>2.9962799778578686E-2</v>
      </c>
      <c r="D291" s="3">
        <f t="shared" si="273"/>
        <v>2.996279977857837E-2</v>
      </c>
      <c r="E291" s="3">
        <f t="shared" si="273"/>
        <v>2.9962799778575192E-2</v>
      </c>
      <c r="F291" s="3">
        <f t="shared" si="273"/>
        <v>2.9962799778543384E-2</v>
      </c>
      <c r="G291" s="3">
        <f t="shared" si="273"/>
        <v>2.9962799778225323E-2</v>
      </c>
      <c r="H291" s="3">
        <f t="shared" si="273"/>
        <v>2.9962799775044707E-2</v>
      </c>
      <c r="I291" s="3">
        <f t="shared" si="273"/>
        <v>2.996279974323857E-2</v>
      </c>
      <c r="J291" s="3">
        <f t="shared" si="273"/>
        <v>2.9962799425177176E-2</v>
      </c>
      <c r="K291" s="3">
        <f t="shared" si="273"/>
        <v>2.9962796244563408E-2</v>
      </c>
      <c r="L291" s="3">
        <f t="shared" si="273"/>
        <v>2.9962764438444343E-2</v>
      </c>
      <c r="M291" s="3">
        <f t="shared" si="273"/>
        <v>2.9962446379110635E-2</v>
      </c>
      <c r="N291" s="3">
        <f t="shared" si="273"/>
        <v>2.9959265971461299E-2</v>
      </c>
      <c r="O291" s="3">
        <f t="shared" si="273"/>
        <v>2.9927480456452531E-2</v>
      </c>
      <c r="P291" s="3">
        <f t="shared" si="273"/>
        <v>2.9611474185218686E-2</v>
      </c>
      <c r="Q291" s="3">
        <f t="shared" si="273"/>
        <v>2.6629239264707096E-2</v>
      </c>
      <c r="R291" s="3">
        <f t="shared" si="273"/>
        <v>9.2118332658303239E-3</v>
      </c>
      <c r="S291" s="3">
        <f t="shared" si="273"/>
        <v>2.2605762297176244E-7</v>
      </c>
      <c r="T291" s="3">
        <f t="shared" si="273"/>
        <v>1.7903998651955974E-53</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3.3253137152511318E-2</v>
      </c>
      <c r="C292" s="3">
        <f t="shared" si="274"/>
        <v>3.3253137152511311E-2</v>
      </c>
      <c r="D292" s="3">
        <f t="shared" si="274"/>
        <v>3.3253137152511283E-2</v>
      </c>
      <c r="E292" s="3">
        <f t="shared" si="274"/>
        <v>3.3253137152510964E-2</v>
      </c>
      <c r="F292" s="3">
        <f t="shared" si="274"/>
        <v>3.3253137152507779E-2</v>
      </c>
      <c r="G292" s="3">
        <f t="shared" si="274"/>
        <v>3.3253137152475937E-2</v>
      </c>
      <c r="H292" s="3">
        <f t="shared" si="274"/>
        <v>3.3253137152157511E-2</v>
      </c>
      <c r="I292" s="3">
        <f t="shared" si="274"/>
        <v>3.3253137148973259E-2</v>
      </c>
      <c r="J292" s="3">
        <f t="shared" si="274"/>
        <v>3.325313711713071E-2</v>
      </c>
      <c r="K292" s="3">
        <f t="shared" si="274"/>
        <v>3.325313679870525E-2</v>
      </c>
      <c r="L292" s="3">
        <f t="shared" si="274"/>
        <v>3.3253133614450842E-2</v>
      </c>
      <c r="M292" s="3">
        <f t="shared" si="274"/>
        <v>3.3253101771923504E-2</v>
      </c>
      <c r="N292" s="3">
        <f t="shared" si="274"/>
        <v>3.3252783348327195E-2</v>
      </c>
      <c r="O292" s="3">
        <f t="shared" si="274"/>
        <v>3.3249599280062353E-2</v>
      </c>
      <c r="P292" s="3">
        <f t="shared" si="274"/>
        <v>3.3217775361299114E-2</v>
      </c>
      <c r="Q292" s="3">
        <f t="shared" si="274"/>
        <v>3.2901206637844842E-2</v>
      </c>
      <c r="R292" s="3">
        <f t="shared" si="274"/>
        <v>2.9896795845237308E-2</v>
      </c>
      <c r="S292" s="3">
        <f t="shared" si="274"/>
        <v>1.147500400485502E-2</v>
      </c>
      <c r="T292" s="3">
        <f t="shared" si="274"/>
        <v>7.9622323266655637E-7</v>
      </c>
      <c r="U292" s="3">
        <f t="shared" si="274"/>
        <v>2.0599412910931807E-48</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3.5952334962287925E-2</v>
      </c>
      <c r="C293" s="3">
        <f t="shared" si="275"/>
        <v>3.5952334962287925E-2</v>
      </c>
      <c r="D293" s="3">
        <f t="shared" si="275"/>
        <v>3.5952334962287918E-2</v>
      </c>
      <c r="E293" s="3">
        <f t="shared" si="275"/>
        <v>3.5952334962287891E-2</v>
      </c>
      <c r="F293" s="3">
        <f t="shared" si="275"/>
        <v>3.5952334962287585E-2</v>
      </c>
      <c r="G293" s="3">
        <f t="shared" si="275"/>
        <v>3.595233496228447E-2</v>
      </c>
      <c r="H293" s="3">
        <f t="shared" si="275"/>
        <v>3.5952334962253418E-2</v>
      </c>
      <c r="I293" s="3">
        <f t="shared" si="275"/>
        <v>3.5952334961942854E-2</v>
      </c>
      <c r="J293" s="3">
        <f t="shared" si="275"/>
        <v>3.5952334958837234E-2</v>
      </c>
      <c r="K293" s="3">
        <f t="shared" si="275"/>
        <v>3.5952334927780993E-2</v>
      </c>
      <c r="L293" s="3">
        <f t="shared" si="275"/>
        <v>3.5952334617218612E-2</v>
      </c>
      <c r="M293" s="3">
        <f t="shared" si="275"/>
        <v>3.5952331511594923E-2</v>
      </c>
      <c r="N293" s="3">
        <f t="shared" si="275"/>
        <v>3.5952300455372829E-2</v>
      </c>
      <c r="O293" s="3">
        <f t="shared" si="275"/>
        <v>3.5951989894627341E-2</v>
      </c>
      <c r="P293" s="3">
        <f t="shared" si="275"/>
        <v>3.5948884434715243E-2</v>
      </c>
      <c r="Q293" s="3">
        <f t="shared" si="275"/>
        <v>3.591784458515461E-2</v>
      </c>
      <c r="R293" s="3">
        <f t="shared" si="275"/>
        <v>3.5608916342317054E-2</v>
      </c>
      <c r="S293" s="3">
        <f t="shared" si="275"/>
        <v>3.2662066692481138E-2</v>
      </c>
      <c r="T293" s="3">
        <f t="shared" si="275"/>
        <v>1.376869248760413E-2</v>
      </c>
      <c r="U293" s="3">
        <f t="shared" si="275"/>
        <v>2.4399621658145647E-6</v>
      </c>
      <c r="V293" s="3">
        <f t="shared" si="275"/>
        <v>7.4522430355606083E-44</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4.1559944347360683E-2</v>
      </c>
      <c r="C294" s="3">
        <f t="shared" si="276"/>
        <v>4.1559944347360683E-2</v>
      </c>
      <c r="D294" s="3">
        <f t="shared" si="276"/>
        <v>4.1559944347360683E-2</v>
      </c>
      <c r="E294" s="3">
        <f t="shared" si="276"/>
        <v>4.1559944347360676E-2</v>
      </c>
      <c r="F294" s="3">
        <f t="shared" si="276"/>
        <v>4.1559944347360649E-2</v>
      </c>
      <c r="G294" s="3">
        <f t="shared" si="276"/>
        <v>4.1559944347360323E-2</v>
      </c>
      <c r="H294" s="3">
        <f t="shared" si="276"/>
        <v>4.1559944347357082E-2</v>
      </c>
      <c r="I294" s="3">
        <f t="shared" si="276"/>
        <v>4.1559944347324698E-2</v>
      </c>
      <c r="J294" s="3">
        <f t="shared" si="276"/>
        <v>4.1559944347000846E-2</v>
      </c>
      <c r="K294" s="3">
        <f t="shared" si="276"/>
        <v>4.1559944343762353E-2</v>
      </c>
      <c r="L294" s="3">
        <f t="shared" si="276"/>
        <v>4.1559944311377404E-2</v>
      </c>
      <c r="M294" s="3">
        <f t="shared" si="276"/>
        <v>4.1559943987527846E-2</v>
      </c>
      <c r="N294" s="3">
        <f t="shared" si="276"/>
        <v>4.1559940749032492E-2</v>
      </c>
      <c r="O294" s="3">
        <f t="shared" si="276"/>
        <v>4.1559908364092749E-2</v>
      </c>
      <c r="P294" s="3">
        <f t="shared" si="276"/>
        <v>4.1559584516083339E-2</v>
      </c>
      <c r="Q294" s="3">
        <f t="shared" si="276"/>
        <v>4.1556346174779914E-2</v>
      </c>
      <c r="R294" s="3">
        <f t="shared" si="276"/>
        <v>4.1523976636816617E-2</v>
      </c>
      <c r="S294" s="3">
        <f t="shared" si="276"/>
        <v>4.1201664772188541E-2</v>
      </c>
      <c r="T294" s="3">
        <f t="shared" si="276"/>
        <v>3.8112990501431736E-2</v>
      </c>
      <c r="U294" s="3">
        <f t="shared" si="276"/>
        <v>1.7484597952106062E-2</v>
      </c>
      <c r="V294" s="3">
        <f t="shared" si="276"/>
        <v>7.2190805597425154E-6</v>
      </c>
      <c r="W294" s="3">
        <f t="shared" si="276"/>
        <v>1.0393079913104687E-39</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4.609677170559115E-2</v>
      </c>
      <c r="C295" s="3">
        <f t="shared" si="277"/>
        <v>4.609677170559115E-2</v>
      </c>
      <c r="D295" s="3">
        <f t="shared" si="277"/>
        <v>4.609677170559115E-2</v>
      </c>
      <c r="E295" s="3">
        <f t="shared" si="277"/>
        <v>4.609677170559115E-2</v>
      </c>
      <c r="F295" s="3">
        <f t="shared" si="277"/>
        <v>4.6096771705591143E-2</v>
      </c>
      <c r="G295" s="3">
        <f t="shared" si="277"/>
        <v>4.6096771705591115E-2</v>
      </c>
      <c r="H295" s="3">
        <f t="shared" si="277"/>
        <v>4.6096771705590789E-2</v>
      </c>
      <c r="I295" s="3">
        <f t="shared" si="277"/>
        <v>4.6096771705587555E-2</v>
      </c>
      <c r="J295" s="3">
        <f t="shared" si="277"/>
        <v>4.6096771705555144E-2</v>
      </c>
      <c r="K295" s="3">
        <f t="shared" si="277"/>
        <v>4.6096771705231111E-2</v>
      </c>
      <c r="L295" s="3">
        <f t="shared" si="277"/>
        <v>4.6096771701990814E-2</v>
      </c>
      <c r="M295" s="3">
        <f t="shared" si="277"/>
        <v>4.6096771669587797E-2</v>
      </c>
      <c r="N295" s="3">
        <f t="shared" si="277"/>
        <v>4.6096771345557633E-2</v>
      </c>
      <c r="O295" s="3">
        <f t="shared" si="277"/>
        <v>4.6096768105256099E-2</v>
      </c>
      <c r="P295" s="3">
        <f t="shared" si="277"/>
        <v>4.6096735702253276E-2</v>
      </c>
      <c r="Q295" s="3">
        <f t="shared" si="277"/>
        <v>4.6096411673477812E-2</v>
      </c>
      <c r="R295" s="3">
        <f t="shared" si="277"/>
        <v>4.609317151099418E-2</v>
      </c>
      <c r="S295" s="3">
        <f t="shared" si="277"/>
        <v>4.6060782409999598E-2</v>
      </c>
      <c r="T295" s="3">
        <f t="shared" si="277"/>
        <v>4.5738140533069099E-2</v>
      </c>
      <c r="U295" s="3">
        <f t="shared" si="277"/>
        <v>4.2633446431096046E-2</v>
      </c>
      <c r="V295" s="3">
        <f t="shared" si="277"/>
        <v>2.1109104744611203E-2</v>
      </c>
      <c r="W295" s="3">
        <f t="shared" si="277"/>
        <v>1.8692334549429819E-5</v>
      </c>
      <c r="X295" s="3">
        <f t="shared" si="277"/>
        <v>5.5411620247234428E-36</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5.5576139774485327E-2</v>
      </c>
      <c r="C296" s="3">
        <f t="shared" si="278"/>
        <v>5.5576139774485327E-2</v>
      </c>
      <c r="D296" s="3">
        <f t="shared" si="278"/>
        <v>5.5576139774485327E-2</v>
      </c>
      <c r="E296" s="3">
        <f t="shared" si="278"/>
        <v>5.5576139774485327E-2</v>
      </c>
      <c r="F296" s="3">
        <f t="shared" si="278"/>
        <v>5.5576139774485327E-2</v>
      </c>
      <c r="G296" s="3">
        <f t="shared" si="278"/>
        <v>5.557613977448532E-2</v>
      </c>
      <c r="H296" s="3">
        <f t="shared" si="278"/>
        <v>5.5576139774485292E-2</v>
      </c>
      <c r="I296" s="3">
        <f t="shared" si="278"/>
        <v>5.5576139774484938E-2</v>
      </c>
      <c r="J296" s="3">
        <f t="shared" si="278"/>
        <v>5.5576139774481406E-2</v>
      </c>
      <c r="K296" s="3">
        <f t="shared" si="278"/>
        <v>5.557613977444617E-2</v>
      </c>
      <c r="L296" s="3">
        <f t="shared" si="278"/>
        <v>5.5576139774093758E-2</v>
      </c>
      <c r="M296" s="3">
        <f t="shared" si="278"/>
        <v>5.5576139770569646E-2</v>
      </c>
      <c r="N296" s="3">
        <f t="shared" si="278"/>
        <v>5.557613973532851E-2</v>
      </c>
      <c r="O296" s="3">
        <f t="shared" si="278"/>
        <v>5.5576139382917146E-2</v>
      </c>
      <c r="P296" s="3">
        <f t="shared" si="278"/>
        <v>5.5576135858803659E-2</v>
      </c>
      <c r="Q296" s="3">
        <f t="shared" si="278"/>
        <v>5.5576100617681055E-2</v>
      </c>
      <c r="R296" s="3">
        <f t="shared" si="278"/>
        <v>5.5575748207684059E-2</v>
      </c>
      <c r="S296" s="3">
        <f t="shared" si="278"/>
        <v>5.5572224230617237E-2</v>
      </c>
      <c r="T296" s="3">
        <f t="shared" si="278"/>
        <v>5.5536996747374709E-2</v>
      </c>
      <c r="U296" s="3">
        <f t="shared" si="278"/>
        <v>5.51859477795449E-2</v>
      </c>
      <c r="V296" s="3">
        <f t="shared" si="278"/>
        <v>5.179521658139729E-2</v>
      </c>
      <c r="W296" s="3">
        <f t="shared" si="278"/>
        <v>2.7472686543507374E-2</v>
      </c>
      <c r="X296" s="3">
        <f t="shared" si="278"/>
        <v>4.8419010155799363E-5</v>
      </c>
      <c r="Y296" s="3">
        <f t="shared" si="278"/>
        <v>1.40011485928445E-32</v>
      </c>
      <c r="Z296" s="3">
        <f t="shared" si="278"/>
        <v>5.7232305950723773E-308</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6.5368051844924516E-2</v>
      </c>
      <c r="C297" s="3">
        <f t="shared" si="279"/>
        <v>6.5368051844924516E-2</v>
      </c>
      <c r="D297" s="3">
        <f t="shared" si="279"/>
        <v>6.5368051844924516E-2</v>
      </c>
      <c r="E297" s="3">
        <f t="shared" si="279"/>
        <v>6.5368051844924516E-2</v>
      </c>
      <c r="F297" s="3">
        <f t="shared" si="279"/>
        <v>6.5368051844924516E-2</v>
      </c>
      <c r="G297" s="3">
        <f t="shared" si="279"/>
        <v>6.5368051844924516E-2</v>
      </c>
      <c r="H297" s="3">
        <f t="shared" si="279"/>
        <v>6.5368051844924502E-2</v>
      </c>
      <c r="I297" s="3">
        <f t="shared" si="279"/>
        <v>6.5368051844924474E-2</v>
      </c>
      <c r="J297" s="3">
        <f t="shared" si="279"/>
        <v>6.5368051844924099E-2</v>
      </c>
      <c r="K297" s="3">
        <f t="shared" si="279"/>
        <v>6.5368051844920366E-2</v>
      </c>
      <c r="L297" s="3">
        <f t="shared" si="279"/>
        <v>6.5368051844882966E-2</v>
      </c>
      <c r="M297" s="3">
        <f t="shared" si="279"/>
        <v>6.5368051844509056E-2</v>
      </c>
      <c r="N297" s="3">
        <f t="shared" si="279"/>
        <v>6.5368051840769895E-2</v>
      </c>
      <c r="O297" s="3">
        <f t="shared" si="279"/>
        <v>6.5368051803378333E-2</v>
      </c>
      <c r="P297" s="3">
        <f t="shared" si="279"/>
        <v>6.536805142946267E-2</v>
      </c>
      <c r="Q297" s="3">
        <f t="shared" si="279"/>
        <v>6.5368047690306172E-2</v>
      </c>
      <c r="R297" s="3">
        <f t="shared" si="279"/>
        <v>6.5368010298752971E-2</v>
      </c>
      <c r="S297" s="3">
        <f t="shared" si="279"/>
        <v>6.5367636384397312E-2</v>
      </c>
      <c r="T297" s="3">
        <f t="shared" si="279"/>
        <v>6.5363897358475143E-2</v>
      </c>
      <c r="U297" s="3">
        <f t="shared" si="279"/>
        <v>6.5326518860201535E-2</v>
      </c>
      <c r="V297" s="3">
        <f t="shared" si="279"/>
        <v>6.4953907486933457E-2</v>
      </c>
      <c r="W297" s="3">
        <f t="shared" si="279"/>
        <v>6.1342708352423003E-2</v>
      </c>
      <c r="X297" s="3">
        <f t="shared" si="279"/>
        <v>3.4620998514695474E-2</v>
      </c>
      <c r="Y297" s="3">
        <f t="shared" si="279"/>
        <v>1.1352879177676401E-4</v>
      </c>
      <c r="Z297" s="3">
        <f t="shared" si="279"/>
        <v>1.6321883805040274E-29</v>
      </c>
      <c r="AA297" s="3">
        <f t="shared" si="279"/>
        <v>6.1576207999615605E-278</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6.6907973989911038E-2</v>
      </c>
      <c r="C298" s="3">
        <f t="shared" si="280"/>
        <v>6.6907973989911038E-2</v>
      </c>
      <c r="D298" s="3">
        <f t="shared" si="280"/>
        <v>6.6907973989911038E-2</v>
      </c>
      <c r="E298" s="3">
        <f t="shared" si="280"/>
        <v>6.6907973989911038E-2</v>
      </c>
      <c r="F298" s="3">
        <f t="shared" si="280"/>
        <v>6.6907973989911038E-2</v>
      </c>
      <c r="G298" s="3">
        <f t="shared" si="280"/>
        <v>6.6907973989911038E-2</v>
      </c>
      <c r="H298" s="3">
        <f t="shared" si="280"/>
        <v>6.6907973989911038E-2</v>
      </c>
      <c r="I298" s="3">
        <f t="shared" si="280"/>
        <v>6.6907973989911024E-2</v>
      </c>
      <c r="J298" s="3">
        <f t="shared" si="280"/>
        <v>6.6907973989910996E-2</v>
      </c>
      <c r="K298" s="3">
        <f t="shared" si="280"/>
        <v>6.6907973989910649E-2</v>
      </c>
      <c r="L298" s="3">
        <f t="shared" si="280"/>
        <v>6.6907973989907207E-2</v>
      </c>
      <c r="M298" s="3">
        <f t="shared" si="280"/>
        <v>6.6907973989872679E-2</v>
      </c>
      <c r="N298" s="3">
        <f t="shared" si="280"/>
        <v>6.6907973989527428E-2</v>
      </c>
      <c r="O298" s="3">
        <f t="shared" si="280"/>
        <v>6.690797398607494E-2</v>
      </c>
      <c r="P298" s="3">
        <f t="shared" si="280"/>
        <v>6.6907973951550029E-2</v>
      </c>
      <c r="Q298" s="3">
        <f t="shared" si="280"/>
        <v>6.6907973606300894E-2</v>
      </c>
      <c r="R298" s="3">
        <f t="shared" si="280"/>
        <v>6.6907970153809768E-2</v>
      </c>
      <c r="S298" s="3">
        <f t="shared" si="280"/>
        <v>6.6907935628908205E-2</v>
      </c>
      <c r="T298" s="3">
        <f t="shared" si="280"/>
        <v>6.6907590380872503E-2</v>
      </c>
      <c r="U298" s="3">
        <f t="shared" si="280"/>
        <v>6.6904137998496122E-2</v>
      </c>
      <c r="V298" s="3">
        <f t="shared" si="280"/>
        <v>6.6869623970937139E-2</v>
      </c>
      <c r="W298" s="3">
        <f t="shared" si="280"/>
        <v>6.6525461448093057E-2</v>
      </c>
      <c r="X298" s="3">
        <f t="shared" si="280"/>
        <v>6.3179770232848029E-2</v>
      </c>
      <c r="Y298" s="3">
        <f t="shared" si="280"/>
        <v>3.7711994948796554E-2</v>
      </c>
      <c r="Z298" s="3">
        <f t="shared" si="280"/>
        <v>2.1651807411191408E-4</v>
      </c>
      <c r="AA298" s="3">
        <f t="shared" si="280"/>
        <v>8.4263722323977061E-27</v>
      </c>
      <c r="AB298" s="3">
        <f t="shared" si="280"/>
        <v>6.715919560477077E-251</v>
      </c>
      <c r="AC298" s="3">
        <f t="shared" si="280"/>
        <v>0</v>
      </c>
      <c r="AD298" s="3">
        <f t="shared" si="280"/>
        <v>0</v>
      </c>
      <c r="AE298" s="3">
        <f t="shared" si="280"/>
        <v>0</v>
      </c>
      <c r="AF298" s="3">
        <f t="shared" si="280"/>
        <v>0</v>
      </c>
      <c r="AG298" s="3"/>
      <c r="AH298" s="3"/>
    </row>
    <row r="299" spans="2:34" x14ac:dyDescent="0.25">
      <c r="B299" s="3">
        <f t="shared" ref="B299:AF299" si="281">$C29*EXP(-B$285/$A29/EXP(-$F$126))</f>
        <v>5.3174535073566002E-2</v>
      </c>
      <c r="C299" s="3">
        <f t="shared" si="281"/>
        <v>5.3174535073566002E-2</v>
      </c>
      <c r="D299" s="3">
        <f t="shared" si="281"/>
        <v>5.3174535073566002E-2</v>
      </c>
      <c r="E299" s="3">
        <f t="shared" si="281"/>
        <v>5.3174535073566002E-2</v>
      </c>
      <c r="F299" s="3">
        <f t="shared" si="281"/>
        <v>5.3174535073566002E-2</v>
      </c>
      <c r="G299" s="3">
        <f t="shared" si="281"/>
        <v>5.3174535073566002E-2</v>
      </c>
      <c r="H299" s="3">
        <f t="shared" si="281"/>
        <v>5.3174535073566002E-2</v>
      </c>
      <c r="I299" s="3">
        <f t="shared" si="281"/>
        <v>5.3174535073566002E-2</v>
      </c>
      <c r="J299" s="3">
        <f t="shared" si="281"/>
        <v>5.3174535073566002E-2</v>
      </c>
      <c r="K299" s="3">
        <f t="shared" si="281"/>
        <v>5.3174535073565975E-2</v>
      </c>
      <c r="L299" s="3">
        <f t="shared" si="281"/>
        <v>5.3174535073565725E-2</v>
      </c>
      <c r="M299" s="3">
        <f t="shared" si="281"/>
        <v>5.3174535073563255E-2</v>
      </c>
      <c r="N299" s="3">
        <f t="shared" si="281"/>
        <v>5.3174535073538497E-2</v>
      </c>
      <c r="O299" s="3">
        <f t="shared" si="281"/>
        <v>5.3174535073290986E-2</v>
      </c>
      <c r="P299" s="3">
        <f t="shared" si="281"/>
        <v>5.3174535070815813E-2</v>
      </c>
      <c r="Q299" s="3">
        <f t="shared" si="281"/>
        <v>5.317453504606412E-2</v>
      </c>
      <c r="R299" s="3">
        <f t="shared" si="281"/>
        <v>5.3174534798547134E-2</v>
      </c>
      <c r="S299" s="3">
        <f t="shared" si="281"/>
        <v>5.3174532323377398E-2</v>
      </c>
      <c r="T299" s="3">
        <f t="shared" si="281"/>
        <v>5.3174507571686368E-2</v>
      </c>
      <c r="U299" s="3">
        <f t="shared" si="281"/>
        <v>5.317426005540974E-2</v>
      </c>
      <c r="V299" s="3">
        <f t="shared" si="281"/>
        <v>5.3171784956010083E-2</v>
      </c>
      <c r="W299" s="3">
        <f t="shared" si="281"/>
        <v>5.3147040297586295E-2</v>
      </c>
      <c r="X299" s="3">
        <f t="shared" si="281"/>
        <v>5.2900226180816468E-2</v>
      </c>
      <c r="Y299" s="3">
        <f t="shared" si="281"/>
        <v>5.0494255905327211E-2</v>
      </c>
      <c r="Z299" s="3">
        <f t="shared" si="281"/>
        <v>3.1701984902486935E-2</v>
      </c>
      <c r="AA299" s="3">
        <f t="shared" si="281"/>
        <v>3.0166938345814665E-4</v>
      </c>
      <c r="AB299" s="3">
        <f t="shared" si="281"/>
        <v>1.8364497294178812E-24</v>
      </c>
      <c r="AC299" s="3">
        <f t="shared" si="281"/>
        <v>1.283681059131889E-226</v>
      </c>
      <c r="AD299" s="3">
        <f t="shared" si="281"/>
        <v>0</v>
      </c>
      <c r="AE299" s="3">
        <f t="shared" si="281"/>
        <v>0</v>
      </c>
      <c r="AF299" s="3">
        <f t="shared" si="281"/>
        <v>0</v>
      </c>
      <c r="AG299" s="3"/>
      <c r="AH299" s="3"/>
    </row>
    <row r="300" spans="2:34" x14ac:dyDescent="0.25">
      <c r="B300" s="3">
        <f t="shared" ref="B300:AF300" si="282">$C30*EXP(-B$285/$A30/EXP(-$F$126))</f>
        <v>3.2923061735419888E-2</v>
      </c>
      <c r="C300" s="3">
        <f t="shared" si="282"/>
        <v>3.2923061735419888E-2</v>
      </c>
      <c r="D300" s="3">
        <f t="shared" si="282"/>
        <v>3.2923061735419888E-2</v>
      </c>
      <c r="E300" s="3">
        <f t="shared" si="282"/>
        <v>3.2923061735419888E-2</v>
      </c>
      <c r="F300" s="3">
        <f t="shared" si="282"/>
        <v>3.2923061735419888E-2</v>
      </c>
      <c r="G300" s="3">
        <f t="shared" si="282"/>
        <v>3.2923061735419888E-2</v>
      </c>
      <c r="H300" s="3">
        <f t="shared" si="282"/>
        <v>3.2923061735419888E-2</v>
      </c>
      <c r="I300" s="3">
        <f t="shared" si="282"/>
        <v>3.2923061735419888E-2</v>
      </c>
      <c r="J300" s="3">
        <f t="shared" si="282"/>
        <v>3.2923061735419888E-2</v>
      </c>
      <c r="K300" s="3">
        <f t="shared" si="282"/>
        <v>3.2923061735419888E-2</v>
      </c>
      <c r="L300" s="3">
        <f t="shared" si="282"/>
        <v>3.2923061735419874E-2</v>
      </c>
      <c r="M300" s="3">
        <f t="shared" si="282"/>
        <v>3.2923061735419736E-2</v>
      </c>
      <c r="N300" s="3">
        <f t="shared" si="282"/>
        <v>3.2923061735418355E-2</v>
      </c>
      <c r="O300" s="3">
        <f t="shared" si="282"/>
        <v>3.2923061735404532E-2</v>
      </c>
      <c r="P300" s="3">
        <f t="shared" si="282"/>
        <v>3.2923061735266282E-2</v>
      </c>
      <c r="Q300" s="3">
        <f t="shared" si="282"/>
        <v>3.2923061733883839E-2</v>
      </c>
      <c r="R300" s="3">
        <f t="shared" si="282"/>
        <v>3.2923061720059384E-2</v>
      </c>
      <c r="S300" s="3">
        <f t="shared" si="282"/>
        <v>3.2923061581814801E-2</v>
      </c>
      <c r="T300" s="3">
        <f t="shared" si="282"/>
        <v>3.2923060199369067E-2</v>
      </c>
      <c r="U300" s="3">
        <f t="shared" si="282"/>
        <v>3.2923046374914888E-2</v>
      </c>
      <c r="V300" s="3">
        <f t="shared" si="282"/>
        <v>3.292290813069243E-2</v>
      </c>
      <c r="W300" s="3">
        <f t="shared" si="282"/>
        <v>3.2921525720394265E-2</v>
      </c>
      <c r="X300" s="3">
        <f t="shared" si="282"/>
        <v>3.2907704809565785E-2</v>
      </c>
      <c r="Y300" s="3">
        <f t="shared" si="282"/>
        <v>3.2769814421203886E-2</v>
      </c>
      <c r="Z300" s="3">
        <f t="shared" si="282"/>
        <v>3.1422292867241478E-2</v>
      </c>
      <c r="AA300" s="3">
        <f t="shared" si="282"/>
        <v>2.0647942094988256E-2</v>
      </c>
      <c r="AB300" s="3">
        <f t="shared" si="282"/>
        <v>3.0993155039062034E-4</v>
      </c>
      <c r="AC300" s="3">
        <f t="shared" si="282"/>
        <v>1.7995169446740427E-22</v>
      </c>
      <c r="AD300" s="3">
        <f t="shared" si="282"/>
        <v>7.8353329708024774E-205</v>
      </c>
      <c r="AE300" s="3">
        <f t="shared" si="282"/>
        <v>0</v>
      </c>
      <c r="AF300" s="3">
        <f t="shared" si="282"/>
        <v>0</v>
      </c>
      <c r="AG300" s="3"/>
      <c r="AH300" s="3"/>
    </row>
    <row r="301" spans="2:34" x14ac:dyDescent="0.25">
      <c r="B301" s="3">
        <f t="shared" ref="B301:AF301" si="283">$C31*EXP(-B$285/$A31/EXP(-$F$126))</f>
        <v>1.6325787748200139E-2</v>
      </c>
      <c r="C301" s="3">
        <f t="shared" si="283"/>
        <v>1.6325787748200139E-2</v>
      </c>
      <c r="D301" s="3">
        <f t="shared" si="283"/>
        <v>1.6325787748200139E-2</v>
      </c>
      <c r="E301" s="3">
        <f t="shared" si="283"/>
        <v>1.6325787748200139E-2</v>
      </c>
      <c r="F301" s="3">
        <f t="shared" si="283"/>
        <v>1.6325787748200139E-2</v>
      </c>
      <c r="G301" s="3">
        <f t="shared" si="283"/>
        <v>1.6325787748200139E-2</v>
      </c>
      <c r="H301" s="3">
        <f t="shared" si="283"/>
        <v>1.6325787748200139E-2</v>
      </c>
      <c r="I301" s="3">
        <f t="shared" si="283"/>
        <v>1.6325787748200139E-2</v>
      </c>
      <c r="J301" s="3">
        <f t="shared" si="283"/>
        <v>1.6325787748200139E-2</v>
      </c>
      <c r="K301" s="3">
        <f t="shared" si="283"/>
        <v>1.6325787748200139E-2</v>
      </c>
      <c r="L301" s="3">
        <f t="shared" si="283"/>
        <v>1.6325787748200139E-2</v>
      </c>
      <c r="M301" s="3">
        <f t="shared" si="283"/>
        <v>1.6325787748200132E-2</v>
      </c>
      <c r="N301" s="3">
        <f t="shared" si="283"/>
        <v>1.6325787748200069E-2</v>
      </c>
      <c r="O301" s="3">
        <f t="shared" si="283"/>
        <v>1.6325787748199452E-2</v>
      </c>
      <c r="P301" s="3">
        <f t="shared" si="283"/>
        <v>1.6325787748193266E-2</v>
      </c>
      <c r="Q301" s="3">
        <f t="shared" si="283"/>
        <v>1.6325787748131426E-2</v>
      </c>
      <c r="R301" s="3">
        <f t="shared" si="283"/>
        <v>1.6325787747513028E-2</v>
      </c>
      <c r="S301" s="3">
        <f t="shared" si="283"/>
        <v>1.6325787741329041E-2</v>
      </c>
      <c r="T301" s="3">
        <f t="shared" si="283"/>
        <v>1.6325787679489161E-2</v>
      </c>
      <c r="U301" s="3">
        <f t="shared" si="283"/>
        <v>1.6325787061090398E-2</v>
      </c>
      <c r="V301" s="3">
        <f t="shared" si="283"/>
        <v>1.6325780877104012E-2</v>
      </c>
      <c r="W301" s="3">
        <f t="shared" si="283"/>
        <v>1.6325719037369013E-2</v>
      </c>
      <c r="X301" s="3">
        <f t="shared" si="283"/>
        <v>1.6325100652902085E-2</v>
      </c>
      <c r="Y301" s="3">
        <f t="shared" si="283"/>
        <v>1.6318918096358263E-2</v>
      </c>
      <c r="Z301" s="3">
        <f t="shared" si="283"/>
        <v>1.6257221163117275E-2</v>
      </c>
      <c r="AA301" s="3">
        <f t="shared" si="283"/>
        <v>1.5652936583129429E-2</v>
      </c>
      <c r="AB301" s="3">
        <f t="shared" si="283"/>
        <v>1.0717437114166655E-2</v>
      </c>
      <c r="AC301" s="3">
        <f t="shared" si="283"/>
        <v>2.4268454832683959E-4</v>
      </c>
      <c r="AD301" s="3">
        <f t="shared" si="283"/>
        <v>8.6010989580464207E-21</v>
      </c>
      <c r="AE301" s="3">
        <f t="shared" si="283"/>
        <v>2.6895036026185267E-185</v>
      </c>
      <c r="AF301" s="3">
        <f t="shared" si="283"/>
        <v>0</v>
      </c>
      <c r="AG301" s="3"/>
      <c r="AH301" s="3"/>
    </row>
    <row r="302" spans="2:34" x14ac:dyDescent="0.25">
      <c r="B302" s="3">
        <f t="shared" ref="B302:AF302" si="284">$C32*EXP(-B$285/$A32/EXP(-$F$126))</f>
        <v>7.8974635041155969E-3</v>
      </c>
      <c r="C302" s="3">
        <f t="shared" si="284"/>
        <v>7.8974635041155969E-3</v>
      </c>
      <c r="D302" s="3">
        <f t="shared" si="284"/>
        <v>7.8974635041155969E-3</v>
      </c>
      <c r="E302" s="3">
        <f t="shared" si="284"/>
        <v>7.8974635041155969E-3</v>
      </c>
      <c r="F302" s="3">
        <f t="shared" si="284"/>
        <v>7.8974635041155969E-3</v>
      </c>
      <c r="G302" s="3">
        <f t="shared" si="284"/>
        <v>7.8974635041155969E-3</v>
      </c>
      <c r="H302" s="3">
        <f t="shared" si="284"/>
        <v>7.8974635041155969E-3</v>
      </c>
      <c r="I302" s="3">
        <f t="shared" si="284"/>
        <v>7.8974635041155969E-3</v>
      </c>
      <c r="J302" s="3">
        <f t="shared" si="284"/>
        <v>7.8974635041155969E-3</v>
      </c>
      <c r="K302" s="3">
        <f t="shared" si="284"/>
        <v>7.8974635041155969E-3</v>
      </c>
      <c r="L302" s="3">
        <f t="shared" si="284"/>
        <v>7.8974635041155969E-3</v>
      </c>
      <c r="M302" s="3">
        <f t="shared" si="284"/>
        <v>7.8974635041155969E-3</v>
      </c>
      <c r="N302" s="3">
        <f t="shared" si="284"/>
        <v>7.8974635041155934E-3</v>
      </c>
      <c r="O302" s="3">
        <f t="shared" si="284"/>
        <v>7.8974635041155674E-3</v>
      </c>
      <c r="P302" s="3">
        <f t="shared" si="284"/>
        <v>7.8974635041152968E-3</v>
      </c>
      <c r="Q302" s="3">
        <f t="shared" si="284"/>
        <v>7.8974635041125976E-3</v>
      </c>
      <c r="R302" s="3">
        <f t="shared" si="284"/>
        <v>7.8974635040856139E-3</v>
      </c>
      <c r="S302" s="3">
        <f t="shared" si="284"/>
        <v>7.8974635038157586E-3</v>
      </c>
      <c r="T302" s="3">
        <f t="shared" si="284"/>
        <v>7.8974635011172193E-3</v>
      </c>
      <c r="U302" s="3">
        <f t="shared" si="284"/>
        <v>7.8974634741318314E-3</v>
      </c>
      <c r="V302" s="3">
        <f t="shared" si="284"/>
        <v>7.897463204277937E-3</v>
      </c>
      <c r="W302" s="3">
        <f t="shared" si="284"/>
        <v>7.8974605057395078E-3</v>
      </c>
      <c r="X302" s="3">
        <f t="shared" si="284"/>
        <v>7.8974335204059342E-3</v>
      </c>
      <c r="Y302" s="3">
        <f t="shared" si="284"/>
        <v>7.8971636721415755E-3</v>
      </c>
      <c r="Z302" s="3">
        <f t="shared" si="284"/>
        <v>7.8944656965721158E-3</v>
      </c>
      <c r="AA302" s="3">
        <f t="shared" si="284"/>
        <v>7.86753658424043E-3</v>
      </c>
      <c r="AB302" s="3">
        <f t="shared" si="284"/>
        <v>7.6032463508844128E-3</v>
      </c>
      <c r="AC302" s="3">
        <f t="shared" si="284"/>
        <v>5.4025895386119304E-3</v>
      </c>
      <c r="AD302" s="3">
        <f t="shared" si="284"/>
        <v>1.7726830188342845E-4</v>
      </c>
      <c r="AE302" s="3">
        <f t="shared" si="284"/>
        <v>2.5640246497958686E-19</v>
      </c>
      <c r="AF302" s="3">
        <f t="shared" si="284"/>
        <v>1.027621807439418E-167</v>
      </c>
      <c r="AG302" s="3"/>
      <c r="AH302" s="3"/>
    </row>
    <row r="303" spans="2:34" x14ac:dyDescent="0.25">
      <c r="B303" s="3">
        <f t="shared" ref="B303:AF303" si="285">$C33*EXP(-B$285/$A33/EXP(-$F$126))</f>
        <v>4.1550471728530186E-3</v>
      </c>
      <c r="C303" s="3">
        <f t="shared" si="285"/>
        <v>4.1550471728530186E-3</v>
      </c>
      <c r="D303" s="3">
        <f t="shared" si="285"/>
        <v>4.1550471728530186E-3</v>
      </c>
      <c r="E303" s="3">
        <f t="shared" si="285"/>
        <v>4.1550471728530186E-3</v>
      </c>
      <c r="F303" s="3">
        <f t="shared" si="285"/>
        <v>4.1550471728530186E-3</v>
      </c>
      <c r="G303" s="3">
        <f t="shared" si="285"/>
        <v>4.1550471728530186E-3</v>
      </c>
      <c r="H303" s="3">
        <f t="shared" si="285"/>
        <v>4.1550471728530186E-3</v>
      </c>
      <c r="I303" s="3">
        <f t="shared" si="285"/>
        <v>4.1550471728530186E-3</v>
      </c>
      <c r="J303" s="3">
        <f t="shared" si="285"/>
        <v>4.1550471728530186E-3</v>
      </c>
      <c r="K303" s="3">
        <f t="shared" si="285"/>
        <v>4.1550471728530186E-3</v>
      </c>
      <c r="L303" s="3">
        <f t="shared" si="285"/>
        <v>4.1550471728530186E-3</v>
      </c>
      <c r="M303" s="3">
        <f t="shared" si="285"/>
        <v>4.1550471728530186E-3</v>
      </c>
      <c r="N303" s="3">
        <f t="shared" si="285"/>
        <v>4.1550471728530186E-3</v>
      </c>
      <c r="O303" s="3">
        <f t="shared" si="285"/>
        <v>4.1550471728530169E-3</v>
      </c>
      <c r="P303" s="3">
        <f t="shared" si="285"/>
        <v>4.1550471728530047E-3</v>
      </c>
      <c r="Q303" s="3">
        <f t="shared" si="285"/>
        <v>4.1550471728528764E-3</v>
      </c>
      <c r="R303" s="3">
        <f t="shared" si="285"/>
        <v>4.1550471728515953E-3</v>
      </c>
      <c r="S303" s="3">
        <f t="shared" si="285"/>
        <v>4.1550471728387878E-3</v>
      </c>
      <c r="T303" s="3">
        <f t="shared" si="285"/>
        <v>4.1550471727107132E-3</v>
      </c>
      <c r="U303" s="3">
        <f t="shared" si="285"/>
        <v>4.155047171429966E-3</v>
      </c>
      <c r="V303" s="3">
        <f t="shared" si="285"/>
        <v>4.1550471586224878E-3</v>
      </c>
      <c r="W303" s="3">
        <f t="shared" si="285"/>
        <v>4.1550470305477096E-3</v>
      </c>
      <c r="X303" s="3">
        <f t="shared" si="285"/>
        <v>4.1550457498001469E-3</v>
      </c>
      <c r="Y303" s="3">
        <f t="shared" si="285"/>
        <v>4.1550329423462344E-3</v>
      </c>
      <c r="Z303" s="3">
        <f t="shared" si="285"/>
        <v>4.1549048699783507E-3</v>
      </c>
      <c r="AA303" s="3">
        <f t="shared" si="285"/>
        <v>4.153624363399072E-3</v>
      </c>
      <c r="AB303" s="3">
        <f t="shared" si="285"/>
        <v>4.1408409828225324E-3</v>
      </c>
      <c r="AC303" s="3">
        <f t="shared" si="285"/>
        <v>4.0151511696169305E-3</v>
      </c>
      <c r="AD303" s="3">
        <f t="shared" si="285"/>
        <v>2.9500907876995161E-3</v>
      </c>
      <c r="AE303" s="3">
        <f t="shared" si="285"/>
        <v>1.3526024980908279E-4</v>
      </c>
      <c r="AF303" s="3">
        <f t="shared" si="285"/>
        <v>5.5528791649027188E-18</v>
      </c>
      <c r="AG303" s="3"/>
      <c r="AH303" s="3"/>
    </row>
    <row r="304" spans="2:34" x14ac:dyDescent="0.25">
      <c r="B304" s="3">
        <f t="shared" ref="B304:AF304" si="286">$C34*EXP(-B$285/$A34/EXP(-$F$126))</f>
        <v>4.2575321437709054E-3</v>
      </c>
      <c r="C304" s="3">
        <f t="shared" si="286"/>
        <v>4.2575321437709054E-3</v>
      </c>
      <c r="D304" s="3">
        <f t="shared" si="286"/>
        <v>4.2575321437709054E-3</v>
      </c>
      <c r="E304" s="3">
        <f t="shared" si="286"/>
        <v>4.2575321437709054E-3</v>
      </c>
      <c r="F304" s="3">
        <f t="shared" si="286"/>
        <v>4.2575321437709054E-3</v>
      </c>
      <c r="G304" s="3">
        <f t="shared" si="286"/>
        <v>4.2575321437709054E-3</v>
      </c>
      <c r="H304" s="3">
        <f t="shared" si="286"/>
        <v>4.2575321437709054E-3</v>
      </c>
      <c r="I304" s="3">
        <f t="shared" si="286"/>
        <v>4.2575321437709054E-3</v>
      </c>
      <c r="J304" s="3">
        <f t="shared" si="286"/>
        <v>4.2575321437709054E-3</v>
      </c>
      <c r="K304" s="3">
        <f t="shared" si="286"/>
        <v>4.2575321437709054E-3</v>
      </c>
      <c r="L304" s="3">
        <f t="shared" si="286"/>
        <v>4.2575321437709054E-3</v>
      </c>
      <c r="M304" s="3">
        <f t="shared" si="286"/>
        <v>4.2575321437709054E-3</v>
      </c>
      <c r="N304" s="3">
        <f t="shared" si="286"/>
        <v>4.2575321437709054E-3</v>
      </c>
      <c r="O304" s="3">
        <f t="shared" si="286"/>
        <v>4.2575321437709054E-3</v>
      </c>
      <c r="P304" s="3">
        <f t="shared" si="286"/>
        <v>4.2575321437709037E-3</v>
      </c>
      <c r="Q304" s="3">
        <f t="shared" si="286"/>
        <v>4.2575321437708924E-3</v>
      </c>
      <c r="R304" s="3">
        <f t="shared" si="286"/>
        <v>4.2575321437707744E-3</v>
      </c>
      <c r="S304" s="3">
        <f t="shared" si="286"/>
        <v>4.2575321437695896E-3</v>
      </c>
      <c r="T304" s="3">
        <f t="shared" si="286"/>
        <v>4.2575321437577519E-3</v>
      </c>
      <c r="U304" s="3">
        <f t="shared" si="286"/>
        <v>4.2575321436393674E-3</v>
      </c>
      <c r="V304" s="3">
        <f t="shared" si="286"/>
        <v>4.2575321424555296E-3</v>
      </c>
      <c r="W304" s="3">
        <f t="shared" si="286"/>
        <v>4.257532130617153E-3</v>
      </c>
      <c r="X304" s="3">
        <f t="shared" si="286"/>
        <v>4.2575320122333789E-3</v>
      </c>
      <c r="Y304" s="3">
        <f t="shared" si="286"/>
        <v>4.2575308283958222E-3</v>
      </c>
      <c r="Z304" s="3">
        <f t="shared" si="286"/>
        <v>4.2575189900383578E-3</v>
      </c>
      <c r="AA304" s="3">
        <f t="shared" si="286"/>
        <v>4.2574006082741565E-3</v>
      </c>
      <c r="AB304" s="3">
        <f t="shared" si="286"/>
        <v>4.2562169716575289E-3</v>
      </c>
      <c r="AC304" s="3">
        <f t="shared" si="286"/>
        <v>4.2443986894197027E-3</v>
      </c>
      <c r="AD304" s="3">
        <f t="shared" si="286"/>
        <v>4.1280057924919181E-3</v>
      </c>
      <c r="AE304" s="3">
        <f t="shared" si="286"/>
        <v>3.1259466427475454E-3</v>
      </c>
      <c r="AF304" s="3">
        <f t="shared" si="286"/>
        <v>1.9381803557389908E-4</v>
      </c>
      <c r="AG304" s="3"/>
      <c r="AH304" s="3"/>
    </row>
    <row r="305" spans="1:34" x14ac:dyDescent="0.25">
      <c r="B305" s="3">
        <f t="shared" ref="B305:AF305" si="287">$C35*EXP(-B$285/$A35/EXP(-$F$126))</f>
        <v>9.5394971617709327E-4</v>
      </c>
      <c r="C305" s="3">
        <f t="shared" si="287"/>
        <v>9.5394971617709327E-4</v>
      </c>
      <c r="D305" s="3">
        <f t="shared" si="287"/>
        <v>9.5394971617709327E-4</v>
      </c>
      <c r="E305" s="3">
        <f t="shared" si="287"/>
        <v>9.5394971617709327E-4</v>
      </c>
      <c r="F305" s="3">
        <f t="shared" si="287"/>
        <v>9.5394971617709327E-4</v>
      </c>
      <c r="G305" s="3">
        <f t="shared" si="287"/>
        <v>9.5394971617709327E-4</v>
      </c>
      <c r="H305" s="3">
        <f t="shared" si="287"/>
        <v>9.5394971617709327E-4</v>
      </c>
      <c r="I305" s="3">
        <f t="shared" si="287"/>
        <v>9.5394971617709327E-4</v>
      </c>
      <c r="J305" s="3">
        <f t="shared" si="287"/>
        <v>9.5394971617709327E-4</v>
      </c>
      <c r="K305" s="3">
        <f t="shared" si="287"/>
        <v>9.5394971617709327E-4</v>
      </c>
      <c r="L305" s="3">
        <f t="shared" si="287"/>
        <v>9.5394971617709327E-4</v>
      </c>
      <c r="M305" s="3">
        <f t="shared" si="287"/>
        <v>9.5394971617709327E-4</v>
      </c>
      <c r="N305" s="3">
        <f t="shared" si="287"/>
        <v>9.5394971617709327E-4</v>
      </c>
      <c r="O305" s="3">
        <f t="shared" si="287"/>
        <v>9.5394971617709327E-4</v>
      </c>
      <c r="P305" s="3">
        <f t="shared" si="287"/>
        <v>9.5394971617709327E-4</v>
      </c>
      <c r="Q305" s="3">
        <f t="shared" si="287"/>
        <v>9.5394971617709294E-4</v>
      </c>
      <c r="R305" s="3">
        <f t="shared" si="287"/>
        <v>9.5394971617709066E-4</v>
      </c>
      <c r="S305" s="3">
        <f t="shared" si="287"/>
        <v>9.539497161770667E-4</v>
      </c>
      <c r="T305" s="3">
        <f t="shared" si="287"/>
        <v>9.5394971617682742E-4</v>
      </c>
      <c r="U305" s="3">
        <f t="shared" si="287"/>
        <v>9.5394971617443459E-4</v>
      </c>
      <c r="V305" s="3">
        <f t="shared" si="287"/>
        <v>9.5394971615050668E-4</v>
      </c>
      <c r="W305" s="3">
        <f t="shared" si="287"/>
        <v>9.5394971591122673E-4</v>
      </c>
      <c r="X305" s="3">
        <f t="shared" si="287"/>
        <v>9.5394971351842712E-4</v>
      </c>
      <c r="Y305" s="3">
        <f t="shared" si="287"/>
        <v>9.5394968959043147E-4</v>
      </c>
      <c r="Z305" s="3">
        <f t="shared" si="287"/>
        <v>9.5394945031050898E-4</v>
      </c>
      <c r="AA305" s="3">
        <f t="shared" si="287"/>
        <v>9.5394705751458426E-4</v>
      </c>
      <c r="AB305" s="3">
        <f t="shared" si="287"/>
        <v>9.5392312988543766E-4</v>
      </c>
      <c r="AC305" s="3">
        <f t="shared" si="287"/>
        <v>9.5368388660089696E-4</v>
      </c>
      <c r="AD305" s="3">
        <f t="shared" si="287"/>
        <v>9.5129475138682384E-4</v>
      </c>
      <c r="AE305" s="3">
        <f t="shared" si="287"/>
        <v>9.2773012235916521E-4</v>
      </c>
      <c r="AF305" s="3">
        <f t="shared" si="287"/>
        <v>7.2191693646807189E-4</v>
      </c>
      <c r="AG305" s="3"/>
      <c r="AH305" s="3"/>
    </row>
    <row r="306" spans="1:34" x14ac:dyDescent="0.25">
      <c r="B306" s="3">
        <f t="shared" ref="B306:AF306" si="288">$C36*EXP(-B$285/$A36/EXP(-$F$126))</f>
        <v>4.0589760414466262E-3</v>
      </c>
      <c r="C306" s="3">
        <f t="shared" si="288"/>
        <v>4.0589760414466262E-3</v>
      </c>
      <c r="D306" s="3">
        <f t="shared" si="288"/>
        <v>4.0589760414466262E-3</v>
      </c>
      <c r="E306" s="3">
        <f t="shared" si="288"/>
        <v>4.0589760414466262E-3</v>
      </c>
      <c r="F306" s="3">
        <f t="shared" si="288"/>
        <v>4.0589760414466262E-3</v>
      </c>
      <c r="G306" s="3">
        <f t="shared" si="288"/>
        <v>4.0589760414466262E-3</v>
      </c>
      <c r="H306" s="3">
        <f t="shared" si="288"/>
        <v>4.0589760414466262E-3</v>
      </c>
      <c r="I306" s="3">
        <f t="shared" si="288"/>
        <v>4.0589760414466262E-3</v>
      </c>
      <c r="J306" s="3">
        <f t="shared" si="288"/>
        <v>4.0589760414466262E-3</v>
      </c>
      <c r="K306" s="3">
        <f t="shared" si="288"/>
        <v>4.0589760414466262E-3</v>
      </c>
      <c r="L306" s="3">
        <f t="shared" si="288"/>
        <v>4.0589760414466262E-3</v>
      </c>
      <c r="M306" s="3">
        <f t="shared" si="288"/>
        <v>4.0589760414466262E-3</v>
      </c>
      <c r="N306" s="3">
        <f t="shared" si="288"/>
        <v>4.0589760414466262E-3</v>
      </c>
      <c r="O306" s="3">
        <f t="shared" si="288"/>
        <v>4.0589760414466262E-3</v>
      </c>
      <c r="P306" s="3">
        <f t="shared" si="288"/>
        <v>4.0589760414466262E-3</v>
      </c>
      <c r="Q306" s="3">
        <f t="shared" si="288"/>
        <v>4.0589760414466262E-3</v>
      </c>
      <c r="R306" s="3">
        <f t="shared" si="288"/>
        <v>4.0589760414466254E-3</v>
      </c>
      <c r="S306" s="3">
        <f t="shared" si="288"/>
        <v>4.0589760414466158E-3</v>
      </c>
      <c r="T306" s="3">
        <f t="shared" si="288"/>
        <v>4.0589760414465248E-3</v>
      </c>
      <c r="U306" s="3">
        <f t="shared" si="288"/>
        <v>4.0589760414456054E-3</v>
      </c>
      <c r="V306" s="3">
        <f t="shared" si="288"/>
        <v>4.0589760414364217E-3</v>
      </c>
      <c r="W306" s="3">
        <f t="shared" si="288"/>
        <v>4.0589760413445794E-3</v>
      </c>
      <c r="X306" s="3">
        <f t="shared" si="288"/>
        <v>4.0589760404261535E-3</v>
      </c>
      <c r="Y306" s="3">
        <f t="shared" si="288"/>
        <v>4.0589760312418986E-3</v>
      </c>
      <c r="Z306" s="3">
        <f t="shared" si="288"/>
        <v>4.058975939399352E-3</v>
      </c>
      <c r="AA306" s="3">
        <f t="shared" si="288"/>
        <v>4.058975020974004E-3</v>
      </c>
      <c r="AB306" s="3">
        <f t="shared" si="288"/>
        <v>4.0589658367319505E-3</v>
      </c>
      <c r="AC306" s="3">
        <f t="shared" si="288"/>
        <v>4.0588739954543701E-3</v>
      </c>
      <c r="AD306" s="3">
        <f t="shared" si="288"/>
        <v>4.0579556969647258E-3</v>
      </c>
      <c r="AE306" s="3">
        <f t="shared" si="288"/>
        <v>4.0487841311221892E-3</v>
      </c>
      <c r="AF306" s="3">
        <f t="shared" si="288"/>
        <v>3.9582008756430601E-3</v>
      </c>
      <c r="AG306" s="3"/>
      <c r="AH306" s="3"/>
    </row>
    <row r="307" spans="1:34" x14ac:dyDescent="0.25">
      <c r="B307" s="3">
        <f t="shared" ref="B307:AF307" si="289">$C37*EXP(-B$285/$A37/EXP(-$F$126))</f>
        <v>1.8079022275700322E-3</v>
      </c>
      <c r="C307" s="3">
        <f t="shared" si="289"/>
        <v>1.8079022275700322E-3</v>
      </c>
      <c r="D307" s="3">
        <f t="shared" si="289"/>
        <v>1.8079022275700322E-3</v>
      </c>
      <c r="E307" s="3">
        <f t="shared" si="289"/>
        <v>1.8079022275700322E-3</v>
      </c>
      <c r="F307" s="3">
        <f t="shared" si="289"/>
        <v>1.8079022275700322E-3</v>
      </c>
      <c r="G307" s="3">
        <f t="shared" si="289"/>
        <v>1.8079022275700322E-3</v>
      </c>
      <c r="H307" s="3">
        <f t="shared" si="289"/>
        <v>1.8079022275700322E-3</v>
      </c>
      <c r="I307" s="3">
        <f t="shared" si="289"/>
        <v>1.8079022275700322E-3</v>
      </c>
      <c r="J307" s="3">
        <f t="shared" si="289"/>
        <v>1.8079022275700322E-3</v>
      </c>
      <c r="K307" s="3">
        <f t="shared" si="289"/>
        <v>1.8079022275700322E-3</v>
      </c>
      <c r="L307" s="3">
        <f t="shared" si="289"/>
        <v>1.8079022275700322E-3</v>
      </c>
      <c r="M307" s="3">
        <f t="shared" si="289"/>
        <v>1.8079022275700322E-3</v>
      </c>
      <c r="N307" s="3">
        <f t="shared" si="289"/>
        <v>1.8079022275700322E-3</v>
      </c>
      <c r="O307" s="3">
        <f t="shared" si="289"/>
        <v>1.8079022275700322E-3</v>
      </c>
      <c r="P307" s="3">
        <f t="shared" si="289"/>
        <v>1.8079022275700322E-3</v>
      </c>
      <c r="Q307" s="3">
        <f t="shared" si="289"/>
        <v>1.8079022275700322E-3</v>
      </c>
      <c r="R307" s="3">
        <f t="shared" si="289"/>
        <v>1.8079022275700322E-3</v>
      </c>
      <c r="S307" s="3">
        <f t="shared" si="289"/>
        <v>1.8079022275700317E-3</v>
      </c>
      <c r="T307" s="3">
        <f t="shared" si="289"/>
        <v>1.807902227570028E-3</v>
      </c>
      <c r="U307" s="3">
        <f t="shared" si="289"/>
        <v>1.8079022275699912E-3</v>
      </c>
      <c r="V307" s="3">
        <f t="shared" si="289"/>
        <v>1.8079022275696221E-3</v>
      </c>
      <c r="W307" s="3">
        <f t="shared" si="289"/>
        <v>1.8079022275659319E-3</v>
      </c>
      <c r="X307" s="3">
        <f t="shared" si="289"/>
        <v>1.80790222752903E-3</v>
      </c>
      <c r="Y307" s="3">
        <f t="shared" si="289"/>
        <v>1.8079022271600108E-3</v>
      </c>
      <c r="Z307" s="3">
        <f t="shared" si="289"/>
        <v>1.8079022234698189E-3</v>
      </c>
      <c r="AA307" s="3">
        <f t="shared" si="289"/>
        <v>1.8079021865678991E-3</v>
      </c>
      <c r="AB307" s="3">
        <f t="shared" si="289"/>
        <v>1.8079018175487438E-3</v>
      </c>
      <c r="AC307" s="3">
        <f t="shared" si="289"/>
        <v>1.8078981273613329E-3</v>
      </c>
      <c r="AD307" s="3">
        <f t="shared" si="289"/>
        <v>1.807861225901492E-3</v>
      </c>
      <c r="AE307" s="3">
        <f t="shared" si="289"/>
        <v>1.8074922527268156E-3</v>
      </c>
      <c r="AF307" s="3">
        <f t="shared" si="289"/>
        <v>1.8038066602266633E-3</v>
      </c>
      <c r="AG307" s="3"/>
      <c r="AH307" s="3"/>
    </row>
    <row r="308" spans="1:34" x14ac:dyDescent="0.25">
      <c r="B308" s="3">
        <f t="shared" ref="B308:AF308" si="290">$C38*EXP(-B$285/$A38/EXP(-$F$126))</f>
        <v>6.6593482592524332E-4</v>
      </c>
      <c r="C308" s="3">
        <f t="shared" si="290"/>
        <v>6.6593482592524332E-4</v>
      </c>
      <c r="D308" s="3">
        <f t="shared" si="290"/>
        <v>6.6593482592524332E-4</v>
      </c>
      <c r="E308" s="3">
        <f t="shared" si="290"/>
        <v>6.6593482592524332E-4</v>
      </c>
      <c r="F308" s="3">
        <f t="shared" si="290"/>
        <v>6.6593482592524332E-4</v>
      </c>
      <c r="G308" s="3">
        <f t="shared" si="290"/>
        <v>6.6593482592524332E-4</v>
      </c>
      <c r="H308" s="3">
        <f t="shared" si="290"/>
        <v>6.6593482592524332E-4</v>
      </c>
      <c r="I308" s="3">
        <f t="shared" si="290"/>
        <v>6.6593482592524332E-4</v>
      </c>
      <c r="J308" s="3">
        <f t="shared" si="290"/>
        <v>6.6593482592524332E-4</v>
      </c>
      <c r="K308" s="3">
        <f t="shared" si="290"/>
        <v>6.6593482592524332E-4</v>
      </c>
      <c r="L308" s="3">
        <f t="shared" si="290"/>
        <v>6.6593482592524332E-4</v>
      </c>
      <c r="M308" s="3">
        <f t="shared" si="290"/>
        <v>6.6593482592524332E-4</v>
      </c>
      <c r="N308" s="3">
        <f t="shared" si="290"/>
        <v>6.6593482592524332E-4</v>
      </c>
      <c r="O308" s="3">
        <f t="shared" si="290"/>
        <v>6.6593482592524332E-4</v>
      </c>
      <c r="P308" s="3">
        <f t="shared" si="290"/>
        <v>6.6593482592524332E-4</v>
      </c>
      <c r="Q308" s="3">
        <f t="shared" si="290"/>
        <v>6.6593482592524332E-4</v>
      </c>
      <c r="R308" s="3">
        <f t="shared" si="290"/>
        <v>6.6593482592524332E-4</v>
      </c>
      <c r="S308" s="3">
        <f t="shared" si="290"/>
        <v>6.6593482592524332E-4</v>
      </c>
      <c r="T308" s="3">
        <f t="shared" si="290"/>
        <v>6.6593482592524321E-4</v>
      </c>
      <c r="U308" s="3">
        <f t="shared" si="290"/>
        <v>6.6593482592524201E-4</v>
      </c>
      <c r="V308" s="3">
        <f t="shared" si="290"/>
        <v>6.6593482592522976E-4</v>
      </c>
      <c r="W308" s="3">
        <f t="shared" si="290"/>
        <v>6.6593482592510703E-4</v>
      </c>
      <c r="X308" s="3">
        <f t="shared" si="290"/>
        <v>6.6593482592388091E-4</v>
      </c>
      <c r="Y308" s="3">
        <f t="shared" si="290"/>
        <v>6.6593482591161912E-4</v>
      </c>
      <c r="Z308" s="3">
        <f t="shared" si="290"/>
        <v>6.6593482578900171E-4</v>
      </c>
      <c r="AA308" s="3">
        <f t="shared" si="290"/>
        <v>6.6593482456282695E-4</v>
      </c>
      <c r="AB308" s="3">
        <f t="shared" si="290"/>
        <v>6.6593481230108043E-4</v>
      </c>
      <c r="AC308" s="3">
        <f t="shared" si="290"/>
        <v>6.6593468968362637E-4</v>
      </c>
      <c r="AD308" s="3">
        <f t="shared" si="290"/>
        <v>6.6593346351032806E-4</v>
      </c>
      <c r="AE308" s="3">
        <f t="shared" si="290"/>
        <v>6.6592120190151936E-4</v>
      </c>
      <c r="AF308" s="3">
        <f t="shared" si="290"/>
        <v>6.6579859823003452E-4</v>
      </c>
      <c r="AG308" s="3"/>
      <c r="AH308" s="3"/>
    </row>
    <row r="309" spans="1:34" x14ac:dyDescent="0.25">
      <c r="B309" s="3">
        <f t="shared" ref="B309:AF309" si="291">$C39*EXP(-B$285/$A39/EXP(-$F$126))</f>
        <v>0</v>
      </c>
      <c r="C309" s="3">
        <f t="shared" si="291"/>
        <v>0</v>
      </c>
      <c r="D309" s="3">
        <f t="shared" si="291"/>
        <v>0</v>
      </c>
      <c r="E309" s="3">
        <f t="shared" si="291"/>
        <v>0</v>
      </c>
      <c r="F309" s="3">
        <f t="shared" si="291"/>
        <v>0</v>
      </c>
      <c r="G309" s="3">
        <f t="shared" si="291"/>
        <v>0</v>
      </c>
      <c r="H309" s="3">
        <f t="shared" si="291"/>
        <v>0</v>
      </c>
      <c r="I309" s="3">
        <f t="shared" si="291"/>
        <v>0</v>
      </c>
      <c r="J309" s="3">
        <f t="shared" si="291"/>
        <v>0</v>
      </c>
      <c r="K309" s="3">
        <f t="shared" si="291"/>
        <v>0</v>
      </c>
      <c r="L309" s="3">
        <f t="shared" si="291"/>
        <v>0</v>
      </c>
      <c r="M309" s="3">
        <f t="shared" si="291"/>
        <v>0</v>
      </c>
      <c r="N309" s="3">
        <f t="shared" si="291"/>
        <v>0</v>
      </c>
      <c r="O309" s="3">
        <f t="shared" si="291"/>
        <v>0</v>
      </c>
      <c r="P309" s="3">
        <f t="shared" si="291"/>
        <v>0</v>
      </c>
      <c r="Q309" s="3">
        <f t="shared" si="291"/>
        <v>0</v>
      </c>
      <c r="R309" s="3">
        <f t="shared" si="291"/>
        <v>0</v>
      </c>
      <c r="S309" s="3">
        <f t="shared" si="291"/>
        <v>0</v>
      </c>
      <c r="T309" s="3">
        <f t="shared" si="291"/>
        <v>0</v>
      </c>
      <c r="U309" s="3">
        <f t="shared" si="291"/>
        <v>0</v>
      </c>
      <c r="V309" s="3">
        <f t="shared" si="291"/>
        <v>0</v>
      </c>
      <c r="W309" s="3">
        <f t="shared" si="291"/>
        <v>0</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5.5929921649114952E-4</v>
      </c>
      <c r="C310" s="3">
        <f t="shared" si="292"/>
        <v>5.5929921649114952E-4</v>
      </c>
      <c r="D310" s="3">
        <f t="shared" si="292"/>
        <v>5.5929921649114952E-4</v>
      </c>
      <c r="E310" s="3">
        <f t="shared" si="292"/>
        <v>5.5929921649114952E-4</v>
      </c>
      <c r="F310" s="3">
        <f t="shared" si="292"/>
        <v>5.5929921649114952E-4</v>
      </c>
      <c r="G310" s="3">
        <f t="shared" si="292"/>
        <v>5.5929921649114952E-4</v>
      </c>
      <c r="H310" s="3">
        <f t="shared" si="292"/>
        <v>5.5929921649114952E-4</v>
      </c>
      <c r="I310" s="3">
        <f t="shared" si="292"/>
        <v>5.5929921649114952E-4</v>
      </c>
      <c r="J310" s="3">
        <f t="shared" si="292"/>
        <v>5.5929921649114952E-4</v>
      </c>
      <c r="K310" s="3">
        <f t="shared" si="292"/>
        <v>5.5929921649114952E-4</v>
      </c>
      <c r="L310" s="3">
        <f t="shared" si="292"/>
        <v>5.5929921649114952E-4</v>
      </c>
      <c r="M310" s="3">
        <f t="shared" si="292"/>
        <v>5.5929921649114952E-4</v>
      </c>
      <c r="N310" s="3">
        <f t="shared" si="292"/>
        <v>5.5929921649114952E-4</v>
      </c>
      <c r="O310" s="3">
        <f t="shared" si="292"/>
        <v>5.5929921649114952E-4</v>
      </c>
      <c r="P310" s="3">
        <f t="shared" si="292"/>
        <v>5.5929921649114952E-4</v>
      </c>
      <c r="Q310" s="3">
        <f t="shared" si="292"/>
        <v>5.5929921649114952E-4</v>
      </c>
      <c r="R310" s="3">
        <f t="shared" si="292"/>
        <v>5.5929921649114952E-4</v>
      </c>
      <c r="S310" s="3">
        <f t="shared" si="292"/>
        <v>5.5929921649114952E-4</v>
      </c>
      <c r="T310" s="3">
        <f t="shared" si="292"/>
        <v>5.5929921649114952E-4</v>
      </c>
      <c r="U310" s="3">
        <f t="shared" si="292"/>
        <v>5.5929921649114942E-4</v>
      </c>
      <c r="V310" s="3">
        <f t="shared" si="292"/>
        <v>5.592992164911492E-4</v>
      </c>
      <c r="W310" s="3">
        <f t="shared" si="292"/>
        <v>5.5929921649114638E-4</v>
      </c>
      <c r="X310" s="3">
        <f t="shared" si="292"/>
        <v>5.5929921649111787E-4</v>
      </c>
      <c r="Y310" s="3">
        <f t="shared" si="292"/>
        <v>5.5929921649083305E-4</v>
      </c>
      <c r="Z310" s="3">
        <f t="shared" si="292"/>
        <v>5.5929921648798485E-4</v>
      </c>
      <c r="AA310" s="3">
        <f t="shared" si="292"/>
        <v>5.5929921645950231E-4</v>
      </c>
      <c r="AB310" s="3">
        <f t="shared" si="292"/>
        <v>5.5929921617467763E-4</v>
      </c>
      <c r="AC310" s="3">
        <f t="shared" si="292"/>
        <v>5.5929921332643039E-4</v>
      </c>
      <c r="AD310" s="3">
        <f t="shared" si="292"/>
        <v>5.5929918484395858E-4</v>
      </c>
      <c r="AE310" s="3">
        <f t="shared" si="292"/>
        <v>5.5929890001932118E-4</v>
      </c>
      <c r="AF310" s="3">
        <f t="shared" si="292"/>
        <v>5.592960517809242E-4</v>
      </c>
      <c r="AG310" s="3"/>
      <c r="AH310" s="3"/>
    </row>
    <row r="311" spans="1:34" x14ac:dyDescent="0.25">
      <c r="B311" s="3">
        <f t="shared" ref="B311:AF311" si="293">$C41*EXP(-B$285/$A41/EXP(-$F$126))</f>
        <v>0</v>
      </c>
      <c r="C311" s="3">
        <f t="shared" si="293"/>
        <v>0</v>
      </c>
      <c r="D311" s="3">
        <f t="shared" si="293"/>
        <v>0</v>
      </c>
      <c r="E311" s="3">
        <f t="shared" si="293"/>
        <v>0</v>
      </c>
      <c r="F311" s="3">
        <f t="shared" si="293"/>
        <v>0</v>
      </c>
      <c r="G311" s="3">
        <f t="shared" si="293"/>
        <v>0</v>
      </c>
      <c r="H311" s="3">
        <f t="shared" si="293"/>
        <v>0</v>
      </c>
      <c r="I311" s="3">
        <f t="shared" si="293"/>
        <v>0</v>
      </c>
      <c r="J311" s="3">
        <f t="shared" si="293"/>
        <v>0</v>
      </c>
      <c r="K311" s="3">
        <f t="shared" si="293"/>
        <v>0</v>
      </c>
      <c r="L311" s="3">
        <f t="shared" si="293"/>
        <v>0</v>
      </c>
      <c r="M311" s="3">
        <f t="shared" si="293"/>
        <v>0</v>
      </c>
      <c r="N311" s="3">
        <f t="shared" si="293"/>
        <v>0</v>
      </c>
      <c r="O311" s="3">
        <f t="shared" si="293"/>
        <v>0</v>
      </c>
      <c r="P311" s="3">
        <f t="shared" si="293"/>
        <v>0</v>
      </c>
      <c r="Q311" s="3">
        <f t="shared" si="293"/>
        <v>0</v>
      </c>
      <c r="R311" s="3">
        <f t="shared" si="293"/>
        <v>0</v>
      </c>
      <c r="S311" s="3">
        <f t="shared" si="293"/>
        <v>0</v>
      </c>
      <c r="T311" s="3">
        <f t="shared" si="293"/>
        <v>0</v>
      </c>
      <c r="U311" s="3">
        <f t="shared" si="293"/>
        <v>0</v>
      </c>
      <c r="V311" s="3">
        <f t="shared" si="293"/>
        <v>0</v>
      </c>
      <c r="W311" s="3">
        <f t="shared" si="293"/>
        <v>0</v>
      </c>
      <c r="X311" s="3">
        <f t="shared" si="293"/>
        <v>0</v>
      </c>
      <c r="Y311" s="3">
        <f t="shared" si="293"/>
        <v>0</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1.7201579278298637E-4</v>
      </c>
      <c r="C312" s="3">
        <f t="shared" si="294"/>
        <v>1.7201579278298637E-4</v>
      </c>
      <c r="D312" s="3">
        <f t="shared" si="294"/>
        <v>1.7201579278298637E-4</v>
      </c>
      <c r="E312" s="3">
        <f t="shared" si="294"/>
        <v>1.7201579278298637E-4</v>
      </c>
      <c r="F312" s="3">
        <f t="shared" si="294"/>
        <v>1.7201579278298637E-4</v>
      </c>
      <c r="G312" s="3">
        <f t="shared" si="294"/>
        <v>1.7201579278298637E-4</v>
      </c>
      <c r="H312" s="3">
        <f t="shared" si="294"/>
        <v>1.7201579278298637E-4</v>
      </c>
      <c r="I312" s="3">
        <f t="shared" si="294"/>
        <v>1.7201579278298637E-4</v>
      </c>
      <c r="J312" s="3">
        <f t="shared" si="294"/>
        <v>1.7201579278298637E-4</v>
      </c>
      <c r="K312" s="3">
        <f t="shared" si="294"/>
        <v>1.7201579278298637E-4</v>
      </c>
      <c r="L312" s="3">
        <f t="shared" si="294"/>
        <v>1.7201579278298637E-4</v>
      </c>
      <c r="M312" s="3">
        <f t="shared" si="294"/>
        <v>1.7201579278298637E-4</v>
      </c>
      <c r="N312" s="3">
        <f t="shared" si="294"/>
        <v>1.7201579278298637E-4</v>
      </c>
      <c r="O312" s="3">
        <f t="shared" si="294"/>
        <v>1.7201579278298637E-4</v>
      </c>
      <c r="P312" s="3">
        <f t="shared" si="294"/>
        <v>1.7201579278298637E-4</v>
      </c>
      <c r="Q312" s="3">
        <f t="shared" si="294"/>
        <v>1.7201579278298637E-4</v>
      </c>
      <c r="R312" s="3">
        <f t="shared" si="294"/>
        <v>1.7201579278298637E-4</v>
      </c>
      <c r="S312" s="3">
        <f t="shared" si="294"/>
        <v>1.7201579278298637E-4</v>
      </c>
      <c r="T312" s="3">
        <f t="shared" si="294"/>
        <v>1.7201579278298637E-4</v>
      </c>
      <c r="U312" s="3">
        <f t="shared" si="294"/>
        <v>1.7201579278298637E-4</v>
      </c>
      <c r="V312" s="3">
        <f t="shared" si="294"/>
        <v>1.7201579278298637E-4</v>
      </c>
      <c r="W312" s="3">
        <f t="shared" si="294"/>
        <v>1.7201579278298634E-4</v>
      </c>
      <c r="X312" s="3">
        <f t="shared" si="294"/>
        <v>1.7201579278298626E-4</v>
      </c>
      <c r="Y312" s="3">
        <f t="shared" si="294"/>
        <v>1.7201579278298539E-4</v>
      </c>
      <c r="Z312" s="3">
        <f t="shared" si="294"/>
        <v>1.7201579278297663E-4</v>
      </c>
      <c r="AA312" s="3">
        <f t="shared" si="294"/>
        <v>1.7201579278288903E-4</v>
      </c>
      <c r="AB312" s="3">
        <f t="shared" si="294"/>
        <v>1.7201579278201305E-4</v>
      </c>
      <c r="AC312" s="3">
        <f t="shared" si="294"/>
        <v>1.7201579277325308E-4</v>
      </c>
      <c r="AD312" s="3">
        <f t="shared" si="294"/>
        <v>1.7201579268565355E-4</v>
      </c>
      <c r="AE312" s="3">
        <f t="shared" si="294"/>
        <v>1.720157918096582E-4</v>
      </c>
      <c r="AF312" s="3">
        <f t="shared" si="294"/>
        <v>1.7201578304970502E-4</v>
      </c>
      <c r="AG312" s="3"/>
      <c r="AH312" s="3"/>
    </row>
    <row r="313" spans="1:34" x14ac:dyDescent="0.25">
      <c r="B313" s="3">
        <f t="shared" ref="B313:AF313" si="295">$C43*EXP(-B$285/$A43/EXP(-$F$126))</f>
        <v>1.7468461922378131E-4</v>
      </c>
      <c r="C313" s="3">
        <f t="shared" si="295"/>
        <v>1.7468461922378131E-4</v>
      </c>
      <c r="D313" s="3">
        <f t="shared" si="295"/>
        <v>1.7468461922378131E-4</v>
      </c>
      <c r="E313" s="3">
        <f t="shared" si="295"/>
        <v>1.7468461922378131E-4</v>
      </c>
      <c r="F313" s="3">
        <f t="shared" si="295"/>
        <v>1.7468461922378131E-4</v>
      </c>
      <c r="G313" s="3">
        <f t="shared" si="295"/>
        <v>1.7468461922378131E-4</v>
      </c>
      <c r="H313" s="3">
        <f t="shared" si="295"/>
        <v>1.7468461922378131E-4</v>
      </c>
      <c r="I313" s="3">
        <f t="shared" si="295"/>
        <v>1.7468461922378131E-4</v>
      </c>
      <c r="J313" s="3">
        <f t="shared" si="295"/>
        <v>1.7468461922378131E-4</v>
      </c>
      <c r="K313" s="3">
        <f t="shared" si="295"/>
        <v>1.7468461922378131E-4</v>
      </c>
      <c r="L313" s="3">
        <f t="shared" si="295"/>
        <v>1.7468461922378131E-4</v>
      </c>
      <c r="M313" s="3">
        <f t="shared" si="295"/>
        <v>1.7468461922378131E-4</v>
      </c>
      <c r="N313" s="3">
        <f t="shared" si="295"/>
        <v>1.7468461922378131E-4</v>
      </c>
      <c r="O313" s="3">
        <f t="shared" si="295"/>
        <v>1.7468461922378131E-4</v>
      </c>
      <c r="P313" s="3">
        <f t="shared" si="295"/>
        <v>1.7468461922378131E-4</v>
      </c>
      <c r="Q313" s="3">
        <f t="shared" si="295"/>
        <v>1.7468461922378131E-4</v>
      </c>
      <c r="R313" s="3">
        <f t="shared" si="295"/>
        <v>1.7468461922378131E-4</v>
      </c>
      <c r="S313" s="3">
        <f t="shared" si="295"/>
        <v>1.7468461922378131E-4</v>
      </c>
      <c r="T313" s="3">
        <f t="shared" si="295"/>
        <v>1.7468461922378131E-4</v>
      </c>
      <c r="U313" s="3">
        <f t="shared" si="295"/>
        <v>1.7468461922378131E-4</v>
      </c>
      <c r="V313" s="3">
        <f t="shared" si="295"/>
        <v>1.7468461922378131E-4</v>
      </c>
      <c r="W313" s="3">
        <f t="shared" si="295"/>
        <v>1.7468461922378131E-4</v>
      </c>
      <c r="X313" s="3">
        <f t="shared" si="295"/>
        <v>1.7468461922378128E-4</v>
      </c>
      <c r="Y313" s="3">
        <f t="shared" si="295"/>
        <v>1.746846192237812E-4</v>
      </c>
      <c r="Z313" s="3">
        <f t="shared" si="295"/>
        <v>1.7468461922378033E-4</v>
      </c>
      <c r="AA313" s="3">
        <f t="shared" si="295"/>
        <v>1.7468461922377142E-4</v>
      </c>
      <c r="AB313" s="3">
        <f t="shared" si="295"/>
        <v>1.7468461922368246E-4</v>
      </c>
      <c r="AC313" s="3">
        <f t="shared" si="295"/>
        <v>1.7468461922279287E-4</v>
      </c>
      <c r="AD313" s="3">
        <f t="shared" si="295"/>
        <v>1.7468461921389702E-4</v>
      </c>
      <c r="AE313" s="3">
        <f t="shared" si="295"/>
        <v>1.7468461912493837E-4</v>
      </c>
      <c r="AF313" s="3">
        <f t="shared" si="295"/>
        <v>1.7468461823535195E-4</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2.0999278642033111E-4</v>
      </c>
      <c r="C315" s="3">
        <f t="shared" si="297"/>
        <v>2.0999278642033111E-4</v>
      </c>
      <c r="D315" s="3">
        <f t="shared" si="297"/>
        <v>2.0999278642033111E-4</v>
      </c>
      <c r="E315" s="3">
        <f t="shared" si="297"/>
        <v>2.0999278642033111E-4</v>
      </c>
      <c r="F315" s="3">
        <f t="shared" si="297"/>
        <v>2.0999278642033111E-4</v>
      </c>
      <c r="G315" s="3">
        <f t="shared" si="297"/>
        <v>2.0999278642033111E-4</v>
      </c>
      <c r="H315" s="3">
        <f t="shared" si="297"/>
        <v>2.0999278642033111E-4</v>
      </c>
      <c r="I315" s="3">
        <f t="shared" si="297"/>
        <v>2.0999278642033111E-4</v>
      </c>
      <c r="J315" s="3">
        <f t="shared" si="297"/>
        <v>2.0999278642033111E-4</v>
      </c>
      <c r="K315" s="3">
        <f t="shared" si="297"/>
        <v>2.0999278642033111E-4</v>
      </c>
      <c r="L315" s="3">
        <f t="shared" si="297"/>
        <v>2.0999278642033111E-4</v>
      </c>
      <c r="M315" s="3">
        <f t="shared" si="297"/>
        <v>2.0999278642033111E-4</v>
      </c>
      <c r="N315" s="3">
        <f t="shared" si="297"/>
        <v>2.0999278642033111E-4</v>
      </c>
      <c r="O315" s="3">
        <f t="shared" si="297"/>
        <v>2.0999278642033111E-4</v>
      </c>
      <c r="P315" s="3">
        <f t="shared" si="297"/>
        <v>2.0999278642033111E-4</v>
      </c>
      <c r="Q315" s="3">
        <f t="shared" si="297"/>
        <v>2.0999278642033111E-4</v>
      </c>
      <c r="R315" s="3">
        <f t="shared" si="297"/>
        <v>2.0999278642033111E-4</v>
      </c>
      <c r="S315" s="3">
        <f t="shared" si="297"/>
        <v>2.0999278642033111E-4</v>
      </c>
      <c r="T315" s="3">
        <f t="shared" si="297"/>
        <v>2.0999278642033111E-4</v>
      </c>
      <c r="U315" s="3">
        <f t="shared" si="297"/>
        <v>2.0999278642033111E-4</v>
      </c>
      <c r="V315" s="3">
        <f t="shared" si="297"/>
        <v>2.0999278642033111E-4</v>
      </c>
      <c r="W315" s="3">
        <f t="shared" si="297"/>
        <v>2.0999278642033111E-4</v>
      </c>
      <c r="X315" s="3">
        <f t="shared" si="297"/>
        <v>2.0999278642033111E-4</v>
      </c>
      <c r="Y315" s="3">
        <f t="shared" si="297"/>
        <v>2.0999278642033111E-4</v>
      </c>
      <c r="Z315" s="3">
        <f t="shared" si="297"/>
        <v>2.0999278642033108E-4</v>
      </c>
      <c r="AA315" s="3">
        <f t="shared" si="297"/>
        <v>2.09992786420331E-4</v>
      </c>
      <c r="AB315" s="3">
        <f t="shared" si="297"/>
        <v>2.0999278642032992E-4</v>
      </c>
      <c r="AC315" s="3">
        <f t="shared" si="297"/>
        <v>2.0999278642031921E-4</v>
      </c>
      <c r="AD315" s="3">
        <f t="shared" si="297"/>
        <v>2.0999278642021228E-4</v>
      </c>
      <c r="AE315" s="3">
        <f t="shared" si="297"/>
        <v>2.0999278641914291E-4</v>
      </c>
      <c r="AF315" s="3">
        <f t="shared" si="297"/>
        <v>2.0999278640844896E-4</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1.7320221207897527E-4</v>
      </c>
      <c r="C318" s="3">
        <f t="shared" si="300"/>
        <v>1.7320221207897527E-4</v>
      </c>
      <c r="D318" s="3">
        <f t="shared" si="300"/>
        <v>1.7320221207897527E-4</v>
      </c>
      <c r="E318" s="3">
        <f t="shared" si="300"/>
        <v>1.7320221207897527E-4</v>
      </c>
      <c r="F318" s="3">
        <f t="shared" si="300"/>
        <v>1.7320221207897527E-4</v>
      </c>
      <c r="G318" s="3">
        <f t="shared" si="300"/>
        <v>1.7320221207897527E-4</v>
      </c>
      <c r="H318" s="3">
        <f t="shared" si="300"/>
        <v>1.7320221207897527E-4</v>
      </c>
      <c r="I318" s="3">
        <f t="shared" si="300"/>
        <v>1.7320221207897527E-4</v>
      </c>
      <c r="J318" s="3">
        <f t="shared" si="300"/>
        <v>1.7320221207897527E-4</v>
      </c>
      <c r="K318" s="3">
        <f t="shared" si="300"/>
        <v>1.7320221207897527E-4</v>
      </c>
      <c r="L318" s="3">
        <f t="shared" si="300"/>
        <v>1.7320221207897527E-4</v>
      </c>
      <c r="M318" s="3">
        <f t="shared" si="300"/>
        <v>1.7320221207897527E-4</v>
      </c>
      <c r="N318" s="3">
        <f t="shared" si="300"/>
        <v>1.7320221207897527E-4</v>
      </c>
      <c r="O318" s="3">
        <f t="shared" si="300"/>
        <v>1.7320221207897527E-4</v>
      </c>
      <c r="P318" s="3">
        <f t="shared" si="300"/>
        <v>1.7320221207897527E-4</v>
      </c>
      <c r="Q318" s="3">
        <f t="shared" si="300"/>
        <v>1.7320221207897527E-4</v>
      </c>
      <c r="R318" s="3">
        <f t="shared" si="300"/>
        <v>1.7320221207897527E-4</v>
      </c>
      <c r="S318" s="3">
        <f t="shared" si="300"/>
        <v>1.7320221207897527E-4</v>
      </c>
      <c r="T318" s="3">
        <f t="shared" si="300"/>
        <v>1.7320221207897527E-4</v>
      </c>
      <c r="U318" s="3">
        <f t="shared" si="300"/>
        <v>1.7320221207897527E-4</v>
      </c>
      <c r="V318" s="3">
        <f t="shared" si="300"/>
        <v>1.7320221207897527E-4</v>
      </c>
      <c r="W318" s="3">
        <f t="shared" si="300"/>
        <v>1.7320221207897527E-4</v>
      </c>
      <c r="X318" s="3">
        <f t="shared" si="300"/>
        <v>1.7320221207897527E-4</v>
      </c>
      <c r="Y318" s="3">
        <f t="shared" si="300"/>
        <v>1.7320221207897527E-4</v>
      </c>
      <c r="Z318" s="3">
        <f t="shared" si="300"/>
        <v>1.7320221207897527E-4</v>
      </c>
      <c r="AA318" s="3">
        <f t="shared" si="300"/>
        <v>1.7320221207897527E-4</v>
      </c>
      <c r="AB318" s="3">
        <f t="shared" si="300"/>
        <v>1.7320221207897527E-4</v>
      </c>
      <c r="AC318" s="3">
        <f t="shared" si="300"/>
        <v>1.7320221207897524E-4</v>
      </c>
      <c r="AD318" s="3">
        <f t="shared" si="300"/>
        <v>1.7320221207897516E-4</v>
      </c>
      <c r="AE318" s="3">
        <f t="shared" si="300"/>
        <v>1.732022120789743E-4</v>
      </c>
      <c r="AF318" s="3">
        <f t="shared" si="300"/>
        <v>1.7320221207896546E-4</v>
      </c>
      <c r="AG318" s="3"/>
      <c r="AH318" s="3"/>
    </row>
    <row r="319" spans="1:34" x14ac:dyDescent="0.25">
      <c r="A319" s="79">
        <f>AVERAGE(B319:AF319)</f>
        <v>8.9225896387378906E-2</v>
      </c>
      <c r="B319" s="80">
        <f>IF($A$64&lt;=B285,IF($B$64&gt;=B285,ABS((B287-B286)/B286),0),0)</f>
        <v>1.6955843875996461E-2</v>
      </c>
      <c r="C319" s="80">
        <f t="shared" ref="C319:AF319" si="301">IF($A$64&lt;=C285,IF($B$64&gt;=C285,ABS((C287-C286)/C286),0),0)</f>
        <v>5.2309143050845018E-2</v>
      </c>
      <c r="D319" s="80">
        <f t="shared" si="301"/>
        <v>7.3582788911429331E-2</v>
      </c>
      <c r="E319" s="80">
        <f t="shared" si="301"/>
        <v>9.5284566471637758E-2</v>
      </c>
      <c r="F319" s="80">
        <f t="shared" si="301"/>
        <v>0.12014949111425847</v>
      </c>
      <c r="G319" s="80">
        <f t="shared" si="301"/>
        <v>0.14603773238752685</v>
      </c>
      <c r="H319" s="80">
        <f t="shared" si="301"/>
        <v>0.15682323720358984</v>
      </c>
      <c r="I319" s="80">
        <f t="shared" si="301"/>
        <v>1.7033016484480891E-2</v>
      </c>
      <c r="J319" s="80">
        <f t="shared" si="301"/>
        <v>0.22258945913504674</v>
      </c>
      <c r="K319" s="80">
        <f t="shared" si="301"/>
        <v>0.19805017522745264</v>
      </c>
      <c r="L319" s="80">
        <f t="shared" si="301"/>
        <v>0.16694117259331073</v>
      </c>
      <c r="M319" s="80">
        <f t="shared" si="301"/>
        <v>0.12592955795336969</v>
      </c>
      <c r="N319" s="80">
        <f t="shared" si="301"/>
        <v>7.8991402416854595E-2</v>
      </c>
      <c r="O319" s="80">
        <f t="shared" si="301"/>
        <v>4.4208923793404166E-2</v>
      </c>
      <c r="P319" s="80">
        <f t="shared" si="301"/>
        <v>6.4087954882132522E-2</v>
      </c>
      <c r="Q319" s="80">
        <f t="shared" si="301"/>
        <v>6.543975886543843E-2</v>
      </c>
      <c r="R319" s="80">
        <f t="shared" si="301"/>
        <v>5.2840802604974146E-2</v>
      </c>
      <c r="S319" s="80">
        <f t="shared" si="301"/>
        <v>2.5750099253460432E-2</v>
      </c>
      <c r="T319" s="80">
        <f t="shared" si="301"/>
        <v>6.8929178407674974E-3</v>
      </c>
      <c r="U319" s="80">
        <f t="shared" si="301"/>
        <v>3.1673534729564454E-2</v>
      </c>
      <c r="V319" s="80">
        <f t="shared" si="301"/>
        <v>3.6958089842180637E-2</v>
      </c>
      <c r="W319" s="80">
        <f t="shared" si="301"/>
        <v>1.8230005769159081E-2</v>
      </c>
      <c r="X319" s="80">
        <f t="shared" si="301"/>
        <v>3.4347576905487329E-2</v>
      </c>
      <c r="Y319" s="80">
        <f t="shared" si="301"/>
        <v>0.11346613019642002</v>
      </c>
      <c r="Z319" s="80">
        <f t="shared" si="301"/>
        <v>0.19145179393626888</v>
      </c>
      <c r="AA319" s="80">
        <f t="shared" si="301"/>
        <v>0.22728220620949058</v>
      </c>
      <c r="AB319" s="80">
        <f t="shared" si="301"/>
        <v>0.19246468302628361</v>
      </c>
      <c r="AC319" s="80">
        <f t="shared" si="301"/>
        <v>9.2445854979447337E-2</v>
      </c>
      <c r="AD319" s="80">
        <f t="shared" si="301"/>
        <v>1.313933695531593E-5</v>
      </c>
      <c r="AE319" s="80">
        <f t="shared" si="301"/>
        <v>4.9802538307968477E-2</v>
      </c>
      <c r="AF319" s="80">
        <f t="shared" si="301"/>
        <v>4.7969190703544135E-2</v>
      </c>
    </row>
    <row r="320" spans="1:34" x14ac:dyDescent="0.25">
      <c r="B320" s="21">
        <f>(B287-B286)^2</f>
        <v>10654.892181217916</v>
      </c>
      <c r="C320" s="21">
        <f t="shared" ref="C320:AF320" si="302">(C287-C286)^2</f>
        <v>94707.154113127821</v>
      </c>
      <c r="D320" s="21">
        <f t="shared" si="302"/>
        <v>180050.34933135705</v>
      </c>
      <c r="E320" s="21">
        <f t="shared" si="302"/>
        <v>290059.25109056442</v>
      </c>
      <c r="F320" s="21">
        <f t="shared" si="302"/>
        <v>440775.23230587866</v>
      </c>
      <c r="G320" s="21">
        <f t="shared" si="302"/>
        <v>619666.54366580374</v>
      </c>
      <c r="H320" s="21">
        <f t="shared" si="302"/>
        <v>674852.40599175962</v>
      </c>
      <c r="I320" s="21">
        <f t="shared" si="302"/>
        <v>7471.2950273722636</v>
      </c>
      <c r="J320" s="21">
        <f t="shared" si="302"/>
        <v>1193759.6106156034</v>
      </c>
      <c r="K320" s="21">
        <f t="shared" si="302"/>
        <v>884237.91203868017</v>
      </c>
      <c r="L320" s="21">
        <f t="shared" si="302"/>
        <v>582207.18855820317</v>
      </c>
      <c r="M320" s="21">
        <f t="shared" si="302"/>
        <v>300852.59853812092</v>
      </c>
      <c r="N320" s="21">
        <f t="shared" si="302"/>
        <v>106346.54360312715</v>
      </c>
      <c r="O320" s="21">
        <f t="shared" si="302"/>
        <v>30202.787904065375</v>
      </c>
      <c r="P320" s="21">
        <f t="shared" si="302"/>
        <v>57944.940250556108</v>
      </c>
      <c r="Q320" s="21">
        <f t="shared" si="302"/>
        <v>54667.26453373344</v>
      </c>
      <c r="R320" s="21">
        <f t="shared" si="302"/>
        <v>31450.897354250304</v>
      </c>
      <c r="S320" s="21">
        <f t="shared" si="302"/>
        <v>6234.1523245224744</v>
      </c>
      <c r="T320" s="21">
        <f t="shared" si="302"/>
        <v>361.6476052137894</v>
      </c>
      <c r="U320" s="21">
        <f t="shared" si="302"/>
        <v>6097.0715858164449</v>
      </c>
      <c r="V320" s="21">
        <f t="shared" si="302"/>
        <v>6593.8280347861037</v>
      </c>
      <c r="W320" s="21">
        <f t="shared" si="302"/>
        <v>1247.1504366520239</v>
      </c>
      <c r="X320" s="21">
        <f t="shared" si="302"/>
        <v>3299.2292357679671</v>
      </c>
      <c r="Y320" s="21">
        <f t="shared" si="302"/>
        <v>24680.368545153473</v>
      </c>
      <c r="Z320" s="21">
        <f t="shared" si="302"/>
        <v>42391.607858767144</v>
      </c>
      <c r="AA320" s="21">
        <f t="shared" si="302"/>
        <v>31475.780704927645</v>
      </c>
      <c r="AB320" s="21">
        <f t="shared" si="302"/>
        <v>11153.673024139109</v>
      </c>
      <c r="AC320" s="21">
        <f t="shared" si="302"/>
        <v>1358.7587187598413</v>
      </c>
      <c r="AD320" s="21">
        <f t="shared" si="302"/>
        <v>1.775489264533838E-5</v>
      </c>
      <c r="AE320" s="21">
        <f t="shared" si="302"/>
        <v>196.85513765373915</v>
      </c>
      <c r="AF320" s="21">
        <f t="shared" si="302"/>
        <v>158.34044165042459</v>
      </c>
      <c r="AG320" s="3"/>
      <c r="AH320" s="3"/>
    </row>
    <row r="321" spans="1:34" x14ac:dyDescent="0.25">
      <c r="A321" s="71">
        <f>SUM(B321:AF321)</f>
        <v>5695155.3307749853</v>
      </c>
      <c r="B321" s="60">
        <f>IF($A$64&lt;=B285,IF($B$64&gt;=B285,ABS(B320),0),0)</f>
        <v>10654.892181217916</v>
      </c>
      <c r="C321" s="60">
        <f t="shared" ref="C321" si="303">IF($A$64&lt;=C285,IF($B$64&gt;=C285,ABS(C320),0),0)</f>
        <v>94707.154113127821</v>
      </c>
      <c r="D321" s="60">
        <f t="shared" ref="D321" si="304">IF($A$64&lt;=D285,IF($B$64&gt;=D285,ABS(D320),0),0)</f>
        <v>180050.34933135705</v>
      </c>
      <c r="E321" s="60">
        <f t="shared" ref="E321" si="305">IF($A$64&lt;=E285,IF($B$64&gt;=E285,ABS(E320),0),0)</f>
        <v>290059.25109056442</v>
      </c>
      <c r="F321" s="60">
        <f t="shared" ref="F321" si="306">IF($A$64&lt;=F285,IF($B$64&gt;=F285,ABS(F320),0),0)</f>
        <v>440775.23230587866</v>
      </c>
      <c r="G321" s="60">
        <f t="shared" ref="G321" si="307">IF($A$64&lt;=G285,IF($B$64&gt;=G285,ABS(G320),0),0)</f>
        <v>619666.54366580374</v>
      </c>
      <c r="H321" s="60">
        <f t="shared" ref="H321" si="308">IF($A$64&lt;=H285,IF($B$64&gt;=H285,ABS(H320),0),0)</f>
        <v>674852.40599175962</v>
      </c>
      <c r="I321" s="60">
        <f t="shared" ref="I321" si="309">IF($A$64&lt;=I285,IF($B$64&gt;=I285,ABS(I320),0),0)</f>
        <v>7471.2950273722636</v>
      </c>
      <c r="J321" s="60">
        <f t="shared" ref="J321" si="310">IF($A$64&lt;=J285,IF($B$64&gt;=J285,ABS(J320),0),0)</f>
        <v>1193759.6106156034</v>
      </c>
      <c r="K321" s="60">
        <f t="shared" ref="K321" si="311">IF($A$64&lt;=K285,IF($B$64&gt;=K285,ABS(K320),0),0)</f>
        <v>884237.91203868017</v>
      </c>
      <c r="L321" s="60">
        <f t="shared" ref="L321" si="312">IF($A$64&lt;=L285,IF($B$64&gt;=L285,ABS(L320),0),0)</f>
        <v>582207.18855820317</v>
      </c>
      <c r="M321" s="60">
        <f t="shared" ref="M321" si="313">IF($A$64&lt;=M285,IF($B$64&gt;=M285,ABS(M320),0),0)</f>
        <v>300852.59853812092</v>
      </c>
      <c r="N321" s="60">
        <f t="shared" ref="N321" si="314">IF($A$64&lt;=N285,IF($B$64&gt;=N285,ABS(N320),0),0)</f>
        <v>106346.54360312715</v>
      </c>
      <c r="O321" s="60">
        <f t="shared" ref="O321" si="315">IF($A$64&lt;=O285,IF($B$64&gt;=O285,ABS(O320),0),0)</f>
        <v>30202.787904065375</v>
      </c>
      <c r="P321" s="60">
        <f t="shared" ref="P321" si="316">IF($A$64&lt;=P285,IF($B$64&gt;=P285,ABS(P320),0),0)</f>
        <v>57944.940250556108</v>
      </c>
      <c r="Q321" s="60">
        <f t="shared" ref="Q321" si="317">IF($A$64&lt;=Q285,IF($B$64&gt;=Q285,ABS(Q320),0),0)</f>
        <v>54667.26453373344</v>
      </c>
      <c r="R321" s="60">
        <f t="shared" ref="R321" si="318">IF($A$64&lt;=R285,IF($B$64&gt;=R285,ABS(R320),0),0)</f>
        <v>31450.897354250304</v>
      </c>
      <c r="S321" s="60">
        <f t="shared" ref="S321" si="319">IF($A$64&lt;=S285,IF($B$64&gt;=S285,ABS(S320),0),0)</f>
        <v>6234.1523245224744</v>
      </c>
      <c r="T321" s="60">
        <f t="shared" ref="T321" si="320">IF($A$64&lt;=T285,IF($B$64&gt;=T285,ABS(T320),0),0)</f>
        <v>361.6476052137894</v>
      </c>
      <c r="U321" s="60">
        <f t="shared" ref="U321" si="321">IF($A$64&lt;=U285,IF($B$64&gt;=U285,ABS(U320),0),0)</f>
        <v>6097.0715858164449</v>
      </c>
      <c r="V321" s="60">
        <f t="shared" ref="V321" si="322">IF($A$64&lt;=V285,IF($B$64&gt;=V285,ABS(V320),0),0)</f>
        <v>6593.8280347861037</v>
      </c>
      <c r="W321" s="60">
        <f t="shared" ref="W321" si="323">IF($A$64&lt;=W285,IF($B$64&gt;=W285,ABS(W320),0),0)</f>
        <v>1247.1504366520239</v>
      </c>
      <c r="X321" s="60">
        <f t="shared" ref="X321" si="324">IF($A$64&lt;=X285,IF($B$64&gt;=X285,ABS(X320),0),0)</f>
        <v>3299.2292357679671</v>
      </c>
      <c r="Y321" s="60">
        <f t="shared" ref="Y321" si="325">IF($A$64&lt;=Y285,IF($B$64&gt;=Y285,ABS(Y320),0),0)</f>
        <v>24680.368545153473</v>
      </c>
      <c r="Z321" s="60">
        <f t="shared" ref="Z321" si="326">IF($A$64&lt;=Z285,IF($B$64&gt;=Z285,ABS(Z320),0),0)</f>
        <v>42391.607858767144</v>
      </c>
      <c r="AA321" s="60">
        <f t="shared" ref="AA321" si="327">IF($A$64&lt;=AA285,IF($B$64&gt;=AA285,ABS(AA320),0),0)</f>
        <v>31475.780704927645</v>
      </c>
      <c r="AB321" s="60">
        <f t="shared" ref="AB321" si="328">IF($A$64&lt;=AB285,IF($B$64&gt;=AB285,ABS(AB320),0),0)</f>
        <v>11153.673024139109</v>
      </c>
      <c r="AC321" s="60">
        <f t="shared" ref="AC321" si="329">IF($A$64&lt;=AC285,IF($B$64&gt;=AC285,ABS(AC320),0),0)</f>
        <v>1358.7587187598413</v>
      </c>
      <c r="AD321" s="60">
        <f t="shared" ref="AD321" si="330">IF($A$64&lt;=AD285,IF($B$64&gt;=AD285,ABS(AD320),0),0)</f>
        <v>1.775489264533838E-5</v>
      </c>
      <c r="AE321" s="60">
        <f t="shared" ref="AE321" si="331">IF($A$64&lt;=AE285,IF($B$64&gt;=AE285,ABS(AE320),0),0)</f>
        <v>196.85513765373915</v>
      </c>
      <c r="AF321" s="60">
        <f t="shared" ref="AF321" si="332">IF($A$64&lt;=AF285,IF($B$64&gt;=AF285,ABS(AF320),0),0)</f>
        <v>158.34044165042459</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5057.043084778943</v>
      </c>
      <c r="C325" s="26">
        <f>INDEX(Comparison!$AM$3:$AS$33,G$14,$G$122)</f>
        <v>4848.8236532156789</v>
      </c>
      <c r="D325" s="26">
        <f>INDEX(Comparison!$AM$3:$AS$33,H$14,$G$122)</f>
        <v>4684.5989366281638</v>
      </c>
      <c r="E325" s="26">
        <f>INDEX(Comparison!$AM$3:$AS$33,I$14,$G$122)</f>
        <v>4498.1692065771867</v>
      </c>
      <c r="F325" s="26">
        <f>INDEX(Comparison!$AM$3:$AS$33,J$14,$G$122)</f>
        <v>4277.4916896280383</v>
      </c>
      <c r="G325" s="26">
        <f>INDEX(Comparison!$AM$3:$AS$33,K$14,$G$122)</f>
        <v>4057.0756825676294</v>
      </c>
      <c r="H325" s="26">
        <f>INDEX(Comparison!$AM$3:$AS$33,L$14,$G$122)</f>
        <v>3871.2190964450751</v>
      </c>
      <c r="I325" s="26">
        <f>INDEX(Comparison!$AM$3:$AS$33,M$14,$G$122)</f>
        <v>3695.7543511911053</v>
      </c>
      <c r="J325" s="26">
        <f>INDEX(Comparison!$AM$3:$AS$33,N$14,$G$122)</f>
        <v>3525.6595385822288</v>
      </c>
      <c r="K325" s="26">
        <f>INDEX(Comparison!$AM$3:$AS$33,O$14,$G$122)</f>
        <v>3357.1494631908417</v>
      </c>
      <c r="L325" s="26">
        <f>INDEX(Comparison!$AM$3:$AS$33,P$14,$G$122)</f>
        <v>3187.0619417508151</v>
      </c>
      <c r="M325" s="26">
        <f>INDEX(Comparison!$AM$3:$AS$33,Q$14,$G$122)</f>
        <v>2996.966538971345</v>
      </c>
      <c r="N325" s="26">
        <f>INDEX(Comparison!$AM$3:$AS$33,R$14,$G$122)</f>
        <v>2785.0882808530132</v>
      </c>
      <c r="O325" s="26">
        <f>INDEX(Comparison!$AM$3:$AS$33,S$14,$G$122)</f>
        <v>2548.6636373493402</v>
      </c>
      <c r="P325" s="26">
        <f>INDEX(Comparison!$AM$3:$AS$33,T$14,$G$122)</f>
        <v>2277.7712640750647</v>
      </c>
      <c r="Q325" s="26">
        <f>INDEX(Comparison!$AM$3:$AS$33,U$14,$G$122)</f>
        <v>1945.3918502755284</v>
      </c>
      <c r="R325" s="26">
        <f>INDEX(Comparison!$AM$3:$AS$33,V$14,$G$122)</f>
        <v>1547.0547031117155</v>
      </c>
      <c r="S325" s="26">
        <f>INDEX(Comparison!$AM$3:$AS$33,W$14,$G$122)</f>
        <v>1144.6630604809154</v>
      </c>
      <c r="T325" s="26">
        <f>INDEX(Comparison!$AM$3:$AS$33,X$14,$G$122)</f>
        <v>800.03144169281939</v>
      </c>
      <c r="U325" s="26">
        <f>INDEX(Comparison!$AM$3:$AS$33,Y$14,$G$122)</f>
        <v>550.37343151827611</v>
      </c>
      <c r="V325" s="26">
        <f>INDEX(Comparison!$AM$3:$AS$33,Z$14,$G$122)</f>
        <v>400.38950806520603</v>
      </c>
      <c r="W325" s="26">
        <f>INDEX(Comparison!$AM$3:$AS$33,AA$14,$G$122)</f>
        <v>323.43126641101793</v>
      </c>
      <c r="X325" s="26">
        <f>INDEX(Comparison!$AM$3:$AS$33,AB$14,$G$122)</f>
        <v>285.62091448863987</v>
      </c>
      <c r="Y325" s="26">
        <f>INDEX(Comparison!$AM$3:$AS$33,AC$14,$G$122)</f>
        <v>264.72815066208511</v>
      </c>
      <c r="Z325" s="26">
        <f>INDEX(Comparison!$AM$3:$AS$33,AD$14,$G$122)</f>
        <v>251.4133849928937</v>
      </c>
      <c r="AA325" s="26">
        <f>INDEX(Comparison!$AM$3:$AS$33,AE$14,$G$122)</f>
        <v>244.9280851953373</v>
      </c>
      <c r="AB325" s="26">
        <f>INDEX(Comparison!$AM$3:$AS$33,AF$14,$G$122)</f>
        <v>233.30697275617146</v>
      </c>
      <c r="AC325" s="26">
        <f>INDEX(Comparison!$AM$3:$AS$33,AG$14,$G$122)</f>
        <v>224.93687178827099</v>
      </c>
      <c r="AD325" s="26">
        <f>INDEX(Comparison!$AM$3:$AS$33,AH$14,$G$122)</f>
        <v>223.82239746478544</v>
      </c>
      <c r="AE325" s="26">
        <f>INDEX(Comparison!$AM$3:$AS$33,AI$14,$G$122)</f>
        <v>223.13699037774649</v>
      </c>
      <c r="AF325" s="26">
        <f>INDEX(Comparison!$AM$3:$AS$33,AJ$14,$G$122)</f>
        <v>223.02569814244063</v>
      </c>
      <c r="AG325" s="26"/>
      <c r="AH325" s="26"/>
    </row>
    <row r="326" spans="1:34" x14ac:dyDescent="0.25">
      <c r="A326" s="77" t="s">
        <v>22</v>
      </c>
      <c r="B326" s="27">
        <f>($C$17+SUM(B327:B357))*$B$51</f>
        <v>5968.1504477821718</v>
      </c>
      <c r="C326" s="27">
        <f t="shared" ref="C326:AF326" si="333">($C$17+SUM(C327:C357))*$B$51</f>
        <v>4700.825766195052</v>
      </c>
      <c r="D326" s="27">
        <f t="shared" si="333"/>
        <v>3807.7804128856824</v>
      </c>
      <c r="E326" s="27">
        <f t="shared" si="333"/>
        <v>3807.6417447630838</v>
      </c>
      <c r="F326" s="27">
        <f t="shared" si="333"/>
        <v>3807.5575188179428</v>
      </c>
      <c r="G326" s="27">
        <f t="shared" si="333"/>
        <v>3806.716274963293</v>
      </c>
      <c r="H326" s="27">
        <f t="shared" si="333"/>
        <v>3798.4045530373091</v>
      </c>
      <c r="I326" s="27">
        <f t="shared" si="333"/>
        <v>3724.5664234523788</v>
      </c>
      <c r="J326" s="27">
        <f t="shared" si="333"/>
        <v>3448.7973756594024</v>
      </c>
      <c r="K326" s="27">
        <f t="shared" si="333"/>
        <v>3304.1003839048917</v>
      </c>
      <c r="L326" s="27">
        <f t="shared" si="333"/>
        <v>3130.1555519995391</v>
      </c>
      <c r="M326" s="27">
        <f t="shared" si="333"/>
        <v>2933.2175813102867</v>
      </c>
      <c r="N326" s="27">
        <f t="shared" si="333"/>
        <v>2718.4559577302548</v>
      </c>
      <c r="O326" s="27">
        <f t="shared" si="333"/>
        <v>2475.7114075577497</v>
      </c>
      <c r="P326" s="27">
        <f t="shared" si="333"/>
        <v>2203.0205243427658</v>
      </c>
      <c r="Q326" s="27">
        <f t="shared" si="333"/>
        <v>1884.4928868305642</v>
      </c>
      <c r="R326" s="27">
        <f t="shared" si="333"/>
        <v>1517.1497239416067</v>
      </c>
      <c r="S326" s="27">
        <f t="shared" si="333"/>
        <v>1134.1329580398278</v>
      </c>
      <c r="T326" s="27">
        <f t="shared" si="333"/>
        <v>799.30116273221518</v>
      </c>
      <c r="U326" s="27">
        <f t="shared" si="333"/>
        <v>561.16734092782247</v>
      </c>
      <c r="V326" s="27">
        <f t="shared" si="333"/>
        <v>422.25212735049786</v>
      </c>
      <c r="W326" s="27">
        <f t="shared" si="333"/>
        <v>351.62028408368883</v>
      </c>
      <c r="X326" s="27">
        <f t="shared" si="333"/>
        <v>315.00342131269258</v>
      </c>
      <c r="Y326" s="27">
        <f t="shared" si="333"/>
        <v>290.88988471981179</v>
      </c>
      <c r="Z326" s="27">
        <f t="shared" si="333"/>
        <v>272.53379775594112</v>
      </c>
      <c r="AA326" s="27">
        <f t="shared" si="333"/>
        <v>260.60434389531224</v>
      </c>
      <c r="AB326" s="27">
        <f t="shared" si="333"/>
        <v>241.29011032664357</v>
      </c>
      <c r="AC326" s="27">
        <f t="shared" si="333"/>
        <v>232.51743150730456</v>
      </c>
      <c r="AD326" s="27">
        <f t="shared" si="333"/>
        <v>229.23490051028304</v>
      </c>
      <c r="AE326" s="27">
        <f t="shared" si="333"/>
        <v>227.26474659380983</v>
      </c>
      <c r="AF326" s="27">
        <f t="shared" si="333"/>
        <v>225.86851031787015</v>
      </c>
      <c r="AG326" s="27"/>
      <c r="AH326" s="27"/>
    </row>
    <row r="327" spans="1:34" x14ac:dyDescent="0.25">
      <c r="B327" s="3">
        <f t="shared" ref="B327:AF327" si="334">$C18*EXP(-B$363/$A18/EXP(-$G$126))</f>
        <v>0.3489770878099045</v>
      </c>
      <c r="C327" s="3">
        <f t="shared" si="334"/>
        <v>0.14427105690092887</v>
      </c>
      <c r="D327" s="3">
        <f t="shared" si="334"/>
        <v>2.1037891224733581E-5</v>
      </c>
      <c r="E327" s="3">
        <f t="shared" si="334"/>
        <v>9.1460195322760545E-44</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5.8157907919048749E-2</v>
      </c>
      <c r="C328" s="3">
        <f t="shared" si="335"/>
        <v>5.8157894759985819E-2</v>
      </c>
      <c r="D328" s="3">
        <f t="shared" si="335"/>
        <v>5.8157763169520309E-2</v>
      </c>
      <c r="E328" s="3">
        <f t="shared" si="335"/>
        <v>5.815644728124085E-2</v>
      </c>
      <c r="F328" s="3">
        <f t="shared" si="335"/>
        <v>5.81432900358793E-2</v>
      </c>
      <c r="G328" s="3">
        <f t="shared" si="335"/>
        <v>5.8011881188570001E-2</v>
      </c>
      <c r="H328" s="3">
        <f t="shared" si="335"/>
        <v>5.6714017203457576E-2</v>
      </c>
      <c r="I328" s="3">
        <f t="shared" si="335"/>
        <v>4.5229837576835671E-2</v>
      </c>
      <c r="J328" s="3">
        <f t="shared" si="335"/>
        <v>4.7072927027198893E-3</v>
      </c>
      <c r="K328" s="3">
        <f t="shared" si="335"/>
        <v>7.0183166869057245E-13</v>
      </c>
      <c r="L328" s="3">
        <f t="shared" si="335"/>
        <v>3.8093469703761076E-111</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1.8919132703374638E-2</v>
      </c>
      <c r="C329" s="3">
        <f t="shared" si="336"/>
        <v>1.8919132317217518E-2</v>
      </c>
      <c r="D329" s="3">
        <f t="shared" si="336"/>
        <v>1.891912845564675E-2</v>
      </c>
      <c r="E329" s="3">
        <f t="shared" si="336"/>
        <v>1.8919089839982386E-2</v>
      </c>
      <c r="F329" s="3">
        <f t="shared" si="336"/>
        <v>1.8918703687673736E-2</v>
      </c>
      <c r="G329" s="3">
        <f t="shared" si="336"/>
        <v>1.8914842598051328E-2</v>
      </c>
      <c r="H329" s="3">
        <f t="shared" si="336"/>
        <v>1.8876275015519129E-2</v>
      </c>
      <c r="I329" s="3">
        <f t="shared" si="336"/>
        <v>1.8494898026514495E-2</v>
      </c>
      <c r="J329" s="3">
        <f t="shared" si="336"/>
        <v>1.5080244790488266E-2</v>
      </c>
      <c r="K329" s="3">
        <f t="shared" si="336"/>
        <v>1.9587224130689592E-3</v>
      </c>
      <c r="L329" s="3">
        <f t="shared" si="336"/>
        <v>2.6768122339870506E-12</v>
      </c>
      <c r="M329" s="3">
        <f t="shared" si="336"/>
        <v>6.0823031899382276E-101</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2.9962799772448881E-2</v>
      </c>
      <c r="C330" s="3">
        <f t="shared" si="337"/>
        <v>2.9962799717280299E-2</v>
      </c>
      <c r="D330" s="3">
        <f t="shared" si="337"/>
        <v>2.9962799165594502E-2</v>
      </c>
      <c r="E330" s="3">
        <f t="shared" si="337"/>
        <v>2.9962793648737048E-2</v>
      </c>
      <c r="F330" s="3">
        <f t="shared" si="337"/>
        <v>2.9962738480218392E-2</v>
      </c>
      <c r="G330" s="3">
        <f t="shared" si="337"/>
        <v>2.9962186800618608E-2</v>
      </c>
      <c r="H330" s="3">
        <f t="shared" si="337"/>
        <v>2.9956670563259485E-2</v>
      </c>
      <c r="I330" s="3">
        <f t="shared" si="337"/>
        <v>2.9901564015502969E-2</v>
      </c>
      <c r="J330" s="3">
        <f t="shared" si="337"/>
        <v>2.9356043276235894E-2</v>
      </c>
      <c r="K330" s="3">
        <f t="shared" si="337"/>
        <v>2.4419325442962905E-2</v>
      </c>
      <c r="L330" s="3">
        <f t="shared" si="337"/>
        <v>3.8734245333820576E-3</v>
      </c>
      <c r="M330" s="3">
        <f t="shared" si="337"/>
        <v>3.9057951317398551E-11</v>
      </c>
      <c r="N330" s="3">
        <f t="shared" si="337"/>
        <v>4.244759294691977E-91</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3.3253137151897628E-2</v>
      </c>
      <c r="C331" s="3">
        <f t="shared" si="338"/>
        <v>3.3253137146374456E-2</v>
      </c>
      <c r="D331" s="3">
        <f t="shared" si="338"/>
        <v>3.3253137091142734E-2</v>
      </c>
      <c r="E331" s="3">
        <f t="shared" si="338"/>
        <v>3.3253136538825452E-2</v>
      </c>
      <c r="F331" s="3">
        <f t="shared" si="338"/>
        <v>3.3253131015653178E-2</v>
      </c>
      <c r="G331" s="3">
        <f t="shared" si="338"/>
        <v>3.325307578398088E-2</v>
      </c>
      <c r="H331" s="3">
        <f t="shared" si="338"/>
        <v>3.3252523472303411E-2</v>
      </c>
      <c r="I331" s="3">
        <f t="shared" si="338"/>
        <v>3.3247000860047934E-2</v>
      </c>
      <c r="J331" s="3">
        <f t="shared" si="338"/>
        <v>3.3191825158419293E-2</v>
      </c>
      <c r="K331" s="3">
        <f t="shared" si="338"/>
        <v>3.2645079385723696E-2</v>
      </c>
      <c r="L331" s="3">
        <f t="shared" si="338"/>
        <v>2.7649270556887446E-2</v>
      </c>
      <c r="M331" s="3">
        <f t="shared" si="338"/>
        <v>5.2522231558075321E-3</v>
      </c>
      <c r="N331" s="3">
        <f t="shared" si="338"/>
        <v>3.2132024417494564E-10</v>
      </c>
      <c r="O331" s="3">
        <f t="shared" si="338"/>
        <v>2.3598656072037928E-82</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3.5952334962228071E-2</v>
      </c>
      <c r="C332" s="3">
        <f t="shared" si="339"/>
        <v>3.5952334961689397E-2</v>
      </c>
      <c r="D332" s="3">
        <f t="shared" si="339"/>
        <v>3.5952334956302609E-2</v>
      </c>
      <c r="E332" s="3">
        <f t="shared" si="339"/>
        <v>3.5952334902434747E-2</v>
      </c>
      <c r="F332" s="3">
        <f t="shared" si="339"/>
        <v>3.595233436375618E-2</v>
      </c>
      <c r="G332" s="3">
        <f t="shared" si="339"/>
        <v>3.5952328976970926E-2</v>
      </c>
      <c r="H332" s="3">
        <f t="shared" si="339"/>
        <v>3.5952275109162768E-2</v>
      </c>
      <c r="I332" s="3">
        <f t="shared" si="339"/>
        <v>3.5951736435520257E-2</v>
      </c>
      <c r="J332" s="3">
        <f t="shared" si="339"/>
        <v>3.5946350142977854E-2</v>
      </c>
      <c r="K332" s="3">
        <f t="shared" si="339"/>
        <v>3.5892531581228265E-2</v>
      </c>
      <c r="L332" s="3">
        <f t="shared" si="339"/>
        <v>3.5358757835281154E-2</v>
      </c>
      <c r="M332" s="3">
        <f t="shared" si="339"/>
        <v>3.0438698919683604E-2</v>
      </c>
      <c r="N332" s="3">
        <f t="shared" si="339"/>
        <v>6.8032579332895846E-3</v>
      </c>
      <c r="O332" s="3">
        <f t="shared" si="339"/>
        <v>2.1165350047584159E-9</v>
      </c>
      <c r="P332" s="3">
        <f t="shared" si="339"/>
        <v>1.7976727832939557E-74</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4.1559944347354438E-2</v>
      </c>
      <c r="C333" s="3">
        <f t="shared" si="340"/>
        <v>4.1559944347298268E-2</v>
      </c>
      <c r="D333" s="3">
        <f t="shared" si="340"/>
        <v>4.1559944346736544E-2</v>
      </c>
      <c r="E333" s="3">
        <f t="shared" si="340"/>
        <v>4.1559944341119287E-2</v>
      </c>
      <c r="F333" s="3">
        <f t="shared" si="340"/>
        <v>4.1559944284946741E-2</v>
      </c>
      <c r="G333" s="3">
        <f t="shared" si="340"/>
        <v>4.1559943723221228E-2</v>
      </c>
      <c r="H333" s="3">
        <f t="shared" si="340"/>
        <v>4.1559938105966567E-2</v>
      </c>
      <c r="I333" s="3">
        <f t="shared" si="340"/>
        <v>4.155988193346169E-2</v>
      </c>
      <c r="J333" s="3">
        <f t="shared" si="340"/>
        <v>4.1559320212588652E-2</v>
      </c>
      <c r="K333" s="3">
        <f t="shared" si="340"/>
        <v>4.1553703421411584E-2</v>
      </c>
      <c r="L333" s="3">
        <f t="shared" si="340"/>
        <v>4.1497577244094808E-2</v>
      </c>
      <c r="M333" s="3">
        <f t="shared" si="340"/>
        <v>4.0940468120450511E-2</v>
      </c>
      <c r="N333" s="3">
        <f t="shared" si="340"/>
        <v>3.5764604402657912E-2</v>
      </c>
      <c r="O333" s="3">
        <f t="shared" si="340"/>
        <v>9.2567735623764382E-3</v>
      </c>
      <c r="P333" s="3">
        <f t="shared" si="340"/>
        <v>1.248883092974573E-8</v>
      </c>
      <c r="Q333" s="3">
        <f t="shared" si="340"/>
        <v>2.4954176757105758E-67</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4.6096771705590525E-2</v>
      </c>
      <c r="C334" s="3">
        <f t="shared" si="341"/>
        <v>4.6096771705584905E-2</v>
      </c>
      <c r="D334" s="3">
        <f t="shared" si="341"/>
        <v>4.60967717055287E-2</v>
      </c>
      <c r="E334" s="3">
        <f t="shared" si="341"/>
        <v>4.6096771704966663E-2</v>
      </c>
      <c r="F334" s="3">
        <f t="shared" si="341"/>
        <v>4.609677169934627E-2</v>
      </c>
      <c r="G334" s="3">
        <f t="shared" si="341"/>
        <v>4.6096771643142395E-2</v>
      </c>
      <c r="H334" s="3">
        <f t="shared" si="341"/>
        <v>4.6096771081103605E-2</v>
      </c>
      <c r="I334" s="3">
        <f t="shared" si="341"/>
        <v>4.6096765460716067E-2</v>
      </c>
      <c r="J334" s="3">
        <f t="shared" si="341"/>
        <v>4.6096709256878386E-2</v>
      </c>
      <c r="K334" s="3">
        <f t="shared" si="341"/>
        <v>4.6096147222270518E-2</v>
      </c>
      <c r="L334" s="3">
        <f t="shared" si="341"/>
        <v>4.6090527253071764E-2</v>
      </c>
      <c r="M334" s="3">
        <f t="shared" si="341"/>
        <v>4.6034365232079683E-2</v>
      </c>
      <c r="N334" s="3">
        <f t="shared" si="341"/>
        <v>4.5476495182634413E-2</v>
      </c>
      <c r="O334" s="3">
        <f t="shared" si="341"/>
        <v>4.0256430521370325E-2</v>
      </c>
      <c r="P334" s="3">
        <f t="shared" si="341"/>
        <v>1.1893728933621931E-2</v>
      </c>
      <c r="Q334" s="3">
        <f t="shared" si="341"/>
        <v>6.027618544690026E-8</v>
      </c>
      <c r="R334" s="3">
        <f t="shared" si="341"/>
        <v>6.7363245053558778E-61</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5.5576139774485257E-2</v>
      </c>
      <c r="C335" s="3">
        <f t="shared" si="342"/>
        <v>5.5576139774484647E-2</v>
      </c>
      <c r="D335" s="3">
        <f t="shared" si="342"/>
        <v>5.5576139774478533E-2</v>
      </c>
      <c r="E335" s="3">
        <f t="shared" si="342"/>
        <v>5.5576139774417402E-2</v>
      </c>
      <c r="F335" s="3">
        <f t="shared" si="342"/>
        <v>5.5576139773806141E-2</v>
      </c>
      <c r="G335" s="3">
        <f t="shared" si="342"/>
        <v>5.5576139767693475E-2</v>
      </c>
      <c r="H335" s="3">
        <f t="shared" si="342"/>
        <v>5.5576139706566802E-2</v>
      </c>
      <c r="I335" s="3">
        <f t="shared" si="342"/>
        <v>5.5576139095300084E-2</v>
      </c>
      <c r="J335" s="3">
        <f t="shared" si="342"/>
        <v>5.5576132982633294E-2</v>
      </c>
      <c r="K335" s="3">
        <f t="shared" si="342"/>
        <v>5.5576071856002315E-2</v>
      </c>
      <c r="L335" s="3">
        <f t="shared" si="342"/>
        <v>5.5575460593390288E-2</v>
      </c>
      <c r="M335" s="3">
        <f t="shared" si="342"/>
        <v>5.55693483370268E-2</v>
      </c>
      <c r="N335" s="3">
        <f t="shared" si="342"/>
        <v>5.5508262734029729E-2</v>
      </c>
      <c r="O335" s="3">
        <f t="shared" si="342"/>
        <v>5.4901087770750444E-2</v>
      </c>
      <c r="P335" s="3">
        <f t="shared" si="342"/>
        <v>4.9182895190291176E-2</v>
      </c>
      <c r="Q335" s="3">
        <f t="shared" si="342"/>
        <v>1.6373649871828252E-2</v>
      </c>
      <c r="R335" s="3">
        <f t="shared" si="342"/>
        <v>2.7381648461244723E-7</v>
      </c>
      <c r="S335" s="3">
        <f t="shared" si="342"/>
        <v>4.6838232889665196E-55</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6.5368051844924502E-2</v>
      </c>
      <c r="C336" s="3">
        <f t="shared" si="343"/>
        <v>6.5368051844924446E-2</v>
      </c>
      <c r="D336" s="3">
        <f t="shared" si="343"/>
        <v>6.5368051844923794E-2</v>
      </c>
      <c r="E336" s="3">
        <f t="shared" si="343"/>
        <v>6.5368051844917313E-2</v>
      </c>
      <c r="F336" s="3">
        <f t="shared" si="343"/>
        <v>6.5368051844852448E-2</v>
      </c>
      <c r="G336" s="3">
        <f t="shared" si="343"/>
        <v>6.5368051844203884E-2</v>
      </c>
      <c r="H336" s="3">
        <f t="shared" si="343"/>
        <v>6.5368051837718225E-2</v>
      </c>
      <c r="I336" s="3">
        <f t="shared" si="343"/>
        <v>6.5368051772861577E-2</v>
      </c>
      <c r="J336" s="3">
        <f t="shared" si="343"/>
        <v>6.5368051124295085E-2</v>
      </c>
      <c r="K336" s="3">
        <f t="shared" si="343"/>
        <v>6.5368044638630565E-2</v>
      </c>
      <c r="L336" s="3">
        <f t="shared" si="343"/>
        <v>6.536797978202076E-2</v>
      </c>
      <c r="M336" s="3">
        <f t="shared" si="343"/>
        <v>6.5367331219461908E-2</v>
      </c>
      <c r="N336" s="3">
        <f t="shared" si="343"/>
        <v>6.53608459477798E-2</v>
      </c>
      <c r="O336" s="3">
        <f t="shared" si="343"/>
        <v>6.5296028608612611E-2</v>
      </c>
      <c r="P336" s="3">
        <f t="shared" si="343"/>
        <v>6.4651380029392455E-2</v>
      </c>
      <c r="Q336" s="3">
        <f t="shared" si="343"/>
        <v>5.854477198924616E-2</v>
      </c>
      <c r="R336" s="3">
        <f t="shared" si="343"/>
        <v>2.1706575429660802E-2</v>
      </c>
      <c r="S336" s="3">
        <f t="shared" si="343"/>
        <v>1.0656712267724331E-6</v>
      </c>
      <c r="T336" s="3">
        <f t="shared" si="343"/>
        <v>8.6684714261873871E-50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6.6907973989911038E-2</v>
      </c>
      <c r="C337" s="3">
        <f t="shared" si="344"/>
        <v>6.6907973989911024E-2</v>
      </c>
      <c r="D337" s="3">
        <f t="shared" si="344"/>
        <v>6.6907973989910968E-2</v>
      </c>
      <c r="E337" s="3">
        <f t="shared" si="344"/>
        <v>6.6907973989910371E-2</v>
      </c>
      <c r="F337" s="3">
        <f t="shared" si="344"/>
        <v>6.6907973989904376E-2</v>
      </c>
      <c r="G337" s="3">
        <f t="shared" si="344"/>
        <v>6.6907973989844508E-2</v>
      </c>
      <c r="H337" s="3">
        <f t="shared" si="344"/>
        <v>6.6907973989245653E-2</v>
      </c>
      <c r="I337" s="3">
        <f t="shared" si="344"/>
        <v>6.6907973983257221E-2</v>
      </c>
      <c r="J337" s="3">
        <f t="shared" si="344"/>
        <v>6.690797392337286E-2</v>
      </c>
      <c r="K337" s="3">
        <f t="shared" si="344"/>
        <v>6.6907973324529232E-2</v>
      </c>
      <c r="L337" s="3">
        <f t="shared" si="344"/>
        <v>6.6907967336093235E-2</v>
      </c>
      <c r="M337" s="3">
        <f t="shared" si="344"/>
        <v>6.690790745176288E-2</v>
      </c>
      <c r="N337" s="3">
        <f t="shared" si="344"/>
        <v>6.690730861140709E-2</v>
      </c>
      <c r="O337" s="3">
        <f t="shared" si="344"/>
        <v>6.6901320502627593E-2</v>
      </c>
      <c r="P337" s="3">
        <f t="shared" si="344"/>
        <v>6.6841468882916061E-2</v>
      </c>
      <c r="Q337" s="3">
        <f t="shared" si="344"/>
        <v>6.624588975882259E-2</v>
      </c>
      <c r="R337" s="3">
        <f t="shared" si="344"/>
        <v>6.0574307910420705E-2</v>
      </c>
      <c r="S337" s="3">
        <f t="shared" si="344"/>
        <v>2.4750483859127162E-2</v>
      </c>
      <c r="T337" s="3">
        <f t="shared" si="344"/>
        <v>3.2102290556772886E-6</v>
      </c>
      <c r="U337" s="3">
        <f t="shared" si="344"/>
        <v>4.3257288941679324E-45</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5.3174535073566002E-2</v>
      </c>
      <c r="C338" s="3">
        <f t="shared" si="345"/>
        <v>5.3174535073566002E-2</v>
      </c>
      <c r="D338" s="3">
        <f t="shared" si="345"/>
        <v>5.3174535073565996E-2</v>
      </c>
      <c r="E338" s="3">
        <f t="shared" si="345"/>
        <v>5.3174535073565954E-2</v>
      </c>
      <c r="F338" s="3">
        <f t="shared" si="345"/>
        <v>5.3174535073565524E-2</v>
      </c>
      <c r="G338" s="3">
        <f t="shared" si="345"/>
        <v>5.3174535073561235E-2</v>
      </c>
      <c r="H338" s="3">
        <f t="shared" si="345"/>
        <v>5.3174535073518304E-2</v>
      </c>
      <c r="I338" s="3">
        <f t="shared" si="345"/>
        <v>5.3174535073088974E-2</v>
      </c>
      <c r="J338" s="3">
        <f t="shared" si="345"/>
        <v>5.3174535068795728E-2</v>
      </c>
      <c r="K338" s="3">
        <f t="shared" si="345"/>
        <v>5.3174535025863258E-2</v>
      </c>
      <c r="L338" s="3">
        <f t="shared" si="345"/>
        <v>5.3174534596538592E-2</v>
      </c>
      <c r="M338" s="3">
        <f t="shared" si="345"/>
        <v>5.317453030329207E-2</v>
      </c>
      <c r="N338" s="3">
        <f t="shared" si="345"/>
        <v>5.317448737084593E-2</v>
      </c>
      <c r="O338" s="3">
        <f t="shared" si="345"/>
        <v>5.3174058048290999E-2</v>
      </c>
      <c r="P338" s="3">
        <f t="shared" si="345"/>
        <v>5.3169765013382664E-2</v>
      </c>
      <c r="Q338" s="3">
        <f t="shared" si="345"/>
        <v>5.3126853722703787E-2</v>
      </c>
      <c r="R338" s="3">
        <f t="shared" si="345"/>
        <v>5.2699640975252579E-2</v>
      </c>
      <c r="S338" s="3">
        <f t="shared" si="345"/>
        <v>4.8611973536039771E-2</v>
      </c>
      <c r="T338" s="3">
        <f t="shared" si="345"/>
        <v>2.1681993786885928E-2</v>
      </c>
      <c r="U338" s="3">
        <f t="shared" si="345"/>
        <v>6.7555209313107482E-6</v>
      </c>
      <c r="V338" s="3">
        <f t="shared" si="345"/>
        <v>5.8244527567529338E-41</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3.2923061735419888E-2</v>
      </c>
      <c r="C339" s="3">
        <f t="shared" si="346"/>
        <v>3.2923061735419888E-2</v>
      </c>
      <c r="D339" s="3">
        <f t="shared" si="346"/>
        <v>3.2923061735419888E-2</v>
      </c>
      <c r="E339" s="3">
        <f t="shared" si="346"/>
        <v>3.2923061735419881E-2</v>
      </c>
      <c r="F339" s="3">
        <f t="shared" si="346"/>
        <v>3.292306173541986E-2</v>
      </c>
      <c r="G339" s="3">
        <f t="shared" si="346"/>
        <v>3.2923061735419624E-2</v>
      </c>
      <c r="H339" s="3">
        <f t="shared" si="346"/>
        <v>3.2923061735417224E-2</v>
      </c>
      <c r="I339" s="3">
        <f t="shared" si="346"/>
        <v>3.2923061735393243E-2</v>
      </c>
      <c r="J339" s="3">
        <f t="shared" si="346"/>
        <v>3.2923061735153455E-2</v>
      </c>
      <c r="K339" s="3">
        <f t="shared" si="346"/>
        <v>3.2923061732755568E-2</v>
      </c>
      <c r="L339" s="3">
        <f t="shared" si="346"/>
        <v>3.2923061708776687E-2</v>
      </c>
      <c r="M339" s="3">
        <f t="shared" si="346"/>
        <v>3.2923061468987852E-2</v>
      </c>
      <c r="N339" s="3">
        <f t="shared" si="346"/>
        <v>3.2923059071099631E-2</v>
      </c>
      <c r="O339" s="3">
        <f t="shared" si="346"/>
        <v>3.2923035092227007E-2</v>
      </c>
      <c r="P339" s="3">
        <f t="shared" si="346"/>
        <v>3.2922795304461357E-2</v>
      </c>
      <c r="Q339" s="3">
        <f t="shared" si="346"/>
        <v>3.2920397522857026E-2</v>
      </c>
      <c r="R339" s="3">
        <f t="shared" si="346"/>
        <v>3.2896429309447139E-2</v>
      </c>
      <c r="S339" s="3">
        <f t="shared" si="346"/>
        <v>3.2657704855982052E-2</v>
      </c>
      <c r="T339" s="3">
        <f t="shared" si="346"/>
        <v>3.0363697112611436E-2</v>
      </c>
      <c r="U339" s="3">
        <f t="shared" si="346"/>
        <v>1.4656982126536282E-2</v>
      </c>
      <c r="V339" s="3">
        <f t="shared" si="346"/>
        <v>1.0068009930557898E-5</v>
      </c>
      <c r="W339" s="3">
        <f t="shared" si="346"/>
        <v>2.3546936094803537E-37</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1.6325787748200139E-2</v>
      </c>
      <c r="C340" s="3">
        <f t="shared" si="347"/>
        <v>1.6325787748200139E-2</v>
      </c>
      <c r="D340" s="3">
        <f t="shared" si="347"/>
        <v>1.6325787748200139E-2</v>
      </c>
      <c r="E340" s="3">
        <f t="shared" si="347"/>
        <v>1.6325787748200139E-2</v>
      </c>
      <c r="F340" s="3">
        <f t="shared" si="347"/>
        <v>1.6325787748200135E-2</v>
      </c>
      <c r="G340" s="3">
        <f t="shared" si="347"/>
        <v>1.6325787748200125E-2</v>
      </c>
      <c r="H340" s="3">
        <f t="shared" si="347"/>
        <v>1.6325787748200021E-2</v>
      </c>
      <c r="I340" s="3">
        <f t="shared" si="347"/>
        <v>1.6325787748198945E-2</v>
      </c>
      <c r="J340" s="3">
        <f t="shared" si="347"/>
        <v>1.6325787748188221E-2</v>
      </c>
      <c r="K340" s="3">
        <f t="shared" si="347"/>
        <v>1.6325787748080956E-2</v>
      </c>
      <c r="L340" s="3">
        <f t="shared" si="347"/>
        <v>1.6325787747008328E-2</v>
      </c>
      <c r="M340" s="3">
        <f t="shared" si="347"/>
        <v>1.632578773628204E-2</v>
      </c>
      <c r="N340" s="3">
        <f t="shared" si="347"/>
        <v>1.6325787629019154E-2</v>
      </c>
      <c r="O340" s="3">
        <f t="shared" si="347"/>
        <v>1.6325786556390345E-2</v>
      </c>
      <c r="P340" s="3">
        <f t="shared" si="347"/>
        <v>1.6325775830106137E-2</v>
      </c>
      <c r="Q340" s="3">
        <f t="shared" si="347"/>
        <v>1.6325668567651646E-2</v>
      </c>
      <c r="R340" s="3">
        <f t="shared" si="347"/>
        <v>1.6324595981866027E-2</v>
      </c>
      <c r="S340" s="3">
        <f t="shared" si="347"/>
        <v>1.6313873998996323E-2</v>
      </c>
      <c r="T340" s="3">
        <f t="shared" si="347"/>
        <v>1.6207040728609366E-2</v>
      </c>
      <c r="U340" s="3">
        <f t="shared" si="347"/>
        <v>1.5176440436056185E-2</v>
      </c>
      <c r="V340" s="3">
        <f t="shared" si="347"/>
        <v>7.867412183993899E-3</v>
      </c>
      <c r="W340" s="3">
        <f t="shared" si="347"/>
        <v>1.1026856600975115E-5</v>
      </c>
      <c r="X340" s="3">
        <f t="shared" si="347"/>
        <v>3.2258929752390453E-34</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7.8974635041155969E-3</v>
      </c>
      <c r="C341" s="3">
        <f t="shared" si="348"/>
        <v>7.8974635041155969E-3</v>
      </c>
      <c r="D341" s="3">
        <f t="shared" si="348"/>
        <v>7.8974635041155969E-3</v>
      </c>
      <c r="E341" s="3">
        <f t="shared" si="348"/>
        <v>7.8974635041155969E-3</v>
      </c>
      <c r="F341" s="3">
        <f t="shared" si="348"/>
        <v>7.8974635041155969E-3</v>
      </c>
      <c r="G341" s="3">
        <f t="shared" si="348"/>
        <v>7.8974635041155952E-3</v>
      </c>
      <c r="H341" s="3">
        <f t="shared" si="348"/>
        <v>7.8974635041155917E-3</v>
      </c>
      <c r="I341" s="3">
        <f t="shared" si="348"/>
        <v>7.8974635041155448E-3</v>
      </c>
      <c r="J341" s="3">
        <f t="shared" si="348"/>
        <v>7.8974635041150765E-3</v>
      </c>
      <c r="K341" s="3">
        <f t="shared" si="348"/>
        <v>7.8974635041103962E-3</v>
      </c>
      <c r="L341" s="3">
        <f t="shared" si="348"/>
        <v>7.8974635040635881E-3</v>
      </c>
      <c r="M341" s="3">
        <f t="shared" si="348"/>
        <v>7.8974635035955216E-3</v>
      </c>
      <c r="N341" s="3">
        <f t="shared" si="348"/>
        <v>7.8974634989148352E-3</v>
      </c>
      <c r="O341" s="3">
        <f t="shared" si="348"/>
        <v>7.8974634521079695E-3</v>
      </c>
      <c r="P341" s="3">
        <f t="shared" si="348"/>
        <v>7.8974629840393457E-3</v>
      </c>
      <c r="Q341" s="3">
        <f t="shared" si="348"/>
        <v>7.897458303354617E-3</v>
      </c>
      <c r="R341" s="3">
        <f t="shared" si="348"/>
        <v>7.8974114966599198E-3</v>
      </c>
      <c r="S341" s="3">
        <f t="shared" si="348"/>
        <v>7.8969434449704459E-3</v>
      </c>
      <c r="T341" s="3">
        <f t="shared" si="348"/>
        <v>7.8922644534918651E-3</v>
      </c>
      <c r="U341" s="3">
        <f t="shared" si="348"/>
        <v>7.8456267463389313E-3</v>
      </c>
      <c r="V341" s="3">
        <f t="shared" si="348"/>
        <v>7.3941418838321645E-3</v>
      </c>
      <c r="W341" s="3">
        <f t="shared" si="348"/>
        <v>4.0877953945793275E-3</v>
      </c>
      <c r="X341" s="3">
        <f t="shared" si="348"/>
        <v>1.0901916512066713E-5</v>
      </c>
      <c r="Y341" s="3">
        <f t="shared" si="348"/>
        <v>1.9844486698179375E-31</v>
      </c>
      <c r="Z341" s="3">
        <f t="shared" si="348"/>
        <v>7.9251966959948646E-289</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4.1550471728530186E-3</v>
      </c>
      <c r="C342" s="3">
        <f t="shared" si="349"/>
        <v>4.1550471728530186E-3</v>
      </c>
      <c r="D342" s="3">
        <f t="shared" si="349"/>
        <v>4.1550471728530186E-3</v>
      </c>
      <c r="E342" s="3">
        <f t="shared" si="349"/>
        <v>4.1550471728530186E-3</v>
      </c>
      <c r="F342" s="3">
        <f t="shared" si="349"/>
        <v>4.1550471728530186E-3</v>
      </c>
      <c r="G342" s="3">
        <f t="shared" si="349"/>
        <v>4.1550471728530186E-3</v>
      </c>
      <c r="H342" s="3">
        <f t="shared" si="349"/>
        <v>4.1550471728530177E-3</v>
      </c>
      <c r="I342" s="3">
        <f t="shared" si="349"/>
        <v>4.155047172853016E-3</v>
      </c>
      <c r="J342" s="3">
        <f t="shared" si="349"/>
        <v>4.1550471728529935E-3</v>
      </c>
      <c r="K342" s="3">
        <f t="shared" si="349"/>
        <v>4.1550471728527714E-3</v>
      </c>
      <c r="L342" s="3">
        <f t="shared" si="349"/>
        <v>4.1550471728505501E-3</v>
      </c>
      <c r="M342" s="3">
        <f t="shared" si="349"/>
        <v>4.1550471728283352E-3</v>
      </c>
      <c r="N342" s="3">
        <f t="shared" si="349"/>
        <v>4.1550471726061865E-3</v>
      </c>
      <c r="O342" s="3">
        <f t="shared" si="349"/>
        <v>4.1550471703846953E-3</v>
      </c>
      <c r="P342" s="3">
        <f t="shared" si="349"/>
        <v>4.1550471481697901E-3</v>
      </c>
      <c r="Q342" s="3">
        <f t="shared" si="349"/>
        <v>4.1550469260207435E-3</v>
      </c>
      <c r="R342" s="3">
        <f t="shared" si="349"/>
        <v>4.1550447045309242E-3</v>
      </c>
      <c r="S342" s="3">
        <f t="shared" si="349"/>
        <v>4.1550224896980577E-3</v>
      </c>
      <c r="T342" s="3">
        <f t="shared" si="349"/>
        <v>4.1548003479016981E-3</v>
      </c>
      <c r="U342" s="3">
        <f t="shared" si="349"/>
        <v>4.1525795830388967E-3</v>
      </c>
      <c r="V342" s="3">
        <f t="shared" si="349"/>
        <v>4.1304371154789127E-3</v>
      </c>
      <c r="W342" s="3">
        <f t="shared" si="349"/>
        <v>3.9154034287246986E-3</v>
      </c>
      <c r="X342" s="3">
        <f t="shared" si="349"/>
        <v>2.2939372789130574E-3</v>
      </c>
      <c r="Y342" s="3">
        <f t="shared" si="349"/>
        <v>1.0930291975295636E-5</v>
      </c>
      <c r="Z342" s="3">
        <f t="shared" si="349"/>
        <v>6.5937731706780941E-29</v>
      </c>
      <c r="AA342" s="3">
        <f t="shared" si="349"/>
        <v>4.2087817169797782E-261</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4.2575321437709054E-3</v>
      </c>
      <c r="C343" s="3">
        <f t="shared" si="350"/>
        <v>4.2575321437709054E-3</v>
      </c>
      <c r="D343" s="3">
        <f t="shared" si="350"/>
        <v>4.2575321437709054E-3</v>
      </c>
      <c r="E343" s="3">
        <f t="shared" si="350"/>
        <v>4.2575321437709054E-3</v>
      </c>
      <c r="F343" s="3">
        <f t="shared" si="350"/>
        <v>4.2575321437709054E-3</v>
      </c>
      <c r="G343" s="3">
        <f t="shared" si="350"/>
        <v>4.2575321437709054E-3</v>
      </c>
      <c r="H343" s="3">
        <f t="shared" si="350"/>
        <v>4.2575321437709054E-3</v>
      </c>
      <c r="I343" s="3">
        <f t="shared" si="350"/>
        <v>4.2575321437709054E-3</v>
      </c>
      <c r="J343" s="3">
        <f t="shared" si="350"/>
        <v>4.2575321437709028E-3</v>
      </c>
      <c r="K343" s="3">
        <f t="shared" si="350"/>
        <v>4.2575321437708829E-3</v>
      </c>
      <c r="L343" s="3">
        <f t="shared" si="350"/>
        <v>4.2575321437706773E-3</v>
      </c>
      <c r="M343" s="3">
        <f t="shared" si="350"/>
        <v>4.2575321437686234E-3</v>
      </c>
      <c r="N343" s="3">
        <f t="shared" si="350"/>
        <v>4.2575321437480903E-3</v>
      </c>
      <c r="O343" s="3">
        <f t="shared" si="350"/>
        <v>4.2575321435427502E-3</v>
      </c>
      <c r="P343" s="3">
        <f t="shared" si="350"/>
        <v>4.2575321414893529E-3</v>
      </c>
      <c r="Q343" s="3">
        <f t="shared" si="350"/>
        <v>4.2575321209553773E-3</v>
      </c>
      <c r="R343" s="3">
        <f t="shared" si="350"/>
        <v>4.2575319156156295E-3</v>
      </c>
      <c r="S343" s="3">
        <f t="shared" si="350"/>
        <v>4.2575298622186978E-3</v>
      </c>
      <c r="T343" s="3">
        <f t="shared" si="350"/>
        <v>4.2575093283038464E-3</v>
      </c>
      <c r="U343" s="3">
        <f t="shared" si="350"/>
        <v>4.257303994602145E-3</v>
      </c>
      <c r="V343" s="3">
        <f t="shared" si="350"/>
        <v>4.2552512021689281E-3</v>
      </c>
      <c r="W343" s="3">
        <f t="shared" si="350"/>
        <v>4.2347776391611835E-3</v>
      </c>
      <c r="X343" s="3">
        <f t="shared" si="350"/>
        <v>4.0353823724444899E-3</v>
      </c>
      <c r="Y343" s="3">
        <f t="shared" si="350"/>
        <v>2.4912970054889265E-3</v>
      </c>
      <c r="Z343" s="3">
        <f t="shared" si="350"/>
        <v>2.0037043472237361E-5</v>
      </c>
      <c r="AA343" s="3">
        <f t="shared" si="350"/>
        <v>2.2694205580278016E-26</v>
      </c>
      <c r="AB343" s="3">
        <f t="shared" si="350"/>
        <v>7.8836698248722712E-236</v>
      </c>
      <c r="AC343" s="3">
        <f t="shared" si="350"/>
        <v>0</v>
      </c>
      <c r="AD343" s="3">
        <f t="shared" si="350"/>
        <v>0</v>
      </c>
      <c r="AE343" s="3">
        <f t="shared" si="350"/>
        <v>0</v>
      </c>
      <c r="AF343" s="3">
        <f t="shared" si="350"/>
        <v>0</v>
      </c>
      <c r="AG343" s="3"/>
      <c r="AH343" s="3"/>
    </row>
    <row r="344" spans="2:34" x14ac:dyDescent="0.25">
      <c r="B344" s="3">
        <f t="shared" ref="B344:AF344" si="351">$C35*EXP(-B$363/$A35/EXP(-$G$126))</f>
        <v>9.5394971617709327E-4</v>
      </c>
      <c r="C344" s="3">
        <f t="shared" si="351"/>
        <v>9.5394971617709327E-4</v>
      </c>
      <c r="D344" s="3">
        <f t="shared" si="351"/>
        <v>9.5394971617709327E-4</v>
      </c>
      <c r="E344" s="3">
        <f t="shared" si="351"/>
        <v>9.5394971617709327E-4</v>
      </c>
      <c r="F344" s="3">
        <f t="shared" si="351"/>
        <v>9.5394971617709327E-4</v>
      </c>
      <c r="G344" s="3">
        <f t="shared" si="351"/>
        <v>9.5394971617709327E-4</v>
      </c>
      <c r="H344" s="3">
        <f t="shared" si="351"/>
        <v>9.5394971617709327E-4</v>
      </c>
      <c r="I344" s="3">
        <f t="shared" si="351"/>
        <v>9.5394971617709327E-4</v>
      </c>
      <c r="J344" s="3">
        <f t="shared" si="351"/>
        <v>9.5394971617709327E-4</v>
      </c>
      <c r="K344" s="3">
        <f t="shared" si="351"/>
        <v>9.5394971617709283E-4</v>
      </c>
      <c r="L344" s="3">
        <f t="shared" si="351"/>
        <v>9.539497161770886E-4</v>
      </c>
      <c r="M344" s="3">
        <f t="shared" si="351"/>
        <v>9.5394971617704719E-4</v>
      </c>
      <c r="N344" s="3">
        <f t="shared" si="351"/>
        <v>9.5394971617663216E-4</v>
      </c>
      <c r="O344" s="3">
        <f t="shared" si="351"/>
        <v>9.5394971617248172E-4</v>
      </c>
      <c r="P344" s="3">
        <f t="shared" si="351"/>
        <v>9.5394971613097792E-4</v>
      </c>
      <c r="Q344" s="3">
        <f t="shared" si="351"/>
        <v>9.5394971571594067E-4</v>
      </c>
      <c r="R344" s="3">
        <f t="shared" si="351"/>
        <v>9.5394971156556726E-4</v>
      </c>
      <c r="S344" s="3">
        <f t="shared" si="351"/>
        <v>9.5394967006183398E-4</v>
      </c>
      <c r="T344" s="3">
        <f t="shared" si="351"/>
        <v>9.5394925502460001E-4</v>
      </c>
      <c r="U344" s="3">
        <f t="shared" si="351"/>
        <v>9.5394510466219329E-4</v>
      </c>
      <c r="V344" s="3">
        <f t="shared" si="351"/>
        <v>9.539036020312497E-4</v>
      </c>
      <c r="W344" s="3">
        <f t="shared" si="351"/>
        <v>9.5348867501829999E-4</v>
      </c>
      <c r="X344" s="3">
        <f t="shared" si="351"/>
        <v>9.4934931857157238E-4</v>
      </c>
      <c r="Y344" s="3">
        <f t="shared" si="351"/>
        <v>9.0893134766576887E-4</v>
      </c>
      <c r="Z344" s="3">
        <f t="shared" si="351"/>
        <v>5.8827645984445027E-4</v>
      </c>
      <c r="AA344" s="3">
        <f t="shared" si="351"/>
        <v>7.5872667702012259E-6</v>
      </c>
      <c r="AB344" s="3">
        <f t="shared" si="351"/>
        <v>9.6632717783268817E-25</v>
      </c>
      <c r="AC344" s="3">
        <f t="shared" si="351"/>
        <v>1.0852070181685007E-213</v>
      </c>
      <c r="AD344" s="3">
        <f t="shared" si="351"/>
        <v>0</v>
      </c>
      <c r="AE344" s="3">
        <f t="shared" si="351"/>
        <v>0</v>
      </c>
      <c r="AF344" s="3">
        <f t="shared" si="351"/>
        <v>0</v>
      </c>
      <c r="AG344" s="3"/>
      <c r="AH344" s="3"/>
    </row>
    <row r="345" spans="2:34" x14ac:dyDescent="0.25">
      <c r="B345" s="3">
        <f t="shared" ref="B345:AF345" si="352">$C36*EXP(-B$363/$A36/EXP(-$G$126))</f>
        <v>4.0589760414466262E-3</v>
      </c>
      <c r="C345" s="3">
        <f t="shared" si="352"/>
        <v>4.0589760414466262E-3</v>
      </c>
      <c r="D345" s="3">
        <f t="shared" si="352"/>
        <v>4.0589760414466262E-3</v>
      </c>
      <c r="E345" s="3">
        <f t="shared" si="352"/>
        <v>4.0589760414466262E-3</v>
      </c>
      <c r="F345" s="3">
        <f t="shared" si="352"/>
        <v>4.0589760414466262E-3</v>
      </c>
      <c r="G345" s="3">
        <f t="shared" si="352"/>
        <v>4.0589760414466262E-3</v>
      </c>
      <c r="H345" s="3">
        <f t="shared" si="352"/>
        <v>4.0589760414466262E-3</v>
      </c>
      <c r="I345" s="3">
        <f t="shared" si="352"/>
        <v>4.0589760414466262E-3</v>
      </c>
      <c r="J345" s="3">
        <f t="shared" si="352"/>
        <v>4.0589760414466262E-3</v>
      </c>
      <c r="K345" s="3">
        <f t="shared" si="352"/>
        <v>4.0589760414466262E-3</v>
      </c>
      <c r="L345" s="3">
        <f t="shared" si="352"/>
        <v>4.0589760414466245E-3</v>
      </c>
      <c r="M345" s="3">
        <f t="shared" si="352"/>
        <v>4.0589760414466089E-3</v>
      </c>
      <c r="N345" s="3">
        <f t="shared" si="352"/>
        <v>4.0589760414464493E-3</v>
      </c>
      <c r="O345" s="3">
        <f t="shared" si="352"/>
        <v>4.058976041444856E-3</v>
      </c>
      <c r="P345" s="3">
        <f t="shared" si="352"/>
        <v>4.058976041428926E-3</v>
      </c>
      <c r="Q345" s="3">
        <f t="shared" si="352"/>
        <v>4.058976041269622E-3</v>
      </c>
      <c r="R345" s="3">
        <f t="shared" si="352"/>
        <v>4.0589760396765899E-3</v>
      </c>
      <c r="S345" s="3">
        <f t="shared" si="352"/>
        <v>4.0589760237462599E-3</v>
      </c>
      <c r="T345" s="3">
        <f t="shared" si="352"/>
        <v>4.0589758644429636E-3</v>
      </c>
      <c r="U345" s="3">
        <f t="shared" si="352"/>
        <v>4.0589742714103516E-3</v>
      </c>
      <c r="V345" s="3">
        <f t="shared" si="352"/>
        <v>4.0589583411186096E-3</v>
      </c>
      <c r="W345" s="3">
        <f t="shared" si="352"/>
        <v>4.0587990416398505E-3</v>
      </c>
      <c r="X345" s="3">
        <f t="shared" si="352"/>
        <v>4.0572063906679336E-3</v>
      </c>
      <c r="Y345" s="3">
        <f t="shared" si="352"/>
        <v>4.0413142126415891E-3</v>
      </c>
      <c r="Z345" s="3">
        <f t="shared" si="352"/>
        <v>3.8857762661100733E-3</v>
      </c>
      <c r="AA345" s="3">
        <f t="shared" si="352"/>
        <v>2.6243969391675456E-3</v>
      </c>
      <c r="AB345" s="3">
        <f t="shared" si="352"/>
        <v>5.1825897885415947E-5</v>
      </c>
      <c r="AC345" s="3">
        <f t="shared" si="352"/>
        <v>4.6743363467240221E-22</v>
      </c>
      <c r="AD345" s="3">
        <f t="shared" si="352"/>
        <v>1.665141720232326E-192</v>
      </c>
      <c r="AE345" s="3">
        <f t="shared" si="352"/>
        <v>0</v>
      </c>
      <c r="AF345" s="3">
        <f t="shared" si="352"/>
        <v>0</v>
      </c>
      <c r="AG345" s="3"/>
      <c r="AH345" s="3"/>
    </row>
    <row r="346" spans="2:34" x14ac:dyDescent="0.25">
      <c r="B346" s="3">
        <f t="shared" ref="B346:AF346" si="353">$C37*EXP(-B$363/$A37/EXP(-$G$126))</f>
        <v>1.8079022275700322E-3</v>
      </c>
      <c r="C346" s="3">
        <f t="shared" si="353"/>
        <v>1.8079022275700322E-3</v>
      </c>
      <c r="D346" s="3">
        <f t="shared" si="353"/>
        <v>1.8079022275700322E-3</v>
      </c>
      <c r="E346" s="3">
        <f t="shared" si="353"/>
        <v>1.8079022275700322E-3</v>
      </c>
      <c r="F346" s="3">
        <f t="shared" si="353"/>
        <v>1.8079022275700322E-3</v>
      </c>
      <c r="G346" s="3">
        <f t="shared" si="353"/>
        <v>1.8079022275700322E-3</v>
      </c>
      <c r="H346" s="3">
        <f t="shared" si="353"/>
        <v>1.8079022275700322E-3</v>
      </c>
      <c r="I346" s="3">
        <f t="shared" si="353"/>
        <v>1.8079022275700322E-3</v>
      </c>
      <c r="J346" s="3">
        <f t="shared" si="353"/>
        <v>1.8079022275700322E-3</v>
      </c>
      <c r="K346" s="3">
        <f t="shared" si="353"/>
        <v>1.8079022275700322E-3</v>
      </c>
      <c r="L346" s="3">
        <f t="shared" si="353"/>
        <v>1.8079022275700322E-3</v>
      </c>
      <c r="M346" s="3">
        <f t="shared" si="353"/>
        <v>1.8079022275700313E-3</v>
      </c>
      <c r="N346" s="3">
        <f t="shared" si="353"/>
        <v>1.8079022275700252E-3</v>
      </c>
      <c r="O346" s="3">
        <f t="shared" si="353"/>
        <v>1.807902227569961E-3</v>
      </c>
      <c r="P346" s="3">
        <f t="shared" si="353"/>
        <v>1.8079022275693209E-3</v>
      </c>
      <c r="Q346" s="3">
        <f t="shared" si="353"/>
        <v>1.8079022275629202E-3</v>
      </c>
      <c r="R346" s="3">
        <f t="shared" si="353"/>
        <v>1.8079022274989131E-3</v>
      </c>
      <c r="S346" s="3">
        <f t="shared" si="353"/>
        <v>1.8079022268588393E-3</v>
      </c>
      <c r="T346" s="3">
        <f t="shared" si="353"/>
        <v>1.8079022204581048E-3</v>
      </c>
      <c r="U346" s="3">
        <f t="shared" si="353"/>
        <v>1.8079021564507611E-3</v>
      </c>
      <c r="V346" s="3">
        <f t="shared" si="353"/>
        <v>1.8079015163774486E-3</v>
      </c>
      <c r="W346" s="3">
        <f t="shared" si="353"/>
        <v>1.8078951156567859E-3</v>
      </c>
      <c r="X346" s="3">
        <f t="shared" si="353"/>
        <v>1.8078311096965134E-3</v>
      </c>
      <c r="Y346" s="3">
        <f t="shared" si="353"/>
        <v>1.8071911747127587E-3</v>
      </c>
      <c r="Z346" s="3">
        <f t="shared" si="353"/>
        <v>1.8008042704634149E-3</v>
      </c>
      <c r="AA346" s="3">
        <f t="shared" si="353"/>
        <v>1.7381636368625844E-3</v>
      </c>
      <c r="AB346" s="3">
        <f t="shared" si="353"/>
        <v>1.2199222199033688E-3</v>
      </c>
      <c r="AC346" s="3">
        <f t="shared" si="353"/>
        <v>3.5379114452371931E-5</v>
      </c>
      <c r="AD346" s="3">
        <f t="shared" si="353"/>
        <v>1.4890014591096616E-20</v>
      </c>
      <c r="AE346" s="3">
        <f t="shared" si="353"/>
        <v>2.5964309325594608E-174</v>
      </c>
      <c r="AF346" s="3">
        <f t="shared" si="353"/>
        <v>0</v>
      </c>
      <c r="AG346" s="3"/>
      <c r="AH346" s="3"/>
    </row>
    <row r="347" spans="2:34" x14ac:dyDescent="0.25">
      <c r="B347" s="3">
        <f t="shared" ref="B347:AF347" si="354">$C38*EXP(-B$363/$A38/EXP(-$G$126))</f>
        <v>6.6593482592524332E-4</v>
      </c>
      <c r="C347" s="3">
        <f t="shared" si="354"/>
        <v>6.6593482592524332E-4</v>
      </c>
      <c r="D347" s="3">
        <f t="shared" si="354"/>
        <v>6.6593482592524332E-4</v>
      </c>
      <c r="E347" s="3">
        <f t="shared" si="354"/>
        <v>6.6593482592524332E-4</v>
      </c>
      <c r="F347" s="3">
        <f t="shared" si="354"/>
        <v>6.6593482592524332E-4</v>
      </c>
      <c r="G347" s="3">
        <f t="shared" si="354"/>
        <v>6.6593482592524332E-4</v>
      </c>
      <c r="H347" s="3">
        <f t="shared" si="354"/>
        <v>6.6593482592524332E-4</v>
      </c>
      <c r="I347" s="3">
        <f t="shared" si="354"/>
        <v>6.6593482592524332E-4</v>
      </c>
      <c r="J347" s="3">
        <f t="shared" si="354"/>
        <v>6.6593482592524332E-4</v>
      </c>
      <c r="K347" s="3">
        <f t="shared" si="354"/>
        <v>6.6593482592524332E-4</v>
      </c>
      <c r="L347" s="3">
        <f t="shared" si="354"/>
        <v>6.6593482592524332E-4</v>
      </c>
      <c r="M347" s="3">
        <f t="shared" si="354"/>
        <v>6.6593482592524332E-4</v>
      </c>
      <c r="N347" s="3">
        <f t="shared" si="354"/>
        <v>6.659348259252431E-4</v>
      </c>
      <c r="O347" s="3">
        <f t="shared" si="354"/>
        <v>6.6593482592524093E-4</v>
      </c>
      <c r="P347" s="3">
        <f t="shared" si="354"/>
        <v>6.6593482592521968E-4</v>
      </c>
      <c r="Q347" s="3">
        <f t="shared" si="354"/>
        <v>6.6593482592500707E-4</v>
      </c>
      <c r="R347" s="3">
        <f t="shared" si="354"/>
        <v>6.6593482592288019E-4</v>
      </c>
      <c r="S347" s="3">
        <f t="shared" si="354"/>
        <v>6.6593482590161183E-4</v>
      </c>
      <c r="T347" s="3">
        <f t="shared" si="354"/>
        <v>6.6593482568892866E-4</v>
      </c>
      <c r="U347" s="3">
        <f t="shared" si="354"/>
        <v>6.6593482356209664E-4</v>
      </c>
      <c r="V347" s="3">
        <f t="shared" si="354"/>
        <v>6.6593480229377674E-4</v>
      </c>
      <c r="W347" s="3">
        <f t="shared" si="354"/>
        <v>6.6593458961061508E-4</v>
      </c>
      <c r="X347" s="3">
        <f t="shared" si="354"/>
        <v>6.6593246278273438E-4</v>
      </c>
      <c r="Y347" s="3">
        <f t="shared" si="354"/>
        <v>6.6591119487751445E-4</v>
      </c>
      <c r="Z347" s="3">
        <f t="shared" si="354"/>
        <v>6.656985531795917E-4</v>
      </c>
      <c r="AA347" s="3">
        <f t="shared" si="354"/>
        <v>6.6357586721764201E-4</v>
      </c>
      <c r="AB347" s="3">
        <f t="shared" si="354"/>
        <v>6.4271773783501737E-4</v>
      </c>
      <c r="AC347" s="3">
        <f t="shared" si="354"/>
        <v>4.6700046261516831E-4</v>
      </c>
      <c r="AD347" s="3">
        <f t="shared" si="354"/>
        <v>1.9155238358848049E-5</v>
      </c>
      <c r="AE347" s="3">
        <f t="shared" si="354"/>
        <v>2.5822010761870161E-19</v>
      </c>
      <c r="AF347" s="3">
        <f t="shared" si="354"/>
        <v>5.1169954474923641E-158</v>
      </c>
      <c r="AG347" s="3"/>
      <c r="AH347" s="3"/>
    </row>
    <row r="348" spans="2:34" x14ac:dyDescent="0.25">
      <c r="B348" s="3">
        <f t="shared" ref="B348:AF348" si="355">$C39*EXP(-B$363/$A39/EXP(-$G$126))</f>
        <v>0</v>
      </c>
      <c r="C348" s="3">
        <f t="shared" si="355"/>
        <v>0</v>
      </c>
      <c r="D348" s="3">
        <f t="shared" si="355"/>
        <v>0</v>
      </c>
      <c r="E348" s="3">
        <f t="shared" si="355"/>
        <v>0</v>
      </c>
      <c r="F348" s="3">
        <f t="shared" si="355"/>
        <v>0</v>
      </c>
      <c r="G348" s="3">
        <f t="shared" si="355"/>
        <v>0</v>
      </c>
      <c r="H348" s="3">
        <f t="shared" si="355"/>
        <v>0</v>
      </c>
      <c r="I348" s="3">
        <f t="shared" si="355"/>
        <v>0</v>
      </c>
      <c r="J348" s="3">
        <f t="shared" si="355"/>
        <v>0</v>
      </c>
      <c r="K348" s="3">
        <f t="shared" si="355"/>
        <v>0</v>
      </c>
      <c r="L348" s="3">
        <f t="shared" si="355"/>
        <v>0</v>
      </c>
      <c r="M348" s="3">
        <f t="shared" si="355"/>
        <v>0</v>
      </c>
      <c r="N348" s="3">
        <f t="shared" si="355"/>
        <v>0</v>
      </c>
      <c r="O348" s="3">
        <f t="shared" si="355"/>
        <v>0</v>
      </c>
      <c r="P348" s="3">
        <f t="shared" si="355"/>
        <v>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5.5929921649114952E-4</v>
      </c>
      <c r="C349" s="3">
        <f t="shared" si="356"/>
        <v>5.5929921649114952E-4</v>
      </c>
      <c r="D349" s="3">
        <f t="shared" si="356"/>
        <v>5.5929921649114952E-4</v>
      </c>
      <c r="E349" s="3">
        <f t="shared" si="356"/>
        <v>5.5929921649114952E-4</v>
      </c>
      <c r="F349" s="3">
        <f t="shared" si="356"/>
        <v>5.5929921649114952E-4</v>
      </c>
      <c r="G349" s="3">
        <f t="shared" si="356"/>
        <v>5.5929921649114952E-4</v>
      </c>
      <c r="H349" s="3">
        <f t="shared" si="356"/>
        <v>5.5929921649114952E-4</v>
      </c>
      <c r="I349" s="3">
        <f t="shared" si="356"/>
        <v>5.5929921649114952E-4</v>
      </c>
      <c r="J349" s="3">
        <f t="shared" si="356"/>
        <v>5.5929921649114952E-4</v>
      </c>
      <c r="K349" s="3">
        <f t="shared" si="356"/>
        <v>5.5929921649114952E-4</v>
      </c>
      <c r="L349" s="3">
        <f t="shared" si="356"/>
        <v>5.5929921649114952E-4</v>
      </c>
      <c r="M349" s="3">
        <f t="shared" si="356"/>
        <v>5.5929921649114952E-4</v>
      </c>
      <c r="N349" s="3">
        <f t="shared" si="356"/>
        <v>5.5929921649114952E-4</v>
      </c>
      <c r="O349" s="3">
        <f t="shared" si="356"/>
        <v>5.5929921649114942E-4</v>
      </c>
      <c r="P349" s="3">
        <f t="shared" si="356"/>
        <v>5.5929921649114898E-4</v>
      </c>
      <c r="Q349" s="3">
        <f t="shared" si="356"/>
        <v>5.592992164911441E-4</v>
      </c>
      <c r="R349" s="3">
        <f t="shared" si="356"/>
        <v>5.5929921649109466E-4</v>
      </c>
      <c r="S349" s="3">
        <f t="shared" si="356"/>
        <v>5.5929921649060059E-4</v>
      </c>
      <c r="T349" s="3">
        <f t="shared" si="356"/>
        <v>5.5929921648566021E-4</v>
      </c>
      <c r="U349" s="3">
        <f t="shared" si="356"/>
        <v>5.5929921643625669E-4</v>
      </c>
      <c r="V349" s="3">
        <f t="shared" si="356"/>
        <v>5.5929921594222067E-4</v>
      </c>
      <c r="W349" s="3">
        <f t="shared" si="356"/>
        <v>5.5929921100186146E-4</v>
      </c>
      <c r="X349" s="3">
        <f t="shared" si="356"/>
        <v>5.5929916159827076E-4</v>
      </c>
      <c r="Y349" s="3">
        <f t="shared" si="356"/>
        <v>5.5929866756260465E-4</v>
      </c>
      <c r="Z349" s="3">
        <f t="shared" si="356"/>
        <v>5.5929372722994433E-4</v>
      </c>
      <c r="AA349" s="3">
        <f t="shared" si="356"/>
        <v>5.5924432630338836E-4</v>
      </c>
      <c r="AB349" s="3">
        <f t="shared" si="356"/>
        <v>5.5875055696412781E-4</v>
      </c>
      <c r="AC349" s="3">
        <f t="shared" si="356"/>
        <v>5.5383677797230814E-4</v>
      </c>
      <c r="AD349" s="3">
        <f t="shared" si="356"/>
        <v>5.0701408223119925E-4</v>
      </c>
      <c r="AE349" s="3">
        <f t="shared" si="356"/>
        <v>2.0960532958253867E-4</v>
      </c>
      <c r="AF349" s="3">
        <f t="shared" si="356"/>
        <v>3.0565064252007221E-8</v>
      </c>
      <c r="AG349" s="3"/>
      <c r="AH349" s="3"/>
    </row>
    <row r="350" spans="2:34" x14ac:dyDescent="0.25">
      <c r="B350" s="3">
        <f t="shared" ref="B350:AF350" si="357">$C41*EXP(-B$363/$A41/EXP(-$G$126))</f>
        <v>0</v>
      </c>
      <c r="C350" s="3">
        <f t="shared" si="357"/>
        <v>0</v>
      </c>
      <c r="D350" s="3">
        <f t="shared" si="357"/>
        <v>0</v>
      </c>
      <c r="E350" s="3">
        <f t="shared" si="357"/>
        <v>0</v>
      </c>
      <c r="F350" s="3">
        <f t="shared" si="357"/>
        <v>0</v>
      </c>
      <c r="G350" s="3">
        <f t="shared" si="357"/>
        <v>0</v>
      </c>
      <c r="H350" s="3">
        <f t="shared" si="357"/>
        <v>0</v>
      </c>
      <c r="I350" s="3">
        <f t="shared" si="357"/>
        <v>0</v>
      </c>
      <c r="J350" s="3">
        <f t="shared" si="357"/>
        <v>0</v>
      </c>
      <c r="K350" s="3">
        <f t="shared" si="357"/>
        <v>0</v>
      </c>
      <c r="L350" s="3">
        <f t="shared" si="357"/>
        <v>0</v>
      </c>
      <c r="M350" s="3">
        <f t="shared" si="357"/>
        <v>0</v>
      </c>
      <c r="N350" s="3">
        <f t="shared" si="357"/>
        <v>0</v>
      </c>
      <c r="O350" s="3">
        <f t="shared" si="357"/>
        <v>0</v>
      </c>
      <c r="P350" s="3">
        <f t="shared" si="357"/>
        <v>0</v>
      </c>
      <c r="Q350" s="3">
        <f t="shared" si="357"/>
        <v>0</v>
      </c>
      <c r="R350" s="3">
        <f t="shared" si="357"/>
        <v>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1.7201579278298637E-4</v>
      </c>
      <c r="C351" s="3">
        <f t="shared" si="358"/>
        <v>1.7201579278298637E-4</v>
      </c>
      <c r="D351" s="3">
        <f t="shared" si="358"/>
        <v>1.7201579278298637E-4</v>
      </c>
      <c r="E351" s="3">
        <f t="shared" si="358"/>
        <v>1.7201579278298637E-4</v>
      </c>
      <c r="F351" s="3">
        <f t="shared" si="358"/>
        <v>1.7201579278298637E-4</v>
      </c>
      <c r="G351" s="3">
        <f t="shared" si="358"/>
        <v>1.7201579278298637E-4</v>
      </c>
      <c r="H351" s="3">
        <f t="shared" si="358"/>
        <v>1.7201579278298637E-4</v>
      </c>
      <c r="I351" s="3">
        <f t="shared" si="358"/>
        <v>1.7201579278298637E-4</v>
      </c>
      <c r="J351" s="3">
        <f t="shared" si="358"/>
        <v>1.7201579278298637E-4</v>
      </c>
      <c r="K351" s="3">
        <f t="shared" si="358"/>
        <v>1.7201579278298637E-4</v>
      </c>
      <c r="L351" s="3">
        <f t="shared" si="358"/>
        <v>1.7201579278298637E-4</v>
      </c>
      <c r="M351" s="3">
        <f t="shared" si="358"/>
        <v>1.7201579278298637E-4</v>
      </c>
      <c r="N351" s="3">
        <f t="shared" si="358"/>
        <v>1.7201579278298637E-4</v>
      </c>
      <c r="O351" s="3">
        <f t="shared" si="358"/>
        <v>1.7201579278298637E-4</v>
      </c>
      <c r="P351" s="3">
        <f t="shared" si="358"/>
        <v>1.7201579278298637E-4</v>
      </c>
      <c r="Q351" s="3">
        <f t="shared" si="358"/>
        <v>1.7201579278298634E-4</v>
      </c>
      <c r="R351" s="3">
        <f t="shared" si="358"/>
        <v>1.720157927829862E-4</v>
      </c>
      <c r="S351" s="3">
        <f t="shared" si="358"/>
        <v>1.7201579278298469E-4</v>
      </c>
      <c r="T351" s="3">
        <f t="shared" si="358"/>
        <v>1.7201579278296948E-4</v>
      </c>
      <c r="U351" s="3">
        <f t="shared" si="358"/>
        <v>1.7201579278281756E-4</v>
      </c>
      <c r="V351" s="3">
        <f t="shared" si="358"/>
        <v>1.720157927812981E-4</v>
      </c>
      <c r="W351" s="3">
        <f t="shared" si="358"/>
        <v>1.7201579276610374E-4</v>
      </c>
      <c r="X351" s="3">
        <f t="shared" si="358"/>
        <v>1.7201579261416004E-4</v>
      </c>
      <c r="Y351" s="3">
        <f t="shared" si="358"/>
        <v>1.7201579109472323E-4</v>
      </c>
      <c r="Z351" s="3">
        <f t="shared" si="358"/>
        <v>1.7201577590035579E-4</v>
      </c>
      <c r="AA351" s="3">
        <f t="shared" si="358"/>
        <v>1.7201562395675519E-4</v>
      </c>
      <c r="AB351" s="3">
        <f t="shared" si="358"/>
        <v>1.7201410452813071E-4</v>
      </c>
      <c r="AC351" s="3">
        <f t="shared" si="358"/>
        <v>1.7199891098003484E-4</v>
      </c>
      <c r="AD351" s="3">
        <f t="shared" si="358"/>
        <v>1.7184704928983316E-4</v>
      </c>
      <c r="AE351" s="3">
        <f t="shared" si="358"/>
        <v>1.7033578740368026E-4</v>
      </c>
      <c r="AF351" s="3">
        <f t="shared" si="358"/>
        <v>1.559351894935438E-4</v>
      </c>
      <c r="AG351" s="3"/>
      <c r="AH351" s="3"/>
    </row>
    <row r="352" spans="2:34" x14ac:dyDescent="0.25">
      <c r="B352" s="3">
        <f t="shared" ref="B352:AF352" si="359">$C43*EXP(-B$363/$A43/EXP(-$G$126))</f>
        <v>1.7468461922378131E-4</v>
      </c>
      <c r="C352" s="3">
        <f t="shared" si="359"/>
        <v>1.7468461922378131E-4</v>
      </c>
      <c r="D352" s="3">
        <f t="shared" si="359"/>
        <v>1.7468461922378131E-4</v>
      </c>
      <c r="E352" s="3">
        <f t="shared" si="359"/>
        <v>1.7468461922378131E-4</v>
      </c>
      <c r="F352" s="3">
        <f t="shared" si="359"/>
        <v>1.7468461922378131E-4</v>
      </c>
      <c r="G352" s="3">
        <f t="shared" si="359"/>
        <v>1.7468461922378131E-4</v>
      </c>
      <c r="H352" s="3">
        <f t="shared" si="359"/>
        <v>1.7468461922378131E-4</v>
      </c>
      <c r="I352" s="3">
        <f t="shared" si="359"/>
        <v>1.7468461922378131E-4</v>
      </c>
      <c r="J352" s="3">
        <f t="shared" si="359"/>
        <v>1.7468461922378131E-4</v>
      </c>
      <c r="K352" s="3">
        <f t="shared" si="359"/>
        <v>1.7468461922378131E-4</v>
      </c>
      <c r="L352" s="3">
        <f t="shared" si="359"/>
        <v>1.7468461922378131E-4</v>
      </c>
      <c r="M352" s="3">
        <f t="shared" si="359"/>
        <v>1.7468461922378131E-4</v>
      </c>
      <c r="N352" s="3">
        <f t="shared" si="359"/>
        <v>1.7468461922378131E-4</v>
      </c>
      <c r="O352" s="3">
        <f t="shared" si="359"/>
        <v>1.7468461922378131E-4</v>
      </c>
      <c r="P352" s="3">
        <f t="shared" si="359"/>
        <v>1.7468461922378131E-4</v>
      </c>
      <c r="Q352" s="3">
        <f t="shared" si="359"/>
        <v>1.7468461922378131E-4</v>
      </c>
      <c r="R352" s="3">
        <f t="shared" si="359"/>
        <v>1.7468461922378128E-4</v>
      </c>
      <c r="S352" s="3">
        <f t="shared" si="359"/>
        <v>1.7468461922378115E-4</v>
      </c>
      <c r="T352" s="3">
        <f t="shared" si="359"/>
        <v>1.746846192237796E-4</v>
      </c>
      <c r="U352" s="3">
        <f t="shared" si="359"/>
        <v>1.7468461922376415E-4</v>
      </c>
      <c r="V352" s="3">
        <f t="shared" si="359"/>
        <v>1.7468461922360987E-4</v>
      </c>
      <c r="W352" s="3">
        <f t="shared" si="359"/>
        <v>1.7468461922206686E-4</v>
      </c>
      <c r="X352" s="3">
        <f t="shared" si="359"/>
        <v>1.7468461920663674E-4</v>
      </c>
      <c r="Y352" s="3">
        <f t="shared" si="359"/>
        <v>1.7468461905233566E-4</v>
      </c>
      <c r="Z352" s="3">
        <f t="shared" si="359"/>
        <v>1.7468461750932477E-4</v>
      </c>
      <c r="AA352" s="3">
        <f t="shared" si="359"/>
        <v>1.7468460207921657E-4</v>
      </c>
      <c r="AB352" s="3">
        <f t="shared" si="359"/>
        <v>1.7468444777820976E-4</v>
      </c>
      <c r="AC352" s="3">
        <f t="shared" si="359"/>
        <v>1.7468290477563766E-4</v>
      </c>
      <c r="AD352" s="3">
        <f t="shared" si="359"/>
        <v>1.7466747549951806E-4</v>
      </c>
      <c r="AE352" s="3">
        <f t="shared" si="359"/>
        <v>1.7451325767394297E-4</v>
      </c>
      <c r="AF352" s="3">
        <f t="shared" si="359"/>
        <v>1.7297854854718807E-4</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2.0999278642033111E-4</v>
      </c>
      <c r="C354" s="3">
        <f t="shared" si="361"/>
        <v>2.0999278642033111E-4</v>
      </c>
      <c r="D354" s="3">
        <f t="shared" si="361"/>
        <v>2.0999278642033111E-4</v>
      </c>
      <c r="E354" s="3">
        <f t="shared" si="361"/>
        <v>2.0999278642033111E-4</v>
      </c>
      <c r="F354" s="3">
        <f t="shared" si="361"/>
        <v>2.0999278642033111E-4</v>
      </c>
      <c r="G354" s="3">
        <f t="shared" si="361"/>
        <v>2.0999278642033111E-4</v>
      </c>
      <c r="H354" s="3">
        <f t="shared" si="361"/>
        <v>2.0999278642033111E-4</v>
      </c>
      <c r="I354" s="3">
        <f t="shared" si="361"/>
        <v>2.0999278642033111E-4</v>
      </c>
      <c r="J354" s="3">
        <f t="shared" si="361"/>
        <v>2.0999278642033111E-4</v>
      </c>
      <c r="K354" s="3">
        <f t="shared" si="361"/>
        <v>2.0999278642033111E-4</v>
      </c>
      <c r="L354" s="3">
        <f t="shared" si="361"/>
        <v>2.0999278642033111E-4</v>
      </c>
      <c r="M354" s="3">
        <f t="shared" si="361"/>
        <v>2.0999278642033111E-4</v>
      </c>
      <c r="N354" s="3">
        <f t="shared" si="361"/>
        <v>2.0999278642033111E-4</v>
      </c>
      <c r="O354" s="3">
        <f t="shared" si="361"/>
        <v>2.0999278642033111E-4</v>
      </c>
      <c r="P354" s="3">
        <f t="shared" si="361"/>
        <v>2.0999278642033111E-4</v>
      </c>
      <c r="Q354" s="3">
        <f t="shared" si="361"/>
        <v>2.0999278642033111E-4</v>
      </c>
      <c r="R354" s="3">
        <f t="shared" si="361"/>
        <v>2.0999278642033111E-4</v>
      </c>
      <c r="S354" s="3">
        <f t="shared" si="361"/>
        <v>2.0999278642033111E-4</v>
      </c>
      <c r="T354" s="3">
        <f t="shared" si="361"/>
        <v>2.0999278642033108E-4</v>
      </c>
      <c r="U354" s="3">
        <f t="shared" si="361"/>
        <v>2.0999278642033089E-4</v>
      </c>
      <c r="V354" s="3">
        <f t="shared" si="361"/>
        <v>2.0999278642032905E-4</v>
      </c>
      <c r="W354" s="3">
        <f t="shared" si="361"/>
        <v>2.0999278642031051E-4</v>
      </c>
      <c r="X354" s="3">
        <f t="shared" si="361"/>
        <v>2.09992786420125E-4</v>
      </c>
      <c r="Y354" s="3">
        <f t="shared" si="361"/>
        <v>2.0999278641827012E-4</v>
      </c>
      <c r="Z354" s="3">
        <f t="shared" si="361"/>
        <v>2.0999278639972119E-4</v>
      </c>
      <c r="AA354" s="3">
        <f t="shared" si="361"/>
        <v>2.0999278621423195E-4</v>
      </c>
      <c r="AB354" s="3">
        <f t="shared" si="361"/>
        <v>2.0999278435933965E-4</v>
      </c>
      <c r="AC354" s="3">
        <f t="shared" si="361"/>
        <v>2.0999276581041746E-4</v>
      </c>
      <c r="AD354" s="3">
        <f t="shared" si="361"/>
        <v>2.0999258032128559E-4</v>
      </c>
      <c r="AE354" s="3">
        <f t="shared" si="361"/>
        <v>2.0999072543897822E-4</v>
      </c>
      <c r="AF354" s="3">
        <f t="shared" si="361"/>
        <v>2.0997217751701918E-4</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1.7320221207897527E-4</v>
      </c>
      <c r="C357" s="3">
        <f t="shared" si="364"/>
        <v>1.7320221207897527E-4</v>
      </c>
      <c r="D357" s="3">
        <f t="shared" si="364"/>
        <v>1.7320221207897527E-4</v>
      </c>
      <c r="E357" s="3">
        <f t="shared" si="364"/>
        <v>1.7320221207897527E-4</v>
      </c>
      <c r="F357" s="3">
        <f t="shared" si="364"/>
        <v>1.7320221207897527E-4</v>
      </c>
      <c r="G357" s="3">
        <f t="shared" si="364"/>
        <v>1.7320221207897527E-4</v>
      </c>
      <c r="H357" s="3">
        <f t="shared" si="364"/>
        <v>1.7320221207897527E-4</v>
      </c>
      <c r="I357" s="3">
        <f t="shared" si="364"/>
        <v>1.7320221207897527E-4</v>
      </c>
      <c r="J357" s="3">
        <f t="shared" si="364"/>
        <v>1.7320221207897527E-4</v>
      </c>
      <c r="K357" s="3">
        <f t="shared" si="364"/>
        <v>1.7320221207897527E-4</v>
      </c>
      <c r="L357" s="3">
        <f t="shared" si="364"/>
        <v>1.7320221207897527E-4</v>
      </c>
      <c r="M357" s="3">
        <f t="shared" si="364"/>
        <v>1.7320221207897527E-4</v>
      </c>
      <c r="N357" s="3">
        <f t="shared" si="364"/>
        <v>1.7320221207897527E-4</v>
      </c>
      <c r="O357" s="3">
        <f t="shared" si="364"/>
        <v>1.7320221207897527E-4</v>
      </c>
      <c r="P357" s="3">
        <f t="shared" si="364"/>
        <v>1.7320221207897527E-4</v>
      </c>
      <c r="Q357" s="3">
        <f t="shared" si="364"/>
        <v>1.7320221207897527E-4</v>
      </c>
      <c r="R357" s="3">
        <f t="shared" si="364"/>
        <v>1.7320221207897527E-4</v>
      </c>
      <c r="S357" s="3">
        <f t="shared" si="364"/>
        <v>1.7320221207897527E-4</v>
      </c>
      <c r="T357" s="3">
        <f t="shared" si="364"/>
        <v>1.7320221207897527E-4</v>
      </c>
      <c r="U357" s="3">
        <f t="shared" si="364"/>
        <v>1.7320221207897527E-4</v>
      </c>
      <c r="V357" s="3">
        <f t="shared" si="364"/>
        <v>1.7320221207897527E-4</v>
      </c>
      <c r="W357" s="3">
        <f t="shared" si="364"/>
        <v>1.7320221207897524E-4</v>
      </c>
      <c r="X357" s="3">
        <f t="shared" si="364"/>
        <v>1.7320221207897511E-4</v>
      </c>
      <c r="Y357" s="3">
        <f t="shared" si="364"/>
        <v>1.7320221207897359E-4</v>
      </c>
      <c r="Z357" s="3">
        <f t="shared" si="364"/>
        <v>1.7320221207895828E-4</v>
      </c>
      <c r="AA357" s="3">
        <f t="shared" si="364"/>
        <v>1.732022120788053E-4</v>
      </c>
      <c r="AB357" s="3">
        <f t="shared" si="364"/>
        <v>1.7320221207727535E-4</v>
      </c>
      <c r="AC357" s="3">
        <f t="shared" si="364"/>
        <v>1.732022120619762E-4</v>
      </c>
      <c r="AD357" s="3">
        <f t="shared" si="364"/>
        <v>1.7320221190898454E-4</v>
      </c>
      <c r="AE357" s="3">
        <f t="shared" si="364"/>
        <v>1.7320221037906794E-4</v>
      </c>
      <c r="AF357" s="3">
        <f t="shared" si="364"/>
        <v>1.732021950799026E-4</v>
      </c>
      <c r="AG357" s="3"/>
      <c r="AH357" s="3"/>
    </row>
    <row r="358" spans="1:34" x14ac:dyDescent="0.25">
      <c r="A358" s="79">
        <f>AVERAGE(B358:AF358)</f>
        <v>5.1832736371755193E-2</v>
      </c>
      <c r="B358" s="80">
        <f>IF($A$64&lt;=B324,IF($B$64&gt;=B324,ABS((B326-B325)/B325),0),0)</f>
        <v>0.18016602740552995</v>
      </c>
      <c r="C358" s="80">
        <f t="shared" ref="C358:AF358" si="365">IF($A$64&lt;=C324,IF($B$64&gt;=C324,ABS((C326-C325)/C325),0),0)</f>
        <v>3.0522431337026774E-2</v>
      </c>
      <c r="D358" s="80">
        <f t="shared" si="365"/>
        <v>0.18717045698123083</v>
      </c>
      <c r="E358" s="80">
        <f t="shared" si="365"/>
        <v>0.15351300275774848</v>
      </c>
      <c r="F358" s="80">
        <f t="shared" si="365"/>
        <v>0.10986208855754903</v>
      </c>
      <c r="G358" s="80">
        <f t="shared" si="365"/>
        <v>6.1709326419538156E-2</v>
      </c>
      <c r="H358" s="80">
        <f t="shared" si="365"/>
        <v>1.8809202371064787E-2</v>
      </c>
      <c r="I358" s="80">
        <f t="shared" si="365"/>
        <v>7.7959922449898746E-3</v>
      </c>
      <c r="J358" s="80">
        <f t="shared" si="365"/>
        <v>2.1800789917943965E-2</v>
      </c>
      <c r="K358" s="80">
        <f t="shared" si="365"/>
        <v>1.5801822310147883E-2</v>
      </c>
      <c r="L358" s="80">
        <f t="shared" si="365"/>
        <v>1.7855438893670972E-2</v>
      </c>
      <c r="M358" s="80">
        <f t="shared" si="365"/>
        <v>2.1271160966294594E-2</v>
      </c>
      <c r="N358" s="80">
        <f t="shared" si="365"/>
        <v>2.3924671824891077E-2</v>
      </c>
      <c r="O358" s="80">
        <f t="shared" si="365"/>
        <v>2.8623718219428228E-2</v>
      </c>
      <c r="P358" s="80">
        <f t="shared" si="365"/>
        <v>3.2817491778593E-2</v>
      </c>
      <c r="Q358" s="80">
        <f t="shared" si="365"/>
        <v>3.130421433416565E-2</v>
      </c>
      <c r="R358" s="80">
        <f t="shared" si="365"/>
        <v>1.9330266156690229E-2</v>
      </c>
      <c r="S358" s="80">
        <f t="shared" si="365"/>
        <v>9.1993031003057835E-3</v>
      </c>
      <c r="T358" s="80">
        <f t="shared" si="365"/>
        <v>9.1281282527969456E-4</v>
      </c>
      <c r="U358" s="80">
        <f t="shared" si="365"/>
        <v>1.9611973964240911E-2</v>
      </c>
      <c r="V358" s="80">
        <f t="shared" si="365"/>
        <v>5.460337707383521E-2</v>
      </c>
      <c r="W358" s="80">
        <f t="shared" si="365"/>
        <v>8.7156130529595019E-2</v>
      </c>
      <c r="X358" s="80">
        <f t="shared" si="365"/>
        <v>0.10287239250899238</v>
      </c>
      <c r="Y358" s="80">
        <f t="shared" si="365"/>
        <v>9.8824903933700206E-2</v>
      </c>
      <c r="Z358" s="80">
        <f t="shared" si="365"/>
        <v>8.4006715726946693E-2</v>
      </c>
      <c r="AA358" s="80">
        <f t="shared" si="365"/>
        <v>6.4003516327956686E-2</v>
      </c>
      <c r="AB358" s="80">
        <f t="shared" si="365"/>
        <v>3.4217312393896034E-2</v>
      </c>
      <c r="AC358" s="80">
        <f t="shared" si="365"/>
        <v>3.3700831965730441E-2</v>
      </c>
      <c r="AD358" s="80">
        <f t="shared" si="365"/>
        <v>2.4182133275331235E-2</v>
      </c>
      <c r="AE358" s="80">
        <f t="shared" si="365"/>
        <v>1.849875365386755E-2</v>
      </c>
      <c r="AF358" s="80">
        <f t="shared" si="365"/>
        <v>1.2746567768230393E-2</v>
      </c>
    </row>
    <row r="359" spans="1:34" x14ac:dyDescent="0.25">
      <c r="B359" s="21">
        <f>(B326-B325)^2</f>
        <v>830116.62691869726</v>
      </c>
      <c r="C359" s="21">
        <f t="shared" ref="C359:AF359" si="366">(C326-C325)^2</f>
        <v>21903.374562570236</v>
      </c>
      <c r="D359" s="21">
        <f t="shared" si="366"/>
        <v>768810.72357794433</v>
      </c>
      <c r="E359" s="21">
        <f t="shared" si="366"/>
        <v>476828.1755194274</v>
      </c>
      <c r="F359" s="21">
        <f t="shared" si="366"/>
        <v>220838.12489497208</v>
      </c>
      <c r="G359" s="21">
        <f t="shared" si="366"/>
        <v>62679.832975994257</v>
      </c>
      <c r="H359" s="21">
        <f t="shared" si="366"/>
        <v>5301.9577316814384</v>
      </c>
      <c r="I359" s="21">
        <f t="shared" si="366"/>
        <v>830.13550798884251</v>
      </c>
      <c r="J359" s="21">
        <f t="shared" si="366"/>
        <v>5907.7920891751137</v>
      </c>
      <c r="K359" s="21">
        <f t="shared" si="366"/>
        <v>2814.2048130870126</v>
      </c>
      <c r="L359" s="21">
        <f t="shared" si="366"/>
        <v>3238.3371945241342</v>
      </c>
      <c r="M359" s="21">
        <f t="shared" si="366"/>
        <v>4063.9296028714016</v>
      </c>
      <c r="N359" s="21">
        <f t="shared" si="366"/>
        <v>4439.8664847356849</v>
      </c>
      <c r="O359" s="21">
        <f t="shared" si="366"/>
        <v>5322.0278315650285</v>
      </c>
      <c r="P359" s="21">
        <f t="shared" si="366"/>
        <v>5587.6730905258783</v>
      </c>
      <c r="Q359" s="21">
        <f t="shared" si="366"/>
        <v>3708.6837486710906</v>
      </c>
      <c r="R359" s="21">
        <f t="shared" si="366"/>
        <v>894.30777916464388</v>
      </c>
      <c r="S359" s="21">
        <f t="shared" si="366"/>
        <v>110.88305741979887</v>
      </c>
      <c r="T359" s="21">
        <f t="shared" si="366"/>
        <v>0.53330736030116488</v>
      </c>
      <c r="U359" s="21">
        <f t="shared" si="366"/>
        <v>116.50848034149342</v>
      </c>
      <c r="V359" s="21">
        <f t="shared" si="366"/>
        <v>477.97412201361414</v>
      </c>
      <c r="W359" s="21">
        <f t="shared" si="366"/>
        <v>794.62071735015229</v>
      </c>
      <c r="X359" s="21">
        <f t="shared" si="366"/>
        <v>863.33170726550418</v>
      </c>
      <c r="Y359" s="21">
        <f t="shared" si="366"/>
        <v>684.43632890721585</v>
      </c>
      <c r="Z359" s="21">
        <f t="shared" si="366"/>
        <v>446.07183528149659</v>
      </c>
      <c r="AA359" s="21">
        <f t="shared" si="366"/>
        <v>245.74508682853991</v>
      </c>
      <c r="AB359" s="21">
        <f t="shared" si="366"/>
        <v>63.730485469083341</v>
      </c>
      <c r="AC359" s="21">
        <f t="shared" si="366"/>
        <v>57.464885653834365</v>
      </c>
      <c r="AD359" s="21">
        <f t="shared" si="366"/>
        <v>29.295189217520811</v>
      </c>
      <c r="AE359" s="21">
        <f t="shared" si="366"/>
        <v>17.038371379249597</v>
      </c>
      <c r="AF359" s="21">
        <f t="shared" si="366"/>
        <v>8.0815810647702904</v>
      </c>
      <c r="AG359" s="3"/>
      <c r="AH359" s="3"/>
    </row>
    <row r="360" spans="1:34" x14ac:dyDescent="0.25">
      <c r="A360" s="71">
        <f>SUM(B360:AF360)</f>
        <v>2427201.4894791478</v>
      </c>
      <c r="B360" s="60">
        <f>IF($A$64&lt;=B324,IF($B$64&gt;=B324,ABS(B359),0),0)</f>
        <v>830116.62691869726</v>
      </c>
      <c r="C360" s="60">
        <f t="shared" ref="C360:AF360" si="367">IF($A$64&lt;=C324,IF($B$64&gt;=C324,ABS(C359),0),0)</f>
        <v>21903.374562570236</v>
      </c>
      <c r="D360" s="60">
        <f t="shared" si="367"/>
        <v>768810.72357794433</v>
      </c>
      <c r="E360" s="60">
        <f t="shared" si="367"/>
        <v>476828.1755194274</v>
      </c>
      <c r="F360" s="60">
        <f t="shared" si="367"/>
        <v>220838.12489497208</v>
      </c>
      <c r="G360" s="60">
        <f t="shared" si="367"/>
        <v>62679.832975994257</v>
      </c>
      <c r="H360" s="60">
        <f t="shared" si="367"/>
        <v>5301.9577316814384</v>
      </c>
      <c r="I360" s="60">
        <f t="shared" si="367"/>
        <v>830.13550798884251</v>
      </c>
      <c r="J360" s="60">
        <f t="shared" si="367"/>
        <v>5907.7920891751137</v>
      </c>
      <c r="K360" s="60">
        <f t="shared" si="367"/>
        <v>2814.2048130870126</v>
      </c>
      <c r="L360" s="60">
        <f t="shared" si="367"/>
        <v>3238.3371945241342</v>
      </c>
      <c r="M360" s="60">
        <f t="shared" si="367"/>
        <v>4063.9296028714016</v>
      </c>
      <c r="N360" s="60">
        <f t="shared" si="367"/>
        <v>4439.8664847356849</v>
      </c>
      <c r="O360" s="60">
        <f t="shared" si="367"/>
        <v>5322.0278315650285</v>
      </c>
      <c r="P360" s="60">
        <f t="shared" si="367"/>
        <v>5587.6730905258783</v>
      </c>
      <c r="Q360" s="60">
        <f t="shared" si="367"/>
        <v>3708.6837486710906</v>
      </c>
      <c r="R360" s="60">
        <f t="shared" si="367"/>
        <v>894.30777916464388</v>
      </c>
      <c r="S360" s="60">
        <f t="shared" si="367"/>
        <v>110.88305741979887</v>
      </c>
      <c r="T360" s="60">
        <f t="shared" si="367"/>
        <v>0.53330736030116488</v>
      </c>
      <c r="U360" s="60">
        <f t="shared" si="367"/>
        <v>116.50848034149342</v>
      </c>
      <c r="V360" s="60">
        <f t="shared" si="367"/>
        <v>477.97412201361414</v>
      </c>
      <c r="W360" s="60">
        <f t="shared" si="367"/>
        <v>794.62071735015229</v>
      </c>
      <c r="X360" s="60">
        <f t="shared" si="367"/>
        <v>863.33170726550418</v>
      </c>
      <c r="Y360" s="60">
        <f t="shared" si="367"/>
        <v>684.43632890721585</v>
      </c>
      <c r="Z360" s="60">
        <f t="shared" si="367"/>
        <v>446.07183528149659</v>
      </c>
      <c r="AA360" s="60">
        <f t="shared" si="367"/>
        <v>245.74508682853991</v>
      </c>
      <c r="AB360" s="60">
        <f t="shared" si="367"/>
        <v>63.730485469083341</v>
      </c>
      <c r="AC360" s="60">
        <f t="shared" si="367"/>
        <v>57.464885653834365</v>
      </c>
      <c r="AD360" s="60">
        <f t="shared" si="367"/>
        <v>29.295189217520811</v>
      </c>
      <c r="AE360" s="60">
        <f t="shared" si="367"/>
        <v>17.038371379249597</v>
      </c>
      <c r="AF360" s="60">
        <f t="shared" si="367"/>
        <v>8.0815810647702904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3863.1779800091354</v>
      </c>
      <c r="C364" s="26">
        <f>INDEX(Comparison!$AM$3:$AS$33,G$14,$H$122)</f>
        <v>3639.1828782559405</v>
      </c>
      <c r="D364" s="26">
        <f>INDEX(Comparison!$AM$3:$AS$33,H$14,$H$122)</f>
        <v>3469.1983065316617</v>
      </c>
      <c r="E364" s="26">
        <f>INDEX(Comparison!$AM$3:$AS$33,I$14,$H$122)</f>
        <v>3299.3094714954932</v>
      </c>
      <c r="F364" s="26">
        <f>INDEX(Comparison!$AM$3:$AS$33,J$14,$H$122)</f>
        <v>3129.0766280827079</v>
      </c>
      <c r="G364" s="26">
        <f>INDEX(Comparison!$AM$3:$AS$33,K$14,$H$122)</f>
        <v>2931.3619259938991</v>
      </c>
      <c r="H364" s="26">
        <f>INDEX(Comparison!$AM$3:$AS$33,L$14,$H$122)</f>
        <v>2716.4697293377858</v>
      </c>
      <c r="I364" s="26">
        <f>INDEX(Comparison!$AM$3:$AS$33,M$14,$H$122)</f>
        <v>2473.3394151100656</v>
      </c>
      <c r="J364" s="26">
        <f>INDEX(Comparison!$AM$3:$AS$33,N$14,$H$122)</f>
        <v>2200.4685992187833</v>
      </c>
      <c r="K364" s="26">
        <f>INDEX(Comparison!$AM$3:$AS$33,O$14,$H$122)</f>
        <v>1881.1238306732719</v>
      </c>
      <c r="L364" s="26">
        <f>INDEX(Comparison!$AM$3:$AS$33,P$14,$H$122)</f>
        <v>1513.9966699513473</v>
      </c>
      <c r="M364" s="26">
        <f>INDEX(Comparison!$AM$3:$AS$33,Q$14,$H$122)</f>
        <v>1130.1912363654051</v>
      </c>
      <c r="N364" s="26">
        <f>INDEX(Comparison!$AM$3:$AS$33,R$14,$H$122)</f>
        <v>797.41301356348504</v>
      </c>
      <c r="O364" s="26">
        <f>INDEX(Comparison!$AM$3:$AS$33,S$14,$H$122)</f>
        <v>558.94090982101648</v>
      </c>
      <c r="P364" s="26">
        <f>INDEX(Comparison!$AM$3:$AS$33,T$14,$H$122)</f>
        <v>422.14623536379804</v>
      </c>
      <c r="Q364" s="26">
        <f>INDEX(Comparison!$AM$3:$AS$33,U$14,$H$122)</f>
        <v>350.78880475369743</v>
      </c>
      <c r="R364" s="26">
        <f>INDEX(Comparison!$AM$3:$AS$33,V$14,$H$122)</f>
        <v>315.13341803519359</v>
      </c>
      <c r="S364" s="26">
        <f>INDEX(Comparison!$AM$3:$AS$33,W$14,$H$122)</f>
        <v>290.52342792543726</v>
      </c>
      <c r="T364" s="26">
        <f>INDEX(Comparison!$AM$3:$AS$33,X$14,$H$122)</f>
        <v>272.57314075796921</v>
      </c>
      <c r="U364" s="26">
        <f>INDEX(Comparison!$AM$3:$AS$33,Y$14,$H$122)</f>
        <v>260.41060204475895</v>
      </c>
      <c r="V364" s="26">
        <f>INDEX(Comparison!$AM$3:$AS$33,Z$14,$H$122)</f>
        <v>241.23114118692146</v>
      </c>
      <c r="W364" s="26">
        <f>INDEX(Comparison!$AM$3:$AS$33,AA$14,$H$122)</f>
        <v>232.46309688187819</v>
      </c>
      <c r="X364" s="26">
        <f>INDEX(Comparison!$AM$3:$AS$33,AB$14,$H$122)</f>
        <v>229.22768516622719</v>
      </c>
      <c r="Y364" s="26">
        <f>INDEX(Comparison!$AM$3:$AS$33,AC$14,$H$122)</f>
        <v>227.25322776524877</v>
      </c>
      <c r="Z364" s="26">
        <f>INDEX(Comparison!$AM$3:$AS$33,AD$14,$H$122)</f>
        <v>225.80080804948139</v>
      </c>
      <c r="AA364" s="26">
        <f>INDEX(Comparison!$AM$3:$AS$33,AE$14,$H$122)</f>
        <v>225.33034168462086</v>
      </c>
      <c r="AB364" s="26">
        <f>INDEX(Comparison!$AM$3:$AS$33,AF$14,$H$122)</f>
        <v>224.04934964747176</v>
      </c>
      <c r="AC364" s="26">
        <f>INDEX(Comparison!$AM$3:$AS$33,AG$14,$H$122)</f>
        <v>223.9208158671365</v>
      </c>
      <c r="AD364" s="26">
        <f>INDEX(Comparison!$AM$3:$AS$33,AH$14,$H$122)</f>
        <v>222.73926014927349</v>
      </c>
      <c r="AE364" s="26">
        <f>INDEX(Comparison!$AM$3:$AS$33,AI$14,$H$122)</f>
        <v>222.70233168577724</v>
      </c>
      <c r="AF364" s="26">
        <f>INDEX(Comparison!$AM$3:$AS$33,AJ$14,$H$122)</f>
        <v>222.39987665575754</v>
      </c>
      <c r="AG364" s="26"/>
      <c r="AH364" s="26"/>
    </row>
    <row r="365" spans="1:34" x14ac:dyDescent="0.25">
      <c r="A365" s="70" t="s">
        <v>22</v>
      </c>
      <c r="B365" s="27">
        <f>($C$17+SUM(B366:B396))*$B$51</f>
        <v>3798.0597310734506</v>
      </c>
      <c r="C365" s="27">
        <f t="shared" ref="C365:AF365" si="368">($C$17+SUM(C366:C396))*$B$51</f>
        <v>3721.8063596574784</v>
      </c>
      <c r="D365" s="27">
        <f t="shared" si="368"/>
        <v>3445.205123194899</v>
      </c>
      <c r="E365" s="27">
        <f t="shared" si="368"/>
        <v>3301.7849806472659</v>
      </c>
      <c r="F365" s="27">
        <f t="shared" si="368"/>
        <v>3127.0297528512592</v>
      </c>
      <c r="G365" s="27">
        <f t="shared" si="368"/>
        <v>2929.6871928360647</v>
      </c>
      <c r="H365" s="27">
        <f t="shared" si="368"/>
        <v>2714.4752771965841</v>
      </c>
      <c r="I365" s="27">
        <f t="shared" si="368"/>
        <v>2471.1041934458362</v>
      </c>
      <c r="J365" s="27">
        <f t="shared" si="368"/>
        <v>2197.762356049458</v>
      </c>
      <c r="K365" s="27">
        <f t="shared" si="368"/>
        <v>1878.2486918667405</v>
      </c>
      <c r="L365" s="27">
        <f t="shared" si="368"/>
        <v>1510.1459303113272</v>
      </c>
      <c r="M365" s="27">
        <f t="shared" si="368"/>
        <v>1127.3997369993465</v>
      </c>
      <c r="N365" s="27">
        <f t="shared" si="368"/>
        <v>794.22060415260114</v>
      </c>
      <c r="O365" s="27">
        <f t="shared" si="368"/>
        <v>558.15252305960769</v>
      </c>
      <c r="P365" s="27">
        <f t="shared" si="368"/>
        <v>420.79117534621793</v>
      </c>
      <c r="Q365" s="27">
        <f t="shared" si="368"/>
        <v>350.92239346991533</v>
      </c>
      <c r="R365" s="27">
        <f t="shared" si="368"/>
        <v>314.62146543858728</v>
      </c>
      <c r="S365" s="27">
        <f t="shared" si="368"/>
        <v>290.55270999013669</v>
      </c>
      <c r="T365" s="27">
        <f t="shared" si="368"/>
        <v>272.40387917109013</v>
      </c>
      <c r="U365" s="27">
        <f t="shared" si="368"/>
        <v>260.31456812442116</v>
      </c>
      <c r="V365" s="27">
        <f t="shared" si="368"/>
        <v>241.12455440815904</v>
      </c>
      <c r="W365" s="27">
        <f t="shared" si="368"/>
        <v>232.44742755413989</v>
      </c>
      <c r="X365" s="27">
        <f t="shared" si="368"/>
        <v>229.20836903626611</v>
      </c>
      <c r="Y365" s="27">
        <f t="shared" si="368"/>
        <v>227.21709544416217</v>
      </c>
      <c r="Z365" s="27">
        <f t="shared" si="368"/>
        <v>225.86447822105291</v>
      </c>
      <c r="AA365" s="27">
        <f t="shared" si="368"/>
        <v>225.1921526798975</v>
      </c>
      <c r="AB365" s="27">
        <f t="shared" si="368"/>
        <v>224.20956146685222</v>
      </c>
      <c r="AC365" s="27">
        <f t="shared" si="368"/>
        <v>223.70619844927853</v>
      </c>
      <c r="AD365" s="27">
        <f t="shared" si="368"/>
        <v>223.0004993250183</v>
      </c>
      <c r="AE365" s="27">
        <f t="shared" si="368"/>
        <v>222.52128894321416</v>
      </c>
      <c r="AF365" s="27">
        <f t="shared" si="368"/>
        <v>222.42826871909972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5.6660193328100586E-2</v>
      </c>
      <c r="C367" s="3">
        <f t="shared" si="370"/>
        <v>4.4802416845456453E-2</v>
      </c>
      <c r="D367" s="3">
        <f t="shared" si="370"/>
        <v>4.2809025982268314E-3</v>
      </c>
      <c r="E367" s="3">
        <f t="shared" si="370"/>
        <v>2.7156537019645402E-13</v>
      </c>
      <c r="F367" s="3">
        <f t="shared" si="370"/>
        <v>2.8659248926256288E-115</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1.8874658294798282E-2</v>
      </c>
      <c r="C368" s="3">
        <f t="shared" si="371"/>
        <v>1.8479063566018073E-2</v>
      </c>
      <c r="D368" s="3">
        <f t="shared" si="371"/>
        <v>1.4951631124494028E-2</v>
      </c>
      <c r="E368" s="3">
        <f t="shared" si="371"/>
        <v>1.7979380316074484E-3</v>
      </c>
      <c r="F368" s="3">
        <f t="shared" si="371"/>
        <v>1.136674640788057E-12</v>
      </c>
      <c r="G368" s="3">
        <f t="shared" si="371"/>
        <v>1.1594464358854895E-104</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2.995643910335799E-2</v>
      </c>
      <c r="C369" s="3">
        <f t="shared" si="372"/>
        <v>2.9899253754616714E-2</v>
      </c>
      <c r="D369" s="3">
        <f t="shared" si="372"/>
        <v>2.9333370032895201E-2</v>
      </c>
      <c r="E369" s="3">
        <f t="shared" si="372"/>
        <v>2.4231376083880721E-2</v>
      </c>
      <c r="F369" s="3">
        <f t="shared" si="372"/>
        <v>3.5854135186210337E-3</v>
      </c>
      <c r="G369" s="3">
        <f t="shared" si="372"/>
        <v>1.8036446862144031E-11</v>
      </c>
      <c r="H369" s="3">
        <f t="shared" si="372"/>
        <v>1.8718383319946865E-94</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3.3252500295424779E-2</v>
      </c>
      <c r="C370" s="3">
        <f t="shared" si="373"/>
        <v>3.3246769130480809E-2</v>
      </c>
      <c r="D370" s="3">
        <f t="shared" si="373"/>
        <v>3.3189511781020198E-2</v>
      </c>
      <c r="E370" s="3">
        <f t="shared" si="373"/>
        <v>3.2622333813021868E-2</v>
      </c>
      <c r="F370" s="3">
        <f t="shared" si="373"/>
        <v>2.7457226205281311E-2</v>
      </c>
      <c r="G370" s="3">
        <f t="shared" si="373"/>
        <v>4.8986115732211084E-3</v>
      </c>
      <c r="H370" s="3">
        <f t="shared" si="373"/>
        <v>1.600429064556E-10</v>
      </c>
      <c r="I370" s="3">
        <f t="shared" si="373"/>
        <v>2.2175360329753983E-85</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3.5952272848668317E-2</v>
      </c>
      <c r="C371" s="3">
        <f t="shared" si="374"/>
        <v>3.5951713830920856E-2</v>
      </c>
      <c r="D371" s="3">
        <f t="shared" si="374"/>
        <v>3.5946124131489544E-2</v>
      </c>
      <c r="E371" s="3">
        <f t="shared" si="374"/>
        <v>3.5890274914019457E-2</v>
      </c>
      <c r="F371" s="3">
        <f t="shared" si="374"/>
        <v>3.5336533050914845E-2</v>
      </c>
      <c r="G371" s="3">
        <f t="shared" si="374"/>
        <v>3.0247916404502237E-2</v>
      </c>
      <c r="H371" s="3">
        <f t="shared" si="374"/>
        <v>6.3886740195206763E-3</v>
      </c>
      <c r="I371" s="3">
        <f t="shared" si="374"/>
        <v>1.1286606324847811E-9</v>
      </c>
      <c r="J371" s="3">
        <f t="shared" si="374"/>
        <v>3.3426419533539163E-77</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4.1559937870245409E-2</v>
      </c>
      <c r="C372" s="3">
        <f t="shared" si="375"/>
        <v>4.1559879576253372E-2</v>
      </c>
      <c r="D372" s="3">
        <f t="shared" si="375"/>
        <v>4.1559296640830148E-2</v>
      </c>
      <c r="E372" s="3">
        <f t="shared" si="375"/>
        <v>4.1553467736285571E-2</v>
      </c>
      <c r="F372" s="3">
        <f t="shared" si="375"/>
        <v>4.1495223636282642E-2</v>
      </c>
      <c r="G372" s="3">
        <f t="shared" si="375"/>
        <v>4.0917253941994733E-2</v>
      </c>
      <c r="H372" s="3">
        <f t="shared" si="375"/>
        <v>3.5562327611624422E-2</v>
      </c>
      <c r="I372" s="3">
        <f t="shared" si="375"/>
        <v>8.746356378300759E-3</v>
      </c>
      <c r="J372" s="3">
        <f t="shared" si="375"/>
        <v>7.0826711036531512E-9</v>
      </c>
      <c r="K372" s="3">
        <f t="shared" si="375"/>
        <v>8.5880810498132434E-70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4.6096771057518339E-2</v>
      </c>
      <c r="C373" s="3">
        <f t="shared" si="376"/>
        <v>4.6096765224863445E-2</v>
      </c>
      <c r="D373" s="3">
        <f t="shared" si="376"/>
        <v>4.6096706898355065E-2</v>
      </c>
      <c r="E373" s="3">
        <f t="shared" si="376"/>
        <v>4.6096123637330344E-2</v>
      </c>
      <c r="F373" s="3">
        <f t="shared" si="376"/>
        <v>4.609029143296739E-2</v>
      </c>
      <c r="G373" s="3">
        <f t="shared" si="376"/>
        <v>4.6032009958768862E-2</v>
      </c>
      <c r="H373" s="3">
        <f t="shared" si="376"/>
        <v>4.5453233230871561E-2</v>
      </c>
      <c r="I373" s="3">
        <f t="shared" si="376"/>
        <v>4.0050985806768406E-2</v>
      </c>
      <c r="J373" s="3">
        <f t="shared" si="376"/>
        <v>1.1300495800162257E-2</v>
      </c>
      <c r="K373" s="3">
        <f t="shared" si="376"/>
        <v>3.613602504677411E-8</v>
      </c>
      <c r="L373" s="3">
        <f t="shared" si="376"/>
        <v>4.0398866696912734E-63</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5.5576139704001701E-2</v>
      </c>
      <c r="C374" s="3">
        <f t="shared" si="377"/>
        <v>5.5576139069649033E-2</v>
      </c>
      <c r="D374" s="3">
        <f t="shared" si="377"/>
        <v>5.5576132726122773E-2</v>
      </c>
      <c r="E374" s="3">
        <f t="shared" si="377"/>
        <v>5.5576069290900018E-2</v>
      </c>
      <c r="F374" s="3">
        <f t="shared" si="377"/>
        <v>5.5575434942654725E-2</v>
      </c>
      <c r="G374" s="3">
        <f t="shared" si="377"/>
        <v>5.5569091858414917E-2</v>
      </c>
      <c r="H374" s="3">
        <f t="shared" si="377"/>
        <v>5.5505700820508409E-2</v>
      </c>
      <c r="I374" s="3">
        <f t="shared" si="377"/>
        <v>5.4875754131481096E-2</v>
      </c>
      <c r="J374" s="3">
        <f t="shared" si="377"/>
        <v>4.8956415589957225E-2</v>
      </c>
      <c r="K374" s="3">
        <f t="shared" si="377"/>
        <v>1.5635102234665247E-2</v>
      </c>
      <c r="L374" s="3">
        <f t="shared" si="377"/>
        <v>1.7258849847677641E-7</v>
      </c>
      <c r="M374" s="3">
        <f t="shared" si="377"/>
        <v>4.6357830243099213E-57</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6.5368051837446053E-2</v>
      </c>
      <c r="C375" s="3">
        <f t="shared" si="378"/>
        <v>6.5368051770139948E-2</v>
      </c>
      <c r="D375" s="3">
        <f t="shared" si="378"/>
        <v>6.53680510970788E-2</v>
      </c>
      <c r="E375" s="3">
        <f t="shared" si="378"/>
        <v>6.5368044366467662E-2</v>
      </c>
      <c r="F375" s="3">
        <f t="shared" si="378"/>
        <v>6.5367977060394433E-2</v>
      </c>
      <c r="G375" s="3">
        <f t="shared" si="378"/>
        <v>6.5367304003473736E-2</v>
      </c>
      <c r="H375" s="3">
        <f t="shared" si="378"/>
        <v>6.5360573815409606E-2</v>
      </c>
      <c r="I375" s="3">
        <f t="shared" si="378"/>
        <v>6.529331003454053E-2</v>
      </c>
      <c r="J375" s="3">
        <f t="shared" si="378"/>
        <v>6.4624467728090884E-2</v>
      </c>
      <c r="K375" s="3">
        <f t="shared" si="378"/>
        <v>5.8301524831843407E-2</v>
      </c>
      <c r="L375" s="3">
        <f t="shared" si="378"/>
        <v>2.0821367904453408E-2</v>
      </c>
      <c r="M375" s="3">
        <f t="shared" si="378"/>
        <v>7.0275299107640609E-7</v>
      </c>
      <c r="N375" s="3">
        <f t="shared" si="378"/>
        <v>1.348146690542095E-51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6.6907973989220521E-2</v>
      </c>
      <c r="C376" s="3">
        <f t="shared" si="379"/>
        <v>6.6907973983005922E-2</v>
      </c>
      <c r="D376" s="3">
        <f t="shared" si="379"/>
        <v>6.6907973920859884E-2</v>
      </c>
      <c r="E376" s="3">
        <f t="shared" si="379"/>
        <v>6.6907973299399501E-2</v>
      </c>
      <c r="F376" s="3">
        <f t="shared" si="379"/>
        <v>6.6907967084795919E-2</v>
      </c>
      <c r="G376" s="3">
        <f t="shared" si="379"/>
        <v>6.6907904938791896E-2</v>
      </c>
      <c r="H376" s="3">
        <f t="shared" si="379"/>
        <v>6.69072834819264E-2</v>
      </c>
      <c r="I376" s="3">
        <f t="shared" si="379"/>
        <v>6.6901069230735979E-2</v>
      </c>
      <c r="J376" s="3">
        <f t="shared" si="379"/>
        <v>6.6838958454372058E-2</v>
      </c>
      <c r="K376" s="3">
        <f t="shared" si="379"/>
        <v>6.622101336535996E-2</v>
      </c>
      <c r="L376" s="3">
        <f t="shared" si="379"/>
        <v>6.034722566756081E-2</v>
      </c>
      <c r="M376" s="3">
        <f t="shared" si="379"/>
        <v>2.3838129615724152E-2</v>
      </c>
      <c r="N376" s="3">
        <f t="shared" si="379"/>
        <v>2.20506224750729E-6</v>
      </c>
      <c r="O376" s="3">
        <f t="shared" si="379"/>
        <v>1.0113643098733869E-46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5.3174535073516493E-2</v>
      </c>
      <c r="C377" s="3">
        <f t="shared" si="380"/>
        <v>5.3174535073070961E-2</v>
      </c>
      <c r="D377" s="3">
        <f t="shared" si="380"/>
        <v>5.3174535068615567E-2</v>
      </c>
      <c r="E377" s="3">
        <f t="shared" si="380"/>
        <v>5.317453502406165E-2</v>
      </c>
      <c r="F377" s="3">
        <f t="shared" si="380"/>
        <v>5.317453457852251E-2</v>
      </c>
      <c r="G377" s="3">
        <f t="shared" si="380"/>
        <v>5.3174530123131274E-2</v>
      </c>
      <c r="H377" s="3">
        <f t="shared" si="380"/>
        <v>5.3174485569239476E-2</v>
      </c>
      <c r="I377" s="3">
        <f t="shared" si="380"/>
        <v>5.3174040032374616E-2</v>
      </c>
      <c r="J377" s="3">
        <f t="shared" si="380"/>
        <v>5.3169584869038736E-2</v>
      </c>
      <c r="K377" s="3">
        <f t="shared" si="380"/>
        <v>5.3125053760584039E-2</v>
      </c>
      <c r="L377" s="3">
        <f t="shared" si="380"/>
        <v>5.2681788817635036E-2</v>
      </c>
      <c r="M377" s="3">
        <f t="shared" si="380"/>
        <v>4.8447549854153872E-2</v>
      </c>
      <c r="N377" s="3">
        <f t="shared" si="380"/>
        <v>2.0959690749729861E-2</v>
      </c>
      <c r="O377" s="3">
        <f t="shared" si="380"/>
        <v>4.8141031675671948E-6</v>
      </c>
      <c r="P377" s="3">
        <f t="shared" si="380"/>
        <v>1.9670736394346679E-42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3.2923061735417126E-2</v>
      </c>
      <c r="C378" s="3">
        <f t="shared" si="381"/>
        <v>3.2923061735392244E-2</v>
      </c>
      <c r="D378" s="3">
        <f t="shared" si="381"/>
        <v>3.2923061735143394E-2</v>
      </c>
      <c r="E378" s="3">
        <f t="shared" si="381"/>
        <v>3.292306173265494E-2</v>
      </c>
      <c r="F378" s="3">
        <f t="shared" si="381"/>
        <v>3.2923061707770436E-2</v>
      </c>
      <c r="G378" s="3">
        <f t="shared" si="381"/>
        <v>3.2923061458925408E-2</v>
      </c>
      <c r="H378" s="3">
        <f t="shared" si="381"/>
        <v>3.2923058970475205E-2</v>
      </c>
      <c r="I378" s="3">
        <f t="shared" si="381"/>
        <v>3.2923034085983537E-2</v>
      </c>
      <c r="J378" s="3">
        <f t="shared" si="381"/>
        <v>3.2922785242101328E-2</v>
      </c>
      <c r="K378" s="3">
        <f t="shared" si="381"/>
        <v>3.2920296906723615E-2</v>
      </c>
      <c r="L378" s="3">
        <f t="shared" si="381"/>
        <v>3.2895423894492709E-2</v>
      </c>
      <c r="M378" s="3">
        <f t="shared" si="381"/>
        <v>3.2647725040530776E-2</v>
      </c>
      <c r="N378" s="3">
        <f t="shared" si="381"/>
        <v>3.0271036672624863E-2</v>
      </c>
      <c r="O378" s="3">
        <f t="shared" si="381"/>
        <v>1.4215789854507171E-2</v>
      </c>
      <c r="P378" s="3">
        <f t="shared" si="381"/>
        <v>7.4166537018349485E-6</v>
      </c>
      <c r="Q378" s="3">
        <f t="shared" si="381"/>
        <v>1.1080977344352487E-38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1.6325787748200014E-2</v>
      </c>
      <c r="C379" s="3">
        <f t="shared" si="382"/>
        <v>1.6325787748198903E-2</v>
      </c>
      <c r="D379" s="3">
        <f t="shared" si="382"/>
        <v>1.632578774818777E-2</v>
      </c>
      <c r="E379" s="3">
        <f t="shared" si="382"/>
        <v>1.6325787748076456E-2</v>
      </c>
      <c r="F379" s="3">
        <f t="shared" si="382"/>
        <v>1.6325787746963319E-2</v>
      </c>
      <c r="G379" s="3">
        <f t="shared" si="382"/>
        <v>1.6325787735831924E-2</v>
      </c>
      <c r="H379" s="3">
        <f t="shared" si="382"/>
        <v>1.6325787624518001E-2</v>
      </c>
      <c r="I379" s="3">
        <f t="shared" si="382"/>
        <v>1.6325786511378802E-2</v>
      </c>
      <c r="J379" s="3">
        <f t="shared" si="382"/>
        <v>1.6325775379990987E-2</v>
      </c>
      <c r="K379" s="3">
        <f t="shared" si="382"/>
        <v>1.6325664066530281E-2</v>
      </c>
      <c r="L379" s="3">
        <f t="shared" si="382"/>
        <v>1.6324550973665412E-2</v>
      </c>
      <c r="M379" s="3">
        <f t="shared" si="382"/>
        <v>1.631342421818412E-2</v>
      </c>
      <c r="N379" s="3">
        <f t="shared" si="382"/>
        <v>1.6202572929232991E-2</v>
      </c>
      <c r="O379" s="3">
        <f t="shared" si="382"/>
        <v>1.5134655362217598E-2</v>
      </c>
      <c r="P379" s="3">
        <f t="shared" si="382"/>
        <v>7.653464032926478E-3</v>
      </c>
      <c r="Q379" s="3">
        <f t="shared" si="382"/>
        <v>8.3697626526839024E-6</v>
      </c>
      <c r="R379" s="3">
        <f t="shared" si="382"/>
        <v>2.0476895422980449E-35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7.8974635041155917E-3</v>
      </c>
      <c r="C380" s="3">
        <f t="shared" si="383"/>
        <v>7.8974635041155431E-3</v>
      </c>
      <c r="D380" s="3">
        <f t="shared" si="383"/>
        <v>7.8974635041150574E-3</v>
      </c>
      <c r="E380" s="3">
        <f t="shared" si="383"/>
        <v>7.8974635041102002E-3</v>
      </c>
      <c r="F380" s="3">
        <f t="shared" si="383"/>
        <v>7.8974635040616244E-3</v>
      </c>
      <c r="G380" s="3">
        <f t="shared" si="383"/>
        <v>7.8974635035758793E-3</v>
      </c>
      <c r="H380" s="3">
        <f t="shared" si="383"/>
        <v>7.8974634987184159E-3</v>
      </c>
      <c r="I380" s="3">
        <f t="shared" si="383"/>
        <v>7.8974634501437786E-3</v>
      </c>
      <c r="J380" s="3">
        <f t="shared" si="383"/>
        <v>7.8974629643974222E-3</v>
      </c>
      <c r="K380" s="3">
        <f t="shared" si="383"/>
        <v>7.8974581069355086E-3</v>
      </c>
      <c r="L380" s="3">
        <f t="shared" si="383"/>
        <v>7.8974095324806995E-3</v>
      </c>
      <c r="M380" s="3">
        <f t="shared" si="383"/>
        <v>7.896923804364327E-3</v>
      </c>
      <c r="N380" s="3">
        <f t="shared" si="383"/>
        <v>7.8920681659994368E-3</v>
      </c>
      <c r="O380" s="3">
        <f t="shared" si="383"/>
        <v>7.8436756889889072E-3</v>
      </c>
      <c r="P380" s="3">
        <f t="shared" si="383"/>
        <v>7.375774630356719E-3</v>
      </c>
      <c r="Q380" s="3">
        <f t="shared" si="383"/>
        <v>3.9873809862152505E-3</v>
      </c>
      <c r="R380" s="3">
        <f t="shared" si="383"/>
        <v>8.5013654865138432E-6</v>
      </c>
      <c r="S380" s="3">
        <f t="shared" si="383"/>
        <v>1.6500542650329316E-32</v>
      </c>
      <c r="T380" s="3">
        <f t="shared" si="383"/>
        <v>1.2519691330609734E-299</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4.1550471728530177E-3</v>
      </c>
      <c r="C381" s="3">
        <f t="shared" si="384"/>
        <v>4.155047172853016E-3</v>
      </c>
      <c r="D381" s="3">
        <f t="shared" si="384"/>
        <v>4.1550471728529926E-3</v>
      </c>
      <c r="E381" s="3">
        <f t="shared" si="384"/>
        <v>4.1550471728527627E-3</v>
      </c>
      <c r="F381" s="3">
        <f t="shared" si="384"/>
        <v>4.1550471728504573E-3</v>
      </c>
      <c r="G381" s="3">
        <f t="shared" si="384"/>
        <v>4.1550471728274037E-3</v>
      </c>
      <c r="H381" s="3">
        <f t="shared" si="384"/>
        <v>4.1550471725968641E-3</v>
      </c>
      <c r="I381" s="3">
        <f t="shared" si="384"/>
        <v>4.1550471702914739E-3</v>
      </c>
      <c r="J381" s="3">
        <f t="shared" si="384"/>
        <v>4.1550471472375687E-3</v>
      </c>
      <c r="K381" s="3">
        <f t="shared" si="384"/>
        <v>4.1550469166985321E-3</v>
      </c>
      <c r="L381" s="3">
        <f t="shared" si="384"/>
        <v>4.1550446113088665E-3</v>
      </c>
      <c r="M381" s="3">
        <f t="shared" si="384"/>
        <v>4.1550215574825584E-3</v>
      </c>
      <c r="N381" s="3">
        <f t="shared" si="384"/>
        <v>4.1547910262545078E-3</v>
      </c>
      <c r="O381" s="3">
        <f t="shared" si="384"/>
        <v>4.1524864173323531E-3</v>
      </c>
      <c r="P381" s="3">
        <f t="shared" si="384"/>
        <v>4.1295105197670587E-3</v>
      </c>
      <c r="Q381" s="3">
        <f t="shared" si="384"/>
        <v>3.9066287260718568E-3</v>
      </c>
      <c r="R381" s="3">
        <f t="shared" si="384"/>
        <v>2.2430438456565349E-3</v>
      </c>
      <c r="S381" s="3">
        <f t="shared" si="384"/>
        <v>8.7336141532839971E-6</v>
      </c>
      <c r="T381" s="3">
        <f t="shared" si="384"/>
        <v>6.9944952913983994E-30</v>
      </c>
      <c r="U381" s="3">
        <f t="shared" si="384"/>
        <v>7.5924194432476489E-271</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4.2575321437709054E-3</v>
      </c>
      <c r="C382" s="3">
        <f t="shared" si="385"/>
        <v>4.2575321437709045E-3</v>
      </c>
      <c r="D382" s="3">
        <f t="shared" si="385"/>
        <v>4.2575321437709028E-3</v>
      </c>
      <c r="E382" s="3">
        <f t="shared" si="385"/>
        <v>4.257532143770882E-3</v>
      </c>
      <c r="F382" s="3">
        <f t="shared" si="385"/>
        <v>4.2575321437706686E-3</v>
      </c>
      <c r="G382" s="3">
        <f t="shared" si="385"/>
        <v>4.2575321437685375E-3</v>
      </c>
      <c r="H382" s="3">
        <f t="shared" si="385"/>
        <v>4.2575321437472282E-3</v>
      </c>
      <c r="I382" s="3">
        <f t="shared" si="385"/>
        <v>4.257532143534133E-3</v>
      </c>
      <c r="J382" s="3">
        <f t="shared" si="385"/>
        <v>4.2575321414031839E-3</v>
      </c>
      <c r="K382" s="3">
        <f t="shared" si="385"/>
        <v>4.2575321200936942E-3</v>
      </c>
      <c r="L382" s="3">
        <f t="shared" si="385"/>
        <v>4.2575319069988E-3</v>
      </c>
      <c r="M382" s="3">
        <f t="shared" si="385"/>
        <v>4.2575297760504465E-3</v>
      </c>
      <c r="N382" s="3">
        <f t="shared" si="385"/>
        <v>4.257508466625569E-3</v>
      </c>
      <c r="O382" s="3">
        <f t="shared" si="385"/>
        <v>4.2572953782427951E-3</v>
      </c>
      <c r="P382" s="3">
        <f t="shared" si="385"/>
        <v>4.2551650809062626E-3</v>
      </c>
      <c r="Q382" s="3">
        <f t="shared" si="385"/>
        <v>4.2339206481951542E-3</v>
      </c>
      <c r="R382" s="3">
        <f t="shared" si="385"/>
        <v>4.0272234113504458E-3</v>
      </c>
      <c r="S382" s="3">
        <f t="shared" si="385"/>
        <v>2.4413823991576095E-3</v>
      </c>
      <c r="T382" s="3">
        <f t="shared" si="385"/>
        <v>1.6365778650207496E-5</v>
      </c>
      <c r="U382" s="3">
        <f t="shared" si="385"/>
        <v>2.9987848643669002E-27</v>
      </c>
      <c r="V382" s="3">
        <f t="shared" si="385"/>
        <v>1.2794746398319785E-244</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9.5394971617709327E-4</v>
      </c>
      <c r="C383" s="3">
        <f t="shared" si="386"/>
        <v>9.5394971617709327E-4</v>
      </c>
      <c r="D383" s="3">
        <f t="shared" si="386"/>
        <v>9.5394971617709327E-4</v>
      </c>
      <c r="E383" s="3">
        <f t="shared" si="386"/>
        <v>9.5394971617709272E-4</v>
      </c>
      <c r="F383" s="3">
        <f t="shared" si="386"/>
        <v>9.539497161770885E-4</v>
      </c>
      <c r="G383" s="3">
        <f t="shared" si="386"/>
        <v>9.5394971617704535E-4</v>
      </c>
      <c r="H383" s="3">
        <f t="shared" si="386"/>
        <v>9.539497161766147E-4</v>
      </c>
      <c r="I383" s="3">
        <f t="shared" si="386"/>
        <v>9.5394971617230749E-4</v>
      </c>
      <c r="J383" s="3">
        <f t="shared" si="386"/>
        <v>9.5394971612923637E-4</v>
      </c>
      <c r="K383" s="3">
        <f t="shared" si="386"/>
        <v>9.5394971569852415E-4</v>
      </c>
      <c r="L383" s="3">
        <f t="shared" si="386"/>
        <v>9.5394971139140189E-4</v>
      </c>
      <c r="M383" s="3">
        <f t="shared" si="386"/>
        <v>9.5394966832018093E-4</v>
      </c>
      <c r="N383" s="3">
        <f t="shared" si="386"/>
        <v>9.5394923760807769E-4</v>
      </c>
      <c r="O383" s="3">
        <f t="shared" si="386"/>
        <v>9.539449304977422E-4</v>
      </c>
      <c r="P383" s="3">
        <f t="shared" si="386"/>
        <v>9.5390186046394223E-4</v>
      </c>
      <c r="Q383" s="3">
        <f t="shared" si="386"/>
        <v>9.5347126706367955E-4</v>
      </c>
      <c r="R383" s="3">
        <f t="shared" si="386"/>
        <v>9.4917600899160686E-4</v>
      </c>
      <c r="S383" s="3">
        <f t="shared" si="386"/>
        <v>9.0727339983230431E-4</v>
      </c>
      <c r="T383" s="3">
        <f t="shared" si="386"/>
        <v>5.7763358011412604E-4</v>
      </c>
      <c r="U383" s="3">
        <f t="shared" si="386"/>
        <v>6.3211337140744369E-6</v>
      </c>
      <c r="V383" s="3">
        <f t="shared" si="386"/>
        <v>1.5567555566224043E-25</v>
      </c>
      <c r="W383" s="3">
        <f t="shared" si="386"/>
        <v>1.2778353472446484E-221</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4.0589760414466262E-3</v>
      </c>
      <c r="C384" s="3">
        <f t="shared" si="387"/>
        <v>4.0589760414466262E-3</v>
      </c>
      <c r="D384" s="3">
        <f t="shared" si="387"/>
        <v>4.0589760414466262E-3</v>
      </c>
      <c r="E384" s="3">
        <f t="shared" si="387"/>
        <v>4.0589760414466262E-3</v>
      </c>
      <c r="F384" s="3">
        <f t="shared" si="387"/>
        <v>4.0589760414466245E-3</v>
      </c>
      <c r="G384" s="3">
        <f t="shared" si="387"/>
        <v>4.058976041446608E-3</v>
      </c>
      <c r="H384" s="3">
        <f t="shared" si="387"/>
        <v>4.0589760414464424E-3</v>
      </c>
      <c r="I384" s="3">
        <f t="shared" si="387"/>
        <v>4.0589760414447892E-3</v>
      </c>
      <c r="J384" s="3">
        <f t="shared" si="387"/>
        <v>4.0589760414282573E-3</v>
      </c>
      <c r="K384" s="3">
        <f t="shared" si="387"/>
        <v>4.0589760412629372E-3</v>
      </c>
      <c r="L384" s="3">
        <f t="shared" si="387"/>
        <v>4.0589760396097397E-3</v>
      </c>
      <c r="M384" s="3">
        <f t="shared" si="387"/>
        <v>4.0589760230777634E-3</v>
      </c>
      <c r="N384" s="3">
        <f t="shared" si="387"/>
        <v>4.0589758577579977E-3</v>
      </c>
      <c r="O384" s="3">
        <f t="shared" si="387"/>
        <v>4.0589742045607138E-3</v>
      </c>
      <c r="P384" s="3">
        <f t="shared" si="387"/>
        <v>4.0589576726249065E-3</v>
      </c>
      <c r="Q384" s="3">
        <f t="shared" si="387"/>
        <v>4.0587923569701386E-3</v>
      </c>
      <c r="R384" s="3">
        <f t="shared" si="387"/>
        <v>4.0571395706963231E-3</v>
      </c>
      <c r="S384" s="3">
        <f t="shared" si="387"/>
        <v>4.0406486796061751E-3</v>
      </c>
      <c r="T384" s="3">
        <f t="shared" si="387"/>
        <v>3.8793818194347309E-3</v>
      </c>
      <c r="U384" s="3">
        <f t="shared" si="387"/>
        <v>2.5815281845146037E-3</v>
      </c>
      <c r="V384" s="3">
        <f t="shared" si="387"/>
        <v>4.3956218006031668E-5</v>
      </c>
      <c r="W384" s="3">
        <f t="shared" si="387"/>
        <v>9.004400342810236E-23</v>
      </c>
      <c r="X384" s="3">
        <f t="shared" si="387"/>
        <v>1.1716545075788098E-199</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1.8079022275700322E-3</v>
      </c>
      <c r="C385" s="3">
        <f t="shared" si="388"/>
        <v>1.8079022275700322E-3</v>
      </c>
      <c r="D385" s="3">
        <f t="shared" si="388"/>
        <v>1.8079022275700322E-3</v>
      </c>
      <c r="E385" s="3">
        <f t="shared" si="388"/>
        <v>1.8079022275700322E-3</v>
      </c>
      <c r="F385" s="3">
        <f t="shared" si="388"/>
        <v>1.8079022275700322E-3</v>
      </c>
      <c r="G385" s="3">
        <f t="shared" si="388"/>
        <v>1.8079022275700313E-3</v>
      </c>
      <c r="H385" s="3">
        <f t="shared" si="388"/>
        <v>1.8079022275700248E-3</v>
      </c>
      <c r="I385" s="3">
        <f t="shared" si="388"/>
        <v>1.8079022275699582E-3</v>
      </c>
      <c r="J385" s="3">
        <f t="shared" si="388"/>
        <v>1.807902227569294E-3</v>
      </c>
      <c r="K385" s="3">
        <f t="shared" si="388"/>
        <v>1.8079022275626516E-3</v>
      </c>
      <c r="L385" s="3">
        <f t="shared" si="388"/>
        <v>1.8079022274962271E-3</v>
      </c>
      <c r="M385" s="3">
        <f t="shared" si="388"/>
        <v>1.8079022268319795E-3</v>
      </c>
      <c r="N385" s="3">
        <f t="shared" si="388"/>
        <v>1.8079022201895059E-3</v>
      </c>
      <c r="O385" s="3">
        <f t="shared" si="388"/>
        <v>1.8079021537647721E-3</v>
      </c>
      <c r="P385" s="3">
        <f t="shared" si="388"/>
        <v>1.8079014895175656E-3</v>
      </c>
      <c r="Q385" s="3">
        <f t="shared" si="388"/>
        <v>1.8078948470589234E-3</v>
      </c>
      <c r="R385" s="3">
        <f t="shared" si="388"/>
        <v>1.8078284238147767E-3</v>
      </c>
      <c r="S385" s="3">
        <f t="shared" si="388"/>
        <v>1.8071643255823642E-3</v>
      </c>
      <c r="T385" s="3">
        <f t="shared" si="388"/>
        <v>1.8005367459369528E-3</v>
      </c>
      <c r="U385" s="3">
        <f t="shared" si="388"/>
        <v>1.7355831750361652E-3</v>
      </c>
      <c r="V385" s="3">
        <f t="shared" si="388"/>
        <v>1.2019318809604067E-3</v>
      </c>
      <c r="W385" s="3">
        <f t="shared" si="388"/>
        <v>3.0494680677508417E-5</v>
      </c>
      <c r="X385" s="3">
        <f t="shared" si="388"/>
        <v>3.3702835571625043E-21</v>
      </c>
      <c r="Y385" s="3">
        <f t="shared" si="388"/>
        <v>9.1641028944474845E-181</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6.6593482592524332E-4</v>
      </c>
      <c r="C386" s="3">
        <f t="shared" si="389"/>
        <v>6.6593482592524332E-4</v>
      </c>
      <c r="D386" s="3">
        <f t="shared" si="389"/>
        <v>6.6593482592524332E-4</v>
      </c>
      <c r="E386" s="3">
        <f t="shared" si="389"/>
        <v>6.6593482592524332E-4</v>
      </c>
      <c r="F386" s="3">
        <f t="shared" si="389"/>
        <v>6.6593482592524332E-4</v>
      </c>
      <c r="G386" s="3">
        <f t="shared" si="389"/>
        <v>6.6593482592524332E-4</v>
      </c>
      <c r="H386" s="3">
        <f t="shared" si="389"/>
        <v>6.659348259252431E-4</v>
      </c>
      <c r="I386" s="3">
        <f t="shared" si="389"/>
        <v>6.6593482592524082E-4</v>
      </c>
      <c r="J386" s="3">
        <f t="shared" si="389"/>
        <v>6.6593482592521881E-4</v>
      </c>
      <c r="K386" s="3">
        <f t="shared" si="389"/>
        <v>6.6593482592499807E-4</v>
      </c>
      <c r="L386" s="3">
        <f t="shared" si="389"/>
        <v>6.6593482592279096E-4</v>
      </c>
      <c r="M386" s="3">
        <f t="shared" si="389"/>
        <v>6.6593482590071931E-4</v>
      </c>
      <c r="N386" s="3">
        <f t="shared" si="389"/>
        <v>6.6593482568000361E-4</v>
      </c>
      <c r="O386" s="3">
        <f t="shared" si="389"/>
        <v>6.6593482347284674E-4</v>
      </c>
      <c r="P386" s="3">
        <f t="shared" si="389"/>
        <v>6.6593480140127788E-4</v>
      </c>
      <c r="Q386" s="3">
        <f t="shared" si="389"/>
        <v>6.6593458068562965E-4</v>
      </c>
      <c r="R386" s="3">
        <f t="shared" si="389"/>
        <v>6.659323735331708E-4</v>
      </c>
      <c r="S386" s="3">
        <f t="shared" si="389"/>
        <v>6.6591030241092022E-4</v>
      </c>
      <c r="T386" s="3">
        <f t="shared" si="389"/>
        <v>6.6568963141732014E-4</v>
      </c>
      <c r="U386" s="3">
        <f t="shared" si="389"/>
        <v>6.6348693944285882E-4</v>
      </c>
      <c r="V386" s="3">
        <f t="shared" si="389"/>
        <v>6.4185693193024879E-4</v>
      </c>
      <c r="W386" s="3">
        <f t="shared" si="389"/>
        <v>4.6078338548383819E-4</v>
      </c>
      <c r="X386" s="3">
        <f t="shared" si="389"/>
        <v>1.675261337037933E-5</v>
      </c>
      <c r="Y386" s="3">
        <f t="shared" si="389"/>
        <v>6.7598974716252337E-20</v>
      </c>
      <c r="Z386" s="3">
        <f t="shared" si="389"/>
        <v>7.7359836377573736E-164</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0</v>
      </c>
      <c r="C387" s="3">
        <f t="shared" si="390"/>
        <v>0</v>
      </c>
      <c r="D387" s="3">
        <f t="shared" si="390"/>
        <v>0</v>
      </c>
      <c r="E387" s="3">
        <f t="shared" si="390"/>
        <v>0</v>
      </c>
      <c r="F387" s="3">
        <f t="shared" si="390"/>
        <v>0</v>
      </c>
      <c r="G387" s="3">
        <f t="shared" si="390"/>
        <v>0</v>
      </c>
      <c r="H387" s="3">
        <f t="shared" si="390"/>
        <v>0</v>
      </c>
      <c r="I387" s="3">
        <f t="shared" si="390"/>
        <v>0</v>
      </c>
      <c r="J387" s="3">
        <f t="shared" si="390"/>
        <v>0</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5.5929921649114952E-4</v>
      </c>
      <c r="C388" s="3">
        <f t="shared" si="391"/>
        <v>5.5929921649114952E-4</v>
      </c>
      <c r="D388" s="3">
        <f t="shared" si="391"/>
        <v>5.5929921649114952E-4</v>
      </c>
      <c r="E388" s="3">
        <f t="shared" si="391"/>
        <v>5.5929921649114952E-4</v>
      </c>
      <c r="F388" s="3">
        <f t="shared" si="391"/>
        <v>5.5929921649114952E-4</v>
      </c>
      <c r="G388" s="3">
        <f t="shared" si="391"/>
        <v>5.5929921649114952E-4</v>
      </c>
      <c r="H388" s="3">
        <f t="shared" si="391"/>
        <v>5.5929921649114952E-4</v>
      </c>
      <c r="I388" s="3">
        <f t="shared" si="391"/>
        <v>5.5929921649114942E-4</v>
      </c>
      <c r="J388" s="3">
        <f t="shared" si="391"/>
        <v>5.5929921649114898E-4</v>
      </c>
      <c r="K388" s="3">
        <f t="shared" si="391"/>
        <v>5.5929921649114378E-4</v>
      </c>
      <c r="L388" s="3">
        <f t="shared" si="391"/>
        <v>5.592992164910926E-4</v>
      </c>
      <c r="M388" s="3">
        <f t="shared" si="391"/>
        <v>5.5929921649057988E-4</v>
      </c>
      <c r="N388" s="3">
        <f t="shared" si="391"/>
        <v>5.5929921648545291E-4</v>
      </c>
      <c r="O388" s="3">
        <f t="shared" si="391"/>
        <v>5.5929921643418348E-4</v>
      </c>
      <c r="P388" s="3">
        <f t="shared" si="391"/>
        <v>5.592992159214891E-4</v>
      </c>
      <c r="Q388" s="3">
        <f t="shared" si="391"/>
        <v>5.5929921079454531E-4</v>
      </c>
      <c r="R388" s="3">
        <f t="shared" si="391"/>
        <v>5.5929915952511011E-4</v>
      </c>
      <c r="S388" s="3">
        <f t="shared" si="391"/>
        <v>5.5929864683101601E-4</v>
      </c>
      <c r="T388" s="3">
        <f t="shared" si="391"/>
        <v>5.5929351991592399E-4</v>
      </c>
      <c r="U388" s="3">
        <f t="shared" si="391"/>
        <v>5.5924225334975724E-4</v>
      </c>
      <c r="V388" s="3">
        <f t="shared" si="391"/>
        <v>5.5872984607585163E-4</v>
      </c>
      <c r="W388" s="3">
        <f t="shared" si="391"/>
        <v>5.5363152469034094E-4</v>
      </c>
      <c r="X388" s="3">
        <f t="shared" si="391"/>
        <v>5.0513820602752591E-4</v>
      </c>
      <c r="Y388" s="3">
        <f t="shared" si="391"/>
        <v>2.0197809739377163E-4</v>
      </c>
      <c r="Z388" s="3">
        <f t="shared" si="391"/>
        <v>2.1098174036782572E-8</v>
      </c>
      <c r="AA388" s="3">
        <f t="shared" si="391"/>
        <v>3.2632534526229576E-48</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0</v>
      </c>
      <c r="C389" s="3">
        <f t="shared" si="392"/>
        <v>0</v>
      </c>
      <c r="D389" s="3">
        <f t="shared" si="392"/>
        <v>0</v>
      </c>
      <c r="E389" s="3">
        <f t="shared" si="392"/>
        <v>0</v>
      </c>
      <c r="F389" s="3">
        <f t="shared" si="392"/>
        <v>0</v>
      </c>
      <c r="G389" s="3">
        <f t="shared" si="392"/>
        <v>0</v>
      </c>
      <c r="H389" s="3">
        <f t="shared" si="392"/>
        <v>0</v>
      </c>
      <c r="I389" s="3">
        <f t="shared" si="392"/>
        <v>0</v>
      </c>
      <c r="J389" s="3">
        <f t="shared" si="392"/>
        <v>0</v>
      </c>
      <c r="K389" s="3">
        <f t="shared" si="392"/>
        <v>0</v>
      </c>
      <c r="L389" s="3">
        <f t="shared" si="392"/>
        <v>0</v>
      </c>
      <c r="M389" s="3">
        <f t="shared" si="392"/>
        <v>0</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1.7201579278298637E-4</v>
      </c>
      <c r="C390" s="3">
        <f t="shared" si="393"/>
        <v>1.7201579278298637E-4</v>
      </c>
      <c r="D390" s="3">
        <f t="shared" si="393"/>
        <v>1.7201579278298637E-4</v>
      </c>
      <c r="E390" s="3">
        <f t="shared" si="393"/>
        <v>1.7201579278298637E-4</v>
      </c>
      <c r="F390" s="3">
        <f t="shared" si="393"/>
        <v>1.7201579278298637E-4</v>
      </c>
      <c r="G390" s="3">
        <f t="shared" si="393"/>
        <v>1.7201579278298637E-4</v>
      </c>
      <c r="H390" s="3">
        <f t="shared" si="393"/>
        <v>1.7201579278298637E-4</v>
      </c>
      <c r="I390" s="3">
        <f t="shared" si="393"/>
        <v>1.7201579278298637E-4</v>
      </c>
      <c r="J390" s="3">
        <f t="shared" si="393"/>
        <v>1.7201579278298637E-4</v>
      </c>
      <c r="K390" s="3">
        <f t="shared" si="393"/>
        <v>1.7201579278298634E-4</v>
      </c>
      <c r="L390" s="3">
        <f t="shared" si="393"/>
        <v>1.720157927829862E-4</v>
      </c>
      <c r="M390" s="3">
        <f t="shared" si="393"/>
        <v>1.720157927829846E-4</v>
      </c>
      <c r="N390" s="3">
        <f t="shared" si="393"/>
        <v>1.7201579278296886E-4</v>
      </c>
      <c r="O390" s="3">
        <f t="shared" si="393"/>
        <v>1.7201579278281116E-4</v>
      </c>
      <c r="P390" s="3">
        <f t="shared" si="393"/>
        <v>1.7201579278123432E-4</v>
      </c>
      <c r="Q390" s="3">
        <f t="shared" si="393"/>
        <v>1.7201579276546612E-4</v>
      </c>
      <c r="R390" s="3">
        <f t="shared" si="393"/>
        <v>1.720157926077839E-4</v>
      </c>
      <c r="S390" s="3">
        <f t="shared" si="393"/>
        <v>1.7201579103096195E-4</v>
      </c>
      <c r="T390" s="3">
        <f t="shared" si="393"/>
        <v>1.7201577526274292E-4</v>
      </c>
      <c r="U390" s="3">
        <f t="shared" si="393"/>
        <v>1.7201561758063206E-4</v>
      </c>
      <c r="V390" s="3">
        <f t="shared" si="393"/>
        <v>1.7201404076747358E-4</v>
      </c>
      <c r="W390" s="3">
        <f t="shared" si="393"/>
        <v>1.7199827343084516E-4</v>
      </c>
      <c r="X390" s="3">
        <f t="shared" si="393"/>
        <v>1.7184067953325023E-4</v>
      </c>
      <c r="Y390" s="3">
        <f t="shared" si="393"/>
        <v>1.7027266053888613E-4</v>
      </c>
      <c r="Z390" s="3">
        <f t="shared" si="393"/>
        <v>1.5535825263609209E-4</v>
      </c>
      <c r="AA390" s="3">
        <f t="shared" si="393"/>
        <v>6.2119562344387167E-5</v>
      </c>
      <c r="AB390" s="3">
        <f t="shared" si="393"/>
        <v>6.4888686166575445E-9</v>
      </c>
      <c r="AC390" s="3">
        <f t="shared" si="393"/>
        <v>1.0036329627392535E-48</v>
      </c>
      <c r="AD390" s="3">
        <f t="shared" si="393"/>
        <v>0</v>
      </c>
      <c r="AE390" s="3">
        <f t="shared" si="393"/>
        <v>0</v>
      </c>
      <c r="AF390" s="3">
        <f t="shared" si="393"/>
        <v>0</v>
      </c>
      <c r="AG390" s="3"/>
      <c r="AH390" s="3"/>
    </row>
    <row r="391" spans="1:34" x14ac:dyDescent="0.25">
      <c r="B391" s="3">
        <f t="shared" ref="B391:AF391" si="394">$C43*EXP(-B$363/$A43/EXP(-$H$126))</f>
        <v>1.7468461922378131E-4</v>
      </c>
      <c r="C391" s="3">
        <f t="shared" si="394"/>
        <v>1.7468461922378131E-4</v>
      </c>
      <c r="D391" s="3">
        <f t="shared" si="394"/>
        <v>1.7468461922378131E-4</v>
      </c>
      <c r="E391" s="3">
        <f t="shared" si="394"/>
        <v>1.7468461922378131E-4</v>
      </c>
      <c r="F391" s="3">
        <f t="shared" si="394"/>
        <v>1.7468461922378131E-4</v>
      </c>
      <c r="G391" s="3">
        <f t="shared" si="394"/>
        <v>1.7468461922378131E-4</v>
      </c>
      <c r="H391" s="3">
        <f t="shared" si="394"/>
        <v>1.7468461922378131E-4</v>
      </c>
      <c r="I391" s="3">
        <f t="shared" si="394"/>
        <v>1.7468461922378131E-4</v>
      </c>
      <c r="J391" s="3">
        <f t="shared" si="394"/>
        <v>1.7468461922378131E-4</v>
      </c>
      <c r="K391" s="3">
        <f t="shared" si="394"/>
        <v>1.7468461922378131E-4</v>
      </c>
      <c r="L391" s="3">
        <f t="shared" si="394"/>
        <v>1.7468461922378128E-4</v>
      </c>
      <c r="M391" s="3">
        <f t="shared" si="394"/>
        <v>1.7468461922378115E-4</v>
      </c>
      <c r="N391" s="3">
        <f t="shared" si="394"/>
        <v>1.7468461922377952E-4</v>
      </c>
      <c r="O391" s="3">
        <f t="shared" si="394"/>
        <v>1.7468461922376353E-4</v>
      </c>
      <c r="P391" s="3">
        <f t="shared" si="394"/>
        <v>1.7468461922360339E-4</v>
      </c>
      <c r="Q391" s="3">
        <f t="shared" si="394"/>
        <v>1.7468461922200211E-4</v>
      </c>
      <c r="R391" s="3">
        <f t="shared" si="394"/>
        <v>1.7468461920598923E-4</v>
      </c>
      <c r="S391" s="3">
        <f t="shared" si="394"/>
        <v>1.7468461904586059E-4</v>
      </c>
      <c r="T391" s="3">
        <f t="shared" si="394"/>
        <v>1.7468461744457421E-4</v>
      </c>
      <c r="U391" s="3">
        <f t="shared" si="394"/>
        <v>1.7468460143171114E-4</v>
      </c>
      <c r="V391" s="3">
        <f t="shared" si="394"/>
        <v>1.7468444130316104E-4</v>
      </c>
      <c r="W391" s="3">
        <f t="shared" si="394"/>
        <v>1.7468284002573344E-4</v>
      </c>
      <c r="X391" s="3">
        <f t="shared" si="394"/>
        <v>1.7466682805874744E-4</v>
      </c>
      <c r="Y391" s="3">
        <f t="shared" si="394"/>
        <v>1.7450678909053426E-4</v>
      </c>
      <c r="Z391" s="3">
        <f t="shared" si="394"/>
        <v>1.729144422685671E-4</v>
      </c>
      <c r="AA391" s="3">
        <f t="shared" si="394"/>
        <v>1.5776863720440897E-4</v>
      </c>
      <c r="AB391" s="3">
        <f t="shared" si="394"/>
        <v>6.3083347865432117E-5</v>
      </c>
      <c r="AC391" s="3">
        <f t="shared" si="394"/>
        <v>6.5895434666512771E-9</v>
      </c>
      <c r="AD391" s="3">
        <f t="shared" si="394"/>
        <v>1.0192043364165011E-48</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2.0999278642033111E-4</v>
      </c>
      <c r="C393" s="3">
        <f t="shared" si="396"/>
        <v>2.0999278642033111E-4</v>
      </c>
      <c r="D393" s="3">
        <f t="shared" si="396"/>
        <v>2.0999278642033111E-4</v>
      </c>
      <c r="E393" s="3">
        <f t="shared" si="396"/>
        <v>2.0999278642033111E-4</v>
      </c>
      <c r="F393" s="3">
        <f t="shared" si="396"/>
        <v>2.0999278642033111E-4</v>
      </c>
      <c r="G393" s="3">
        <f t="shared" si="396"/>
        <v>2.0999278642033111E-4</v>
      </c>
      <c r="H393" s="3">
        <f t="shared" si="396"/>
        <v>2.0999278642033111E-4</v>
      </c>
      <c r="I393" s="3">
        <f t="shared" si="396"/>
        <v>2.0999278642033111E-4</v>
      </c>
      <c r="J393" s="3">
        <f t="shared" si="396"/>
        <v>2.0999278642033111E-4</v>
      </c>
      <c r="K393" s="3">
        <f t="shared" si="396"/>
        <v>2.0999278642033111E-4</v>
      </c>
      <c r="L393" s="3">
        <f t="shared" si="396"/>
        <v>2.0999278642033111E-4</v>
      </c>
      <c r="M393" s="3">
        <f t="shared" si="396"/>
        <v>2.0999278642033111E-4</v>
      </c>
      <c r="N393" s="3">
        <f t="shared" si="396"/>
        <v>2.0999278642033108E-4</v>
      </c>
      <c r="O393" s="3">
        <f t="shared" si="396"/>
        <v>2.0999278642033089E-4</v>
      </c>
      <c r="P393" s="3">
        <f t="shared" si="396"/>
        <v>2.0999278642032897E-4</v>
      </c>
      <c r="Q393" s="3">
        <f t="shared" si="396"/>
        <v>2.0999278642030972E-4</v>
      </c>
      <c r="R393" s="3">
        <f t="shared" si="396"/>
        <v>2.0999278642011722E-4</v>
      </c>
      <c r="S393" s="3">
        <f t="shared" si="396"/>
        <v>2.0999278641819228E-4</v>
      </c>
      <c r="T393" s="3">
        <f t="shared" si="396"/>
        <v>2.0999278639894281E-4</v>
      </c>
      <c r="U393" s="3">
        <f t="shared" si="396"/>
        <v>2.0999278620644813E-4</v>
      </c>
      <c r="V393" s="3">
        <f t="shared" si="396"/>
        <v>2.0999278428150139E-4</v>
      </c>
      <c r="W393" s="3">
        <f t="shared" si="396"/>
        <v>2.0999276503203481E-4</v>
      </c>
      <c r="X393" s="3">
        <f t="shared" si="396"/>
        <v>2.0999257253746624E-4</v>
      </c>
      <c r="Y393" s="3">
        <f t="shared" si="396"/>
        <v>2.0999064760148531E-4</v>
      </c>
      <c r="Z393" s="3">
        <f t="shared" si="396"/>
        <v>2.0997139921214E-4</v>
      </c>
      <c r="AA393" s="3">
        <f t="shared" si="396"/>
        <v>2.0977901233217163E-4</v>
      </c>
      <c r="AB393" s="3">
        <f t="shared" si="396"/>
        <v>2.0786481205753798E-4</v>
      </c>
      <c r="AC393" s="3">
        <f t="shared" si="396"/>
        <v>1.8965765780357754E-4</v>
      </c>
      <c r="AD393" s="3">
        <f t="shared" si="396"/>
        <v>7.5834083469105467E-5</v>
      </c>
      <c r="AE393" s="3">
        <f t="shared" si="396"/>
        <v>7.9214563935209194E-9</v>
      </c>
      <c r="AF393" s="3">
        <f t="shared" si="396"/>
        <v>1.2252112377541737E-48</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1.7320221207897527E-4</v>
      </c>
      <c r="C396" s="3">
        <f t="shared" si="399"/>
        <v>1.7320221207897527E-4</v>
      </c>
      <c r="D396" s="3">
        <f t="shared" si="399"/>
        <v>1.7320221207897527E-4</v>
      </c>
      <c r="E396" s="3">
        <f t="shared" si="399"/>
        <v>1.7320221207897527E-4</v>
      </c>
      <c r="F396" s="3">
        <f t="shared" si="399"/>
        <v>1.7320221207897527E-4</v>
      </c>
      <c r="G396" s="3">
        <f t="shared" si="399"/>
        <v>1.7320221207897527E-4</v>
      </c>
      <c r="H396" s="3">
        <f t="shared" si="399"/>
        <v>1.7320221207897527E-4</v>
      </c>
      <c r="I396" s="3">
        <f t="shared" si="399"/>
        <v>1.7320221207897527E-4</v>
      </c>
      <c r="J396" s="3">
        <f t="shared" si="399"/>
        <v>1.7320221207897527E-4</v>
      </c>
      <c r="K396" s="3">
        <f t="shared" si="399"/>
        <v>1.7320221207897527E-4</v>
      </c>
      <c r="L396" s="3">
        <f t="shared" si="399"/>
        <v>1.7320221207897527E-4</v>
      </c>
      <c r="M396" s="3">
        <f t="shared" si="399"/>
        <v>1.7320221207897527E-4</v>
      </c>
      <c r="N396" s="3">
        <f t="shared" si="399"/>
        <v>1.7320221207897527E-4</v>
      </c>
      <c r="O396" s="3">
        <f t="shared" si="399"/>
        <v>1.7320221207897527E-4</v>
      </c>
      <c r="P396" s="3">
        <f t="shared" si="399"/>
        <v>1.7320221207897527E-4</v>
      </c>
      <c r="Q396" s="3">
        <f t="shared" si="399"/>
        <v>1.7320221207897524E-4</v>
      </c>
      <c r="R396" s="3">
        <f t="shared" si="399"/>
        <v>1.7320221207897511E-4</v>
      </c>
      <c r="S396" s="3">
        <f t="shared" si="399"/>
        <v>1.7320221207897351E-4</v>
      </c>
      <c r="T396" s="3">
        <f t="shared" si="399"/>
        <v>1.7320221207895763E-4</v>
      </c>
      <c r="U396" s="3">
        <f t="shared" si="399"/>
        <v>1.7320221207879887E-4</v>
      </c>
      <c r="V396" s="3">
        <f t="shared" si="399"/>
        <v>1.7320221207721117E-4</v>
      </c>
      <c r="W396" s="3">
        <f t="shared" si="399"/>
        <v>1.7320221206133419E-4</v>
      </c>
      <c r="X396" s="3">
        <f t="shared" si="399"/>
        <v>1.7320221190256441E-4</v>
      </c>
      <c r="Y396" s="3">
        <f t="shared" si="399"/>
        <v>1.7320221031486688E-4</v>
      </c>
      <c r="Z396" s="3">
        <f t="shared" si="399"/>
        <v>1.7320219443789202E-4</v>
      </c>
      <c r="AA396" s="3">
        <f t="shared" si="399"/>
        <v>1.7320203566822349E-4</v>
      </c>
      <c r="AB396" s="3">
        <f t="shared" si="399"/>
        <v>1.732004479795429E-4</v>
      </c>
      <c r="AC396" s="3">
        <f t="shared" si="399"/>
        <v>1.7318457189317632E-4</v>
      </c>
      <c r="AD396" s="3">
        <f t="shared" si="399"/>
        <v>1.7302589104630764E-4</v>
      </c>
      <c r="AE396" s="3">
        <f t="shared" si="399"/>
        <v>1.7144705718453345E-4</v>
      </c>
      <c r="AF396" s="3">
        <f t="shared" si="399"/>
        <v>1.5642978232378253E-4</v>
      </c>
      <c r="AG396" s="3"/>
      <c r="AH396" s="3"/>
    </row>
    <row r="397" spans="1:34" x14ac:dyDescent="0.25">
      <c r="A397" s="79">
        <f>AVERAGE(B397:AF397)</f>
        <v>2.4198688269316446E-3</v>
      </c>
      <c r="B397" s="80">
        <f>IF($A$64&lt;=B363,IF($B$64&gt;=B363,ABS((B365-B364)/B364),0),0)</f>
        <v>1.685613483837748E-2</v>
      </c>
      <c r="C397" s="80">
        <f t="shared" ref="C397:AF397" si="400">IF($A$64&lt;=C363,IF($B$64&gt;=C363,ABS((C365-C364)/C364),0),0)</f>
        <v>2.270385527894514E-2</v>
      </c>
      <c r="D397" s="80">
        <f t="shared" si="400"/>
        <v>6.9160599126286259E-3</v>
      </c>
      <c r="E397" s="80">
        <f t="shared" si="400"/>
        <v>7.5031129185060253E-4</v>
      </c>
      <c r="F397" s="80">
        <f t="shared" si="400"/>
        <v>6.5414672593136741E-4</v>
      </c>
      <c r="G397" s="80">
        <f t="shared" si="400"/>
        <v>5.7131572290126638E-4</v>
      </c>
      <c r="H397" s="80">
        <f t="shared" si="400"/>
        <v>7.3420738676439944E-4</v>
      </c>
      <c r="I397" s="80">
        <f t="shared" si="400"/>
        <v>9.0372621346427207E-4</v>
      </c>
      <c r="J397" s="80">
        <f t="shared" si="400"/>
        <v>1.2298485742018952E-3</v>
      </c>
      <c r="K397" s="80">
        <f t="shared" si="400"/>
        <v>1.5284154927229477E-3</v>
      </c>
      <c r="L397" s="80">
        <f t="shared" si="400"/>
        <v>2.5434267567733702E-3</v>
      </c>
      <c r="M397" s="80">
        <f t="shared" si="400"/>
        <v>2.4699354199876852E-3</v>
      </c>
      <c r="N397" s="80">
        <f t="shared" si="400"/>
        <v>4.0034578776406409E-3</v>
      </c>
      <c r="O397" s="80">
        <f t="shared" si="400"/>
        <v>1.4105010879615952E-3</v>
      </c>
      <c r="P397" s="80">
        <f t="shared" si="400"/>
        <v>3.2099303607726094E-3</v>
      </c>
      <c r="Q397" s="80">
        <f t="shared" si="400"/>
        <v>3.8082377318654297E-4</v>
      </c>
      <c r="R397" s="80">
        <f t="shared" si="400"/>
        <v>1.6245582578904168E-3</v>
      </c>
      <c r="S397" s="80">
        <f t="shared" si="400"/>
        <v>1.007907173219273E-4</v>
      </c>
      <c r="T397" s="80">
        <f t="shared" si="400"/>
        <v>6.2097676391887637E-4</v>
      </c>
      <c r="U397" s="80">
        <f t="shared" si="400"/>
        <v>3.6877884227341215E-4</v>
      </c>
      <c r="V397" s="80">
        <f t="shared" si="400"/>
        <v>4.4184502149260089E-4</v>
      </c>
      <c r="W397" s="80">
        <f t="shared" si="400"/>
        <v>6.740565684821919E-5</v>
      </c>
      <c r="X397" s="80">
        <f t="shared" si="400"/>
        <v>8.4266130188752027E-5</v>
      </c>
      <c r="Y397" s="80">
        <f t="shared" si="400"/>
        <v>1.5899585428076762E-4</v>
      </c>
      <c r="Z397" s="80">
        <f t="shared" si="400"/>
        <v>2.8197495005227664E-4</v>
      </c>
      <c r="AA397" s="80">
        <f t="shared" si="400"/>
        <v>6.1327295600861319E-4</v>
      </c>
      <c r="AB397" s="80">
        <f t="shared" si="400"/>
        <v>7.1507379794919271E-4</v>
      </c>
      <c r="AC397" s="80">
        <f t="shared" si="400"/>
        <v>9.5845228603181286E-4</v>
      </c>
      <c r="AD397" s="80">
        <f t="shared" si="400"/>
        <v>1.1728474610615575E-3</v>
      </c>
      <c r="AE397" s="80">
        <f t="shared" si="400"/>
        <v>8.1293599933440373E-4</v>
      </c>
      <c r="AF397" s="80">
        <f t="shared" si="400"/>
        <v>1.2766222611772501E-4</v>
      </c>
    </row>
    <row r="398" spans="1:34" x14ac:dyDescent="0.25">
      <c r="B398" s="21">
        <f>(B365-B364)^2</f>
        <v>4240.3863444498056</v>
      </c>
      <c r="C398" s="21">
        <f t="shared" ref="C398:AF398" si="401">(C365-C364)^2</f>
        <v>6826.6396789102791</v>
      </c>
      <c r="D398" s="21">
        <f t="shared" si="401"/>
        <v>575.67284663150929</v>
      </c>
      <c r="E398" s="21">
        <f t="shared" si="401"/>
        <v>6.128145560510454</v>
      </c>
      <c r="F398" s="21">
        <f t="shared" si="401"/>
        <v>4.1896982131180316</v>
      </c>
      <c r="G398" s="21">
        <f t="shared" si="401"/>
        <v>2.8047311499501584</v>
      </c>
      <c r="H398" s="21">
        <f t="shared" si="401"/>
        <v>3.9778393435440105</v>
      </c>
      <c r="I398" s="21">
        <f t="shared" si="401"/>
        <v>4.9962158882402559</v>
      </c>
      <c r="J398" s="21">
        <f t="shared" si="401"/>
        <v>7.3237520915196388</v>
      </c>
      <c r="K398" s="21">
        <f t="shared" si="401"/>
        <v>8.2664231568226167</v>
      </c>
      <c r="L398" s="21">
        <f t="shared" si="401"/>
        <v>14.82819577522165</v>
      </c>
      <c r="M398" s="21">
        <f t="shared" si="401"/>
        <v>7.7924687107054975</v>
      </c>
      <c r="N398" s="21">
        <f t="shared" si="401"/>
        <v>10.191477846700071</v>
      </c>
      <c r="O398" s="21">
        <f t="shared" si="401"/>
        <v>0.62155368556463664</v>
      </c>
      <c r="P398" s="21">
        <f t="shared" si="401"/>
        <v>1.8361876512442217</v>
      </c>
      <c r="Q398" s="21">
        <f t="shared" si="401"/>
        <v>1.7845945100746774E-2</v>
      </c>
      <c r="R398" s="21">
        <f t="shared" si="401"/>
        <v>0.26209546117193966</v>
      </c>
      <c r="S398" s="21">
        <f t="shared" si="401"/>
        <v>8.5743931306160842E-4</v>
      </c>
      <c r="T398" s="21">
        <f t="shared" si="401"/>
        <v>2.8649484792827088E-2</v>
      </c>
      <c r="U398" s="21">
        <f t="shared" si="401"/>
        <v>9.2225138554446993E-3</v>
      </c>
      <c r="V398" s="21">
        <f t="shared" si="401"/>
        <v>1.1360741406949057E-2</v>
      </c>
      <c r="W398" s="21">
        <f t="shared" si="401"/>
        <v>2.4552783177007648E-4</v>
      </c>
      <c r="X398" s="21">
        <f t="shared" si="401"/>
        <v>3.7311287667347003E-4</v>
      </c>
      <c r="Y398" s="21">
        <f t="shared" si="401"/>
        <v>1.3055446271049845E-3</v>
      </c>
      <c r="Z398" s="21">
        <f t="shared" si="401"/>
        <v>4.0538907479463126E-3</v>
      </c>
      <c r="AA398" s="21">
        <f t="shared" si="401"/>
        <v>1.9096201026432332E-2</v>
      </c>
      <c r="AB398" s="21">
        <f t="shared" si="401"/>
        <v>2.5667827069198498E-2</v>
      </c>
      <c r="AC398" s="21">
        <f t="shared" si="401"/>
        <v>4.6060636048020617E-2</v>
      </c>
      <c r="AD398" s="21">
        <f t="shared" si="401"/>
        <v>6.8245906943825194E-2</v>
      </c>
      <c r="AE398" s="21">
        <f t="shared" si="401"/>
        <v>3.2776474634761361E-2</v>
      </c>
      <c r="AF398" s="21">
        <f t="shared" si="401"/>
        <v>8.0610926082644503E-4</v>
      </c>
      <c r="AG398" s="3"/>
      <c r="AH398" s="3"/>
    </row>
    <row r="399" spans="1:34" x14ac:dyDescent="0.25">
      <c r="A399" s="71">
        <f>SUM(B399:AF399)</f>
        <v>11716.184221881447</v>
      </c>
      <c r="B399" s="60">
        <f>IF($A$64&lt;=B363,IF($B$64&gt;=B363,ABS(B398),0),0)</f>
        <v>4240.3863444498056</v>
      </c>
      <c r="C399" s="60">
        <f t="shared" ref="C399" si="402">IF($A$64&lt;=C363,IF($B$64&gt;=C363,ABS(C398),0),0)</f>
        <v>6826.6396789102791</v>
      </c>
      <c r="D399" s="60">
        <f t="shared" ref="D399" si="403">IF($A$64&lt;=D363,IF($B$64&gt;=D363,ABS(D398),0),0)</f>
        <v>575.67284663150929</v>
      </c>
      <c r="E399" s="60">
        <f t="shared" ref="E399" si="404">IF($A$64&lt;=E363,IF($B$64&gt;=E363,ABS(E398),0),0)</f>
        <v>6.128145560510454</v>
      </c>
      <c r="F399" s="60">
        <f t="shared" ref="F399" si="405">IF($A$64&lt;=F363,IF($B$64&gt;=F363,ABS(F398),0),0)</f>
        <v>4.1896982131180316</v>
      </c>
      <c r="G399" s="60">
        <f t="shared" ref="G399" si="406">IF($A$64&lt;=G363,IF($B$64&gt;=G363,ABS(G398),0),0)</f>
        <v>2.8047311499501584</v>
      </c>
      <c r="H399" s="60">
        <f t="shared" ref="H399" si="407">IF($A$64&lt;=H363,IF($B$64&gt;=H363,ABS(H398),0),0)</f>
        <v>3.9778393435440105</v>
      </c>
      <c r="I399" s="60">
        <f t="shared" ref="I399" si="408">IF($A$64&lt;=I363,IF($B$64&gt;=I363,ABS(I398),0),0)</f>
        <v>4.9962158882402559</v>
      </c>
      <c r="J399" s="60">
        <f t="shared" ref="J399" si="409">IF($A$64&lt;=J363,IF($B$64&gt;=J363,ABS(J398),0),0)</f>
        <v>7.3237520915196388</v>
      </c>
      <c r="K399" s="60">
        <f t="shared" ref="K399" si="410">IF($A$64&lt;=K363,IF($B$64&gt;=K363,ABS(K398),0),0)</f>
        <v>8.2664231568226167</v>
      </c>
      <c r="L399" s="60">
        <f t="shared" ref="L399" si="411">IF($A$64&lt;=L363,IF($B$64&gt;=L363,ABS(L398),0),0)</f>
        <v>14.82819577522165</v>
      </c>
      <c r="M399" s="60">
        <f t="shared" ref="M399" si="412">IF($A$64&lt;=M363,IF($B$64&gt;=M363,ABS(M398),0),0)</f>
        <v>7.7924687107054975</v>
      </c>
      <c r="N399" s="60">
        <f t="shared" ref="N399" si="413">IF($A$64&lt;=N363,IF($B$64&gt;=N363,ABS(N398),0),0)</f>
        <v>10.191477846700071</v>
      </c>
      <c r="O399" s="60">
        <f t="shared" ref="O399" si="414">IF($A$64&lt;=O363,IF($B$64&gt;=O363,ABS(O398),0),0)</f>
        <v>0.62155368556463664</v>
      </c>
      <c r="P399" s="60">
        <f t="shared" ref="P399" si="415">IF($A$64&lt;=P363,IF($B$64&gt;=P363,ABS(P398),0),0)</f>
        <v>1.8361876512442217</v>
      </c>
      <c r="Q399" s="60">
        <f t="shared" ref="Q399" si="416">IF($A$64&lt;=Q363,IF($B$64&gt;=Q363,ABS(Q398),0),0)</f>
        <v>1.7845945100746774E-2</v>
      </c>
      <c r="R399" s="60">
        <f t="shared" ref="R399" si="417">IF($A$64&lt;=R363,IF($B$64&gt;=R363,ABS(R398),0),0)</f>
        <v>0.26209546117193966</v>
      </c>
      <c r="S399" s="60">
        <f t="shared" ref="S399" si="418">IF($A$64&lt;=S363,IF($B$64&gt;=S363,ABS(S398),0),0)</f>
        <v>8.5743931306160842E-4</v>
      </c>
      <c r="T399" s="60">
        <f t="shared" ref="T399" si="419">IF($A$64&lt;=T363,IF($B$64&gt;=T363,ABS(T398),0),0)</f>
        <v>2.8649484792827088E-2</v>
      </c>
      <c r="U399" s="60">
        <f t="shared" ref="U399" si="420">IF($A$64&lt;=U363,IF($B$64&gt;=U363,ABS(U398),0),0)</f>
        <v>9.2225138554446993E-3</v>
      </c>
      <c r="V399" s="60">
        <f t="shared" ref="V399" si="421">IF($A$64&lt;=V363,IF($B$64&gt;=V363,ABS(V398),0),0)</f>
        <v>1.1360741406949057E-2</v>
      </c>
      <c r="W399" s="60">
        <f t="shared" ref="W399" si="422">IF($A$64&lt;=W363,IF($B$64&gt;=W363,ABS(W398),0),0)</f>
        <v>2.4552783177007648E-4</v>
      </c>
      <c r="X399" s="60">
        <f t="shared" ref="X399" si="423">IF($A$64&lt;=X363,IF($B$64&gt;=X363,ABS(X398),0),0)</f>
        <v>3.7311287667347003E-4</v>
      </c>
      <c r="Y399" s="60">
        <f t="shared" ref="Y399" si="424">IF($A$64&lt;=Y363,IF($B$64&gt;=Y363,ABS(Y398),0),0)</f>
        <v>1.3055446271049845E-3</v>
      </c>
      <c r="Z399" s="60">
        <f t="shared" ref="Z399" si="425">IF($A$64&lt;=Z363,IF($B$64&gt;=Z363,ABS(Z398),0),0)</f>
        <v>4.0538907479463126E-3</v>
      </c>
      <c r="AA399" s="60">
        <f t="shared" ref="AA399" si="426">IF($A$64&lt;=AA363,IF($B$64&gt;=AA363,ABS(AA398),0),0)</f>
        <v>1.9096201026432332E-2</v>
      </c>
      <c r="AB399" s="60">
        <f t="shared" ref="AB399" si="427">IF($A$64&lt;=AB363,IF($B$64&gt;=AB363,ABS(AB398),0),0)</f>
        <v>2.5667827069198498E-2</v>
      </c>
      <c r="AC399" s="60">
        <f t="shared" ref="AC399" si="428">IF($A$64&lt;=AC363,IF($B$64&gt;=AC363,ABS(AC398),0),0)</f>
        <v>4.6060636048020617E-2</v>
      </c>
      <c r="AD399" s="60">
        <f t="shared" ref="AD399" si="429">IF($A$64&lt;=AD363,IF($B$64&gt;=AD363,ABS(AD398),0),0)</f>
        <v>6.8245906943825194E-2</v>
      </c>
      <c r="AE399" s="60">
        <f t="shared" ref="AE399" si="430">IF($A$64&lt;=AE363,IF($B$64&gt;=AE363,ABS(AE398),0),0)</f>
        <v>3.2776474634761361E-2</v>
      </c>
      <c r="AF399" s="60">
        <f t="shared" ref="AF399" si="431">IF($A$64&lt;=AF363,IF($B$64&gt;=AF363,ABS(AF398),0),0)</f>
        <v>8.0610926082644503E-4</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-57.849695376367158</v>
      </c>
      <c r="C403" s="107">
        <f t="shared" ref="C403:H403" si="432">IF(C125=$B$2,0,C126)</f>
        <v>-46.11051752249567</v>
      </c>
      <c r="D403" s="107">
        <f t="shared" si="432"/>
        <v>-41.17116132313857</v>
      </c>
      <c r="E403" s="107">
        <f t="shared" si="432"/>
        <v>-34.778722441922618</v>
      </c>
      <c r="F403" s="107">
        <f t="shared" si="432"/>
        <v>-28.200471206277161</v>
      </c>
      <c r="G403" s="107">
        <f t="shared" si="432"/>
        <v>-13.834226390176307</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7.5196308035056324E-41</v>
      </c>
      <c r="C404" s="3">
        <f t="shared" ref="C404:H419" si="433">$A404/EXP(-C$403)</f>
        <v>9.4288056127567843E-36</v>
      </c>
      <c r="D404" s="3">
        <f t="shared" si="433"/>
        <v>1.3170183432946665E-33</v>
      </c>
      <c r="E404" s="3">
        <f t="shared" si="433"/>
        <v>7.8667030313508309E-31</v>
      </c>
      <c r="F404" s="3">
        <f t="shared" si="433"/>
        <v>5.6583651211968195E-28</v>
      </c>
      <c r="G404" s="3">
        <f t="shared" si="433"/>
        <v>9.8145822143129694E-22</v>
      </c>
      <c r="H404" s="3">
        <f t="shared" si="433"/>
        <v>1.0000000000000001E-15</v>
      </c>
      <c r="I404" s="109">
        <f>Comparison!AL3</f>
        <v>1.0000000000000001E-15</v>
      </c>
      <c r="J404" s="3">
        <f>Comparison!AM3</f>
        <v>6236.7036596328453</v>
      </c>
      <c r="K404" s="3">
        <f>Comparison!AN3</f>
        <v>6208.9041504147117</v>
      </c>
      <c r="L404" s="3">
        <f>Comparison!AO3</f>
        <v>6190.94782109273</v>
      </c>
      <c r="M404" s="3">
        <f>Comparison!AP3</f>
        <v>6172.4582725066966</v>
      </c>
      <c r="N404" s="3">
        <f>Comparison!AQ3</f>
        <v>6087.7263279674889</v>
      </c>
      <c r="O404" s="3">
        <f>Comparison!AR3</f>
        <v>5057.043084778943</v>
      </c>
      <c r="P404" s="3">
        <f>Comparison!AS3</f>
        <v>3863.1779800091354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7.5196308035056324E-40</v>
      </c>
      <c r="C405" s="3">
        <f t="shared" si="433"/>
        <v>9.4288056127567838E-35</v>
      </c>
      <c r="D405" s="3">
        <f t="shared" si="433"/>
        <v>1.3170183432946663E-32</v>
      </c>
      <c r="E405" s="3">
        <f t="shared" si="433"/>
        <v>7.8667030313508297E-30</v>
      </c>
      <c r="F405" s="3">
        <f t="shared" si="433"/>
        <v>5.6583651211968195E-27</v>
      </c>
      <c r="G405" s="3">
        <f t="shared" si="433"/>
        <v>9.8145822143129679E-21</v>
      </c>
      <c r="H405" s="3">
        <f t="shared" si="433"/>
        <v>1E-14</v>
      </c>
      <c r="I405" s="109">
        <f>Comparison!AL4</f>
        <v>1E-14</v>
      </c>
      <c r="J405" s="3">
        <f>Comparison!AM4</f>
        <v>6236.7543143647836</v>
      </c>
      <c r="K405" s="3">
        <f>Comparison!AN4</f>
        <v>6208.954046165135</v>
      </c>
      <c r="L405" s="3">
        <f>Comparison!AO4</f>
        <v>6190.9909456828163</v>
      </c>
      <c r="M405" s="3">
        <f>Comparison!AP4</f>
        <v>6171.4179467154336</v>
      </c>
      <c r="N405" s="3">
        <f>Comparison!AQ4</f>
        <v>5883.2023767223172</v>
      </c>
      <c r="O405" s="3">
        <f>Comparison!AR4</f>
        <v>4848.8236532156789</v>
      </c>
      <c r="P405" s="3">
        <f>Comparison!AS4</f>
        <v>3639.1828782559405</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7.519630803505632E-39</v>
      </c>
      <c r="C406" s="3">
        <f t="shared" si="433"/>
        <v>9.4288056127567842E-34</v>
      </c>
      <c r="D406" s="3">
        <f t="shared" si="433"/>
        <v>1.3170183432946664E-31</v>
      </c>
      <c r="E406" s="3">
        <f t="shared" si="433"/>
        <v>7.8667030313508302E-29</v>
      </c>
      <c r="F406" s="3">
        <f t="shared" si="433"/>
        <v>5.6583651211968199E-26</v>
      </c>
      <c r="G406" s="3">
        <f t="shared" si="433"/>
        <v>9.8145822143129685E-20</v>
      </c>
      <c r="H406" s="3">
        <f t="shared" si="433"/>
        <v>1E-13</v>
      </c>
      <c r="I406" s="109">
        <f>Comparison!AL5</f>
        <v>1E-13</v>
      </c>
      <c r="J406" s="3">
        <f>Comparison!AM5</f>
        <v>6236.7227745293621</v>
      </c>
      <c r="K406" s="3">
        <f>Comparison!AN5</f>
        <v>6208.9227207923695</v>
      </c>
      <c r="L406" s="3">
        <f>Comparison!AO5</f>
        <v>6190.9010614872959</v>
      </c>
      <c r="M406" s="3">
        <f>Comparison!AP5</f>
        <v>6160.9029577093925</v>
      </c>
      <c r="N406" s="3">
        <f>Comparison!AQ5</f>
        <v>5766.612112648796</v>
      </c>
      <c r="O406" s="3">
        <f>Comparison!AR5</f>
        <v>4684.5989366281638</v>
      </c>
      <c r="P406" s="3">
        <f>Comparison!AS5</f>
        <v>3469.1983065316617</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7.5196308035056318E-38</v>
      </c>
      <c r="C407" s="3">
        <f t="shared" si="433"/>
        <v>9.4288056127567832E-33</v>
      </c>
      <c r="D407" s="3">
        <f t="shared" si="433"/>
        <v>1.3170183432946663E-30</v>
      </c>
      <c r="E407" s="3">
        <f t="shared" si="433"/>
        <v>7.86670303135083E-28</v>
      </c>
      <c r="F407" s="3">
        <f t="shared" si="433"/>
        <v>5.6583651211968195E-25</v>
      </c>
      <c r="G407" s="3">
        <f t="shared" si="433"/>
        <v>9.8145822143129688E-19</v>
      </c>
      <c r="H407" s="3">
        <f t="shared" si="433"/>
        <v>9.9999999999999998E-13</v>
      </c>
      <c r="I407" s="109">
        <f>Comparison!AL6</f>
        <v>9.9999999999999998E-13</v>
      </c>
      <c r="J407" s="3">
        <f>Comparison!AM6</f>
        <v>6236.7134615593295</v>
      </c>
      <c r="K407" s="3">
        <f>Comparison!AN6</f>
        <v>6208.9124553029696</v>
      </c>
      <c r="L407" s="3">
        <f>Comparison!AO6</f>
        <v>6190.3012651957024</v>
      </c>
      <c r="M407" s="3">
        <f>Comparison!AP6</f>
        <v>6080.1494402060262</v>
      </c>
      <c r="N407" s="3">
        <f>Comparison!AQ6</f>
        <v>5652.2426569527415</v>
      </c>
      <c r="O407" s="3">
        <f>Comparison!AR6</f>
        <v>4498.1692065771867</v>
      </c>
      <c r="P407" s="3">
        <f>Comparison!AS6</f>
        <v>3299.3094714954932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7.5196308035056312E-37</v>
      </c>
      <c r="C408" s="3">
        <f t="shared" si="433"/>
        <v>9.4288056127567835E-32</v>
      </c>
      <c r="D408" s="3">
        <f t="shared" si="433"/>
        <v>1.3170183432946661E-29</v>
      </c>
      <c r="E408" s="3">
        <f t="shared" si="433"/>
        <v>7.8667030313508289E-27</v>
      </c>
      <c r="F408" s="3">
        <f t="shared" si="433"/>
        <v>5.6583651211968193E-24</v>
      </c>
      <c r="G408" s="3">
        <f t="shared" si="433"/>
        <v>9.814582214312968E-18</v>
      </c>
      <c r="H408" s="3">
        <f t="shared" si="433"/>
        <v>9.9999999999999994E-12</v>
      </c>
      <c r="I408" s="109">
        <f>Comparison!AL7</f>
        <v>9.9999999999999994E-12</v>
      </c>
      <c r="J408" s="3">
        <f>Comparison!AM7</f>
        <v>6236.7103498332981</v>
      </c>
      <c r="K408" s="3">
        <f>Comparison!AN7</f>
        <v>6208.8998107339294</v>
      </c>
      <c r="L408" s="3">
        <f>Comparison!AO7</f>
        <v>6184.546733156315</v>
      </c>
      <c r="M408" s="3">
        <f>Comparison!AP7</f>
        <v>5909.4727930371473</v>
      </c>
      <c r="N408" s="3">
        <f>Comparison!AQ7</f>
        <v>5525.6917701938164</v>
      </c>
      <c r="O408" s="3">
        <f>Comparison!AR7</f>
        <v>4277.4916896280383</v>
      </c>
      <c r="P408" s="3">
        <f>Comparison!AS7</f>
        <v>3129.0766280827079</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7.5196308035056325E-36</v>
      </c>
      <c r="C409" s="3">
        <f t="shared" si="433"/>
        <v>9.4288056127567846E-31</v>
      </c>
      <c r="D409" s="3">
        <f t="shared" si="433"/>
        <v>1.3170183432946663E-28</v>
      </c>
      <c r="E409" s="3">
        <f t="shared" si="433"/>
        <v>7.8667030313508301E-26</v>
      </c>
      <c r="F409" s="3">
        <f t="shared" si="433"/>
        <v>5.6583651211968202E-23</v>
      </c>
      <c r="G409" s="3">
        <f t="shared" si="433"/>
        <v>9.8145822143129683E-17</v>
      </c>
      <c r="H409" s="3">
        <f t="shared" si="433"/>
        <v>1E-10</v>
      </c>
      <c r="I409" s="109">
        <f>Comparison!AL8</f>
        <v>1E-10</v>
      </c>
      <c r="J409" s="3">
        <f>Comparison!AM8</f>
        <v>6236.7093940894983</v>
      </c>
      <c r="K409" s="3">
        <f>Comparison!AN8</f>
        <v>6208.8003522000536</v>
      </c>
      <c r="L409" s="3">
        <f>Comparison!AO8</f>
        <v>6134.9569154421024</v>
      </c>
      <c r="M409" s="3">
        <f>Comparison!AP8</f>
        <v>5793.8515184178423</v>
      </c>
      <c r="N409" s="3">
        <f>Comparison!AQ8</f>
        <v>5390.3124971142561</v>
      </c>
      <c r="O409" s="3">
        <f>Comparison!AR8</f>
        <v>4057.0756825676294</v>
      </c>
      <c r="P409" s="3">
        <f>Comparison!AS8</f>
        <v>2931.3619259938991</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7.5196308035056325E-35</v>
      </c>
      <c r="C410" s="3">
        <f t="shared" si="433"/>
        <v>9.4288056127567839E-30</v>
      </c>
      <c r="D410" s="3">
        <f t="shared" si="433"/>
        <v>1.3170183432946664E-27</v>
      </c>
      <c r="E410" s="3">
        <f t="shared" si="433"/>
        <v>7.8667030313508305E-25</v>
      </c>
      <c r="F410" s="3">
        <f t="shared" si="433"/>
        <v>5.6583651211968197E-22</v>
      </c>
      <c r="G410" s="3">
        <f t="shared" si="433"/>
        <v>9.814582214312969E-16</v>
      </c>
      <c r="H410" s="3">
        <f t="shared" si="433"/>
        <v>1.0000000000000001E-9</v>
      </c>
      <c r="I410" s="109">
        <f>Comparison!AL9</f>
        <v>1.0000000000000001E-9</v>
      </c>
      <c r="J410" s="3">
        <f>Comparison!AM9</f>
        <v>6236.7090606905667</v>
      </c>
      <c r="K410" s="3">
        <f>Comparison!AN9</f>
        <v>6207.823250686135</v>
      </c>
      <c r="L410" s="3">
        <f>Comparison!AO9</f>
        <v>5960.1402034772782</v>
      </c>
      <c r="M410" s="3">
        <f>Comparison!AP9</f>
        <v>5680.232087661574</v>
      </c>
      <c r="N410" s="3">
        <f>Comparison!AQ9</f>
        <v>5238.3436481907338</v>
      </c>
      <c r="O410" s="3">
        <f>Comparison!AR9</f>
        <v>3871.2190964450751</v>
      </c>
      <c r="P410" s="3">
        <f>Comparison!AS9</f>
        <v>2716.4697293377858</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7.5196308035056325E-34</v>
      </c>
      <c r="C411" s="3">
        <f t="shared" si="433"/>
        <v>9.4288056127567844E-29</v>
      </c>
      <c r="D411" s="3">
        <f t="shared" si="433"/>
        <v>1.3170183432946663E-26</v>
      </c>
      <c r="E411" s="3">
        <f t="shared" si="433"/>
        <v>7.86670303135083E-24</v>
      </c>
      <c r="F411" s="3">
        <f t="shared" si="433"/>
        <v>5.6583651211968195E-21</v>
      </c>
      <c r="G411" s="3">
        <f t="shared" si="433"/>
        <v>9.814582214312969E-15</v>
      </c>
      <c r="H411" s="3">
        <f t="shared" si="433"/>
        <v>1E-8</v>
      </c>
      <c r="I411" s="109">
        <f>Comparison!AL10</f>
        <v>1E-8</v>
      </c>
      <c r="J411" s="3">
        <f>Comparison!AM10</f>
        <v>6236.7087939714465</v>
      </c>
      <c r="K411" s="3">
        <f>Comparison!AN10</f>
        <v>6198.4068082676995</v>
      </c>
      <c r="L411" s="3">
        <f>Comparison!AO10</f>
        <v>5837.5204894884346</v>
      </c>
      <c r="M411" s="3">
        <f>Comparison!AP10</f>
        <v>5553.2872228346014</v>
      </c>
      <c r="N411" s="3">
        <f>Comparison!AQ10</f>
        <v>5074.6532971494116</v>
      </c>
      <c r="O411" s="3">
        <f>Comparison!AR10</f>
        <v>3695.7543511911053</v>
      </c>
      <c r="P411" s="3">
        <f>Comparison!AS10</f>
        <v>2473.3394151100656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7.5196308035056318E-33</v>
      </c>
      <c r="C412" s="3">
        <f t="shared" si="433"/>
        <v>9.428805612756784E-28</v>
      </c>
      <c r="D412" s="3">
        <f t="shared" si="433"/>
        <v>1.3170183432946662E-25</v>
      </c>
      <c r="E412" s="3">
        <f t="shared" si="433"/>
        <v>7.86670303135083E-23</v>
      </c>
      <c r="F412" s="3">
        <f t="shared" si="433"/>
        <v>5.6583651211968188E-20</v>
      </c>
      <c r="G412" s="3">
        <f t="shared" si="433"/>
        <v>9.8145822143129671E-14</v>
      </c>
      <c r="H412" s="3">
        <f t="shared" si="433"/>
        <v>9.9999999999999995E-8</v>
      </c>
      <c r="I412" s="109">
        <f>Comparison!AL11</f>
        <v>9.9999999999999995E-8</v>
      </c>
      <c r="J412" s="3">
        <f>Comparison!AM11</f>
        <v>6236.7087272916715</v>
      </c>
      <c r="K412" s="3">
        <f>Comparison!AN11</f>
        <v>6123.8951758235389</v>
      </c>
      <c r="L412" s="3">
        <f>Comparison!AO11</f>
        <v>5726.4044877419674</v>
      </c>
      <c r="M412" s="3">
        <f>Comparison!AP11</f>
        <v>5418.4008813428445</v>
      </c>
      <c r="N412" s="3">
        <f>Comparison!AQ11</f>
        <v>4908.5570875707617</v>
      </c>
      <c r="O412" s="3">
        <f>Comparison!AR11</f>
        <v>3525.6595385822288</v>
      </c>
      <c r="P412" s="3">
        <f>Comparison!AS11</f>
        <v>2200.4685992187833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7.5196308035056321E-32</v>
      </c>
      <c r="C413" s="3">
        <f t="shared" si="433"/>
        <v>9.4288056127567829E-27</v>
      </c>
      <c r="D413" s="3">
        <f t="shared" si="433"/>
        <v>1.3170183432946663E-24</v>
      </c>
      <c r="E413" s="3">
        <f t="shared" si="433"/>
        <v>7.8667030313508293E-22</v>
      </c>
      <c r="F413" s="3">
        <f t="shared" si="433"/>
        <v>5.6583651211968195E-19</v>
      </c>
      <c r="G413" s="3">
        <f t="shared" si="433"/>
        <v>9.8145822143129679E-13</v>
      </c>
      <c r="H413" s="3">
        <f t="shared" si="433"/>
        <v>9.9999999999999995E-7</v>
      </c>
      <c r="I413" s="109">
        <f>Comparison!AL12</f>
        <v>9.9999999999999995E-7</v>
      </c>
      <c r="J413" s="3">
        <f>Comparison!AM12</f>
        <v>6236.707282563535</v>
      </c>
      <c r="K413" s="3">
        <f>Comparison!AN12</f>
        <v>5949.706721106596</v>
      </c>
      <c r="L413" s="3">
        <f>Comparison!AO12</f>
        <v>5600.4012933944368</v>
      </c>
      <c r="M413" s="3">
        <f>Comparison!AP12</f>
        <v>5266.5010696158342</v>
      </c>
      <c r="N413" s="3">
        <f>Comparison!AQ12</f>
        <v>4747.9849619649776</v>
      </c>
      <c r="O413" s="3">
        <f>Comparison!AR12</f>
        <v>3357.1494631908417</v>
      </c>
      <c r="P413" s="3">
        <f>Comparison!AS12</f>
        <v>1881.1238306732719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7.5196308035056327E-31</v>
      </c>
      <c r="C414" s="3">
        <f t="shared" si="433"/>
        <v>9.4288056127567846E-26</v>
      </c>
      <c r="D414" s="3">
        <f t="shared" si="433"/>
        <v>1.3170183432946663E-23</v>
      </c>
      <c r="E414" s="3">
        <f t="shared" si="433"/>
        <v>7.86670303135083E-21</v>
      </c>
      <c r="F414" s="3">
        <f t="shared" si="433"/>
        <v>5.6583651211968201E-18</v>
      </c>
      <c r="G414" s="3">
        <f t="shared" si="433"/>
        <v>9.8145822143129695E-12</v>
      </c>
      <c r="H414" s="3">
        <f t="shared" si="433"/>
        <v>1.0000000000000001E-5</v>
      </c>
      <c r="I414" s="109">
        <f>Comparison!AL13</f>
        <v>1.0000000000000001E-5</v>
      </c>
      <c r="J414" s="3">
        <f>Comparison!AM13</f>
        <v>6236.6931020367429</v>
      </c>
      <c r="K414" s="3">
        <f>Comparison!AN13</f>
        <v>5832.266903330059</v>
      </c>
      <c r="L414" s="3">
        <f>Comparison!AO13</f>
        <v>5468.7266553730897</v>
      </c>
      <c r="M414" s="3">
        <f>Comparison!AP13</f>
        <v>5102.6301031593184</v>
      </c>
      <c r="N414" s="3">
        <f>Comparison!AQ13</f>
        <v>4570.6221718948836</v>
      </c>
      <c r="O414" s="3">
        <f>Comparison!AR13</f>
        <v>3187.0619417508151</v>
      </c>
      <c r="P414" s="3">
        <f>Comparison!AS13</f>
        <v>1513.9966699513473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7.5196308035056317E-30</v>
      </c>
      <c r="C415" s="3">
        <f t="shared" si="433"/>
        <v>9.4288056127567844E-25</v>
      </c>
      <c r="D415" s="3">
        <f t="shared" si="433"/>
        <v>1.3170183432946664E-22</v>
      </c>
      <c r="E415" s="3">
        <f t="shared" si="433"/>
        <v>7.8667030313508297E-20</v>
      </c>
      <c r="F415" s="3">
        <f t="shared" si="433"/>
        <v>5.6583651211968198E-17</v>
      </c>
      <c r="G415" s="3">
        <f t="shared" si="433"/>
        <v>9.8145822143129682E-11</v>
      </c>
      <c r="H415" s="3">
        <f t="shared" si="433"/>
        <v>1E-4</v>
      </c>
      <c r="I415" s="109">
        <f>Comparison!AL14</f>
        <v>1E-4</v>
      </c>
      <c r="J415" s="3">
        <f>Comparison!AM14</f>
        <v>6236.5527005203321</v>
      </c>
      <c r="K415" s="3">
        <f>Comparison!AN14</f>
        <v>5718.4883971282225</v>
      </c>
      <c r="L415" s="3">
        <f>Comparison!AO14</f>
        <v>5319.6907361616632</v>
      </c>
      <c r="M415" s="3">
        <f>Comparison!AP14</f>
        <v>4935.1703334559215</v>
      </c>
      <c r="N415" s="3">
        <f>Comparison!AQ14</f>
        <v>4355.6121901289935</v>
      </c>
      <c r="O415" s="3">
        <f>Comparison!AR14</f>
        <v>2996.966538971345</v>
      </c>
      <c r="P415" s="3">
        <f>Comparison!AS14</f>
        <v>1130.1912363654051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7.5196308035056322E-29</v>
      </c>
      <c r="C416" s="3">
        <f t="shared" si="433"/>
        <v>9.428805612756784E-24</v>
      </c>
      <c r="D416" s="3">
        <f t="shared" si="433"/>
        <v>1.3170183432946664E-21</v>
      </c>
      <c r="E416" s="3">
        <f t="shared" si="433"/>
        <v>7.86670303135083E-19</v>
      </c>
      <c r="F416" s="3">
        <f t="shared" si="433"/>
        <v>5.6583651211968195E-16</v>
      </c>
      <c r="G416" s="3">
        <f t="shared" si="433"/>
        <v>9.8145822143129685E-10</v>
      </c>
      <c r="H416" s="3">
        <f t="shared" si="433"/>
        <v>1E-3</v>
      </c>
      <c r="I416" s="109">
        <f>Comparison!AL15</f>
        <v>1E-3</v>
      </c>
      <c r="J416" s="3">
        <f>Comparison!AM15</f>
        <v>6235.1590077245392</v>
      </c>
      <c r="K416" s="3">
        <f>Comparison!AN15</f>
        <v>5590.6777193321577</v>
      </c>
      <c r="L416" s="3">
        <f>Comparison!AO15</f>
        <v>5157.813288998067</v>
      </c>
      <c r="M416" s="3">
        <f>Comparison!AP15</f>
        <v>4773.9141111745284</v>
      </c>
      <c r="N416" s="3">
        <f>Comparison!AQ15</f>
        <v>4128.400911796266</v>
      </c>
      <c r="O416" s="3">
        <f>Comparison!AR15</f>
        <v>2785.0882808530132</v>
      </c>
      <c r="P416" s="3">
        <f>Comparison!AS15</f>
        <v>797.41301356348504</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7.5196308035056322E-28</v>
      </c>
      <c r="C417" s="3">
        <f t="shared" si="433"/>
        <v>9.428805612756784E-23</v>
      </c>
      <c r="D417" s="3">
        <f t="shared" si="433"/>
        <v>1.3170183432946663E-20</v>
      </c>
      <c r="E417" s="3">
        <f t="shared" si="433"/>
        <v>7.86670303135083E-18</v>
      </c>
      <c r="F417" s="3">
        <f t="shared" si="433"/>
        <v>5.6583651211968193E-15</v>
      </c>
      <c r="G417" s="3">
        <f t="shared" si="433"/>
        <v>9.8145822143129689E-9</v>
      </c>
      <c r="H417" s="3">
        <f t="shared" si="433"/>
        <v>0.01</v>
      </c>
      <c r="I417" s="109">
        <f>Comparison!AL16</f>
        <v>0.01</v>
      </c>
      <c r="J417" s="3">
        <f>Comparison!AM16</f>
        <v>6221.8566314570962</v>
      </c>
      <c r="K417" s="3">
        <f>Comparison!AN16</f>
        <v>5455.5326764024039</v>
      </c>
      <c r="L417" s="3">
        <f>Comparison!AO16</f>
        <v>4988.4254277432274</v>
      </c>
      <c r="M417" s="3">
        <f>Comparison!AP16</f>
        <v>4598.1434168288733</v>
      </c>
      <c r="N417" s="3">
        <f>Comparison!AQ16</f>
        <v>3931.0953121014495</v>
      </c>
      <c r="O417" s="3">
        <f>Comparison!AR16</f>
        <v>2548.6636373493402</v>
      </c>
      <c r="P417" s="3">
        <f>Comparison!AS16</f>
        <v>558.94090982101648</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7.519630803505633E-27</v>
      </c>
      <c r="C418" s="3">
        <f t="shared" si="433"/>
        <v>9.4288056127567835E-22</v>
      </c>
      <c r="D418" s="3">
        <f t="shared" si="433"/>
        <v>1.3170183432946665E-19</v>
      </c>
      <c r="E418" s="3">
        <f t="shared" si="433"/>
        <v>7.8667030313508309E-17</v>
      </c>
      <c r="F418" s="3">
        <f t="shared" si="433"/>
        <v>5.6583651211968196E-14</v>
      </c>
      <c r="G418" s="3">
        <f t="shared" si="433"/>
        <v>9.8145822143129682E-8</v>
      </c>
      <c r="H418" s="3">
        <f t="shared" si="433"/>
        <v>0.1</v>
      </c>
      <c r="I418" s="109">
        <f>Comparison!AL17</f>
        <v>0.1</v>
      </c>
      <c r="J418" s="3">
        <f>Comparison!AM17</f>
        <v>6125.5353779175648</v>
      </c>
      <c r="K418" s="3">
        <f>Comparison!AN17</f>
        <v>5303.027474748983</v>
      </c>
      <c r="L418" s="3">
        <f>Comparison!AO17</f>
        <v>4826.1776287086414</v>
      </c>
      <c r="M418" s="3">
        <f>Comparison!AP17</f>
        <v>4383.948625533154</v>
      </c>
      <c r="N418" s="3">
        <f>Comparison!AQ17</f>
        <v>3756.0498426526324</v>
      </c>
      <c r="O418" s="3">
        <f>Comparison!AR17</f>
        <v>2277.7712640750647</v>
      </c>
      <c r="P418" s="3">
        <f>Comparison!AS17</f>
        <v>422.14623536379804</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7.5196308035056324E-26</v>
      </c>
      <c r="C419" s="3">
        <f t="shared" si="433"/>
        <v>9.4288056127567843E-21</v>
      </c>
      <c r="D419" s="3">
        <f t="shared" si="433"/>
        <v>1.3170183432946663E-18</v>
      </c>
      <c r="E419" s="3">
        <f t="shared" si="433"/>
        <v>7.8667030313508299E-16</v>
      </c>
      <c r="F419" s="3">
        <f t="shared" si="433"/>
        <v>5.6583651211968195E-13</v>
      </c>
      <c r="G419" s="3">
        <f t="shared" si="433"/>
        <v>9.814582214312969E-7</v>
      </c>
      <c r="H419" s="3">
        <f t="shared" si="433"/>
        <v>1</v>
      </c>
      <c r="I419" s="109">
        <f>Comparison!AL18</f>
        <v>1</v>
      </c>
      <c r="J419" s="3">
        <f>Comparison!AM18</f>
        <v>5957.8557354462564</v>
      </c>
      <c r="K419" s="3">
        <f>Comparison!AN18</f>
        <v>5138.2826367857815</v>
      </c>
      <c r="L419" s="3">
        <f>Comparison!AO18</f>
        <v>4657.2476007324067</v>
      </c>
      <c r="M419" s="3">
        <f>Comparison!AP18</f>
        <v>4152.9128127042486</v>
      </c>
      <c r="N419" s="3">
        <f>Comparison!AQ18</f>
        <v>3572.9092141735305</v>
      </c>
      <c r="O419" s="3">
        <f>Comparison!AR18</f>
        <v>1945.3918502755284</v>
      </c>
      <c r="P419" s="3">
        <f>Comparison!AS18</f>
        <v>350.78880475369743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7.5196308035056317E-25</v>
      </c>
      <c r="C420" s="3">
        <f t="shared" si="434"/>
        <v>9.428805612756784E-20</v>
      </c>
      <c r="D420" s="3">
        <f t="shared" si="434"/>
        <v>1.3170183432946663E-17</v>
      </c>
      <c r="E420" s="3">
        <f t="shared" si="434"/>
        <v>7.8667030313508305E-15</v>
      </c>
      <c r="F420" s="3">
        <f t="shared" si="434"/>
        <v>5.6583651211968193E-12</v>
      </c>
      <c r="G420" s="3">
        <f t="shared" si="434"/>
        <v>9.8145822143129677E-6</v>
      </c>
      <c r="H420" s="3">
        <f t="shared" si="434"/>
        <v>10</v>
      </c>
      <c r="I420" s="109">
        <f>Comparison!AL19</f>
        <v>10</v>
      </c>
      <c r="J420" s="3">
        <f>Comparison!AM19</f>
        <v>5841.9046732349807</v>
      </c>
      <c r="K420" s="3">
        <f>Comparison!AN19</f>
        <v>4968.6771751633605</v>
      </c>
      <c r="L420" s="3">
        <f>Comparison!AO19</f>
        <v>4447.8021820917502</v>
      </c>
      <c r="M420" s="3">
        <f>Comparison!AP19</f>
        <v>3937.3787582645855</v>
      </c>
      <c r="N420" s="3">
        <f>Comparison!AQ19</f>
        <v>3356.1944513859066</v>
      </c>
      <c r="O420" s="3">
        <f>Comparison!AR19</f>
        <v>1547.0547031117155</v>
      </c>
      <c r="P420" s="3">
        <f>Comparison!AS19</f>
        <v>315.13341803519359</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7.5196308035056326E-24</v>
      </c>
      <c r="C421" s="3">
        <f t="shared" si="434"/>
        <v>9.428805612756784E-19</v>
      </c>
      <c r="D421" s="3">
        <f t="shared" si="434"/>
        <v>1.3170183432946664E-16</v>
      </c>
      <c r="E421" s="3">
        <f t="shared" si="434"/>
        <v>7.8667030313508305E-14</v>
      </c>
      <c r="F421" s="3">
        <f t="shared" si="434"/>
        <v>5.6583651211968193E-11</v>
      </c>
      <c r="G421" s="3">
        <f t="shared" si="434"/>
        <v>9.8145822143129688E-5</v>
      </c>
      <c r="H421" s="3">
        <f t="shared" si="434"/>
        <v>100</v>
      </c>
      <c r="I421" s="109">
        <f>Comparison!AL20</f>
        <v>100</v>
      </c>
      <c r="J421" s="3">
        <f>Comparison!AM20</f>
        <v>5724.8371546354174</v>
      </c>
      <c r="K421" s="3">
        <f>Comparison!AN20</f>
        <v>4801.9058791873949</v>
      </c>
      <c r="L421" s="3">
        <f>Comparison!AO20</f>
        <v>4189.6330379426572</v>
      </c>
      <c r="M421" s="3">
        <f>Comparison!AP20</f>
        <v>3687.7590044854528</v>
      </c>
      <c r="N421" s="3">
        <f>Comparison!AQ20</f>
        <v>3066.2657883339552</v>
      </c>
      <c r="O421" s="3">
        <f>Comparison!AR20</f>
        <v>1144.6630604809154</v>
      </c>
      <c r="P421" s="3">
        <f>Comparison!AS20</f>
        <v>290.52342792543726</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7.519630803505632E-23</v>
      </c>
      <c r="C422" s="3">
        <f t="shared" si="434"/>
        <v>9.428805612756784E-18</v>
      </c>
      <c r="D422" s="3">
        <f t="shared" si="434"/>
        <v>1.3170183432946663E-15</v>
      </c>
      <c r="E422" s="3">
        <f t="shared" si="434"/>
        <v>7.8667030313508297E-13</v>
      </c>
      <c r="F422" s="3">
        <f t="shared" si="434"/>
        <v>5.658365121196819E-10</v>
      </c>
      <c r="G422" s="3">
        <f t="shared" si="434"/>
        <v>9.8145822143129685E-4</v>
      </c>
      <c r="H422" s="3">
        <f t="shared" si="434"/>
        <v>1000</v>
      </c>
      <c r="I422" s="109">
        <f>Comparison!AL21</f>
        <v>1000</v>
      </c>
      <c r="J422" s="3">
        <f>Comparison!AM21</f>
        <v>5594.9864087709147</v>
      </c>
      <c r="K422" s="3">
        <f>Comparison!AN21</f>
        <v>4591.6968686621467</v>
      </c>
      <c r="L422" s="3">
        <f>Comparison!AO21</f>
        <v>3869.887397775818</v>
      </c>
      <c r="M422" s="3">
        <f>Comparison!AP21</f>
        <v>3362.1408606761684</v>
      </c>
      <c r="N422" s="3">
        <f>Comparison!AQ21</f>
        <v>2758.9237309250375</v>
      </c>
      <c r="O422" s="3">
        <f>Comparison!AR21</f>
        <v>800.03144169281939</v>
      </c>
      <c r="P422" s="3">
        <f>Comparison!AS21</f>
        <v>272.57314075796921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7.5196308035056318E-22</v>
      </c>
      <c r="C423" s="3">
        <f t="shared" si="434"/>
        <v>9.4288056127567843E-17</v>
      </c>
      <c r="D423" s="3">
        <f t="shared" si="434"/>
        <v>1.3170183432946663E-14</v>
      </c>
      <c r="E423" s="3">
        <f t="shared" si="434"/>
        <v>7.8667030313508295E-12</v>
      </c>
      <c r="F423" s="3">
        <f t="shared" si="434"/>
        <v>5.658365121196819E-9</v>
      </c>
      <c r="G423" s="3">
        <f t="shared" si="434"/>
        <v>9.8145822143129689E-3</v>
      </c>
      <c r="H423" s="3">
        <f t="shared" si="434"/>
        <v>10000</v>
      </c>
      <c r="I423" s="109">
        <f>Comparison!AL22</f>
        <v>10000</v>
      </c>
      <c r="J423" s="3">
        <f>Comparison!AM22</f>
        <v>5449.107992075601</v>
      </c>
      <c r="K423" s="3">
        <f>Comparison!AN22</f>
        <v>4244.316229983926</v>
      </c>
      <c r="L423" s="3">
        <f>Comparison!AO22</f>
        <v>3525.2708334642716</v>
      </c>
      <c r="M423" s="3">
        <f>Comparison!AP22</f>
        <v>3051.8261997186564</v>
      </c>
      <c r="N423" s="3">
        <f>Comparison!AQ22</f>
        <v>2465.267862411738</v>
      </c>
      <c r="O423" s="3">
        <f>Comparison!AR22</f>
        <v>550.37343151827611</v>
      </c>
      <c r="P423" s="3">
        <f>Comparison!AS22</f>
        <v>260.41060204475895</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7.5196308035056322E-21</v>
      </c>
      <c r="C424" s="3">
        <f t="shared" si="434"/>
        <v>9.4288056127567836E-16</v>
      </c>
      <c r="D424" s="3">
        <f t="shared" si="434"/>
        <v>1.3170183432946663E-13</v>
      </c>
      <c r="E424" s="3">
        <f t="shared" si="434"/>
        <v>7.8667030313508305E-11</v>
      </c>
      <c r="F424" s="3">
        <f t="shared" si="434"/>
        <v>5.6583651211968192E-8</v>
      </c>
      <c r="G424" s="3">
        <f t="shared" si="434"/>
        <v>9.8145822143129682E-2</v>
      </c>
      <c r="H424" s="3">
        <f t="shared" si="434"/>
        <v>100000</v>
      </c>
      <c r="I424" s="109">
        <f>Comparison!AL23</f>
        <v>100000</v>
      </c>
      <c r="J424" s="3">
        <f>Comparison!AM23</f>
        <v>5238.9471208339255</v>
      </c>
      <c r="K424" s="3">
        <f>Comparison!AN23</f>
        <v>3822.3596155431378</v>
      </c>
      <c r="L424" s="3">
        <f>Comparison!AO23</f>
        <v>3199.7360053237758</v>
      </c>
      <c r="M424" s="3">
        <f>Comparison!AP23</f>
        <v>2781.8342661671418</v>
      </c>
      <c r="N424" s="3">
        <f>Comparison!AQ23</f>
        <v>2197.1478961266816</v>
      </c>
      <c r="O424" s="3">
        <f>Comparison!AR23</f>
        <v>400.38950806520603</v>
      </c>
      <c r="P424" s="3">
        <f>Comparison!AS23</f>
        <v>241.23114118692146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7.5196308035056316E-20</v>
      </c>
      <c r="C425" s="3">
        <f t="shared" si="434"/>
        <v>9.4288056127567844E-15</v>
      </c>
      <c r="D425" s="3">
        <f t="shared" si="434"/>
        <v>1.3170183432946664E-12</v>
      </c>
      <c r="E425" s="3">
        <f t="shared" si="434"/>
        <v>7.86670303135083E-10</v>
      </c>
      <c r="F425" s="3">
        <f t="shared" si="434"/>
        <v>5.6583651211968199E-7</v>
      </c>
      <c r="G425" s="3">
        <f t="shared" si="434"/>
        <v>0.9814582214312968</v>
      </c>
      <c r="H425" s="3">
        <f t="shared" si="434"/>
        <v>1000000</v>
      </c>
      <c r="I425" s="109">
        <f>Comparison!AL24</f>
        <v>1000000</v>
      </c>
      <c r="J425" s="3">
        <f>Comparison!AM24</f>
        <v>4890.0199582671721</v>
      </c>
      <c r="K425" s="3">
        <f>Comparison!AN24</f>
        <v>3460.4449685337781</v>
      </c>
      <c r="L425" s="3">
        <f>Comparison!AO24</f>
        <v>2935.0143216958841</v>
      </c>
      <c r="M425" s="3">
        <f>Comparison!AP24</f>
        <v>2548.0002478694637</v>
      </c>
      <c r="N425" s="3">
        <f>Comparison!AQ24</f>
        <v>1937.1917706499551</v>
      </c>
      <c r="O425" s="3">
        <f>Comparison!AR24</f>
        <v>323.43126641101793</v>
      </c>
      <c r="P425" s="3">
        <f>Comparison!AS24</f>
        <v>232.46309688187819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7.5196308035056321E-19</v>
      </c>
      <c r="C426" s="3">
        <f t="shared" si="434"/>
        <v>9.4288056127567837E-14</v>
      </c>
      <c r="D426" s="3">
        <f t="shared" si="434"/>
        <v>1.3170183432946663E-11</v>
      </c>
      <c r="E426" s="3">
        <f t="shared" si="434"/>
        <v>7.86670303135083E-9</v>
      </c>
      <c r="F426" s="3">
        <f t="shared" si="434"/>
        <v>5.658365121196819E-6</v>
      </c>
      <c r="G426" s="3">
        <f t="shared" si="434"/>
        <v>9.8145822143129688</v>
      </c>
      <c r="H426" s="3">
        <f t="shared" si="434"/>
        <v>10000000</v>
      </c>
      <c r="I426" s="109">
        <f>Comparison!AL25</f>
        <v>10000000</v>
      </c>
      <c r="J426" s="3">
        <f>Comparison!AM25</f>
        <v>4481.1158480346585</v>
      </c>
      <c r="K426" s="3">
        <f>Comparison!AN25</f>
        <v>3181.5548647682826</v>
      </c>
      <c r="L426" s="3">
        <f>Comparison!AO25</f>
        <v>2710.2185258489567</v>
      </c>
      <c r="M426" s="3">
        <f>Comparison!AP25</f>
        <v>2324.6967439739478</v>
      </c>
      <c r="N426" s="3">
        <f>Comparison!AQ25</f>
        <v>1672.2844115065361</v>
      </c>
      <c r="O426" s="3">
        <f>Comparison!AR25</f>
        <v>285.62091448863987</v>
      </c>
      <c r="P426" s="3">
        <f>Comparison!AS25</f>
        <v>229.22768516622719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7.5196308035056322E-18</v>
      </c>
      <c r="C427" s="3">
        <f t="shared" si="434"/>
        <v>9.4288056127567842E-13</v>
      </c>
      <c r="D427" s="3">
        <f t="shared" si="434"/>
        <v>1.3170183432946664E-10</v>
      </c>
      <c r="E427" s="3">
        <f t="shared" si="434"/>
        <v>7.8667030313508296E-8</v>
      </c>
      <c r="F427" s="3">
        <f t="shared" si="434"/>
        <v>5.6583651211968197E-5</v>
      </c>
      <c r="G427" s="3">
        <f t="shared" si="434"/>
        <v>98.145822143129678</v>
      </c>
      <c r="H427" s="3">
        <f t="shared" si="434"/>
        <v>100000000</v>
      </c>
      <c r="I427" s="109">
        <f>Comparison!AL26</f>
        <v>100000000</v>
      </c>
      <c r="J427" s="3">
        <f>Comparison!AM26</f>
        <v>4122.5449332073522</v>
      </c>
      <c r="K427" s="3">
        <f>Comparison!AN26</f>
        <v>2948.4803768016395</v>
      </c>
      <c r="L427" s="3">
        <f>Comparison!AO26</f>
        <v>2516.1939727894755</v>
      </c>
      <c r="M427" s="3">
        <f>Comparison!AP26</f>
        <v>2110.9011240283112</v>
      </c>
      <c r="N427" s="3">
        <f>Comparison!AQ26</f>
        <v>1384.5529744446492</v>
      </c>
      <c r="O427" s="3">
        <f>Comparison!AR26</f>
        <v>264.72815066208511</v>
      </c>
      <c r="P427" s="3">
        <f>Comparison!AS26</f>
        <v>227.25322776524877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7.5196308035056316E-17</v>
      </c>
      <c r="C428" s="3">
        <f t="shared" si="434"/>
        <v>9.428805612756783E-12</v>
      </c>
      <c r="D428" s="3">
        <f t="shared" si="434"/>
        <v>1.3170183432946663E-9</v>
      </c>
      <c r="E428" s="3">
        <f t="shared" si="434"/>
        <v>7.8667030313508299E-7</v>
      </c>
      <c r="F428" s="3">
        <f t="shared" si="434"/>
        <v>5.6583651211968196E-4</v>
      </c>
      <c r="G428" s="3">
        <f t="shared" si="434"/>
        <v>981.45822143129681</v>
      </c>
      <c r="H428" s="3">
        <f t="shared" si="434"/>
        <v>1000000000</v>
      </c>
      <c r="I428" s="109">
        <f>Comparison!AL27</f>
        <v>1000000000</v>
      </c>
      <c r="J428" s="3">
        <f>Comparison!AM27</f>
        <v>3817.2358932466136</v>
      </c>
      <c r="K428" s="3">
        <f>Comparison!AN27</f>
        <v>2756.8500477108341</v>
      </c>
      <c r="L428" s="3">
        <f>Comparison!AO27</f>
        <v>2320.7205267001218</v>
      </c>
      <c r="M428" s="3">
        <f>Comparison!AP27</f>
        <v>1889.1026777393556</v>
      </c>
      <c r="N428" s="3">
        <f>Comparison!AQ27</f>
        <v>1075.4259318118629</v>
      </c>
      <c r="O428" s="3">
        <f>Comparison!AR27</f>
        <v>251.4133849928937</v>
      </c>
      <c r="P428" s="3">
        <f>Comparison!AS27</f>
        <v>225.80080804948139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7.5196308035056321E-16</v>
      </c>
      <c r="C429" s="3">
        <f t="shared" si="434"/>
        <v>9.428805612756784E-11</v>
      </c>
      <c r="D429" s="3">
        <f t="shared" si="434"/>
        <v>1.3170183432946664E-8</v>
      </c>
      <c r="E429" s="3">
        <f t="shared" si="434"/>
        <v>7.8667030313508293E-6</v>
      </c>
      <c r="F429" s="3">
        <f t="shared" si="434"/>
        <v>5.6583651211968193E-3</v>
      </c>
      <c r="G429" s="3">
        <f t="shared" si="434"/>
        <v>9814.5822143129681</v>
      </c>
      <c r="H429" s="3">
        <f t="shared" si="434"/>
        <v>10000000000</v>
      </c>
      <c r="I429" s="109">
        <f>Comparison!AL28</f>
        <v>10000000000</v>
      </c>
      <c r="J429" s="3">
        <f>Comparison!AM28</f>
        <v>3538.1243513228083</v>
      </c>
      <c r="K429" s="3">
        <f>Comparison!AN28</f>
        <v>2584.3195539777521</v>
      </c>
      <c r="L429" s="3">
        <f>Comparison!AO28</f>
        <v>2127.9207460173989</v>
      </c>
      <c r="M429" s="3">
        <f>Comparison!AP28</f>
        <v>1651.1191781124999</v>
      </c>
      <c r="N429" s="3">
        <f>Comparison!AQ28</f>
        <v>780.58970474439741</v>
      </c>
      <c r="O429" s="3">
        <f>Comparison!AR28</f>
        <v>244.9280851953373</v>
      </c>
      <c r="P429" s="3">
        <f>Comparison!AS28</f>
        <v>225.33034168462086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7.5196308035056325E-15</v>
      </c>
      <c r="C430" s="3">
        <f t="shared" si="434"/>
        <v>9.4288056127567832E-10</v>
      </c>
      <c r="D430" s="3">
        <f t="shared" si="434"/>
        <v>1.3170183432946662E-7</v>
      </c>
      <c r="E430" s="3">
        <f t="shared" si="434"/>
        <v>7.8667030313508293E-5</v>
      </c>
      <c r="F430" s="3">
        <f t="shared" si="434"/>
        <v>5.6583651211968192E-2</v>
      </c>
      <c r="G430" s="3">
        <f t="shared" si="434"/>
        <v>98145.822143129684</v>
      </c>
      <c r="H430" s="3">
        <f t="shared" si="434"/>
        <v>100000000000</v>
      </c>
      <c r="I430" s="109">
        <f>Comparison!AL29</f>
        <v>100000000000</v>
      </c>
      <c r="J430" s="3">
        <f>Comparison!AM29</f>
        <v>3290.7224886526956</v>
      </c>
      <c r="K430" s="3">
        <f>Comparison!AN29</f>
        <v>2421.6530544164675</v>
      </c>
      <c r="L430" s="3">
        <f>Comparison!AO29</f>
        <v>1922.2915507959665</v>
      </c>
      <c r="M430" s="3">
        <f>Comparison!AP29</f>
        <v>1380.4414853809117</v>
      </c>
      <c r="N430" s="3">
        <f>Comparison!AQ29</f>
        <v>548.72899064067769</v>
      </c>
      <c r="O430" s="3">
        <f>Comparison!AR29</f>
        <v>233.30697275617146</v>
      </c>
      <c r="P430" s="3">
        <f>Comparison!AS29</f>
        <v>224.04934964747176</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7.5196308035056316E-14</v>
      </c>
      <c r="C431" s="3">
        <f t="shared" si="434"/>
        <v>9.4288056127567832E-9</v>
      </c>
      <c r="D431" s="3">
        <f t="shared" si="434"/>
        <v>1.3170183432946662E-6</v>
      </c>
      <c r="E431" s="3">
        <f t="shared" si="434"/>
        <v>7.8667030313508295E-4</v>
      </c>
      <c r="F431" s="3">
        <f t="shared" si="434"/>
        <v>0.56583651211968189</v>
      </c>
      <c r="G431" s="3">
        <f t="shared" si="434"/>
        <v>981458.22143129678</v>
      </c>
      <c r="H431" s="3">
        <f t="shared" si="434"/>
        <v>1000000000000</v>
      </c>
      <c r="I431" s="109">
        <f>Comparison!AL30</f>
        <v>1000000000000</v>
      </c>
      <c r="J431" s="3">
        <f>Comparison!AM30</f>
        <v>3093.8724388968149</v>
      </c>
      <c r="K431" s="3">
        <f>Comparison!AN30</f>
        <v>2247.3458364097887</v>
      </c>
      <c r="L431" s="3">
        <f>Comparison!AO30</f>
        <v>1699.2357565810794</v>
      </c>
      <c r="M431" s="3">
        <f>Comparison!AP30</f>
        <v>1081.4922585918935</v>
      </c>
      <c r="N431" s="3">
        <f>Comparison!AQ30</f>
        <v>398.73442150311388</v>
      </c>
      <c r="O431" s="3">
        <f>Comparison!AR30</f>
        <v>224.93687178827099</v>
      </c>
      <c r="P431" s="3">
        <f>Comparison!AS30</f>
        <v>223.9208158671365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7.5196308035056318E-13</v>
      </c>
      <c r="C432" s="3">
        <f t="shared" si="434"/>
        <v>9.4288056127567842E-8</v>
      </c>
      <c r="D432" s="3">
        <f t="shared" si="434"/>
        <v>1.3170183432946662E-5</v>
      </c>
      <c r="E432" s="3">
        <f t="shared" si="434"/>
        <v>7.8667030313508291E-3</v>
      </c>
      <c r="F432" s="3">
        <f t="shared" si="434"/>
        <v>5.6583651211968196</v>
      </c>
      <c r="G432" s="3">
        <f t="shared" si="434"/>
        <v>9814582.2143129688</v>
      </c>
      <c r="H432" s="3">
        <f t="shared" si="434"/>
        <v>10000000000000</v>
      </c>
      <c r="I432" s="109">
        <f>Comparison!AL31</f>
        <v>10000000000000</v>
      </c>
      <c r="J432" s="3">
        <f>Comparison!AM31</f>
        <v>2931.1413264697503</v>
      </c>
      <c r="K432" s="3">
        <f>Comparison!AN31</f>
        <v>2065.8673837563865</v>
      </c>
      <c r="L432" s="3">
        <f>Comparison!AO31</f>
        <v>1442.431856366361</v>
      </c>
      <c r="M432" s="3">
        <f>Comparison!AP31</f>
        <v>789.75528719390093</v>
      </c>
      <c r="N432" s="3">
        <f>Comparison!AQ31</f>
        <v>320.69011633427954</v>
      </c>
      <c r="O432" s="3">
        <f>Comparison!AR31</f>
        <v>223.82239746478544</v>
      </c>
      <c r="P432" s="3">
        <f>Comparison!AS31</f>
        <v>222.73926014927349</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7.5196308035056322E-12</v>
      </c>
      <c r="C433" s="3">
        <f t="shared" si="434"/>
        <v>9.4288056127567842E-7</v>
      </c>
      <c r="D433" s="3">
        <f t="shared" si="434"/>
        <v>1.3170183432946664E-4</v>
      </c>
      <c r="E433" s="3">
        <f t="shared" si="434"/>
        <v>7.8667030313508302E-2</v>
      </c>
      <c r="F433" s="3">
        <f t="shared" si="434"/>
        <v>56.583651211968196</v>
      </c>
      <c r="G433" s="3">
        <f t="shared" si="434"/>
        <v>98145822.143129677</v>
      </c>
      <c r="H433" s="3">
        <f t="shared" si="434"/>
        <v>100000000000000</v>
      </c>
      <c r="I433" s="109">
        <f>Comparison!AL32</f>
        <v>100000000000000</v>
      </c>
      <c r="J433" s="3">
        <f>Comparison!AM32</f>
        <v>2779.8842681758483</v>
      </c>
      <c r="K433" s="3">
        <f>Comparison!AN32</f>
        <v>1865.1806498869187</v>
      </c>
      <c r="L433" s="3">
        <f>Comparison!AO32</f>
        <v>1152.6742388142764</v>
      </c>
      <c r="M433" s="3">
        <f>Comparison!AP32</f>
        <v>556.62130157468891</v>
      </c>
      <c r="N433" s="3">
        <f>Comparison!AQ32</f>
        <v>281.72273678924813</v>
      </c>
      <c r="O433" s="3">
        <f>Comparison!AR32</f>
        <v>223.13699037774649</v>
      </c>
      <c r="P433" s="3">
        <f>Comparison!AS32</f>
        <v>222.70233168577724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7.5196308035056325E-11</v>
      </c>
      <c r="C434" s="3">
        <f t="shared" si="434"/>
        <v>9.428805612756784E-6</v>
      </c>
      <c r="D434" s="3">
        <f t="shared" si="434"/>
        <v>1.3170183432946662E-3</v>
      </c>
      <c r="E434" s="3">
        <f t="shared" si="434"/>
        <v>0.78667030313508302</v>
      </c>
      <c r="F434" s="3">
        <f t="shared" si="434"/>
        <v>565.83651211968197</v>
      </c>
      <c r="G434" s="3">
        <f t="shared" si="434"/>
        <v>981458221.43129683</v>
      </c>
      <c r="H434" s="3">
        <f t="shared" si="434"/>
        <v>1000000000000000</v>
      </c>
      <c r="I434" s="109">
        <f>Comparison!AL33</f>
        <v>1000000000000000</v>
      </c>
      <c r="J434" s="3">
        <f>Comparison!AM33</f>
        <v>2643.7410706701139</v>
      </c>
      <c r="K434" s="3">
        <f>Comparison!AN33</f>
        <v>1641.3251688004455</v>
      </c>
      <c r="L434" s="3">
        <f>Comparison!AO33</f>
        <v>856.60079316828069</v>
      </c>
      <c r="M434" s="3">
        <f>Comparison!AP33</f>
        <v>403.21517792249892</v>
      </c>
      <c r="N434" s="3">
        <f>Comparison!AQ33</f>
        <v>262.32128706515465</v>
      </c>
      <c r="O434" s="3">
        <f>Comparison!AR33</f>
        <v>223.02569814244063</v>
      </c>
      <c r="P434" s="3">
        <f>Comparison!AS33</f>
        <v>222.39987665575754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-57.849695376367158</v>
      </c>
      <c r="M1" s="54">
        <v>1</v>
      </c>
      <c r="N1" s="56">
        <f>INDEX($H$217:$P$217,1,Q1)</f>
        <v>0.4732015999486755</v>
      </c>
      <c r="O1" s="11"/>
      <c r="P1" s="55">
        <v>1</v>
      </c>
      <c r="Q1" s="11">
        <v>2</v>
      </c>
    </row>
    <row r="2" spans="1:17" x14ac:dyDescent="0.25">
      <c r="A2" s="11">
        <f>'Mastercurve bestimmen'!M119</f>
        <v>0</v>
      </c>
      <c r="B2" s="11">
        <f>'Mastercurve bestimmen'!N119</f>
        <v>-46.11051752249567</v>
      </c>
      <c r="M2" s="54">
        <v>2</v>
      </c>
      <c r="N2" s="56">
        <f t="shared" ref="N2:N9" si="0">INDEX($H$217:$P$217,1,Q2)</f>
        <v>9.2452018707024925E-3</v>
      </c>
      <c r="O2" s="11"/>
      <c r="P2" s="55">
        <v>2</v>
      </c>
      <c r="Q2" s="11">
        <f>Q1+1</f>
        <v>3</v>
      </c>
    </row>
    <row r="3" spans="1:17" x14ac:dyDescent="0.25">
      <c r="A3" s="11">
        <f>'Mastercurve bestimmen'!M120</f>
        <v>25</v>
      </c>
      <c r="B3" s="11">
        <f>'Mastercurve bestimmen'!N120</f>
        <v>-41.17116132313857</v>
      </c>
      <c r="M3" s="54">
        <v>3</v>
      </c>
      <c r="N3" s="56">
        <f t="shared" si="0"/>
        <v>4.2035588792462746E-4</v>
      </c>
      <c r="O3" s="11"/>
      <c r="P3" s="55">
        <v>3</v>
      </c>
      <c r="Q3" s="11">
        <f t="shared" ref="Q3:Q8" si="1">Q2+1</f>
        <v>4</v>
      </c>
    </row>
    <row r="4" spans="1:17" x14ac:dyDescent="0.25">
      <c r="A4" s="11">
        <f>'Mastercurve bestimmen'!M121</f>
        <v>50</v>
      </c>
      <c r="B4" s="11">
        <f>'Mastercurve bestimmen'!N121</f>
        <v>-34.778722441922618</v>
      </c>
      <c r="M4" s="54">
        <v>4</v>
      </c>
      <c r="N4" s="56">
        <f t="shared" si="0"/>
        <v>9.2861101882017133E-6</v>
      </c>
      <c r="O4" s="11"/>
      <c r="P4" s="55">
        <v>4</v>
      </c>
      <c r="Q4" s="11">
        <f t="shared" si="1"/>
        <v>5</v>
      </c>
    </row>
    <row r="5" spans="1:17" x14ac:dyDescent="0.25">
      <c r="A5" s="11">
        <f>'Mastercurve bestimmen'!M122</f>
        <v>80</v>
      </c>
      <c r="B5" s="11">
        <f>'Mastercurve bestimmen'!N122</f>
        <v>-28.200471206277161</v>
      </c>
      <c r="M5" s="54">
        <v>5</v>
      </c>
      <c r="N5" s="56">
        <f t="shared" si="0"/>
        <v>1.0537643755548572E-7</v>
      </c>
      <c r="O5" s="11"/>
      <c r="P5" s="55">
        <v>5</v>
      </c>
      <c r="Q5" s="11">
        <f t="shared" si="1"/>
        <v>6</v>
      </c>
    </row>
    <row r="6" spans="1:17" x14ac:dyDescent="0.25">
      <c r="A6" s="11">
        <f>'Mastercurve bestimmen'!M123</f>
        <v>125</v>
      </c>
      <c r="B6" s="11">
        <f>'Mastercurve bestimmen'!N123</f>
        <v>-13.834226390176307</v>
      </c>
      <c r="M6" s="54">
        <v>6</v>
      </c>
      <c r="N6" s="56">
        <f t="shared" si="0"/>
        <v>6.4518863031154023E-10</v>
      </c>
      <c r="O6" s="11"/>
      <c r="P6" s="55">
        <v>6</v>
      </c>
      <c r="Q6" s="11">
        <f t="shared" si="1"/>
        <v>7</v>
      </c>
    </row>
    <row r="7" spans="1:17" x14ac:dyDescent="0.25">
      <c r="A7" s="11">
        <f>'Mastercurve bestimmen'!M124</f>
        <v>160</v>
      </c>
      <c r="B7" s="11">
        <f>'Mastercurve bestimmen'!N124</f>
        <v>0</v>
      </c>
      <c r="M7" s="54">
        <v>7</v>
      </c>
      <c r="N7" s="56">
        <f t="shared" si="0"/>
        <v>2.0338736362704435E-12</v>
      </c>
      <c r="O7" s="11"/>
      <c r="P7" s="55">
        <v>7</v>
      </c>
      <c r="Q7" s="11">
        <f t="shared" si="1"/>
        <v>8</v>
      </c>
    </row>
    <row r="8" spans="1:17" x14ac:dyDescent="0.25">
      <c r="A8" s="11"/>
      <c r="B8" s="11"/>
      <c r="M8" s="54">
        <v>8</v>
      </c>
      <c r="N8" s="56">
        <f t="shared" si="0"/>
        <v>2.5915233087327144E-15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-57.849695376367158</v>
      </c>
      <c r="E15" s="11">
        <f>A15-'Mastercurve bestimmen'!$B$2</f>
        <v>-200</v>
      </c>
      <c r="F15" s="11">
        <f>B15</f>
        <v>-57.849695376367158</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-57.582574426538052</v>
      </c>
      <c r="E16" s="11">
        <f>A16-'Mastercurve bestimmen'!$B$2</f>
        <v>-199</v>
      </c>
      <c r="F16" s="11">
        <f t="shared" ref="F16:F79" si="4">B16</f>
        <v>-57.582574426538052</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-57.315354570530651</v>
      </c>
      <c r="E17" s="11">
        <f>A17-'Mastercurve bestimmen'!$B$2</f>
        <v>-198</v>
      </c>
      <c r="F17" s="11">
        <f t="shared" si="4"/>
        <v>-57.315354570530651</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-57.04793690216664</v>
      </c>
      <c r="E18" s="11">
        <f>A18-'Mastercurve bestimmen'!$B$2</f>
        <v>-197</v>
      </c>
      <c r="F18" s="11">
        <f t="shared" si="4"/>
        <v>-57.04793690216664</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-56.780222515267724</v>
      </c>
      <c r="E19" s="11">
        <f>A19-'Mastercurve bestimmen'!$B$2</f>
        <v>-196</v>
      </c>
      <c r="F19" s="11">
        <f t="shared" si="4"/>
        <v>-56.780222515267724</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-56.512112503655601</v>
      </c>
      <c r="E20" s="11">
        <f>A20-'Mastercurve bestimmen'!$B$2</f>
        <v>-195</v>
      </c>
      <c r="F20" s="11">
        <f t="shared" si="4"/>
        <v>-56.512112503655601</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-56.243507961151948</v>
      </c>
      <c r="E21" s="11">
        <f>A21-'Mastercurve bestimmen'!$B$2</f>
        <v>-194</v>
      </c>
      <c r="F21" s="11">
        <f t="shared" si="4"/>
        <v>-56.243507961151948</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-55.974309981578493</v>
      </c>
      <c r="E22" s="11">
        <f>A22-'Mastercurve bestimmen'!$B$2</f>
        <v>-193</v>
      </c>
      <c r="F22" s="11">
        <f t="shared" si="4"/>
        <v>-55.974309981578493</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-55.704419658756912</v>
      </c>
      <c r="E23" s="11">
        <f>A23-'Mastercurve bestimmen'!$B$2</f>
        <v>-192</v>
      </c>
      <c r="F23" s="11">
        <f t="shared" si="4"/>
        <v>-55.704419658756912</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-55.43373808650891</v>
      </c>
      <c r="E24" s="11">
        <f>A24-'Mastercurve bestimmen'!$B$2</f>
        <v>-191</v>
      </c>
      <c r="F24" s="11">
        <f t="shared" si="4"/>
        <v>-55.43373808650891</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-55.162166358656194</v>
      </c>
      <c r="E25" s="11">
        <f>A25-'Mastercurve bestimmen'!$B$2</f>
        <v>-190</v>
      </c>
      <c r="F25" s="11">
        <f t="shared" si="4"/>
        <v>-55.162166358656194</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-54.889605569020432</v>
      </c>
      <c r="E26" s="11">
        <f>A26-'Mastercurve bestimmen'!$B$2</f>
        <v>-189</v>
      </c>
      <c r="F26" s="11">
        <f t="shared" si="4"/>
        <v>-54.889605569020432</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-54.615956811423352</v>
      </c>
      <c r="E27" s="11">
        <f>A27-'Mastercurve bestimmen'!$B$2</f>
        <v>-188</v>
      </c>
      <c r="F27" s="11">
        <f t="shared" si="4"/>
        <v>-54.615956811423352</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-54.341121179686631</v>
      </c>
      <c r="E28" s="11">
        <f>A28-'Mastercurve bestimmen'!$B$2</f>
        <v>-187</v>
      </c>
      <c r="F28" s="11">
        <f t="shared" si="4"/>
        <v>-54.341121179686631</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-54.064999767631981</v>
      </c>
      <c r="E29" s="11">
        <f>A29-'Mastercurve bestimmen'!$B$2</f>
        <v>-186</v>
      </c>
      <c r="F29" s="11">
        <f t="shared" si="4"/>
        <v>-54.064999767631981</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-53.787493669081087</v>
      </c>
      <c r="E30" s="11">
        <f>A30-'Mastercurve bestimmen'!$B$2</f>
        <v>-185</v>
      </c>
      <c r="F30" s="11">
        <f t="shared" si="4"/>
        <v>-53.787493669081087</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-53.508503977855653</v>
      </c>
      <c r="E31" s="11">
        <f>A31-'Mastercurve bestimmen'!$B$2</f>
        <v>-184</v>
      </c>
      <c r="F31" s="11">
        <f t="shared" si="4"/>
        <v>-53.508503977855653</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-53.227931787777379</v>
      </c>
      <c r="E32" s="11">
        <f>A32-'Mastercurve bestimmen'!$B$2</f>
        <v>-183</v>
      </c>
      <c r="F32" s="11">
        <f t="shared" si="4"/>
        <v>-53.227931787777379</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-52.945678192667955</v>
      </c>
      <c r="E33" s="11">
        <f>A33-'Mastercurve bestimmen'!$B$2</f>
        <v>-182</v>
      </c>
      <c r="F33" s="11">
        <f t="shared" si="4"/>
        <v>-52.945678192667955</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-52.66164428634908</v>
      </c>
      <c r="E34" s="11">
        <f>A34-'Mastercurve bestimmen'!$B$2</f>
        <v>-181</v>
      </c>
      <c r="F34" s="11">
        <f t="shared" si="4"/>
        <v>-52.66164428634908</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-52.375731162642452</v>
      </c>
      <c r="E35" s="11">
        <f>A35-'Mastercurve bestimmen'!$B$2</f>
        <v>-180</v>
      </c>
      <c r="F35" s="11">
        <f t="shared" si="4"/>
        <v>-52.375731162642452</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-52.087839915369777</v>
      </c>
      <c r="E36" s="11">
        <f>A36-'Mastercurve bestimmen'!$B$2</f>
        <v>-179</v>
      </c>
      <c r="F36" s="11">
        <f t="shared" si="4"/>
        <v>-52.087839915369777</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-51.797871638352731</v>
      </c>
      <c r="E37" s="11">
        <f>A37-'Mastercurve bestimmen'!$B$2</f>
        <v>-178</v>
      </c>
      <c r="F37" s="11">
        <f t="shared" si="4"/>
        <v>-51.797871638352731</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-51.505727425413035</v>
      </c>
      <c r="E38" s="11">
        <f>A38-'Mastercurve bestimmen'!$B$2</f>
        <v>-177</v>
      </c>
      <c r="F38" s="11">
        <f t="shared" si="4"/>
        <v>-51.505727425413035</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-51.211308370372379</v>
      </c>
      <c r="E39" s="11">
        <f>A39-'Mastercurve bestimmen'!$B$2</f>
        <v>-176</v>
      </c>
      <c r="F39" s="11">
        <f t="shared" si="4"/>
        <v>-51.211308370372379</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-50.914515567052447</v>
      </c>
      <c r="E40" s="11">
        <f>A40-'Mastercurve bestimmen'!$B$2</f>
        <v>-175</v>
      </c>
      <c r="F40" s="11">
        <f t="shared" si="4"/>
        <v>-50.914515567052447</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-50.615250109274946</v>
      </c>
      <c r="E41" s="11">
        <f>A41-'Mastercurve bestimmen'!$B$2</f>
        <v>-174</v>
      </c>
      <c r="F41" s="11">
        <f t="shared" si="4"/>
        <v>-50.615250109274946</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-50.313413090861573</v>
      </c>
      <c r="E42" s="11">
        <f>A42-'Mastercurve bestimmen'!$B$2</f>
        <v>-173</v>
      </c>
      <c r="F42" s="11">
        <f t="shared" si="4"/>
        <v>-50.313413090861573</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-50.008905605634027</v>
      </c>
      <c r="E43" s="11">
        <f>A43-'Mastercurve bestimmen'!$B$2</f>
        <v>-172</v>
      </c>
      <c r="F43" s="11">
        <f t="shared" si="4"/>
        <v>-50.008905605634027</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-49.701628747414013</v>
      </c>
      <c r="E44" s="11">
        <f>A44-'Mastercurve bestimmen'!$B$2</f>
        <v>-171</v>
      </c>
      <c r="F44" s="11">
        <f t="shared" si="4"/>
        <v>-49.701628747414013</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-49.391483610023208</v>
      </c>
      <c r="E45" s="11">
        <f>A45-'Mastercurve bestimmen'!$B$2</f>
        <v>-170</v>
      </c>
      <c r="F45" s="11">
        <f t="shared" si="4"/>
        <v>-49.391483610023208</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-49.078371287283318</v>
      </c>
      <c r="E46" s="11">
        <f>A46-'Mastercurve bestimmen'!$B$2</f>
        <v>-169</v>
      </c>
      <c r="F46" s="11">
        <f t="shared" si="4"/>
        <v>-49.078371287283318</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-48.762192873016048</v>
      </c>
      <c r="E47" s="11">
        <f>A47-'Mastercurve bestimmen'!$B$2</f>
        <v>-168</v>
      </c>
      <c r="F47" s="11">
        <f t="shared" si="4"/>
        <v>-48.762192873016048</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-48.442849461043089</v>
      </c>
      <c r="E48" s="11">
        <f>A48-'Mastercurve bestimmen'!$B$2</f>
        <v>-167</v>
      </c>
      <c r="F48" s="11">
        <f t="shared" si="4"/>
        <v>-48.442849461043089</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-48.12024214518614</v>
      </c>
      <c r="E49" s="11">
        <f>A49-'Mastercurve bestimmen'!$B$2</f>
        <v>-166</v>
      </c>
      <c r="F49" s="11">
        <f t="shared" si="4"/>
        <v>-48.12024214518614</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-47.794272019266892</v>
      </c>
      <c r="E50" s="11">
        <f>A50-'Mastercurve bestimmen'!$B$2</f>
        <v>-165</v>
      </c>
      <c r="F50" s="11">
        <f t="shared" si="4"/>
        <v>-47.794272019266892</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-47.464840177107057</v>
      </c>
      <c r="E51" s="11">
        <f>A51-'Mastercurve bestimmen'!$B$2</f>
        <v>-164</v>
      </c>
      <c r="F51" s="11">
        <f t="shared" si="4"/>
        <v>-47.464840177107057</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-47.131847712528312</v>
      </c>
      <c r="E52" s="11">
        <f>A52-'Mastercurve bestimmen'!$B$2</f>
        <v>-163</v>
      </c>
      <c r="F52" s="11">
        <f t="shared" si="4"/>
        <v>-47.131847712528312</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-46.795195719352371</v>
      </c>
      <c r="E53" s="11">
        <f>A53-'Mastercurve bestimmen'!$B$2</f>
        <v>-162</v>
      </c>
      <c r="F53" s="11">
        <f t="shared" si="4"/>
        <v>-46.795195719352371</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-46.454785291400924</v>
      </c>
      <c r="E54" s="11">
        <f>A54-'Mastercurve bestimmen'!$B$2</f>
        <v>-161</v>
      </c>
      <c r="F54" s="11">
        <f t="shared" si="4"/>
        <v>-46.454785291400924</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-46.11051752249567</v>
      </c>
      <c r="E55" s="11">
        <f>A55-'Mastercurve bestimmen'!$B$2</f>
        <v>-160</v>
      </c>
      <c r="F55" s="11">
        <f t="shared" si="4"/>
        <v>-46.11051752249567</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-45.958462095411804</v>
      </c>
      <c r="E56" s="11">
        <f>A56-'Mastercurve bestimmen'!$B$2</f>
        <v>-159</v>
      </c>
      <c r="F56" s="11">
        <f t="shared" si="4"/>
        <v>-45.958462095411804</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-45.802469230279428</v>
      </c>
      <c r="E57" s="11">
        <f>A57-'Mastercurve bestimmen'!$B$2</f>
        <v>-158</v>
      </c>
      <c r="F57" s="11">
        <f t="shared" si="4"/>
        <v>-45.802469230279428</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-45.642557736182155</v>
      </c>
      <c r="E58" s="11">
        <f>A58-'Mastercurve bestimmen'!$B$2</f>
        <v>-157</v>
      </c>
      <c r="F58" s="11">
        <f t="shared" si="4"/>
        <v>-45.642557736182155</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-45.478746422203585</v>
      </c>
      <c r="E59" s="11">
        <f>A59-'Mastercurve bestimmen'!$B$2</f>
        <v>-156</v>
      </c>
      <c r="F59" s="11">
        <f t="shared" si="4"/>
        <v>-45.478746422203585</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-45.311054097427316</v>
      </c>
      <c r="E60" s="11">
        <f>A60-'Mastercurve bestimmen'!$B$2</f>
        <v>-155</v>
      </c>
      <c r="F60" s="11">
        <f t="shared" si="4"/>
        <v>-45.311054097427316</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-45.139499570936977</v>
      </c>
      <c r="E61" s="11">
        <f>A61-'Mastercurve bestimmen'!$B$2</f>
        <v>-154</v>
      </c>
      <c r="F61" s="11">
        <f t="shared" si="4"/>
        <v>-45.139499570936977</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-44.964101651816136</v>
      </c>
      <c r="E62" s="11">
        <f>A62-'Mastercurve bestimmen'!$B$2</f>
        <v>-153</v>
      </c>
      <c r="F62" s="11">
        <f t="shared" si="4"/>
        <v>-44.964101651816136</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-44.784879149148438</v>
      </c>
      <c r="E63" s="11">
        <f>A63-'Mastercurve bestimmen'!$B$2</f>
        <v>-152</v>
      </c>
      <c r="F63" s="11">
        <f t="shared" si="4"/>
        <v>-44.784879149148438</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-44.601850872017465</v>
      </c>
      <c r="E64" s="11">
        <f>A64-'Mastercurve bestimmen'!$B$2</f>
        <v>-151</v>
      </c>
      <c r="F64" s="11">
        <f t="shared" si="4"/>
        <v>-44.601850872017465</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-44.415035629506818</v>
      </c>
      <c r="E65" s="11">
        <f>A65-'Mastercurve bestimmen'!$B$2</f>
        <v>-150</v>
      </c>
      <c r="F65" s="11">
        <f t="shared" si="4"/>
        <v>-44.415035629506818</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-44.224452230700116</v>
      </c>
      <c r="E66" s="11">
        <f>A66-'Mastercurve bestimmen'!$B$2</f>
        <v>-149</v>
      </c>
      <c r="F66" s="11">
        <f t="shared" si="4"/>
        <v>-44.224452230700116</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-44.030119484680959</v>
      </c>
      <c r="E67" s="11">
        <f>A67-'Mastercurve bestimmen'!$B$2</f>
        <v>-148</v>
      </c>
      <c r="F67" s="11">
        <f t="shared" si="4"/>
        <v>-44.030119484680959</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-43.832056200532946</v>
      </c>
      <c r="E68" s="11">
        <f>A68-'Mastercurve bestimmen'!$B$2</f>
        <v>-147</v>
      </c>
      <c r="F68" s="11">
        <f t="shared" si="4"/>
        <v>-43.832056200532946</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-43.630281187339691</v>
      </c>
      <c r="E69" s="11">
        <f>A69-'Mastercurve bestimmen'!$B$2</f>
        <v>-146</v>
      </c>
      <c r="F69" s="11">
        <f t="shared" si="4"/>
        <v>-43.630281187339691</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-43.424813254184784</v>
      </c>
      <c r="E70" s="11">
        <f>A70-'Mastercurve bestimmen'!$B$2</f>
        <v>-145</v>
      </c>
      <c r="F70" s="11">
        <f t="shared" si="4"/>
        <v>-43.424813254184784</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-43.215671210151854</v>
      </c>
      <c r="E71" s="11">
        <f>A71-'Mastercurve bestimmen'!$B$2</f>
        <v>-144</v>
      </c>
      <c r="F71" s="11">
        <f t="shared" si="4"/>
        <v>-43.215671210151854</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-43.002873864324485</v>
      </c>
      <c r="E72" s="11">
        <f>A72-'Mastercurve bestimmen'!$B$2</f>
        <v>-143</v>
      </c>
      <c r="F72" s="11">
        <f t="shared" si="4"/>
        <v>-43.002873864324485</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-42.786440025786291</v>
      </c>
      <c r="E73" s="11">
        <f>A73-'Mastercurve bestimmen'!$B$2</f>
        <v>-142</v>
      </c>
      <c r="F73" s="11">
        <f t="shared" si="4"/>
        <v>-42.786440025786291</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-42.566388503620871</v>
      </c>
      <c r="E74" s="11">
        <f>A74-'Mastercurve bestimmen'!$B$2</f>
        <v>-141</v>
      </c>
      <c r="F74" s="11">
        <f t="shared" si="4"/>
        <v>-42.566388503620871</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-42.342738106911831</v>
      </c>
      <c r="E75" s="11">
        <f>A75-'Mastercurve bestimmen'!$B$2</f>
        <v>-140</v>
      </c>
      <c r="F75" s="11">
        <f t="shared" si="4"/>
        <v>-42.342738106911831</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-42.115507644742785</v>
      </c>
      <c r="E76" s="11">
        <f>A76-'Mastercurve bestimmen'!$B$2</f>
        <v>-139</v>
      </c>
      <c r="F76" s="11">
        <f t="shared" si="4"/>
        <v>-42.115507644742785</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-41.88471592619733</v>
      </c>
      <c r="E77" s="11">
        <f>A77-'Mastercurve bestimmen'!$B$2</f>
        <v>-138</v>
      </c>
      <c r="F77" s="11">
        <f t="shared" si="4"/>
        <v>-41.88471592619733</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-41.650381760359075</v>
      </c>
      <c r="E78" s="11">
        <f>A78-'Mastercurve bestimmen'!$B$2</f>
        <v>-137</v>
      </c>
      <c r="F78" s="11">
        <f t="shared" si="4"/>
        <v>-41.650381760359075</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-41.412523956311624</v>
      </c>
      <c r="E79" s="11">
        <f>A79-'Mastercurve bestimmen'!$B$2</f>
        <v>-136</v>
      </c>
      <c r="F79" s="11">
        <f t="shared" si="4"/>
        <v>-41.412523956311624</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-41.171161323138577</v>
      </c>
      <c r="E80" s="11">
        <f>A80-'Mastercurve bestimmen'!$B$2</f>
        <v>-135</v>
      </c>
      <c r="F80" s="11">
        <f t="shared" ref="F80:F143" si="10">B80</f>
        <v>-41.171161323138577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-40.926359113433577</v>
      </c>
      <c r="E81" s="11">
        <f>A81-'Mastercurve bestimmen'!$B$2</f>
        <v>-134</v>
      </c>
      <c r="F81" s="11">
        <f t="shared" si="10"/>
        <v>-40.926359113433577</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-40.678368353830443</v>
      </c>
      <c r="E82" s="11">
        <f>A82-'Mastercurve bestimmen'!$B$2</f>
        <v>-133</v>
      </c>
      <c r="F82" s="11">
        <f t="shared" si="10"/>
        <v>-40.678368353830443</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-40.42748651447301</v>
      </c>
      <c r="E83" s="11">
        <f>A83-'Mastercurve bestimmen'!$B$2</f>
        <v>-132</v>
      </c>
      <c r="F83" s="11">
        <f t="shared" si="10"/>
        <v>-40.42748651447301</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-40.174011065505141</v>
      </c>
      <c r="E84" s="11">
        <f>A84-'Mastercurve bestimmen'!$B$2</f>
        <v>-131</v>
      </c>
      <c r="F84" s="11">
        <f t="shared" si="10"/>
        <v>-40.174011065505141</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-39.918239477070678</v>
      </c>
      <c r="E85" s="11">
        <f>A85-'Mastercurve bestimmen'!$B$2</f>
        <v>-130</v>
      </c>
      <c r="F85" s="11">
        <f t="shared" si="10"/>
        <v>-39.918239477070678</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-39.66046921931347</v>
      </c>
      <c r="E86" s="11">
        <f>A86-'Mastercurve bestimmen'!$B$2</f>
        <v>-129</v>
      </c>
      <c r="F86" s="11">
        <f t="shared" si="10"/>
        <v>-39.66046921931347</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-39.400997762377358</v>
      </c>
      <c r="E87" s="11">
        <f>A87-'Mastercurve bestimmen'!$B$2</f>
        <v>-128</v>
      </c>
      <c r="F87" s="11">
        <f t="shared" si="10"/>
        <v>-39.400997762377358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-39.140122576406199</v>
      </c>
      <c r="E88" s="11">
        <f>A88-'Mastercurve bestimmen'!$B$2</f>
        <v>-127</v>
      </c>
      <c r="F88" s="11">
        <f t="shared" si="10"/>
        <v>-39.140122576406199</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-38.878141131543828</v>
      </c>
      <c r="E89" s="11">
        <f>A89-'Mastercurve bestimmen'!$B$2</f>
        <v>-126</v>
      </c>
      <c r="F89" s="11">
        <f t="shared" si="10"/>
        <v>-38.878141131543828</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-38.615350897934114</v>
      </c>
      <c r="E90" s="11">
        <f>A90-'Mastercurve bestimmen'!$B$2</f>
        <v>-125</v>
      </c>
      <c r="F90" s="11">
        <f t="shared" si="10"/>
        <v>-38.615350897934114</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-38.352049345720886</v>
      </c>
      <c r="E91" s="11">
        <f>A91-'Mastercurve bestimmen'!$B$2</f>
        <v>-124</v>
      </c>
      <c r="F91" s="11">
        <f t="shared" si="10"/>
        <v>-38.352049345720886</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-38.088533945048013</v>
      </c>
      <c r="E92" s="11">
        <f>A92-'Mastercurve bestimmen'!$B$2</f>
        <v>-123</v>
      </c>
      <c r="F92" s="11">
        <f t="shared" si="10"/>
        <v>-38.088533945048013</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-37.825102166059317</v>
      </c>
      <c r="E93" s="11">
        <f>A93-'Mastercurve bestimmen'!$B$2</f>
        <v>-122</v>
      </c>
      <c r="F93" s="11">
        <f t="shared" si="10"/>
        <v>-37.825102166059317</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-37.562051478898667</v>
      </c>
      <c r="E94" s="11">
        <f>A94-'Mastercurve bestimmen'!$B$2</f>
        <v>-121</v>
      </c>
      <c r="F94" s="11">
        <f t="shared" si="10"/>
        <v>-37.562051478898667</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-37.299679353709898</v>
      </c>
      <c r="E95" s="11">
        <f>A95-'Mastercurve bestimmen'!$B$2</f>
        <v>-120</v>
      </c>
      <c r="F95" s="11">
        <f t="shared" si="10"/>
        <v>-37.299679353709898</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-37.038283260636874</v>
      </c>
      <c r="E96" s="11">
        <f>A96-'Mastercurve bestimmen'!$B$2</f>
        <v>-119</v>
      </c>
      <c r="F96" s="11">
        <f t="shared" si="10"/>
        <v>-37.038283260636874</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-36.778160669823421</v>
      </c>
      <c r="E97" s="11">
        <f>A97-'Mastercurve bestimmen'!$B$2</f>
        <v>-118</v>
      </c>
      <c r="F97" s="11">
        <f t="shared" si="10"/>
        <v>-36.778160669823421</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-36.519609051413404</v>
      </c>
      <c r="E98" s="11">
        <f>A98-'Mastercurve bestimmen'!$B$2</f>
        <v>-117</v>
      </c>
      <c r="F98" s="11">
        <f t="shared" si="10"/>
        <v>-36.519609051413404</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-36.262925875550671</v>
      </c>
      <c r="E99" s="11">
        <f>A99-'Mastercurve bestimmen'!$B$2</f>
        <v>-116</v>
      </c>
      <c r="F99" s="11">
        <f t="shared" si="10"/>
        <v>-36.262925875550671</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-36.008408612379057</v>
      </c>
      <c r="E100" s="11">
        <f>A100-'Mastercurve bestimmen'!$B$2</f>
        <v>-115</v>
      </c>
      <c r="F100" s="11">
        <f t="shared" si="10"/>
        <v>-36.008408612379057</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-35.756354732042425</v>
      </c>
      <c r="E101" s="11">
        <f>A101-'Mastercurve bestimmen'!$B$2</f>
        <v>-114</v>
      </c>
      <c r="F101" s="11">
        <f t="shared" si="10"/>
        <v>-35.756354732042425</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-35.507061704684617</v>
      </c>
      <c r="E102" s="11">
        <f>A102-'Mastercurve bestimmen'!$B$2</f>
        <v>-113</v>
      </c>
      <c r="F102" s="11">
        <f t="shared" si="10"/>
        <v>-35.507061704684617</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-35.260827000449481</v>
      </c>
      <c r="E103" s="11">
        <f>A103-'Mastercurve bestimmen'!$B$2</f>
        <v>-112</v>
      </c>
      <c r="F103" s="11">
        <f t="shared" si="10"/>
        <v>-35.260827000449481</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-35.017948089480861</v>
      </c>
      <c r="E104" s="11">
        <f>A104-'Mastercurve bestimmen'!$B$2</f>
        <v>-111</v>
      </c>
      <c r="F104" s="11">
        <f t="shared" si="10"/>
        <v>-35.017948089480861</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-34.778722441922618</v>
      </c>
      <c r="E105" s="11">
        <f>A105-'Mastercurve bestimmen'!$B$2</f>
        <v>-110</v>
      </c>
      <c r="F105" s="11">
        <f t="shared" si="10"/>
        <v>-34.778722441922618</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-34.543352131577549</v>
      </c>
      <c r="E106" s="11">
        <f>A106-'Mastercurve bestimmen'!$B$2</f>
        <v>-109</v>
      </c>
      <c r="F106" s="11">
        <f t="shared" si="10"/>
        <v>-34.543352131577549</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-34.311657646884264</v>
      </c>
      <c r="E107" s="11">
        <f>A107-'Mastercurve bestimmen'!$B$2</f>
        <v>-108</v>
      </c>
      <c r="F107" s="11">
        <f t="shared" si="10"/>
        <v>-34.311657646884264</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-34.083364079940367</v>
      </c>
      <c r="E108" s="11">
        <f>A108-'Mastercurve bestimmen'!$B$2</f>
        <v>-107</v>
      </c>
      <c r="F108" s="11">
        <f t="shared" si="10"/>
        <v>-34.083364079940367</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-33.858196522843421</v>
      </c>
      <c r="E109" s="11">
        <f>A109-'Mastercurve bestimmen'!$B$2</f>
        <v>-106</v>
      </c>
      <c r="F109" s="11">
        <f t="shared" si="10"/>
        <v>-33.858196522843421</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-33.635880067691012</v>
      </c>
      <c r="E110" s="11">
        <f>A110-'Mastercurve bestimmen'!$B$2</f>
        <v>-105</v>
      </c>
      <c r="F110" s="11">
        <f t="shared" si="10"/>
        <v>-33.635880067691012</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-33.416139806580723</v>
      </c>
      <c r="E111" s="11">
        <f>A111-'Mastercurve bestimmen'!$B$2</f>
        <v>-104</v>
      </c>
      <c r="F111" s="11">
        <f t="shared" si="10"/>
        <v>-33.416139806580723</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-33.198700831610125</v>
      </c>
      <c r="E112" s="11">
        <f>A112-'Mastercurve bestimmen'!$B$2</f>
        <v>-103</v>
      </c>
      <c r="F112" s="11">
        <f t="shared" si="10"/>
        <v>-33.198700831610125</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-32.983288234876809</v>
      </c>
      <c r="E113" s="11">
        <f>A113-'Mastercurve bestimmen'!$B$2</f>
        <v>-102</v>
      </c>
      <c r="F113" s="11">
        <f t="shared" si="10"/>
        <v>-32.983288234876809</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-32.769627108478353</v>
      </c>
      <c r="E114" s="11">
        <f>A114-'Mastercurve bestimmen'!$B$2</f>
        <v>-101</v>
      </c>
      <c r="F114" s="11">
        <f t="shared" si="10"/>
        <v>-32.769627108478353</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-32.557442544512334</v>
      </c>
      <c r="E115" s="11">
        <f>A115-'Mastercurve bestimmen'!$B$2</f>
        <v>-100</v>
      </c>
      <c r="F115" s="11">
        <f t="shared" si="10"/>
        <v>-32.557442544512334</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-32.346459635076329</v>
      </c>
      <c r="E116" s="11">
        <f>A116-'Mastercurve bestimmen'!$B$2</f>
        <v>-99</v>
      </c>
      <c r="F116" s="11">
        <f t="shared" si="10"/>
        <v>-32.346459635076329</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-32.136403472267929</v>
      </c>
      <c r="E117" s="11">
        <f>A117-'Mastercurve bestimmen'!$B$2</f>
        <v>-98</v>
      </c>
      <c r="F117" s="11">
        <f t="shared" si="10"/>
        <v>-32.136403472267929</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-31.926999148184699</v>
      </c>
      <c r="E118" s="11">
        <f>A118-'Mastercurve bestimmen'!$B$2</f>
        <v>-97</v>
      </c>
      <c r="F118" s="11">
        <f t="shared" si="10"/>
        <v>-31.926999148184699</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-31.717971754924228</v>
      </c>
      <c r="E119" s="11">
        <f>A119-'Mastercurve bestimmen'!$B$2</f>
        <v>-96</v>
      </c>
      <c r="F119" s="11">
        <f t="shared" si="10"/>
        <v>-31.717971754924228</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-31.509046384584096</v>
      </c>
      <c r="E120" s="11">
        <f>A120-'Mastercurve bestimmen'!$B$2</f>
        <v>-95</v>
      </c>
      <c r="F120" s="11">
        <f t="shared" si="10"/>
        <v>-31.509046384584096</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-31.299948129261885</v>
      </c>
      <c r="E121" s="11">
        <f>A121-'Mastercurve bestimmen'!$B$2</f>
        <v>-94</v>
      </c>
      <c r="F121" s="11">
        <f t="shared" si="10"/>
        <v>-31.299948129261885</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-31.090402081055171</v>
      </c>
      <c r="E122" s="11">
        <f>A122-'Mastercurve bestimmen'!$B$2</f>
        <v>-93</v>
      </c>
      <c r="F122" s="11">
        <f t="shared" si="10"/>
        <v>-31.090402081055171</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-30.88013333206154</v>
      </c>
      <c r="E123" s="11">
        <f>A123-'Mastercurve bestimmen'!$B$2</f>
        <v>-92</v>
      </c>
      <c r="F123" s="11">
        <f t="shared" si="10"/>
        <v>-30.88013333206154</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-30.66886697437856</v>
      </c>
      <c r="E124" s="11">
        <f>A124-'Mastercurve bestimmen'!$B$2</f>
        <v>-91</v>
      </c>
      <c r="F124" s="11">
        <f t="shared" si="10"/>
        <v>-30.66886697437856</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-30.456328100103818</v>
      </c>
      <c r="E125" s="11">
        <f>A125-'Mastercurve bestimmen'!$B$2</f>
        <v>-90</v>
      </c>
      <c r="F125" s="11">
        <f t="shared" si="10"/>
        <v>-30.456328100103818</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-30.242241801334899</v>
      </c>
      <c r="E126" s="11">
        <f>A126-'Mastercurve bestimmen'!$B$2</f>
        <v>-89</v>
      </c>
      <c r="F126" s="11">
        <f t="shared" si="10"/>
        <v>-30.242241801334899</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-30.026333170169377</v>
      </c>
      <c r="E127" s="11">
        <f>A127-'Mastercurve bestimmen'!$B$2</f>
        <v>-88</v>
      </c>
      <c r="F127" s="11">
        <f t="shared" si="10"/>
        <v>-30.026333170169377</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-29.808327298704832</v>
      </c>
      <c r="E128" s="11">
        <f>A128-'Mastercurve bestimmen'!$B$2</f>
        <v>-87</v>
      </c>
      <c r="F128" s="11">
        <f t="shared" si="10"/>
        <v>-29.808327298704832</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-29.587949279038849</v>
      </c>
      <c r="E129" s="11">
        <f>A129-'Mastercurve bestimmen'!$B$2</f>
        <v>-86</v>
      </c>
      <c r="F129" s="11">
        <f t="shared" si="10"/>
        <v>-29.587949279038849</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-29.364924203269002</v>
      </c>
      <c r="E130" s="11">
        <f>A130-'Mastercurve bestimmen'!$B$2</f>
        <v>-85</v>
      </c>
      <c r="F130" s="11">
        <f t="shared" si="10"/>
        <v>-29.364924203269002</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-29.138977163492875</v>
      </c>
      <c r="E131" s="11">
        <f>A131-'Mastercurve bestimmen'!$B$2</f>
        <v>-84</v>
      </c>
      <c r="F131" s="11">
        <f t="shared" si="10"/>
        <v>-29.138977163492875</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-28.909833251808045</v>
      </c>
      <c r="E132" s="11">
        <f>A132-'Mastercurve bestimmen'!$B$2</f>
        <v>-83</v>
      </c>
      <c r="F132" s="11">
        <f t="shared" si="10"/>
        <v>-28.909833251808045</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-28.677217560312101</v>
      </c>
      <c r="E133" s="11">
        <f>A133-'Mastercurve bestimmen'!$B$2</f>
        <v>-82</v>
      </c>
      <c r="F133" s="11">
        <f t="shared" si="10"/>
        <v>-28.677217560312101</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-28.440855181102613</v>
      </c>
      <c r="E134" s="11">
        <f>A134-'Mastercurve bestimmen'!$B$2</f>
        <v>-81</v>
      </c>
      <c r="F134" s="11">
        <f t="shared" si="10"/>
        <v>-28.440855181102613</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-28.200471206277161</v>
      </c>
      <c r="E135" s="11">
        <f>A135-'Mastercurve bestimmen'!$B$2</f>
        <v>-80</v>
      </c>
      <c r="F135" s="11">
        <f t="shared" si="10"/>
        <v>-28.200471206277161</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-27.95584637695557</v>
      </c>
      <c r="E136" s="11">
        <f>A136-'Mastercurve bestimmen'!$B$2</f>
        <v>-79</v>
      </c>
      <c r="F136" s="11">
        <f t="shared" si="10"/>
        <v>-27.95584637695557</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-27.706984030346593</v>
      </c>
      <c r="E137" s="11">
        <f>A137-'Mastercurve bestimmen'!$B$2</f>
        <v>-78</v>
      </c>
      <c r="F137" s="11">
        <f t="shared" si="10"/>
        <v>-27.706984030346593</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-27.453943152681234</v>
      </c>
      <c r="E138" s="11">
        <f>A138-'Mastercurve bestimmen'!$B$2</f>
        <v>-77</v>
      </c>
      <c r="F138" s="11">
        <f t="shared" si="10"/>
        <v>-27.453943152681234</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-27.196782730190495</v>
      </c>
      <c r="E139" s="11">
        <f>A139-'Mastercurve bestimmen'!$B$2</f>
        <v>-76</v>
      </c>
      <c r="F139" s="11">
        <f t="shared" si="10"/>
        <v>-27.196782730190495</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-26.935561749105375</v>
      </c>
      <c r="E140" s="11">
        <f>A140-'Mastercurve bestimmen'!$B$2</f>
        <v>-75</v>
      </c>
      <c r="F140" s="11">
        <f t="shared" si="10"/>
        <v>-26.935561749105375</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-26.670339195656865</v>
      </c>
      <c r="E141" s="11">
        <f>A141-'Mastercurve bestimmen'!$B$2</f>
        <v>-74</v>
      </c>
      <c r="F141" s="11">
        <f t="shared" si="10"/>
        <v>-26.670339195656865</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-26.401174056075973</v>
      </c>
      <c r="E142" s="11">
        <f>A142-'Mastercurve bestimmen'!$B$2</f>
        <v>-73</v>
      </c>
      <c r="F142" s="11">
        <f t="shared" si="10"/>
        <v>-26.401174056075973</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-26.128125316593692</v>
      </c>
      <c r="E143" s="11">
        <f>A143-'Mastercurve bestimmen'!$B$2</f>
        <v>-72</v>
      </c>
      <c r="F143" s="11">
        <f t="shared" si="10"/>
        <v>-26.128125316593692</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-25.85125196344103</v>
      </c>
      <c r="E144" s="11">
        <f>A144-'Mastercurve bestimmen'!$B$2</f>
        <v>-71</v>
      </c>
      <c r="F144" s="11">
        <f t="shared" ref="F144:F207" si="15">B144</f>
        <v>-25.85125196344103</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-25.570612982848971</v>
      </c>
      <c r="E145" s="11">
        <f>A145-'Mastercurve bestimmen'!$B$2</f>
        <v>-70</v>
      </c>
      <c r="F145" s="11">
        <f t="shared" si="15"/>
        <v>-25.570612982848971</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-25.28626736104853</v>
      </c>
      <c r="E146" s="11">
        <f>A146-'Mastercurve bestimmen'!$B$2</f>
        <v>-69</v>
      </c>
      <c r="F146" s="11">
        <f t="shared" si="15"/>
        <v>-25.28626736104853</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-24.998274084270697</v>
      </c>
      <c r="E147" s="11">
        <f>A147-'Mastercurve bestimmen'!$B$2</f>
        <v>-68</v>
      </c>
      <c r="F147" s="11">
        <f t="shared" si="15"/>
        <v>-24.998274084270697</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-24.706692138746476</v>
      </c>
      <c r="E148" s="11">
        <f>A148-'Mastercurve bestimmen'!$B$2</f>
        <v>-67</v>
      </c>
      <c r="F148" s="11">
        <f t="shared" si="15"/>
        <v>-24.706692138746476</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-24.411580510706859</v>
      </c>
      <c r="E149" s="11">
        <f>A149-'Mastercurve bestimmen'!$B$2</f>
        <v>-66</v>
      </c>
      <c r="F149" s="11">
        <f t="shared" si="15"/>
        <v>-24.411580510706859</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-24.112998186382853</v>
      </c>
      <c r="E150" s="11">
        <f>A150-'Mastercurve bestimmen'!$B$2</f>
        <v>-65</v>
      </c>
      <c r="F150" s="11">
        <f t="shared" si="15"/>
        <v>-24.112998186382853</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-23.811004152005452</v>
      </c>
      <c r="E151" s="11">
        <f>A151-'Mastercurve bestimmen'!$B$2</f>
        <v>-64</v>
      </c>
      <c r="F151" s="11">
        <f t="shared" si="15"/>
        <v>-23.811004152005452</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-23.505657393805656</v>
      </c>
      <c r="E152" s="11">
        <f>A152-'Mastercurve bestimmen'!$B$2</f>
        <v>-63</v>
      </c>
      <c r="F152" s="11">
        <f t="shared" si="15"/>
        <v>-23.505657393805656</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-23.197016898014475</v>
      </c>
      <c r="E153" s="11">
        <f>A153-'Mastercurve bestimmen'!$B$2</f>
        <v>-62</v>
      </c>
      <c r="F153" s="11">
        <f t="shared" si="15"/>
        <v>-23.197016898014475</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-22.885141650862892</v>
      </c>
      <c r="E154" s="11">
        <f>A154-'Mastercurve bestimmen'!$B$2</f>
        <v>-61</v>
      </c>
      <c r="F154" s="11">
        <f t="shared" si="15"/>
        <v>-22.885141650862892</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-22.570090638581913</v>
      </c>
      <c r="E155" s="11">
        <f>A155-'Mastercurve bestimmen'!$B$2</f>
        <v>-60</v>
      </c>
      <c r="F155" s="11">
        <f t="shared" si="15"/>
        <v>-22.570090638581913</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-22.251922847402536</v>
      </c>
      <c r="E156" s="11">
        <f>A156-'Mastercurve bestimmen'!$B$2</f>
        <v>-59</v>
      </c>
      <c r="F156" s="11">
        <f t="shared" si="15"/>
        <v>-22.251922847402536</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-21.930697263555764</v>
      </c>
      <c r="E157" s="11">
        <f>A157-'Mastercurve bestimmen'!$B$2</f>
        <v>-58</v>
      </c>
      <c r="F157" s="11">
        <f t="shared" si="15"/>
        <v>-21.930697263555764</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-21.60647287327259</v>
      </c>
      <c r="E158" s="11">
        <f>A158-'Mastercurve bestimmen'!$B$2</f>
        <v>-57</v>
      </c>
      <c r="F158" s="11">
        <f t="shared" si="15"/>
        <v>-21.60647287327259</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-21.279308662784018</v>
      </c>
      <c r="E159" s="11">
        <f>A159-'Mastercurve bestimmen'!$B$2</f>
        <v>-56</v>
      </c>
      <c r="F159" s="11">
        <f t="shared" si="15"/>
        <v>-21.279308662784018</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-20.949263618321048</v>
      </c>
      <c r="E160" s="11">
        <f>A160-'Mastercurve bestimmen'!$B$2</f>
        <v>-55</v>
      </c>
      <c r="F160" s="11">
        <f t="shared" si="15"/>
        <v>-20.949263618321048</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-20.616396726114676</v>
      </c>
      <c r="E161" s="11">
        <f>A161-'Mastercurve bestimmen'!$B$2</f>
        <v>-54</v>
      </c>
      <c r="F161" s="11">
        <f t="shared" si="15"/>
        <v>-20.616396726114676</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-20.280766972395902</v>
      </c>
      <c r="E162" s="11">
        <f>A162-'Mastercurve bestimmen'!$B$2</f>
        <v>-53</v>
      </c>
      <c r="F162" s="11">
        <f t="shared" si="15"/>
        <v>-20.280766972395902</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-19.942433343395724</v>
      </c>
      <c r="E163" s="11">
        <f>A163-'Mastercurve bestimmen'!$B$2</f>
        <v>-52</v>
      </c>
      <c r="F163" s="11">
        <f t="shared" si="15"/>
        <v>-19.942433343395724</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-19.601454825345144</v>
      </c>
      <c r="E164" s="11">
        <f>A164-'Mastercurve bestimmen'!$B$2</f>
        <v>-51</v>
      </c>
      <c r="F164" s="11">
        <f t="shared" si="15"/>
        <v>-19.601454825345144</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-19.257890404475162</v>
      </c>
      <c r="E165" s="11">
        <f>A165-'Mastercurve bestimmen'!$B$2</f>
        <v>-50</v>
      </c>
      <c r="F165" s="11">
        <f t="shared" si="15"/>
        <v>-19.257890404475162</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-18.911799067016769</v>
      </c>
      <c r="E166" s="11">
        <f>A166-'Mastercurve bestimmen'!$B$2</f>
        <v>-49</v>
      </c>
      <c r="F166" s="11">
        <f t="shared" si="15"/>
        <v>-18.911799067016769</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-18.563239799200971</v>
      </c>
      <c r="E167" s="11">
        <f>A167-'Mastercurve bestimmen'!$B$2</f>
        <v>-48</v>
      </c>
      <c r="F167" s="11">
        <f t="shared" si="15"/>
        <v>-18.563239799200971</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-18.212271587258769</v>
      </c>
      <c r="E168" s="11">
        <f>A168-'Mastercurve bestimmen'!$B$2</f>
        <v>-47</v>
      </c>
      <c r="F168" s="11">
        <f t="shared" si="15"/>
        <v>-18.212271587258769</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-17.858953417421162</v>
      </c>
      <c r="E169" s="11">
        <f>A169-'Mastercurve bestimmen'!$B$2</f>
        <v>-46</v>
      </c>
      <c r="F169" s="11">
        <f t="shared" si="15"/>
        <v>-17.858953417421162</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-17.50334427591914</v>
      </c>
      <c r="E170" s="11">
        <f>A170-'Mastercurve bestimmen'!$B$2</f>
        <v>-45</v>
      </c>
      <c r="F170" s="11">
        <f t="shared" si="15"/>
        <v>-17.50334427591914</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-17.145503148983714</v>
      </c>
      <c r="E171" s="11">
        <f>A171-'Mastercurve bestimmen'!$B$2</f>
        <v>-44</v>
      </c>
      <c r="F171" s="11">
        <f t="shared" si="15"/>
        <v>-17.145503148983714</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-16.785489022845873</v>
      </c>
      <c r="E172" s="11">
        <f>A172-'Mastercurve bestimmen'!$B$2</f>
        <v>-43</v>
      </c>
      <c r="F172" s="11">
        <f t="shared" si="15"/>
        <v>-16.785489022845873</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-16.423360883736628</v>
      </c>
      <c r="E173" s="11">
        <f>A173-'Mastercurve bestimmen'!$B$2</f>
        <v>-42</v>
      </c>
      <c r="F173" s="11">
        <f t="shared" si="15"/>
        <v>-16.423360883736628</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-16.059177717886964</v>
      </c>
      <c r="E174" s="11">
        <f>A174-'Mastercurve bestimmen'!$B$2</f>
        <v>-41</v>
      </c>
      <c r="F174" s="11">
        <f t="shared" si="15"/>
        <v>-16.059177717886964</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-15.692998511527891</v>
      </c>
      <c r="E175" s="11">
        <f>A175-'Mastercurve bestimmen'!$B$2</f>
        <v>-40</v>
      </c>
      <c r="F175" s="11">
        <f t="shared" si="15"/>
        <v>-15.692998511527891</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-15.324882250890404</v>
      </c>
      <c r="E176" s="11">
        <f>A176-'Mastercurve bestimmen'!$B$2</f>
        <v>-39</v>
      </c>
      <c r="F176" s="11">
        <f t="shared" si="15"/>
        <v>-15.324882250890404</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-14.954887922205504</v>
      </c>
      <c r="E177" s="11">
        <f>A177-'Mastercurve bestimmen'!$B$2</f>
        <v>-38</v>
      </c>
      <c r="F177" s="11">
        <f t="shared" si="15"/>
        <v>-14.954887922205504</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-14.583074511704188</v>
      </c>
      <c r="E178" s="11">
        <f>A178-'Mastercurve bestimmen'!$B$2</f>
        <v>-37</v>
      </c>
      <c r="F178" s="11">
        <f t="shared" si="15"/>
        <v>-14.583074511704188</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-14.209501005617456</v>
      </c>
      <c r="E179" s="11">
        <f>A179-'Mastercurve bestimmen'!$B$2</f>
        <v>-36</v>
      </c>
      <c r="F179" s="11">
        <f t="shared" si="15"/>
        <v>-14.209501005617456</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-13.834226390176308</v>
      </c>
      <c r="E180" s="11">
        <f>A180-'Mastercurve bestimmen'!$B$2</f>
        <v>-35</v>
      </c>
      <c r="F180" s="11">
        <f t="shared" si="15"/>
        <v>-13.834226390176308</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-13.45730764020716</v>
      </c>
      <c r="E181" s="11">
        <f>A181-'Mastercurve bestimmen'!$B$2</f>
        <v>-34</v>
      </c>
      <c r="F181" s="11">
        <f t="shared" si="15"/>
        <v>-13.45730764020716</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-13.078793684918127</v>
      </c>
      <c r="E182" s="11">
        <f>A182-'Mastercurve bestimmen'!$B$2</f>
        <v>-33</v>
      </c>
      <c r="F182" s="11">
        <f t="shared" si="15"/>
        <v>-13.078793684918127</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-12.698731442112724</v>
      </c>
      <c r="E183" s="11">
        <f>A183-'Mastercurve bestimmen'!$B$2</f>
        <v>-32</v>
      </c>
      <c r="F183" s="11">
        <f t="shared" si="15"/>
        <v>-12.698731442112724</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-12.317167829594483</v>
      </c>
      <c r="E184" s="11">
        <f>A184-'Mastercurve bestimmen'!$B$2</f>
        <v>-31</v>
      </c>
      <c r="F184" s="11">
        <f t="shared" si="15"/>
        <v>-12.317167829594483</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-11.934149765166932</v>
      </c>
      <c r="E185" s="11">
        <f>A185-'Mastercurve bestimmen'!$B$2</f>
        <v>-30</v>
      </c>
      <c r="F185" s="11">
        <f t="shared" si="15"/>
        <v>-11.934149765166932</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-11.549724166633593</v>
      </c>
      <c r="E186" s="11">
        <f>A186-'Mastercurve bestimmen'!$B$2</f>
        <v>-29</v>
      </c>
      <c r="F186" s="11">
        <f t="shared" si="15"/>
        <v>-11.549724166633593</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-11.163937951797994</v>
      </c>
      <c r="E187" s="11">
        <f>A187-'Mastercurve bestimmen'!$B$2</f>
        <v>-28</v>
      </c>
      <c r="F187" s="11">
        <f t="shared" si="15"/>
        <v>-11.163937951797994</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-10.77683803846366</v>
      </c>
      <c r="E188" s="11">
        <f>A188-'Mastercurve bestimmen'!$B$2</f>
        <v>-27</v>
      </c>
      <c r="F188" s="11">
        <f t="shared" si="15"/>
        <v>-10.77683803846366</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-10.388471344434119</v>
      </c>
      <c r="E189" s="11">
        <f>A189-'Mastercurve bestimmen'!$B$2</f>
        <v>-26</v>
      </c>
      <c r="F189" s="11">
        <f t="shared" si="15"/>
        <v>-10.388471344434119</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-9.9988847875128961</v>
      </c>
      <c r="E190" s="11">
        <f>A190-'Mastercurve bestimmen'!$B$2</f>
        <v>-25</v>
      </c>
      <c r="F190" s="11">
        <f t="shared" si="15"/>
        <v>-9.9988847875128961</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-9.6081252855035189</v>
      </c>
      <c r="E191" s="11">
        <f>A191-'Mastercurve bestimmen'!$B$2</f>
        <v>-24</v>
      </c>
      <c r="F191" s="11">
        <f t="shared" si="15"/>
        <v>-9.6081252855035189</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-9.2162397562095126</v>
      </c>
      <c r="E192" s="11">
        <f>A192-'Mastercurve bestimmen'!$B$2</f>
        <v>-23</v>
      </c>
      <c r="F192" s="11">
        <f t="shared" si="15"/>
        <v>-9.2162397562095126</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-8.8232751174344024</v>
      </c>
      <c r="E193" s="11">
        <f>A193-'Mastercurve bestimmen'!$B$2</f>
        <v>-22</v>
      </c>
      <c r="F193" s="11">
        <f t="shared" si="15"/>
        <v>-8.8232751174344024</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-8.4292782869817149</v>
      </c>
      <c r="E194" s="11">
        <f>A194-'Mastercurve bestimmen'!$B$2</f>
        <v>-21</v>
      </c>
      <c r="F194" s="11">
        <f t="shared" si="15"/>
        <v>-8.4292782869817149</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-8.0342961826549768</v>
      </c>
      <c r="E195" s="11">
        <f>A195-'Mastercurve bestimmen'!$B$2</f>
        <v>-20</v>
      </c>
      <c r="F195" s="11">
        <f t="shared" si="15"/>
        <v>-8.0342961826549768</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-7.6383757222577158</v>
      </c>
      <c r="E196" s="11">
        <f>A196-'Mastercurve bestimmen'!$B$2</f>
        <v>-19</v>
      </c>
      <c r="F196" s="11">
        <f t="shared" si="15"/>
        <v>-7.6383757222577158</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-7.2415638235934567</v>
      </c>
      <c r="E197" s="11">
        <f>A197-'Mastercurve bestimmen'!$B$2</f>
        <v>-18</v>
      </c>
      <c r="F197" s="11">
        <f t="shared" si="15"/>
        <v>-7.2415638235934567</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-6.8439074044657247</v>
      </c>
      <c r="E198" s="11">
        <f>A198-'Mastercurve bestimmen'!$B$2</f>
        <v>-17</v>
      </c>
      <c r="F198" s="11">
        <f t="shared" si="15"/>
        <v>-6.8439074044657247</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-6.445453382678048</v>
      </c>
      <c r="E199" s="11">
        <f>A199-'Mastercurve bestimmen'!$B$2</f>
        <v>-16</v>
      </c>
      <c r="F199" s="11">
        <f t="shared" si="15"/>
        <v>-6.445453382678048</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-6.0462486760339527</v>
      </c>
      <c r="E200" s="11">
        <f>A200-'Mastercurve bestimmen'!$B$2</f>
        <v>-15</v>
      </c>
      <c r="F200" s="11">
        <f t="shared" si="15"/>
        <v>-6.0462486760339527</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-5.6463402023369618</v>
      </c>
      <c r="E201" s="11">
        <f>A201-'Mastercurve bestimmen'!$B$2</f>
        <v>-14</v>
      </c>
      <c r="F201" s="11">
        <f t="shared" si="15"/>
        <v>-5.6463402023369618</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-5.2457748793906056</v>
      </c>
      <c r="E202" s="11">
        <f>A202-'Mastercurve bestimmen'!$B$2</f>
        <v>-13</v>
      </c>
      <c r="F202" s="11">
        <f t="shared" si="15"/>
        <v>-5.2457748793906056</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-4.8445996249984082</v>
      </c>
      <c r="E203" s="11">
        <f>A203-'Mastercurve bestimmen'!$B$2</f>
        <v>-12</v>
      </c>
      <c r="F203" s="11">
        <f t="shared" si="15"/>
        <v>-4.8445996249984082</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-4.4428613569638964</v>
      </c>
      <c r="E204" s="11">
        <f>A204-'Mastercurve bestimmen'!$B$2</f>
        <v>-11</v>
      </c>
      <c r="F204" s="11">
        <f t="shared" si="15"/>
        <v>-4.4428613569638964</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-4.0406069930905959</v>
      </c>
      <c r="E205" s="11">
        <f>A205-'Mastercurve bestimmen'!$B$2</f>
        <v>-10</v>
      </c>
      <c r="F205" s="11">
        <f t="shared" si="15"/>
        <v>-4.0406069930905959</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-3.6378834511820335</v>
      </c>
      <c r="E206" s="11">
        <f>A206-'Mastercurve bestimmen'!$B$2</f>
        <v>-9</v>
      </c>
      <c r="F206" s="11">
        <f t="shared" si="15"/>
        <v>-3.6378834511820335</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-3.234737649041735</v>
      </c>
      <c r="E207" s="11">
        <f>A207-'Mastercurve bestimmen'!$B$2</f>
        <v>-8</v>
      </c>
      <c r="F207" s="11">
        <f t="shared" si="15"/>
        <v>-3.234737649041735</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-2.8312165044732267</v>
      </c>
      <c r="E208" s="11">
        <f>A208-'Mastercurve bestimmen'!$B$2</f>
        <v>-7</v>
      </c>
      <c r="F208" s="11">
        <f t="shared" ref="F208:F215" si="21">B208</f>
        <v>-2.8312165044732267</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-2.4273669352800349</v>
      </c>
      <c r="E209" s="11">
        <f>A209-'Mastercurve bestimmen'!$B$2</f>
        <v>-6</v>
      </c>
      <c r="F209" s="11">
        <f t="shared" si="21"/>
        <v>-2.4273669352800349</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-2.0232358592656863</v>
      </c>
      <c r="E210" s="11">
        <f>A210-'Mastercurve bestimmen'!$B$2</f>
        <v>-5</v>
      </c>
      <c r="F210" s="11">
        <f t="shared" si="21"/>
        <v>-2.0232358592656863</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-1.6188701942337063</v>
      </c>
      <c r="E211" s="11">
        <f>A211-'Mastercurve bestimmen'!$B$2</f>
        <v>-4</v>
      </c>
      <c r="F211" s="11">
        <f t="shared" si="21"/>
        <v>-1.6188701942337063</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-1.2143168579876213</v>
      </c>
      <c r="E212" s="11">
        <f>A212-'Mastercurve bestimmen'!$B$2</f>
        <v>-3</v>
      </c>
      <c r="F212" s="11">
        <f t="shared" si="21"/>
        <v>-1.2143168579876213</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-0.80962276833095803</v>
      </c>
      <c r="E213" s="11">
        <f>A213-'Mastercurve bestimmen'!$B$2</f>
        <v>-2</v>
      </c>
      <c r="F213" s="11">
        <f t="shared" si="21"/>
        <v>-0.80962276833095803</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-0.4048348430672421</v>
      </c>
      <c r="E214" s="11">
        <f>A214-'Mastercurve bestimmen'!$B$2</f>
        <v>-1</v>
      </c>
      <c r="F214" s="11">
        <f t="shared" si="21"/>
        <v>-0.4048348430672421</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0.4732015999486755</v>
      </c>
      <c r="J217" s="98">
        <v>9.2452018707024925E-3</v>
      </c>
      <c r="K217" s="98">
        <v>4.2035588792462746E-4</v>
      </c>
      <c r="L217" s="98">
        <v>9.2861101882017133E-6</v>
      </c>
      <c r="M217" s="98">
        <v>1.0537643755548572E-7</v>
      </c>
      <c r="N217" s="98">
        <v>6.4518863031154023E-10</v>
      </c>
      <c r="O217" s="98">
        <v>2.0338736362704435E-12</v>
      </c>
      <c r="P217" s="98">
        <v>2.5915233087327144E-15</v>
      </c>
    </row>
    <row r="218" spans="1:16" x14ac:dyDescent="0.25">
      <c r="G218" s="11"/>
      <c r="H218" s="11">
        <v>0</v>
      </c>
      <c r="I218" s="11">
        <v>1.191049097165691E-2</v>
      </c>
      <c r="J218" s="11">
        <v>1.1812134324250222E-3</v>
      </c>
      <c r="K218" s="3">
        <v>4.4818628199739017E-5</v>
      </c>
      <c r="L218" s="3">
        <v>8.543942039287321E-7</v>
      </c>
      <c r="M218" s="3">
        <v>8.9951429287351474E-9</v>
      </c>
      <c r="N218" s="3">
        <v>5.3066872618722388E-11</v>
      </c>
      <c r="O218" s="11">
        <v>1.6428684290238329E-13</v>
      </c>
      <c r="P218" s="11">
        <v>2.0771843285341623E-16</v>
      </c>
    </row>
    <row r="219" spans="1:16" x14ac:dyDescent="0.25">
      <c r="G219" s="11"/>
      <c r="H219" s="11">
        <v>0.99997962431368781</v>
      </c>
      <c r="I219" s="11">
        <v>0.16264927271396185</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-57.573599158697107</v>
      </c>
      <c r="G222">
        <f>F15</f>
        <v>-57.849695376367158</v>
      </c>
    </row>
    <row r="223" spans="1:16" x14ac:dyDescent="0.25">
      <c r="E223" s="11">
        <f t="shared" ref="E223:E286" si="25">E16</f>
        <v>-199</v>
      </c>
      <c r="F223" s="11">
        <f t="shared" ref="F223:F286" si="26">$H$217*0+E223*$I$217+E223^2*$J$217+E223^3*$K$217+E223^4*$L$217+E223^5*$M$217+E223^6*$N$217+E223^7*$O$217+E223^8*$P$217</f>
        <v>-57.442695771042963</v>
      </c>
      <c r="G223" s="11">
        <f t="shared" ref="G223:G286" si="27">F16</f>
        <v>-57.582574426538052</v>
      </c>
    </row>
    <row r="224" spans="1:16" x14ac:dyDescent="0.25">
      <c r="E224" s="11">
        <f t="shared" si="25"/>
        <v>-198</v>
      </c>
      <c r="F224" s="11">
        <f t="shared" si="26"/>
        <v>-57.28244046963755</v>
      </c>
      <c r="G224" s="11">
        <f t="shared" si="27"/>
        <v>-57.315354570530651</v>
      </c>
    </row>
    <row r="225" spans="5:7" x14ac:dyDescent="0.25">
      <c r="E225" s="11">
        <f t="shared" si="25"/>
        <v>-197</v>
      </c>
      <c r="F225" s="11">
        <f t="shared" si="26"/>
        <v>-57.096214564440743</v>
      </c>
      <c r="G225" s="11">
        <f t="shared" si="27"/>
        <v>-57.04793690216664</v>
      </c>
    </row>
    <row r="226" spans="5:7" x14ac:dyDescent="0.25">
      <c r="E226" s="11">
        <f t="shared" si="25"/>
        <v>-196</v>
      </c>
      <c r="F226" s="11">
        <f t="shared" si="26"/>
        <v>-56.887144494083259</v>
      </c>
      <c r="G226" s="11">
        <f t="shared" si="27"/>
        <v>-56.780222515267724</v>
      </c>
    </row>
    <row r="227" spans="5:7" x14ac:dyDescent="0.25">
      <c r="E227" s="11">
        <f t="shared" si="25"/>
        <v>-195</v>
      </c>
      <c r="F227" s="11">
        <f t="shared" si="26"/>
        <v>-56.658115168272161</v>
      </c>
      <c r="G227" s="11">
        <f t="shared" si="27"/>
        <v>-56.512112503655601</v>
      </c>
    </row>
    <row r="228" spans="5:7" x14ac:dyDescent="0.25">
      <c r="E228" s="11">
        <f t="shared" si="25"/>
        <v>-194</v>
      </c>
      <c r="F228" s="11">
        <f t="shared" si="26"/>
        <v>-56.4117828375729</v>
      </c>
      <c r="G228" s="11">
        <f t="shared" si="27"/>
        <v>-56.243507961151948</v>
      </c>
    </row>
    <row r="229" spans="5:7" x14ac:dyDescent="0.25">
      <c r="E229" s="11">
        <f t="shared" si="25"/>
        <v>-193</v>
      </c>
      <c r="F229" s="11">
        <f t="shared" si="26"/>
        <v>-56.150587500728761</v>
      </c>
      <c r="G229" s="11">
        <f t="shared" si="27"/>
        <v>-55.974309981578493</v>
      </c>
    </row>
    <row r="230" spans="5:7" x14ac:dyDescent="0.25">
      <c r="E230" s="11">
        <f t="shared" si="25"/>
        <v>-192</v>
      </c>
      <c r="F230" s="11">
        <f t="shared" si="26"/>
        <v>-55.876764859576724</v>
      </c>
      <c r="G230" s="11">
        <f t="shared" si="27"/>
        <v>-55.704419658756912</v>
      </c>
    </row>
    <row r="231" spans="5:7" x14ac:dyDescent="0.25">
      <c r="E231" s="11">
        <f t="shared" si="25"/>
        <v>-191</v>
      </c>
      <c r="F231" s="11">
        <f t="shared" si="26"/>
        <v>-55.592357831864319</v>
      </c>
      <c r="G231" s="11">
        <f t="shared" si="27"/>
        <v>-55.43373808650891</v>
      </c>
    </row>
    <row r="232" spans="5:7" x14ac:dyDescent="0.25">
      <c r="E232" s="11">
        <f t="shared" si="25"/>
        <v>-190</v>
      </c>
      <c r="F232" s="11">
        <f t="shared" si="26"/>
        <v>-55.299227631754547</v>
      </c>
      <c r="G232" s="11">
        <f t="shared" si="27"/>
        <v>-55.162166358656194</v>
      </c>
    </row>
    <row r="233" spans="5:7" x14ac:dyDescent="0.25">
      <c r="E233" s="11">
        <f t="shared" si="25"/>
        <v>-189</v>
      </c>
      <c r="F233" s="11">
        <f t="shared" si="26"/>
        <v>-54.999064427941448</v>
      </c>
      <c r="G233" s="11">
        <f t="shared" si="27"/>
        <v>-54.889605569020432</v>
      </c>
    </row>
    <row r="234" spans="5:7" x14ac:dyDescent="0.25">
      <c r="E234" s="11">
        <f t="shared" si="25"/>
        <v>-188</v>
      </c>
      <c r="F234" s="11">
        <f t="shared" si="26"/>
        <v>-54.693397589192045</v>
      </c>
      <c r="G234" s="11">
        <f t="shared" si="27"/>
        <v>-54.615956811423352</v>
      </c>
    </row>
    <row r="235" spans="5:7" x14ac:dyDescent="0.25">
      <c r="E235" s="11">
        <f t="shared" si="25"/>
        <v>-187</v>
      </c>
      <c r="F235" s="11">
        <f t="shared" si="26"/>
        <v>-54.383605526816609</v>
      </c>
      <c r="G235" s="11">
        <f t="shared" si="27"/>
        <v>-54.341121179686631</v>
      </c>
    </row>
    <row r="236" spans="5:7" x14ac:dyDescent="0.25">
      <c r="E236" s="11">
        <f t="shared" si="25"/>
        <v>-186</v>
      </c>
      <c r="F236" s="11">
        <f t="shared" si="26"/>
        <v>-54.070925143838394</v>
      </c>
      <c r="G236" s="11">
        <f t="shared" si="27"/>
        <v>-54.064999767631981</v>
      </c>
    </row>
    <row r="237" spans="5:7" x14ac:dyDescent="0.25">
      <c r="E237" s="11">
        <f t="shared" si="25"/>
        <v>-185</v>
      </c>
      <c r="F237" s="11">
        <f t="shared" si="26"/>
        <v>-53.756460900088769</v>
      </c>
      <c r="G237" s="11">
        <f t="shared" si="27"/>
        <v>-53.787493669081087</v>
      </c>
    </row>
    <row r="238" spans="5:7" x14ac:dyDescent="0.25">
      <c r="E238" s="11">
        <f t="shared" si="25"/>
        <v>-184</v>
      </c>
      <c r="F238" s="11">
        <f t="shared" si="26"/>
        <v>-53.441193502706028</v>
      </c>
      <c r="G238" s="11">
        <f t="shared" si="27"/>
        <v>-53.508503977855653</v>
      </c>
    </row>
    <row r="239" spans="5:7" x14ac:dyDescent="0.25">
      <c r="E239" s="11">
        <f t="shared" si="25"/>
        <v>-183</v>
      </c>
      <c r="F239" s="11">
        <f t="shared" si="26"/>
        <v>-53.12598823122562</v>
      </c>
      <c r="G239" s="11">
        <f t="shared" si="27"/>
        <v>-53.227931787777379</v>
      </c>
    </row>
    <row r="240" spans="5:7" x14ac:dyDescent="0.25">
      <c r="E240" s="11">
        <f t="shared" si="25"/>
        <v>-182</v>
      </c>
      <c r="F240" s="11">
        <f t="shared" si="26"/>
        <v>-52.811602906437201</v>
      </c>
      <c r="G240" s="11">
        <f t="shared" si="27"/>
        <v>-52.945678192667955</v>
      </c>
    </row>
    <row r="241" spans="5:7" x14ac:dyDescent="0.25">
      <c r="E241" s="11">
        <f t="shared" si="25"/>
        <v>-181</v>
      </c>
      <c r="F241" s="11">
        <f t="shared" si="26"/>
        <v>-52.498695511935239</v>
      </c>
      <c r="G241" s="11">
        <f t="shared" si="27"/>
        <v>-52.66164428634908</v>
      </c>
    </row>
    <row r="242" spans="5:7" x14ac:dyDescent="0.25">
      <c r="E242" s="11">
        <f t="shared" si="25"/>
        <v>-180</v>
      </c>
      <c r="F242" s="11">
        <f t="shared" si="26"/>
        <v>-52.187831477416694</v>
      </c>
      <c r="G242" s="11">
        <f t="shared" si="27"/>
        <v>-52.375731162642452</v>
      </c>
    </row>
    <row r="243" spans="5:7" x14ac:dyDescent="0.25">
      <c r="E243" s="11">
        <f t="shared" si="25"/>
        <v>-179</v>
      </c>
      <c r="F243" s="11">
        <f t="shared" si="26"/>
        <v>-51.879490632440593</v>
      </c>
      <c r="G243" s="11">
        <f t="shared" si="27"/>
        <v>-52.087839915369777</v>
      </c>
    </row>
    <row r="244" spans="5:7" x14ac:dyDescent="0.25">
      <c r="E244" s="11">
        <f t="shared" si="25"/>
        <v>-178</v>
      </c>
      <c r="F244" s="11">
        <f t="shared" si="26"/>
        <v>-51.574073839436551</v>
      </c>
      <c r="G244" s="11">
        <f t="shared" si="27"/>
        <v>-51.797871638352731</v>
      </c>
    </row>
    <row r="245" spans="5:7" x14ac:dyDescent="0.25">
      <c r="E245" s="11">
        <f t="shared" si="25"/>
        <v>-177</v>
      </c>
      <c r="F245" s="11">
        <f t="shared" si="26"/>
        <v>-51.271909314506047</v>
      </c>
      <c r="G245" s="11">
        <f t="shared" si="27"/>
        <v>-51.505727425413035</v>
      </c>
    </row>
    <row r="246" spans="5:7" x14ac:dyDescent="0.25">
      <c r="E246" s="11">
        <f t="shared" si="25"/>
        <v>-176</v>
      </c>
      <c r="F246" s="11">
        <f t="shared" si="26"/>
        <v>-50.97325864459026</v>
      </c>
      <c r="G246" s="11">
        <f t="shared" si="27"/>
        <v>-51.211308370372379</v>
      </c>
    </row>
    <row r="247" spans="5:7" x14ac:dyDescent="0.25">
      <c r="E247" s="11">
        <f t="shared" si="25"/>
        <v>-175</v>
      </c>
      <c r="F247" s="11">
        <f t="shared" si="26"/>
        <v>-50.678322509336795</v>
      </c>
      <c r="G247" s="11">
        <f t="shared" si="27"/>
        <v>-50.914515567052447</v>
      </c>
    </row>
    <row r="248" spans="5:7" x14ac:dyDescent="0.25">
      <c r="E248" s="11">
        <f t="shared" si="25"/>
        <v>-174</v>
      </c>
      <c r="F248" s="11">
        <f t="shared" si="26"/>
        <v>-50.387246116031292</v>
      </c>
      <c r="G248" s="11">
        <f t="shared" si="27"/>
        <v>-50.615250109274946</v>
      </c>
    </row>
    <row r="249" spans="5:7" x14ac:dyDescent="0.25">
      <c r="E249" s="11">
        <f t="shared" si="25"/>
        <v>-173</v>
      </c>
      <c r="F249" s="11">
        <f t="shared" si="26"/>
        <v>-50.100124355703429</v>
      </c>
      <c r="G249" s="11">
        <f t="shared" si="27"/>
        <v>-50.313413090861573</v>
      </c>
    </row>
    <row r="250" spans="5:7" x14ac:dyDescent="0.25">
      <c r="E250" s="11">
        <f t="shared" si="25"/>
        <v>-172</v>
      </c>
      <c r="F250" s="11">
        <f t="shared" si="26"/>
        <v>-49.817006688602305</v>
      </c>
      <c r="G250" s="11">
        <f t="shared" si="27"/>
        <v>-50.008905605634027</v>
      </c>
    </row>
    <row r="251" spans="5:7" x14ac:dyDescent="0.25">
      <c r="E251" s="11">
        <f t="shared" si="25"/>
        <v>-171</v>
      </c>
      <c r="F251" s="11">
        <f t="shared" si="26"/>
        <v>-49.537901766903587</v>
      </c>
      <c r="G251" s="11">
        <f t="shared" si="27"/>
        <v>-49.701628747414013</v>
      </c>
    </row>
    <row r="252" spans="5:7" x14ac:dyDescent="0.25">
      <c r="E252" s="11">
        <f t="shared" si="25"/>
        <v>-170</v>
      </c>
      <c r="F252" s="11">
        <f t="shared" si="26"/>
        <v>-49.262781802617383</v>
      </c>
      <c r="G252" s="11">
        <f t="shared" si="27"/>
        <v>-49.391483610023208</v>
      </c>
    </row>
    <row r="253" spans="5:7" x14ac:dyDescent="0.25">
      <c r="E253" s="11">
        <f t="shared" si="25"/>
        <v>-169</v>
      </c>
      <c r="F253" s="11">
        <f t="shared" si="26"/>
        <v>-48.99158668843188</v>
      </c>
      <c r="G253" s="11">
        <f t="shared" si="27"/>
        <v>-49.078371287283318</v>
      </c>
    </row>
    <row r="254" spans="5:7" x14ac:dyDescent="0.25">
      <c r="E254" s="11">
        <f t="shared" si="25"/>
        <v>-168</v>
      </c>
      <c r="F254" s="11">
        <f t="shared" si="26"/>
        <v>-48.724227879185037</v>
      </c>
      <c r="G254" s="11">
        <f t="shared" si="27"/>
        <v>-48.762192873016048</v>
      </c>
    </row>
    <row r="255" spans="5:7" x14ac:dyDescent="0.25">
      <c r="E255" s="11">
        <f t="shared" si="25"/>
        <v>-167</v>
      </c>
      <c r="F255" s="11">
        <f t="shared" si="26"/>
        <v>-48.460592041474683</v>
      </c>
      <c r="G255" s="11">
        <f t="shared" si="27"/>
        <v>-48.442849461043089</v>
      </c>
    </row>
    <row r="256" spans="5:7" x14ac:dyDescent="0.25">
      <c r="E256" s="11">
        <f t="shared" si="25"/>
        <v>-166</v>
      </c>
      <c r="F256" s="11">
        <f t="shared" si="26"/>
        <v>-48.200544478953589</v>
      </c>
      <c r="G256" s="11">
        <f t="shared" si="27"/>
        <v>-48.12024214518614</v>
      </c>
    </row>
    <row r="257" spans="5:7" x14ac:dyDescent="0.25">
      <c r="E257" s="11">
        <f t="shared" si="25"/>
        <v>-165</v>
      </c>
      <c r="F257" s="11">
        <f t="shared" si="26"/>
        <v>-47.943932340571109</v>
      </c>
      <c r="G257" s="11">
        <f t="shared" si="27"/>
        <v>-47.794272019266892</v>
      </c>
    </row>
    <row r="258" spans="5:7" x14ac:dyDescent="0.25">
      <c r="E258" s="11">
        <f t="shared" si="25"/>
        <v>-164</v>
      </c>
      <c r="F258" s="11">
        <f t="shared" si="26"/>
        <v>-47.69058761911424</v>
      </c>
      <c r="G258" s="11">
        <f t="shared" si="27"/>
        <v>-47.464840177107057</v>
      </c>
    </row>
    <row r="259" spans="5:7" x14ac:dyDescent="0.25">
      <c r="E259" s="11">
        <f t="shared" si="25"/>
        <v>-163</v>
      </c>
      <c r="F259" s="11">
        <f t="shared" si="26"/>
        <v>-47.44032994707959</v>
      </c>
      <c r="G259" s="11">
        <f t="shared" si="27"/>
        <v>-47.131847712528312</v>
      </c>
    </row>
    <row r="260" spans="5:7" x14ac:dyDescent="0.25">
      <c r="E260" s="11">
        <f t="shared" si="25"/>
        <v>-162</v>
      </c>
      <c r="F260" s="11">
        <f t="shared" si="26"/>
        <v>-47.192969197034927</v>
      </c>
      <c r="G260" s="11">
        <f t="shared" si="27"/>
        <v>-46.795195719352371</v>
      </c>
    </row>
    <row r="261" spans="5:7" x14ac:dyDescent="0.25">
      <c r="E261" s="11">
        <f t="shared" si="25"/>
        <v>-161</v>
      </c>
      <c r="F261" s="11">
        <f t="shared" si="26"/>
        <v>-46.948307893307174</v>
      </c>
      <c r="G261" s="11">
        <f t="shared" si="27"/>
        <v>-46.454785291400924</v>
      </c>
    </row>
    <row r="262" spans="5:7" x14ac:dyDescent="0.25">
      <c r="E262" s="11">
        <f t="shared" si="25"/>
        <v>-160</v>
      </c>
      <c r="F262" s="11">
        <f t="shared" si="26"/>
        <v>-46.706143441917902</v>
      </c>
      <c r="G262" s="11">
        <f t="shared" si="27"/>
        <v>-46.11051752249567</v>
      </c>
    </row>
    <row r="263" spans="5:7" x14ac:dyDescent="0.25">
      <c r="E263" s="11">
        <f t="shared" si="25"/>
        <v>-159</v>
      </c>
      <c r="F263" s="11">
        <f t="shared" si="26"/>
        <v>-46.466270185414942</v>
      </c>
      <c r="G263" s="11">
        <f t="shared" si="27"/>
        <v>-45.958462095411804</v>
      </c>
    </row>
    <row r="264" spans="5:7" x14ac:dyDescent="0.25">
      <c r="E264" s="11">
        <f t="shared" si="25"/>
        <v>-158</v>
      </c>
      <c r="F264" s="11">
        <f t="shared" si="26"/>
        <v>-46.228481289291608</v>
      </c>
      <c r="G264" s="11">
        <f t="shared" si="27"/>
        <v>-45.802469230279428</v>
      </c>
    </row>
    <row r="265" spans="5:7" x14ac:dyDescent="0.25">
      <c r="E265" s="11">
        <f t="shared" si="25"/>
        <v>-157</v>
      </c>
      <c r="F265" s="11">
        <f t="shared" si="26"/>
        <v>-45.992570466464599</v>
      </c>
      <c r="G265" s="11">
        <f t="shared" si="27"/>
        <v>-45.642557736182155</v>
      </c>
    </row>
    <row r="266" spans="5:7" x14ac:dyDescent="0.25">
      <c r="E266" s="11">
        <f t="shared" si="25"/>
        <v>-156</v>
      </c>
      <c r="F266" s="11">
        <f t="shared" si="26"/>
        <v>-45.758333546263088</v>
      </c>
      <c r="G266" s="11">
        <f t="shared" si="27"/>
        <v>-45.478746422203585</v>
      </c>
    </row>
    <row r="267" spans="5:7" x14ac:dyDescent="0.25">
      <c r="E267" s="11">
        <f t="shared" si="25"/>
        <v>-155</v>
      </c>
      <c r="F267" s="11">
        <f t="shared" si="26"/>
        <v>-45.525569894220098</v>
      </c>
      <c r="G267" s="11">
        <f t="shared" si="27"/>
        <v>-45.311054097427316</v>
      </c>
    </row>
    <row r="268" spans="5:7" x14ac:dyDescent="0.25">
      <c r="E268" s="11">
        <f t="shared" si="25"/>
        <v>-154</v>
      </c>
      <c r="F268" s="11">
        <f t="shared" si="26"/>
        <v>-45.294083688854926</v>
      </c>
      <c r="G268" s="11">
        <f t="shared" si="27"/>
        <v>-45.139499570936977</v>
      </c>
    </row>
    <row r="269" spans="5:7" x14ac:dyDescent="0.25">
      <c r="E269" s="11">
        <f t="shared" si="25"/>
        <v>-153</v>
      </c>
      <c r="F269" s="11">
        <f t="shared" si="26"/>
        <v>-45.063685061598903</v>
      </c>
      <c r="G269" s="11">
        <f t="shared" si="27"/>
        <v>-44.964101651816136</v>
      </c>
    </row>
    <row r="270" spans="5:7" x14ac:dyDescent="0.25">
      <c r="E270" s="11">
        <f t="shared" si="25"/>
        <v>-152</v>
      </c>
      <c r="F270" s="11">
        <f t="shared" si="26"/>
        <v>-44.834191105812351</v>
      </c>
      <c r="G270" s="11">
        <f t="shared" si="27"/>
        <v>-44.784879149148438</v>
      </c>
    </row>
    <row r="271" spans="5:7" x14ac:dyDescent="0.25">
      <c r="E271" s="11">
        <f t="shared" si="25"/>
        <v>-151</v>
      </c>
      <c r="F271" s="11">
        <f t="shared" si="26"/>
        <v>-44.605426760829914</v>
      </c>
      <c r="G271" s="11">
        <f t="shared" si="27"/>
        <v>-44.601850872017465</v>
      </c>
    </row>
    <row r="272" spans="5:7" x14ac:dyDescent="0.25">
      <c r="E272" s="11">
        <f t="shared" si="25"/>
        <v>-150</v>
      </c>
      <c r="F272" s="11">
        <f t="shared" si="26"/>
        <v>-44.377225576751925</v>
      </c>
      <c r="G272" s="11">
        <f t="shared" si="27"/>
        <v>-44.415035629506818</v>
      </c>
    </row>
    <row r="273" spans="5:7" x14ac:dyDescent="0.25">
      <c r="E273" s="11">
        <f t="shared" si="25"/>
        <v>-149</v>
      </c>
      <c r="F273" s="11">
        <f t="shared" si="26"/>
        <v>-44.149430365769831</v>
      </c>
      <c r="G273" s="11">
        <f t="shared" si="27"/>
        <v>-44.224452230700116</v>
      </c>
    </row>
    <row r="274" spans="5:7" x14ac:dyDescent="0.25">
      <c r="E274" s="11">
        <f t="shared" si="25"/>
        <v>-148</v>
      </c>
      <c r="F274" s="11">
        <f t="shared" si="26"/>
        <v>-43.921893745505599</v>
      </c>
      <c r="G274" s="11">
        <f t="shared" si="27"/>
        <v>-44.030119484680959</v>
      </c>
    </row>
    <row r="275" spans="5:7" x14ac:dyDescent="0.25">
      <c r="E275" s="11">
        <f t="shared" si="25"/>
        <v>-147</v>
      </c>
      <c r="F275" s="11">
        <f t="shared" si="26"/>
        <v>-43.694478579909628</v>
      </c>
      <c r="G275" s="11">
        <f t="shared" si="27"/>
        <v>-43.832056200532946</v>
      </c>
    </row>
    <row r="276" spans="5:7" x14ac:dyDescent="0.25">
      <c r="E276" s="11">
        <f t="shared" si="25"/>
        <v>-146</v>
      </c>
      <c r="F276" s="11">
        <f t="shared" si="26"/>
        <v>-43.467058323035872</v>
      </c>
      <c r="G276" s="11">
        <f t="shared" si="27"/>
        <v>-43.630281187339691</v>
      </c>
    </row>
    <row r="277" spans="5:7" x14ac:dyDescent="0.25">
      <c r="E277" s="11">
        <f t="shared" si="25"/>
        <v>-145</v>
      </c>
      <c r="F277" s="11">
        <f t="shared" si="26"/>
        <v>-43.239517271007912</v>
      </c>
      <c r="G277" s="11">
        <f t="shared" si="27"/>
        <v>-43.424813254184784</v>
      </c>
    </row>
    <row r="278" spans="5:7" x14ac:dyDescent="0.25">
      <c r="E278" s="11">
        <f t="shared" si="25"/>
        <v>-144</v>
      </c>
      <c r="F278" s="11">
        <f t="shared" si="26"/>
        <v>-43.011750727305468</v>
      </c>
      <c r="G278" s="11">
        <f t="shared" si="27"/>
        <v>-43.215671210151854</v>
      </c>
    </row>
    <row r="279" spans="5:7" x14ac:dyDescent="0.25">
      <c r="E279" s="11">
        <f t="shared" si="25"/>
        <v>-143</v>
      </c>
      <c r="F279" s="11">
        <f t="shared" si="26"/>
        <v>-42.783665086434667</v>
      </c>
      <c r="G279" s="11">
        <f t="shared" si="27"/>
        <v>-43.002873864324485</v>
      </c>
    </row>
    <row r="280" spans="5:7" x14ac:dyDescent="0.25">
      <c r="E280" s="11">
        <f t="shared" si="25"/>
        <v>-142</v>
      </c>
      <c r="F280" s="11">
        <f t="shared" si="26"/>
        <v>-42.55517784094036</v>
      </c>
      <c r="G280" s="11">
        <f t="shared" si="27"/>
        <v>-42.786440025786291</v>
      </c>
    </row>
    <row r="281" spans="5:7" x14ac:dyDescent="0.25">
      <c r="E281" s="11">
        <f t="shared" si="25"/>
        <v>-141</v>
      </c>
      <c r="F281" s="11">
        <f t="shared" si="26"/>
        <v>-42.326217516608779</v>
      </c>
      <c r="G281" s="11">
        <f t="shared" si="27"/>
        <v>-42.566388503620871</v>
      </c>
    </row>
    <row r="282" spans="5:7" x14ac:dyDescent="0.25">
      <c r="E282" s="11">
        <f t="shared" si="25"/>
        <v>-140</v>
      </c>
      <c r="F282" s="11">
        <f t="shared" si="26"/>
        <v>-42.096723540599157</v>
      </c>
      <c r="G282" s="11">
        <f t="shared" si="27"/>
        <v>-42.342738106911831</v>
      </c>
    </row>
    <row r="283" spans="5:7" x14ac:dyDescent="0.25">
      <c r="E283" s="11">
        <f t="shared" si="25"/>
        <v>-139</v>
      </c>
      <c r="F283" s="11">
        <f t="shared" si="26"/>
        <v>-41.866646047144513</v>
      </c>
      <c r="G283" s="11">
        <f t="shared" si="27"/>
        <v>-42.115507644742785</v>
      </c>
    </row>
    <row r="284" spans="5:7" x14ac:dyDescent="0.25">
      <c r="E284" s="11">
        <f t="shared" si="25"/>
        <v>-138</v>
      </c>
      <c r="F284" s="11">
        <f t="shared" si="26"/>
        <v>-41.635945625358715</v>
      </c>
      <c r="G284" s="11">
        <f t="shared" si="27"/>
        <v>-41.88471592619733</v>
      </c>
    </row>
    <row r="285" spans="5:7" x14ac:dyDescent="0.25">
      <c r="E285" s="11">
        <f t="shared" si="25"/>
        <v>-137</v>
      </c>
      <c r="F285" s="11">
        <f t="shared" si="26"/>
        <v>-41.404593013581007</v>
      </c>
      <c r="G285" s="11">
        <f t="shared" si="27"/>
        <v>-41.650381760359075</v>
      </c>
    </row>
    <row r="286" spans="5:7" x14ac:dyDescent="0.25">
      <c r="E286" s="11">
        <f t="shared" si="25"/>
        <v>-136</v>
      </c>
      <c r="F286" s="11">
        <f t="shared" si="26"/>
        <v>-41.172568744575472</v>
      </c>
      <c r="G286" s="11">
        <f t="shared" si="27"/>
        <v>-41.412523956311624</v>
      </c>
    </row>
    <row r="287" spans="5:7" x14ac:dyDescent="0.25">
      <c r="E287" s="11">
        <f t="shared" ref="E287:E350" si="28">E80</f>
        <v>-135</v>
      </c>
      <c r="F287" s="11">
        <f t="shared" ref="F287:F350" si="29">$H$217*0+E287*$I$217+E287^2*$J$217+E287^3*$K$217+E287^4*$L$217+E287^5*$M$217+E287^6*$N$217+E287^7*$O$217+E287^8*$P$217</f>
        <v>-40.939862745818687</v>
      </c>
      <c r="G287" s="11">
        <f t="shared" ref="G287:G350" si="30">F80</f>
        <v>-41.171161323138577</v>
      </c>
    </row>
    <row r="288" spans="5:7" x14ac:dyDescent="0.25">
      <c r="E288" s="11">
        <f t="shared" si="28"/>
        <v>-134</v>
      </c>
      <c r="F288" s="11">
        <f t="shared" si="29"/>
        <v>-40.706473898983347</v>
      </c>
      <c r="G288" s="11">
        <f t="shared" si="30"/>
        <v>-40.926359113433577</v>
      </c>
    </row>
    <row r="289" spans="5:7" x14ac:dyDescent="0.25">
      <c r="E289" s="11">
        <f t="shared" si="28"/>
        <v>-133</v>
      </c>
      <c r="F289" s="11">
        <f t="shared" si="29"/>
        <v>-40.47240956262948</v>
      </c>
      <c r="G289" s="11">
        <f t="shared" si="30"/>
        <v>-40.678368353830443</v>
      </c>
    </row>
    <row r="290" spans="5:7" x14ac:dyDescent="0.25">
      <c r="E290" s="11">
        <f t="shared" si="28"/>
        <v>-132</v>
      </c>
      <c r="F290" s="11">
        <f t="shared" si="29"/>
        <v>-40.237685062021654</v>
      </c>
      <c r="G290" s="11">
        <f t="shared" si="30"/>
        <v>-40.42748651447301</v>
      </c>
    </row>
    <row r="291" spans="5:7" x14ac:dyDescent="0.25">
      <c r="E291" s="11">
        <f t="shared" si="28"/>
        <v>-131</v>
      </c>
      <c r="F291" s="11">
        <f t="shared" si="29"/>
        <v>-40.002323149861866</v>
      </c>
      <c r="G291" s="11">
        <f t="shared" si="30"/>
        <v>-40.174011065505141</v>
      </c>
    </row>
    <row r="292" spans="5:7" x14ac:dyDescent="0.25">
      <c r="E292" s="11">
        <f t="shared" si="28"/>
        <v>-130</v>
      </c>
      <c r="F292" s="11">
        <f t="shared" si="29"/>
        <v>-39.766353441644611</v>
      </c>
      <c r="G292" s="11">
        <f t="shared" si="30"/>
        <v>-39.918239477070678</v>
      </c>
    </row>
    <row r="293" spans="5:7" x14ac:dyDescent="0.25">
      <c r="E293" s="11">
        <f t="shared" si="28"/>
        <v>-129</v>
      </c>
      <c r="F293" s="11">
        <f t="shared" si="29"/>
        <v>-39.529811829228578</v>
      </c>
      <c r="G293" s="11">
        <f t="shared" si="30"/>
        <v>-39.66046921931347</v>
      </c>
    </row>
    <row r="294" spans="5:7" x14ac:dyDescent="0.25">
      <c r="E294" s="11">
        <f t="shared" si="28"/>
        <v>-128</v>
      </c>
      <c r="F294" s="11">
        <f t="shared" si="29"/>
        <v>-39.292739876108016</v>
      </c>
      <c r="G294" s="11">
        <f t="shared" si="30"/>
        <v>-39.400997762377358</v>
      </c>
    </row>
    <row r="295" spans="5:7" x14ac:dyDescent="0.25">
      <c r="E295" s="11">
        <f t="shared" si="28"/>
        <v>-127</v>
      </c>
      <c r="F295" s="11">
        <f t="shared" si="29"/>
        <v>-39.055184197780761</v>
      </c>
      <c r="G295" s="11">
        <f t="shared" si="30"/>
        <v>-39.140122576406199</v>
      </c>
    </row>
    <row r="296" spans="5:7" x14ac:dyDescent="0.25">
      <c r="E296" s="11">
        <f t="shared" si="28"/>
        <v>-126</v>
      </c>
      <c r="F296" s="11">
        <f t="shared" si="29"/>
        <v>-38.817195830479562</v>
      </c>
      <c r="G296" s="11">
        <f t="shared" si="30"/>
        <v>-38.878141131543828</v>
      </c>
    </row>
    <row r="297" spans="5:7" x14ac:dyDescent="0.25">
      <c r="E297" s="11">
        <f t="shared" si="28"/>
        <v>-125</v>
      </c>
      <c r="F297" s="11">
        <f t="shared" si="29"/>
        <v>-38.578829591456127</v>
      </c>
      <c r="G297" s="11">
        <f t="shared" si="30"/>
        <v>-38.615350897934114</v>
      </c>
    </row>
    <row r="298" spans="5:7" x14ac:dyDescent="0.25">
      <c r="E298" s="11">
        <f t="shared" si="28"/>
        <v>-124</v>
      </c>
      <c r="F298" s="11">
        <f t="shared" si="29"/>
        <v>-38.340143433878836</v>
      </c>
      <c r="G298" s="11">
        <f t="shared" si="30"/>
        <v>-38.352049345720886</v>
      </c>
    </row>
    <row r="299" spans="5:7" x14ac:dyDescent="0.25">
      <c r="E299" s="11">
        <f t="shared" si="28"/>
        <v>-123</v>
      </c>
      <c r="F299" s="11">
        <f t="shared" si="29"/>
        <v>-38.101197799321142</v>
      </c>
      <c r="G299" s="11">
        <f t="shared" si="30"/>
        <v>-38.088533945048013</v>
      </c>
    </row>
    <row r="300" spans="5:7" x14ac:dyDescent="0.25">
      <c r="E300" s="11">
        <f t="shared" si="28"/>
        <v>-122</v>
      </c>
      <c r="F300" s="11">
        <f t="shared" si="29"/>
        <v>-37.862054970692</v>
      </c>
      <c r="G300" s="11">
        <f t="shared" si="30"/>
        <v>-37.825102166059317</v>
      </c>
    </row>
    <row r="301" spans="5:7" x14ac:dyDescent="0.25">
      <c r="E301" s="11">
        <f t="shared" si="28"/>
        <v>-121</v>
      </c>
      <c r="F301" s="11">
        <f t="shared" si="29"/>
        <v>-37.622778428382787</v>
      </c>
      <c r="G301" s="11">
        <f t="shared" si="30"/>
        <v>-37.562051478898667</v>
      </c>
    </row>
    <row r="302" spans="5:7" x14ac:dyDescent="0.25">
      <c r="E302" s="11">
        <f t="shared" si="28"/>
        <v>-120</v>
      </c>
      <c r="F302" s="11">
        <f t="shared" si="29"/>
        <v>-37.383432212263472</v>
      </c>
      <c r="G302" s="11">
        <f t="shared" si="30"/>
        <v>-37.299679353709898</v>
      </c>
    </row>
    <row r="303" spans="5:7" x14ac:dyDescent="0.25">
      <c r="E303" s="11">
        <f t="shared" si="28"/>
        <v>-119</v>
      </c>
      <c r="F303" s="11">
        <f t="shared" si="29"/>
        <v>-37.144080292098124</v>
      </c>
      <c r="G303" s="11">
        <f t="shared" si="30"/>
        <v>-37.038283260636874</v>
      </c>
    </row>
    <row r="304" spans="5:7" x14ac:dyDescent="0.25">
      <c r="E304" s="11">
        <f t="shared" si="28"/>
        <v>-118</v>
      </c>
      <c r="F304" s="11">
        <f t="shared" si="29"/>
        <v>-36.904785948811792</v>
      </c>
      <c r="G304" s="11">
        <f t="shared" si="30"/>
        <v>-36.778160669823421</v>
      </c>
    </row>
    <row r="305" spans="5:7" x14ac:dyDescent="0.25">
      <c r="E305" s="11">
        <f t="shared" si="28"/>
        <v>-117</v>
      </c>
      <c r="F305" s="11">
        <f t="shared" si="29"/>
        <v>-36.665611168951457</v>
      </c>
      <c r="G305" s="11">
        <f t="shared" si="30"/>
        <v>-36.519609051413404</v>
      </c>
    </row>
    <row r="306" spans="5:7" x14ac:dyDescent="0.25">
      <c r="E306" s="11">
        <f t="shared" si="28"/>
        <v>-116</v>
      </c>
      <c r="F306" s="11">
        <f t="shared" si="29"/>
        <v>-36.426616054580748</v>
      </c>
      <c r="G306" s="11">
        <f t="shared" si="30"/>
        <v>-36.262925875550671</v>
      </c>
    </row>
    <row r="307" spans="5:7" x14ac:dyDescent="0.25">
      <c r="E307" s="11">
        <f t="shared" si="28"/>
        <v>-115</v>
      </c>
      <c r="F307" s="11">
        <f t="shared" si="29"/>
        <v>-36.187858250734649</v>
      </c>
      <c r="G307" s="11">
        <f t="shared" si="30"/>
        <v>-36.008408612379057</v>
      </c>
    </row>
    <row r="308" spans="5:7" x14ac:dyDescent="0.25">
      <c r="E308" s="11">
        <f t="shared" si="28"/>
        <v>-114</v>
      </c>
      <c r="F308" s="11">
        <f t="shared" si="29"/>
        <v>-35.949392392466038</v>
      </c>
      <c r="G308" s="11">
        <f t="shared" si="30"/>
        <v>-35.756354732042425</v>
      </c>
    </row>
    <row r="309" spans="5:7" x14ac:dyDescent="0.25">
      <c r="E309" s="11">
        <f t="shared" si="28"/>
        <v>-113</v>
      </c>
      <c r="F309" s="11">
        <f t="shared" si="29"/>
        <v>-35.711269573400941</v>
      </c>
      <c r="G309" s="11">
        <f t="shared" si="30"/>
        <v>-35.507061704684617</v>
      </c>
    </row>
    <row r="310" spans="5:7" x14ac:dyDescent="0.25">
      <c r="E310" s="11">
        <f t="shared" si="28"/>
        <v>-112</v>
      </c>
      <c r="F310" s="11">
        <f t="shared" si="29"/>
        <v>-35.473536837626654</v>
      </c>
      <c r="G310" s="11">
        <f t="shared" si="30"/>
        <v>-35.260827000449481</v>
      </c>
    </row>
    <row r="311" spans="5:7" x14ac:dyDescent="0.25">
      <c r="E311" s="11">
        <f t="shared" si="28"/>
        <v>-111</v>
      </c>
      <c r="F311" s="11">
        <f t="shared" si="29"/>
        <v>-35.236236696621361</v>
      </c>
      <c r="G311" s="11">
        <f t="shared" si="30"/>
        <v>-35.017948089480861</v>
      </c>
    </row>
    <row r="312" spans="5:7" x14ac:dyDescent="0.25">
      <c r="E312" s="11">
        <f t="shared" si="28"/>
        <v>-110</v>
      </c>
      <c r="F312" s="11">
        <f t="shared" si="29"/>
        <v>-34.999406672834255</v>
      </c>
      <c r="G312" s="11">
        <f t="shared" si="30"/>
        <v>-34.778722441922618</v>
      </c>
    </row>
    <row r="313" spans="5:7" x14ac:dyDescent="0.25">
      <c r="E313" s="11">
        <f t="shared" si="28"/>
        <v>-109</v>
      </c>
      <c r="F313" s="11">
        <f t="shared" si="29"/>
        <v>-34.763078871424909</v>
      </c>
      <c r="G313" s="11">
        <f t="shared" si="30"/>
        <v>-34.543352131577549</v>
      </c>
    </row>
    <row r="314" spans="5:7" x14ac:dyDescent="0.25">
      <c r="E314" s="11">
        <f t="shared" si="28"/>
        <v>-108</v>
      </c>
      <c r="F314" s="11">
        <f t="shared" si="29"/>
        <v>-34.527279581558474</v>
      </c>
      <c r="G314" s="11">
        <f t="shared" si="30"/>
        <v>-34.311657646884264</v>
      </c>
    </row>
    <row r="315" spans="5:7" x14ac:dyDescent="0.25">
      <c r="E315" s="11">
        <f t="shared" si="28"/>
        <v>-107</v>
      </c>
      <c r="F315" s="11">
        <f t="shared" si="29"/>
        <v>-34.29202890854922</v>
      </c>
      <c r="G315" s="11">
        <f t="shared" si="30"/>
        <v>-34.083364079940367</v>
      </c>
    </row>
    <row r="316" spans="5:7" x14ac:dyDescent="0.25">
      <c r="E316" s="11">
        <f t="shared" si="28"/>
        <v>-106</v>
      </c>
      <c r="F316" s="11">
        <f t="shared" si="29"/>
        <v>-34.057340438051597</v>
      </c>
      <c r="G316" s="11">
        <f t="shared" si="30"/>
        <v>-33.858196522843421</v>
      </c>
    </row>
    <row r="317" spans="5:7" x14ac:dyDescent="0.25">
      <c r="E317" s="11">
        <f t="shared" si="28"/>
        <v>-105</v>
      </c>
      <c r="F317" s="11">
        <f t="shared" si="29"/>
        <v>-33.823220933377932</v>
      </c>
      <c r="G317" s="11">
        <f t="shared" si="30"/>
        <v>-33.635880067691012</v>
      </c>
    </row>
    <row r="318" spans="5:7" x14ac:dyDescent="0.25">
      <c r="E318" s="11">
        <f t="shared" si="28"/>
        <v>-104</v>
      </c>
      <c r="F318" s="11">
        <f t="shared" si="29"/>
        <v>-33.589670066926381</v>
      </c>
      <c r="G318" s="11">
        <f t="shared" si="30"/>
        <v>-33.416139806580723</v>
      </c>
    </row>
    <row r="319" spans="5:7" x14ac:dyDescent="0.25">
      <c r="E319" s="11">
        <f t="shared" si="28"/>
        <v>-103</v>
      </c>
      <c r="F319" s="11">
        <f t="shared" si="29"/>
        <v>-33.356680186600713</v>
      </c>
      <c r="G319" s="11">
        <f t="shared" si="30"/>
        <v>-33.198700831610125</v>
      </c>
    </row>
    <row r="320" spans="5:7" x14ac:dyDescent="0.25">
      <c r="E320" s="11">
        <f t="shared" si="28"/>
        <v>-102</v>
      </c>
      <c r="F320" s="11">
        <f t="shared" si="29"/>
        <v>-33.124236117988985</v>
      </c>
      <c r="G320" s="11">
        <f t="shared" si="30"/>
        <v>-32.983288234876809</v>
      </c>
    </row>
    <row r="321" spans="5:7" x14ac:dyDescent="0.25">
      <c r="E321" s="11">
        <f t="shared" si="28"/>
        <v>-101</v>
      </c>
      <c r="F321" s="11">
        <f t="shared" si="29"/>
        <v>-32.89231500297327</v>
      </c>
      <c r="G321" s="11">
        <f t="shared" si="30"/>
        <v>-32.769627108478353</v>
      </c>
    </row>
    <row r="322" spans="5:7" x14ac:dyDescent="0.25">
      <c r="E322" s="11">
        <f t="shared" si="28"/>
        <v>-100</v>
      </c>
      <c r="F322" s="11">
        <f t="shared" si="29"/>
        <v>-32.660886175332941</v>
      </c>
      <c r="G322" s="11">
        <f t="shared" si="30"/>
        <v>-32.557442544512334</v>
      </c>
    </row>
    <row r="323" spans="5:7" x14ac:dyDescent="0.25">
      <c r="E323" s="11">
        <f t="shared" si="28"/>
        <v>-99</v>
      </c>
      <c r="F323" s="11">
        <f t="shared" si="29"/>
        <v>-32.429911073803439</v>
      </c>
      <c r="G323" s="11">
        <f t="shared" si="30"/>
        <v>-32.346459635076329</v>
      </c>
    </row>
    <row r="324" spans="5:7" x14ac:dyDescent="0.25">
      <c r="E324" s="11">
        <f t="shared" si="28"/>
        <v>-98</v>
      </c>
      <c r="F324" s="11">
        <f t="shared" si="29"/>
        <v>-32.199343192942116</v>
      </c>
      <c r="G324" s="11">
        <f t="shared" si="30"/>
        <v>-32.136403472267929</v>
      </c>
    </row>
    <row r="325" spans="5:7" x14ac:dyDescent="0.25">
      <c r="E325" s="11">
        <f t="shared" si="28"/>
        <v>-97</v>
      </c>
      <c r="F325" s="11">
        <f t="shared" si="29"/>
        <v>-31.969128072053685</v>
      </c>
      <c r="G325" s="11">
        <f t="shared" si="30"/>
        <v>-31.926999148184699</v>
      </c>
    </row>
    <row r="326" spans="5:7" x14ac:dyDescent="0.25">
      <c r="E326" s="11">
        <f t="shared" si="28"/>
        <v>-96</v>
      </c>
      <c r="F326" s="11">
        <f t="shared" si="29"/>
        <v>-31.739203322321522</v>
      </c>
      <c r="G326" s="11">
        <f t="shared" si="30"/>
        <v>-31.717971754924228</v>
      </c>
    </row>
    <row r="327" spans="5:7" x14ac:dyDescent="0.25">
      <c r="E327" s="11">
        <f t="shared" si="28"/>
        <v>-95</v>
      </c>
      <c r="F327" s="11">
        <f t="shared" si="29"/>
        <v>-31.509498692185055</v>
      </c>
      <c r="G327" s="11">
        <f t="shared" si="30"/>
        <v>-31.509046384584096</v>
      </c>
    </row>
    <row r="328" spans="5:7" x14ac:dyDescent="0.25">
      <c r="E328" s="11">
        <f t="shared" si="28"/>
        <v>-94</v>
      </c>
      <c r="F328" s="11">
        <f t="shared" si="29"/>
        <v>-31.279936170901671</v>
      </c>
      <c r="G328" s="11">
        <f t="shared" si="30"/>
        <v>-31.299948129261885</v>
      </c>
    </row>
    <row r="329" spans="5:7" x14ac:dyDescent="0.25">
      <c r="E329" s="11">
        <f t="shared" si="28"/>
        <v>-93</v>
      </c>
      <c r="F329" s="11">
        <f t="shared" si="29"/>
        <v>-31.050430130125648</v>
      </c>
      <c r="G329" s="11">
        <f t="shared" si="30"/>
        <v>-31.090402081055171</v>
      </c>
    </row>
    <row r="330" spans="5:7" x14ac:dyDescent="0.25">
      <c r="E330" s="11">
        <f t="shared" si="28"/>
        <v>-92</v>
      </c>
      <c r="F330" s="11">
        <f t="shared" si="29"/>
        <v>-30.820887503230516</v>
      </c>
      <c r="G330" s="11">
        <f t="shared" si="30"/>
        <v>-30.88013333206154</v>
      </c>
    </row>
    <row r="331" spans="5:7" x14ac:dyDescent="0.25">
      <c r="E331" s="11">
        <f t="shared" si="28"/>
        <v>-91</v>
      </c>
      <c r="F331" s="11">
        <f t="shared" si="29"/>
        <v>-30.591208002000137</v>
      </c>
      <c r="G331" s="11">
        <f t="shared" si="30"/>
        <v>-30.66886697437856</v>
      </c>
    </row>
    <row r="332" spans="5:7" x14ac:dyDescent="0.25">
      <c r="E332" s="11">
        <f t="shared" si="28"/>
        <v>-90</v>
      </c>
      <c r="F332" s="11">
        <f t="shared" si="29"/>
        <v>-30.361284370208601</v>
      </c>
      <c r="G332" s="11">
        <f t="shared" si="30"/>
        <v>-30.456328100103818</v>
      </c>
    </row>
    <row r="333" spans="5:7" x14ac:dyDescent="0.25">
      <c r="E333" s="11">
        <f t="shared" si="28"/>
        <v>-89</v>
      </c>
      <c r="F333" s="11">
        <f t="shared" si="29"/>
        <v>-30.131002673498983</v>
      </c>
      <c r="G333" s="11">
        <f t="shared" si="30"/>
        <v>-30.242241801334899</v>
      </c>
    </row>
    <row r="334" spans="5:7" x14ac:dyDescent="0.25">
      <c r="E334" s="11">
        <f t="shared" si="28"/>
        <v>-88</v>
      </c>
      <c r="F334" s="11">
        <f t="shared" si="29"/>
        <v>-29.900242624877478</v>
      </c>
      <c r="G334" s="11">
        <f t="shared" si="30"/>
        <v>-30.026333170169377</v>
      </c>
    </row>
    <row r="335" spans="5:7" x14ac:dyDescent="0.25">
      <c r="E335" s="11">
        <f t="shared" si="28"/>
        <v>-87</v>
      </c>
      <c r="F335" s="11">
        <f t="shared" si="29"/>
        <v>-29.668877945023176</v>
      </c>
      <c r="G335" s="11">
        <f t="shared" si="30"/>
        <v>-29.808327298704832</v>
      </c>
    </row>
    <row r="336" spans="5:7" x14ac:dyDescent="0.25">
      <c r="E336" s="11">
        <f t="shared" si="28"/>
        <v>-86</v>
      </c>
      <c r="F336" s="11">
        <f t="shared" si="29"/>
        <v>-29.436776756517592</v>
      </c>
      <c r="G336" s="11">
        <f t="shared" si="30"/>
        <v>-29.587949279038849</v>
      </c>
    </row>
    <row r="337" spans="5:7" x14ac:dyDescent="0.25">
      <c r="E337" s="11">
        <f t="shared" si="28"/>
        <v>-85</v>
      </c>
      <c r="F337" s="11">
        <f t="shared" si="29"/>
        <v>-29.203802010989605</v>
      </c>
      <c r="G337" s="11">
        <f t="shared" si="30"/>
        <v>-29.364924203269002</v>
      </c>
    </row>
    <row r="338" spans="5:7" x14ac:dyDescent="0.25">
      <c r="E338" s="11">
        <f t="shared" si="28"/>
        <v>-84</v>
      </c>
      <c r="F338" s="11">
        <f t="shared" si="29"/>
        <v>-28.969811948068127</v>
      </c>
      <c r="G338" s="11">
        <f t="shared" si="30"/>
        <v>-29.138977163492875</v>
      </c>
    </row>
    <row r="339" spans="5:7" x14ac:dyDescent="0.25">
      <c r="E339" s="11">
        <f t="shared" si="28"/>
        <v>-83</v>
      </c>
      <c r="F339" s="11">
        <f t="shared" si="29"/>
        <v>-28.734660584930257</v>
      </c>
      <c r="G339" s="11">
        <f t="shared" si="30"/>
        <v>-28.909833251808045</v>
      </c>
    </row>
    <row r="340" spans="5:7" x14ac:dyDescent="0.25">
      <c r="E340" s="11">
        <f t="shared" si="28"/>
        <v>-82</v>
      </c>
      <c r="F340" s="11">
        <f t="shared" si="29"/>
        <v>-28.498198235127777</v>
      </c>
      <c r="G340" s="11">
        <f t="shared" si="30"/>
        <v>-28.677217560312101</v>
      </c>
    </row>
    <row r="341" spans="5:7" x14ac:dyDescent="0.25">
      <c r="E341" s="11">
        <f t="shared" si="28"/>
        <v>-81</v>
      </c>
      <c r="F341" s="11">
        <f t="shared" si="29"/>
        <v>-28.2602720552715</v>
      </c>
      <c r="G341" s="11">
        <f t="shared" si="30"/>
        <v>-28.440855181102613</v>
      </c>
    </row>
    <row r="342" spans="5:7" x14ac:dyDescent="0.25">
      <c r="E342" s="11">
        <f t="shared" si="28"/>
        <v>-80</v>
      </c>
      <c r="F342" s="11">
        <f t="shared" si="29"/>
        <v>-28.020726618046346</v>
      </c>
      <c r="G342" s="11">
        <f t="shared" si="30"/>
        <v>-28.200471206277161</v>
      </c>
    </row>
    <row r="343" spans="5:7" x14ac:dyDescent="0.25">
      <c r="E343" s="11">
        <f t="shared" si="28"/>
        <v>-79</v>
      </c>
      <c r="F343" s="11">
        <f t="shared" si="29"/>
        <v>-27.779404509928618</v>
      </c>
      <c r="G343" s="11">
        <f t="shared" si="30"/>
        <v>-27.95584637695557</v>
      </c>
    </row>
    <row r="344" spans="5:7" x14ac:dyDescent="0.25">
      <c r="E344" s="11">
        <f t="shared" si="28"/>
        <v>-78</v>
      </c>
      <c r="F344" s="11">
        <f t="shared" si="29"/>
        <v>-27.536146951868666</v>
      </c>
      <c r="G344" s="11">
        <f t="shared" si="30"/>
        <v>-27.706984030346593</v>
      </c>
    </row>
    <row r="345" spans="5:7" x14ac:dyDescent="0.25">
      <c r="E345" s="11">
        <f t="shared" si="28"/>
        <v>-77</v>
      </c>
      <c r="F345" s="11">
        <f t="shared" si="29"/>
        <v>-27.290794441102161</v>
      </c>
      <c r="G345" s="11">
        <f t="shared" si="30"/>
        <v>-27.453943152681234</v>
      </c>
    </row>
    <row r="346" spans="5:7" x14ac:dyDescent="0.25">
      <c r="E346" s="11">
        <f t="shared" si="28"/>
        <v>-76</v>
      </c>
      <c r="F346" s="11">
        <f t="shared" si="29"/>
        <v>-27.043187412142927</v>
      </c>
      <c r="G346" s="11">
        <f t="shared" si="30"/>
        <v>-27.196782730190495</v>
      </c>
    </row>
    <row r="347" spans="5:7" x14ac:dyDescent="0.25">
      <c r="E347" s="11">
        <f t="shared" si="28"/>
        <v>-75</v>
      </c>
      <c r="F347" s="11">
        <f t="shared" si="29"/>
        <v>-26.79316691491324</v>
      </c>
      <c r="G347" s="11">
        <f t="shared" si="30"/>
        <v>-26.935561749105375</v>
      </c>
    </row>
    <row r="348" spans="5:7" x14ac:dyDescent="0.25">
      <c r="E348" s="11">
        <f t="shared" si="28"/>
        <v>-74</v>
      </c>
      <c r="F348" s="11">
        <f t="shared" si="29"/>
        <v>-26.540575307854418</v>
      </c>
      <c r="G348" s="11">
        <f t="shared" si="30"/>
        <v>-26.670339195656865</v>
      </c>
    </row>
    <row r="349" spans="5:7" x14ac:dyDescent="0.25">
      <c r="E349" s="11">
        <f t="shared" si="28"/>
        <v>-73</v>
      </c>
      <c r="F349" s="11">
        <f t="shared" si="29"/>
        <v>-26.285256963764432</v>
      </c>
      <c r="G349" s="11">
        <f t="shared" si="30"/>
        <v>-26.401174056075973</v>
      </c>
    </row>
    <row r="350" spans="5:7" x14ac:dyDescent="0.25">
      <c r="E350" s="11">
        <f t="shared" si="28"/>
        <v>-72</v>
      </c>
      <c r="F350" s="11">
        <f t="shared" si="29"/>
        <v>-26.027058985997879</v>
      </c>
      <c r="G350" s="11">
        <f t="shared" si="30"/>
        <v>-26.128125316593692</v>
      </c>
    </row>
    <row r="351" spans="5:7" x14ac:dyDescent="0.25">
      <c r="E351" s="11">
        <f t="shared" ref="E351:E414" si="31">E144</f>
        <v>-71</v>
      </c>
      <c r="F351" s="11">
        <f t="shared" ref="F351:F414" si="32">$H$217*0+E351*$I$217+E351^2*$J$217+E351^3*$K$217+E351^4*$L$217+E351^5*$M$217+E351^6*$N$217+E351^7*$O$217+E351^8*$P$217</f>
        <v>-25.7658319325642</v>
      </c>
      <c r="G351" s="11">
        <f t="shared" ref="G351:G414" si="33">F144</f>
        <v>-25.85125196344103</v>
      </c>
    </row>
    <row r="352" spans="5:7" x14ac:dyDescent="0.25">
      <c r="E352" s="11">
        <f t="shared" si="31"/>
        <v>-70</v>
      </c>
      <c r="F352" s="11">
        <f t="shared" si="32"/>
        <v>-25.501430545551717</v>
      </c>
      <c r="G352" s="11">
        <f t="shared" si="33"/>
        <v>-25.570612982848971</v>
      </c>
    </row>
    <row r="353" spans="5:7" x14ac:dyDescent="0.25">
      <c r="E353" s="11">
        <f t="shared" si="31"/>
        <v>-69</v>
      </c>
      <c r="F353" s="11">
        <f t="shared" si="32"/>
        <v>-25.233714483203858</v>
      </c>
      <c r="G353" s="11">
        <f t="shared" si="33"/>
        <v>-25.28626736104853</v>
      </c>
    </row>
    <row r="354" spans="5:7" x14ac:dyDescent="0.25">
      <c r="E354" s="11">
        <f t="shared" si="31"/>
        <v>-68</v>
      </c>
      <c r="F354" s="11">
        <f t="shared" si="32"/>
        <v>-24.962549051866787</v>
      </c>
      <c r="G354" s="11">
        <f t="shared" si="33"/>
        <v>-24.998274084270697</v>
      </c>
    </row>
    <row r="355" spans="5:7" x14ac:dyDescent="0.25">
      <c r="E355" s="11">
        <f t="shared" si="31"/>
        <v>-67</v>
      </c>
      <c r="F355" s="11">
        <f t="shared" si="32"/>
        <v>-24.687805934924786</v>
      </c>
      <c r="G355" s="11">
        <f t="shared" si="33"/>
        <v>-24.706692138746476</v>
      </c>
    </row>
    <row r="356" spans="5:7" x14ac:dyDescent="0.25">
      <c r="E356" s="11">
        <f t="shared" si="31"/>
        <v>-66</v>
      </c>
      <c r="F356" s="11">
        <f t="shared" si="32"/>
        <v>-24.409363915734634</v>
      </c>
      <c r="G356" s="11">
        <f t="shared" si="33"/>
        <v>-24.411580510706859</v>
      </c>
    </row>
    <row r="357" spans="5:7" x14ac:dyDescent="0.25">
      <c r="E357" s="11">
        <f t="shared" si="31"/>
        <v>-65</v>
      </c>
      <c r="F357" s="11">
        <f t="shared" si="32"/>
        <v>-24.127109591465892</v>
      </c>
      <c r="G357" s="11">
        <f t="shared" si="33"/>
        <v>-24.112998186382853</v>
      </c>
    </row>
    <row r="358" spans="5:7" x14ac:dyDescent="0.25">
      <c r="E358" s="11">
        <f t="shared" si="31"/>
        <v>-64</v>
      </c>
      <c r="F358" s="11">
        <f t="shared" si="32"/>
        <v>-23.840938074649273</v>
      </c>
      <c r="G358" s="11">
        <f t="shared" si="33"/>
        <v>-23.811004152005452</v>
      </c>
    </row>
    <row r="359" spans="5:7" x14ac:dyDescent="0.25">
      <c r="E359" s="11">
        <f t="shared" si="31"/>
        <v>-63</v>
      </c>
      <c r="F359" s="11">
        <f t="shared" si="32"/>
        <v>-23.550753679131194</v>
      </c>
      <c r="G359" s="11">
        <f t="shared" si="33"/>
        <v>-23.505657393805656</v>
      </c>
    </row>
    <row r="360" spans="5:7" x14ac:dyDescent="0.25">
      <c r="E360" s="11">
        <f t="shared" si="31"/>
        <v>-62</v>
      </c>
      <c r="F360" s="11">
        <f t="shared" si="32"/>
        <v>-23.256470587027827</v>
      </c>
      <c r="G360" s="11">
        <f t="shared" si="33"/>
        <v>-23.197016898014475</v>
      </c>
    </row>
    <row r="361" spans="5:7" x14ac:dyDescent="0.25">
      <c r="E361" s="11">
        <f t="shared" si="31"/>
        <v>-61</v>
      </c>
      <c r="F361" s="11">
        <f t="shared" si="32"/>
        <v>-22.958013493167364</v>
      </c>
      <c r="G361" s="11">
        <f t="shared" si="33"/>
        <v>-22.885141650862892</v>
      </c>
    </row>
    <row r="362" spans="5:7" x14ac:dyDescent="0.25">
      <c r="E362" s="11">
        <f t="shared" si="31"/>
        <v>-60</v>
      </c>
      <c r="F362" s="11">
        <f t="shared" si="32"/>
        <v>-22.655318223405349</v>
      </c>
      <c r="G362" s="11">
        <f t="shared" si="33"/>
        <v>-22.570090638581913</v>
      </c>
    </row>
    <row r="363" spans="5:7" x14ac:dyDescent="0.25">
      <c r="E363" s="11">
        <f t="shared" si="31"/>
        <v>-59</v>
      </c>
      <c r="F363" s="11">
        <f t="shared" si="32"/>
        <v>-22.34833232309234</v>
      </c>
      <c r="G363" s="11">
        <f t="shared" si="33"/>
        <v>-22.251922847402536</v>
      </c>
    </row>
    <row r="364" spans="5:7" x14ac:dyDescent="0.25">
      <c r="E364" s="11">
        <f t="shared" si="31"/>
        <v>-58</v>
      </c>
      <c r="F364" s="11">
        <f t="shared" si="32"/>
        <v>-22.037015611870082</v>
      </c>
      <c r="G364" s="11">
        <f t="shared" si="33"/>
        <v>-21.930697263555764</v>
      </c>
    </row>
    <row r="365" spans="5:7" x14ac:dyDescent="0.25">
      <c r="E365" s="11">
        <f t="shared" si="31"/>
        <v>-57</v>
      </c>
      <c r="F365" s="11">
        <f t="shared" si="32"/>
        <v>-21.721340700866339</v>
      </c>
      <c r="G365" s="11">
        <f t="shared" si="33"/>
        <v>-21.60647287327259</v>
      </c>
    </row>
    <row r="366" spans="5:7" x14ac:dyDescent="0.25">
      <c r="E366" s="11">
        <f t="shared" si="31"/>
        <v>-56</v>
      </c>
      <c r="F366" s="11">
        <f t="shared" si="32"/>
        <v>-21.401293468255652</v>
      </c>
      <c r="G366" s="11">
        <f t="shared" si="33"/>
        <v>-21.279308662784018</v>
      </c>
    </row>
    <row r="367" spans="5:7" x14ac:dyDescent="0.25">
      <c r="E367" s="11">
        <f t="shared" si="31"/>
        <v>-55</v>
      </c>
      <c r="F367" s="11">
        <f t="shared" si="32"/>
        <v>-21.076873489047134</v>
      </c>
      <c r="G367" s="11">
        <f t="shared" si="33"/>
        <v>-20.949263618321048</v>
      </c>
    </row>
    <row r="368" spans="5:7" x14ac:dyDescent="0.25">
      <c r="E368" s="11">
        <f t="shared" si="31"/>
        <v>-54</v>
      </c>
      <c r="F368" s="11">
        <f t="shared" si="32"/>
        <v>-20.74809441485742</v>
      </c>
      <c r="G368" s="11">
        <f t="shared" si="33"/>
        <v>-20.616396726114676</v>
      </c>
    </row>
    <row r="369" spans="5:7" x14ac:dyDescent="0.25">
      <c r="E369" s="11">
        <f t="shared" si="31"/>
        <v>-53</v>
      </c>
      <c r="F369" s="11">
        <f t="shared" si="32"/>
        <v>-20.414984299321585</v>
      </c>
      <c r="G369" s="11">
        <f t="shared" si="33"/>
        <v>-20.280766972395902</v>
      </c>
    </row>
    <row r="370" spans="5:7" x14ac:dyDescent="0.25">
      <c r="E370" s="11">
        <f t="shared" si="31"/>
        <v>-52</v>
      </c>
      <c r="F370" s="11">
        <f t="shared" si="32"/>
        <v>-20.077585864690157</v>
      </c>
      <c r="G370" s="11">
        <f t="shared" si="33"/>
        <v>-19.942433343395724</v>
      </c>
    </row>
    <row r="371" spans="5:7" x14ac:dyDescent="0.25">
      <c r="E371" s="11">
        <f t="shared" si="31"/>
        <v>-51</v>
      </c>
      <c r="F371" s="11">
        <f t="shared" si="32"/>
        <v>-19.735956705056786</v>
      </c>
      <c r="G371" s="11">
        <f t="shared" si="33"/>
        <v>-19.601454825345144</v>
      </c>
    </row>
    <row r="372" spans="5:7" x14ac:dyDescent="0.25">
      <c r="E372" s="11">
        <f t="shared" si="31"/>
        <v>-50</v>
      </c>
      <c r="F372" s="11">
        <f t="shared" si="32"/>
        <v>-19.390169421555647</v>
      </c>
      <c r="G372" s="11">
        <f t="shared" si="33"/>
        <v>-19.257890404475162</v>
      </c>
    </row>
    <row r="373" spans="5:7" x14ac:dyDescent="0.25">
      <c r="E373" s="11">
        <f t="shared" si="31"/>
        <v>-49</v>
      </c>
      <c r="F373" s="11">
        <f t="shared" si="32"/>
        <v>-19.040311684763719</v>
      </c>
      <c r="G373" s="11">
        <f t="shared" si="33"/>
        <v>-18.911799067016769</v>
      </c>
    </row>
    <row r="374" spans="5:7" x14ac:dyDescent="0.25">
      <c r="E374" s="11">
        <f t="shared" si="31"/>
        <v>-48</v>
      </c>
      <c r="F374" s="11">
        <f t="shared" si="32"/>
        <v>-18.686486219438532</v>
      </c>
      <c r="G374" s="11">
        <f t="shared" si="33"/>
        <v>-18.563239799200971</v>
      </c>
    </row>
    <row r="375" spans="5:7" x14ac:dyDescent="0.25">
      <c r="E375" s="11">
        <f t="shared" si="31"/>
        <v>-47</v>
      </c>
      <c r="F375" s="11">
        <f t="shared" si="32"/>
        <v>-18.328810706617372</v>
      </c>
      <c r="G375" s="11">
        <f t="shared" si="33"/>
        <v>-18.212271587258769</v>
      </c>
    </row>
    <row r="376" spans="5:7" x14ac:dyDescent="0.25">
      <c r="E376" s="11">
        <f t="shared" si="31"/>
        <v>-46</v>
      </c>
      <c r="F376" s="11">
        <f t="shared" si="32"/>
        <v>-17.967417597999408</v>
      </c>
      <c r="G376" s="11">
        <f t="shared" si="33"/>
        <v>-17.858953417421162</v>
      </c>
    </row>
    <row r="377" spans="5:7" x14ac:dyDescent="0.25">
      <c r="E377" s="11">
        <f t="shared" si="31"/>
        <v>-45</v>
      </c>
      <c r="F377" s="11">
        <f t="shared" si="32"/>
        <v>-17.602453837427902</v>
      </c>
      <c r="G377" s="11">
        <f t="shared" si="33"/>
        <v>-17.50334427591914</v>
      </c>
    </row>
    <row r="378" spans="5:7" x14ac:dyDescent="0.25">
      <c r="E378" s="11">
        <f t="shared" si="31"/>
        <v>-44</v>
      </c>
      <c r="F378" s="11">
        <f t="shared" si="32"/>
        <v>-17.234080484185021</v>
      </c>
      <c r="G378" s="11">
        <f t="shared" si="33"/>
        <v>-17.145503148983714</v>
      </c>
    </row>
    <row r="379" spans="5:7" x14ac:dyDescent="0.25">
      <c r="E379" s="11">
        <f t="shared" si="31"/>
        <v>-43</v>
      </c>
      <c r="F379" s="11">
        <f t="shared" si="32"/>
        <v>-16.862472232707312</v>
      </c>
      <c r="G379" s="11">
        <f t="shared" si="33"/>
        <v>-16.785489022845873</v>
      </c>
    </row>
    <row r="380" spans="5:7" x14ac:dyDescent="0.25">
      <c r="E380" s="11">
        <f t="shared" si="31"/>
        <v>-42</v>
      </c>
      <c r="F380" s="11">
        <f t="shared" si="32"/>
        <v>-16.48781682322544</v>
      </c>
      <c r="G380" s="11">
        <f t="shared" si="33"/>
        <v>-16.423360883736628</v>
      </c>
    </row>
    <row r="381" spans="5:7" x14ac:dyDescent="0.25">
      <c r="E381" s="11">
        <f t="shared" si="31"/>
        <v>-41</v>
      </c>
      <c r="F381" s="11">
        <f t="shared" si="32"/>
        <v>-16.110314337727264</v>
      </c>
      <c r="G381" s="11">
        <f t="shared" si="33"/>
        <v>-16.059177717886964</v>
      </c>
    </row>
    <row r="382" spans="5:7" x14ac:dyDescent="0.25">
      <c r="E382" s="11">
        <f t="shared" si="31"/>
        <v>-40</v>
      </c>
      <c r="F382" s="11">
        <f t="shared" si="32"/>
        <v>-15.730176375538912</v>
      </c>
      <c r="G382" s="11">
        <f t="shared" si="33"/>
        <v>-15.692998511527891</v>
      </c>
    </row>
    <row r="383" spans="5:7" x14ac:dyDescent="0.25">
      <c r="E383" s="11">
        <f t="shared" si="31"/>
        <v>-39</v>
      </c>
      <c r="F383" s="11">
        <f t="shared" si="32"/>
        <v>-15.347625102713796</v>
      </c>
      <c r="G383" s="11">
        <f t="shared" si="33"/>
        <v>-15.324882250890404</v>
      </c>
    </row>
    <row r="384" spans="5:7" x14ac:dyDescent="0.25">
      <c r="E384" s="11">
        <f t="shared" si="31"/>
        <v>-38</v>
      </c>
      <c r="F384" s="11">
        <f t="shared" si="32"/>
        <v>-14.96289216931549</v>
      </c>
      <c r="G384" s="11">
        <f t="shared" si="33"/>
        <v>-14.954887922205504</v>
      </c>
    </row>
    <row r="385" spans="5:7" x14ac:dyDescent="0.25">
      <c r="E385" s="11">
        <f t="shared" si="31"/>
        <v>-37</v>
      </c>
      <c r="F385" s="11">
        <f t="shared" si="32"/>
        <v>-14.576217488575246</v>
      </c>
      <c r="G385" s="11">
        <f t="shared" si="33"/>
        <v>-14.583074511704188</v>
      </c>
    </row>
    <row r="386" spans="5:7" x14ac:dyDescent="0.25">
      <c r="E386" s="11">
        <f t="shared" si="31"/>
        <v>-36</v>
      </c>
      <c r="F386" s="11">
        <f t="shared" si="32"/>
        <v>-14.187847871801063</v>
      </c>
      <c r="G386" s="11">
        <f t="shared" si="33"/>
        <v>-14.209501005617456</v>
      </c>
    </row>
    <row r="387" spans="5:7" x14ac:dyDescent="0.25">
      <c r="E387" s="11">
        <f t="shared" si="31"/>
        <v>-35</v>
      </c>
      <c r="F387" s="11">
        <f t="shared" si="32"/>
        <v>-13.798035512810355</v>
      </c>
      <c r="G387" s="11">
        <f t="shared" si="33"/>
        <v>-13.834226390176308</v>
      </c>
    </row>
    <row r="388" spans="5:7" x14ac:dyDescent="0.25">
      <c r="E388" s="11">
        <f t="shared" si="31"/>
        <v>-34</v>
      </c>
      <c r="F388" s="11">
        <f t="shared" si="32"/>
        <v>-13.407036315553826</v>
      </c>
      <c r="G388" s="11">
        <f t="shared" si="33"/>
        <v>-13.45730764020716</v>
      </c>
    </row>
    <row r="389" spans="5:7" x14ac:dyDescent="0.25">
      <c r="E389" s="11">
        <f t="shared" si="31"/>
        <v>-33</v>
      </c>
      <c r="F389" s="11">
        <f t="shared" si="32"/>
        <v>-13.015108058493846</v>
      </c>
      <c r="G389" s="11">
        <f t="shared" si="33"/>
        <v>-13.078793684918127</v>
      </c>
    </row>
    <row r="390" spans="5:7" x14ac:dyDescent="0.25">
      <c r="E390" s="11">
        <f t="shared" si="31"/>
        <v>-32</v>
      </c>
      <c r="F390" s="11">
        <f t="shared" si="32"/>
        <v>-12.622508389195895</v>
      </c>
      <c r="G390" s="11">
        <f t="shared" si="33"/>
        <v>-12.698731442112724</v>
      </c>
    </row>
    <row r="391" spans="5:7" x14ac:dyDescent="0.25">
      <c r="E391" s="11">
        <f t="shared" si="31"/>
        <v>-31</v>
      </c>
      <c r="F391" s="11">
        <f t="shared" si="32"/>
        <v>-12.229492642487324</v>
      </c>
      <c r="G391" s="11">
        <f t="shared" si="33"/>
        <v>-12.317167829594483</v>
      </c>
    </row>
    <row r="392" spans="5:7" x14ac:dyDescent="0.25">
      <c r="E392" s="11">
        <f t="shared" si="31"/>
        <v>-30</v>
      </c>
      <c r="F392" s="11">
        <f t="shared" si="32"/>
        <v>-11.836311475433138</v>
      </c>
      <c r="G392" s="11">
        <f t="shared" si="33"/>
        <v>-11.934149765166932</v>
      </c>
    </row>
    <row r="393" spans="5:7" x14ac:dyDescent="0.25">
      <c r="E393" s="11">
        <f t="shared" si="31"/>
        <v>-29</v>
      </c>
      <c r="F393" s="11">
        <f t="shared" si="32"/>
        <v>-11.443208312273949</v>
      </c>
      <c r="G393" s="11">
        <f t="shared" si="33"/>
        <v>-11.549724166633593</v>
      </c>
    </row>
    <row r="394" spans="5:7" x14ac:dyDescent="0.25">
      <c r="E394" s="11">
        <f t="shared" si="31"/>
        <v>-28</v>
      </c>
      <c r="F394" s="11">
        <f t="shared" si="32"/>
        <v>-11.05041659236689</v>
      </c>
      <c r="G394" s="11">
        <f t="shared" si="33"/>
        <v>-11.163937951797994</v>
      </c>
    </row>
    <row r="395" spans="5:7" x14ac:dyDescent="0.25">
      <c r="E395" s="11">
        <f t="shared" si="31"/>
        <v>-27</v>
      </c>
      <c r="F395" s="11">
        <f t="shared" si="32"/>
        <v>-10.658156814065682</v>
      </c>
      <c r="G395" s="11">
        <f t="shared" si="33"/>
        <v>-10.77683803846366</v>
      </c>
    </row>
    <row r="396" spans="5:7" x14ac:dyDescent="0.25">
      <c r="E396" s="11">
        <f t="shared" si="31"/>
        <v>-26</v>
      </c>
      <c r="F396" s="11">
        <f t="shared" si="32"/>
        <v>-10.266633367371597</v>
      </c>
      <c r="G396" s="11">
        <f t="shared" si="33"/>
        <v>-10.388471344434119</v>
      </c>
    </row>
    <row r="397" spans="5:7" x14ac:dyDescent="0.25">
      <c r="E397" s="11">
        <f t="shared" si="31"/>
        <v>-25</v>
      </c>
      <c r="F397" s="11">
        <f t="shared" si="32"/>
        <v>-9.8760311480825447</v>
      </c>
      <c r="G397" s="11">
        <f t="shared" si="33"/>
        <v>-9.9988847875128961</v>
      </c>
    </row>
    <row r="398" spans="5:7" x14ac:dyDescent="0.25">
      <c r="E398" s="11">
        <f t="shared" si="31"/>
        <v>-24</v>
      </c>
      <c r="F398" s="11">
        <f t="shared" si="32"/>
        <v>-9.4865119460631036</v>
      </c>
      <c r="G398" s="11">
        <f t="shared" si="33"/>
        <v>-9.6081252855035189</v>
      </c>
    </row>
    <row r="399" spans="5:7" x14ac:dyDescent="0.25">
      <c r="E399" s="11">
        <f t="shared" si="31"/>
        <v>-23</v>
      </c>
      <c r="F399" s="11">
        <f t="shared" si="32"/>
        <v>-9.0982106001537009</v>
      </c>
      <c r="G399" s="11">
        <f t="shared" si="33"/>
        <v>-9.2162397562095126</v>
      </c>
    </row>
    <row r="400" spans="5:7" x14ac:dyDescent="0.25">
      <c r="E400" s="11">
        <f t="shared" si="31"/>
        <v>-22</v>
      </c>
      <c r="F400" s="11">
        <f t="shared" si="32"/>
        <v>-8.7112309121327147</v>
      </c>
      <c r="G400" s="11">
        <f t="shared" si="33"/>
        <v>-8.8232751174344024</v>
      </c>
    </row>
    <row r="401" spans="5:7" x14ac:dyDescent="0.25">
      <c r="E401" s="11">
        <f t="shared" si="31"/>
        <v>-21</v>
      </c>
      <c r="F401" s="11">
        <f t="shared" si="32"/>
        <v>-8.3256413120408688</v>
      </c>
      <c r="G401" s="11">
        <f t="shared" si="33"/>
        <v>-8.4292782869817149</v>
      </c>
    </row>
    <row r="402" spans="5:7" x14ac:dyDescent="0.25">
      <c r="E402" s="11">
        <f t="shared" si="31"/>
        <v>-20</v>
      </c>
      <c r="F402" s="11">
        <f t="shared" si="32"/>
        <v>-7.9414702670725967</v>
      </c>
      <c r="G402" s="11">
        <f t="shared" si="33"/>
        <v>-8.0342961826549768</v>
      </c>
    </row>
    <row r="403" spans="5:7" x14ac:dyDescent="0.25">
      <c r="E403" s="11">
        <f t="shared" si="31"/>
        <v>-19</v>
      </c>
      <c r="F403" s="11">
        <f t="shared" si="32"/>
        <v>-7.5587014261348031</v>
      </c>
      <c r="G403" s="11">
        <f t="shared" si="33"/>
        <v>-7.6383757222577158</v>
      </c>
    </row>
    <row r="404" spans="5:7" x14ac:dyDescent="0.25">
      <c r="E404" s="11">
        <f t="shared" si="31"/>
        <v>-18</v>
      </c>
      <c r="F404" s="11">
        <f t="shared" si="32"/>
        <v>-7.1772684920687366</v>
      </c>
      <c r="G404" s="11">
        <f t="shared" si="33"/>
        <v>-7.2415638235934567</v>
      </c>
    </row>
    <row r="405" spans="5:7" x14ac:dyDescent="0.25">
      <c r="E405" s="11">
        <f t="shared" si="31"/>
        <v>-17</v>
      </c>
      <c r="F405" s="11">
        <f t="shared" si="32"/>
        <v>-6.7970498134263737</v>
      </c>
      <c r="G405" s="11">
        <f t="shared" si="33"/>
        <v>-6.8439074044657247</v>
      </c>
    </row>
    <row r="406" spans="5:7" x14ac:dyDescent="0.25">
      <c r="E406" s="11">
        <f t="shared" si="31"/>
        <v>-16</v>
      </c>
      <c r="F406" s="11">
        <f t="shared" si="32"/>
        <v>-6.417862687588098</v>
      </c>
      <c r="G406" s="11">
        <f t="shared" si="33"/>
        <v>-6.445453382678048</v>
      </c>
    </row>
    <row r="407" spans="5:7" x14ac:dyDescent="0.25">
      <c r="E407" s="11">
        <f t="shared" si="31"/>
        <v>-15</v>
      </c>
      <c r="F407" s="11">
        <f t="shared" si="32"/>
        <v>-6.0394573669040623</v>
      </c>
      <c r="G407" s="11">
        <f t="shared" si="33"/>
        <v>-6.0462486760339527</v>
      </c>
    </row>
    <row r="408" spans="5:7" x14ac:dyDescent="0.25">
      <c r="E408" s="11">
        <f t="shared" si="31"/>
        <v>-14</v>
      </c>
      <c r="F408" s="11">
        <f t="shared" si="32"/>
        <v>-5.6615107594370633</v>
      </c>
      <c r="G408" s="11">
        <f t="shared" si="33"/>
        <v>-5.6463402023369618</v>
      </c>
    </row>
    <row r="409" spans="5:7" x14ac:dyDescent="0.25">
      <c r="E409" s="11">
        <f t="shared" si="31"/>
        <v>-13</v>
      </c>
      <c r="F409" s="11">
        <f t="shared" si="32"/>
        <v>-5.2836198157803054</v>
      </c>
      <c r="G409" s="11">
        <f t="shared" si="33"/>
        <v>-5.2457748793906056</v>
      </c>
    </row>
    <row r="410" spans="5:7" x14ac:dyDescent="0.25">
      <c r="E410" s="11">
        <f t="shared" si="31"/>
        <v>-12</v>
      </c>
      <c r="F410" s="11">
        <f t="shared" si="32"/>
        <v>-4.9052945933189109</v>
      </c>
      <c r="G410" s="11">
        <f t="shared" si="33"/>
        <v>-4.8445996249984082</v>
      </c>
    </row>
    <row r="411" spans="5:7" x14ac:dyDescent="0.25">
      <c r="E411" s="11">
        <f t="shared" si="31"/>
        <v>-11</v>
      </c>
      <c r="F411" s="11">
        <f t="shared" si="32"/>
        <v>-4.5259509891995968</v>
      </c>
      <c r="G411" s="11">
        <f t="shared" si="33"/>
        <v>-4.4428613569638964</v>
      </c>
    </row>
    <row r="412" spans="5:7" x14ac:dyDescent="0.25">
      <c r="E412" s="11">
        <f t="shared" si="31"/>
        <v>-10</v>
      </c>
      <c r="F412" s="11">
        <f t="shared" si="32"/>
        <v>-4.1449031331683859</v>
      </c>
      <c r="G412" s="11">
        <f t="shared" si="33"/>
        <v>-4.0406069930905959</v>
      </c>
    </row>
    <row r="413" spans="5:7" x14ac:dyDescent="0.25">
      <c r="E413" s="11">
        <f t="shared" si="31"/>
        <v>-9</v>
      </c>
      <c r="F413" s="11">
        <f t="shared" si="32"/>
        <v>-3.7613554313317428</v>
      </c>
      <c r="G413" s="11">
        <f t="shared" si="33"/>
        <v>-3.6378834511820335</v>
      </c>
    </row>
    <row r="414" spans="5:7" x14ac:dyDescent="0.25">
      <c r="E414" s="11">
        <f t="shared" si="31"/>
        <v>-8</v>
      </c>
      <c r="F414" s="11">
        <f t="shared" si="32"/>
        <v>-3.3743942517921108</v>
      </c>
      <c r="G414" s="11">
        <f t="shared" si="33"/>
        <v>-3.234737649041735</v>
      </c>
    </row>
    <row r="415" spans="5:7" x14ac:dyDescent="0.25">
      <c r="E415" s="11">
        <f t="shared" ref="E415:E422" si="34">E208</f>
        <v>-7</v>
      </c>
      <c r="F415" s="11">
        <f t="shared" ref="F415:F422" si="35">$H$217*0+E415*$I$217+E415^2*$J$217+E415^3*$K$217+E415^4*$L$217+E415^5*$M$217+E415^6*$N$217+E415^7*$O$217+E415^8*$P$217</f>
        <v>-2.9829792430041882</v>
      </c>
      <c r="G415" s="11">
        <f t="shared" ref="G415:G422" si="36">F208</f>
        <v>-2.8312165044732267</v>
      </c>
    </row>
    <row r="416" spans="5:7" x14ac:dyDescent="0.25">
      <c r="E416" s="11">
        <f t="shared" si="34"/>
        <v>-6</v>
      </c>
      <c r="F416" s="11">
        <f t="shared" si="35"/>
        <v>-2.5859342755939547</v>
      </c>
      <c r="G416" s="11">
        <f t="shared" si="36"/>
        <v>-2.4273669352800349</v>
      </c>
    </row>
    <row r="417" spans="5:7" x14ac:dyDescent="0.25">
      <c r="E417" s="11">
        <f t="shared" si="34"/>
        <v>-5</v>
      </c>
      <c r="F417" s="11">
        <f t="shared" si="35"/>
        <v>-2.1819379982778444</v>
      </c>
      <c r="G417" s="11">
        <f t="shared" si="36"/>
        <v>-2.0232358592656863</v>
      </c>
    </row>
    <row r="418" spans="5:7" x14ac:dyDescent="0.25">
      <c r="E418" s="11">
        <f t="shared" si="34"/>
        <v>-4</v>
      </c>
      <c r="F418" s="11">
        <f t="shared" si="35"/>
        <v>-1.7695139984150332</v>
      </c>
      <c r="G418" s="11">
        <f t="shared" si="36"/>
        <v>-1.6188701942337063</v>
      </c>
    </row>
    <row r="419" spans="5:7" x14ac:dyDescent="0.25">
      <c r="E419" s="11">
        <f t="shared" si="34"/>
        <v>-3</v>
      </c>
      <c r="F419" s="11">
        <f t="shared" si="35"/>
        <v>-1.3470205576213174</v>
      </c>
      <c r="G419" s="11">
        <f t="shared" si="36"/>
        <v>-1.2143168579876213</v>
      </c>
    </row>
    <row r="420" spans="5:7" x14ac:dyDescent="0.25">
      <c r="E420" s="11">
        <f t="shared" si="34"/>
        <v>-2</v>
      </c>
      <c r="F420" s="11">
        <f t="shared" si="35"/>
        <v>-0.9126399927685287</v>
      </c>
      <c r="G420" s="11">
        <f t="shared" si="36"/>
        <v>-0.80962276833095803</v>
      </c>
    </row>
    <row r="421" spans="5:7" x14ac:dyDescent="0.25">
      <c r="E421" s="11">
        <f t="shared" si="34"/>
        <v>-1</v>
      </c>
      <c r="F421" s="11">
        <f t="shared" si="35"/>
        <v>-0.46436757258898964</v>
      </c>
      <c r="G421" s="11">
        <f t="shared" si="36"/>
        <v>-0.4048348430672421</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3.2020000000000002E-5</v>
      </c>
      <c r="C3" s="2">
        <v>1.5310000000000001E-4</v>
      </c>
      <c r="D3" s="2">
        <v>-4.8109999999999998E-4</v>
      </c>
      <c r="E3" s="2">
        <v>0</v>
      </c>
      <c r="F3" s="2">
        <v>0</v>
      </c>
      <c r="G3" s="2">
        <v>0</v>
      </c>
      <c r="H3" s="2">
        <v>7.4526755999999999E-5</v>
      </c>
      <c r="I3" s="2">
        <v>1.5632670000000002E-5</v>
      </c>
      <c r="J3" s="2">
        <v>-2.0607019000000001E-4</v>
      </c>
      <c r="K3" s="3"/>
      <c r="L3" s="3">
        <f>-B3/D3</f>
        <v>6.6555809602993149E-2</v>
      </c>
      <c r="M3" s="3"/>
      <c r="N3" s="2">
        <f>IF('Modell einstellen'!$B$1="Voll",H3/0.35,H3/0.35*2)</f>
        <v>2.1293358857142858E-4</v>
      </c>
      <c r="O3" s="2">
        <f>IF('Modell einstellen'!$B$1="Voll",J3/0.35,J3/0.35*2)</f>
        <v>-5.8877197142857146E-4</v>
      </c>
      <c r="P3" s="3">
        <f>-N3/O3</f>
        <v>0.36165714216112482</v>
      </c>
      <c r="Q3" s="3"/>
      <c r="R3" s="3"/>
      <c r="S3" s="3"/>
      <c r="T3" s="3"/>
      <c r="U3" s="3"/>
      <c r="V3" s="3"/>
      <c r="W3" s="3"/>
    </row>
    <row r="4" spans="1:23" x14ac:dyDescent="0.25">
      <c r="A4" s="2">
        <v>1E-14</v>
      </c>
      <c r="B4" s="2">
        <v>3.2020000000000002E-5</v>
      </c>
      <c r="C4" s="2">
        <v>1.5310000000000001E-4</v>
      </c>
      <c r="D4" s="2">
        <v>-4.8109999999999998E-4</v>
      </c>
      <c r="E4" s="2">
        <v>0</v>
      </c>
      <c r="F4" s="2">
        <v>0</v>
      </c>
      <c r="G4" s="2">
        <v>0</v>
      </c>
      <c r="H4" s="2">
        <v>7.4528187E-5</v>
      </c>
      <c r="I4" s="2">
        <v>1.5633905999999999E-5</v>
      </c>
      <c r="J4" s="2">
        <v>-2.0606648000000001E-4</v>
      </c>
      <c r="K4" s="3"/>
      <c r="L4" s="3">
        <f t="shared" ref="L4:L33" si="0">-B4/D4</f>
        <v>6.6555809602993149E-2</v>
      </c>
      <c r="M4" s="3"/>
      <c r="N4" s="2">
        <f>IF('Modell einstellen'!$B$1="Voll",H4/0.35,H4/0.35*2)</f>
        <v>2.1293767714285715E-4</v>
      </c>
      <c r="O4" s="2">
        <f>IF('Modell einstellen'!$B$1="Voll",J4/0.35,J4/0.35*2)</f>
        <v>-5.8876137142857153E-4</v>
      </c>
      <c r="P4" s="3">
        <f t="shared" ref="P4:P33" si="1">-N4/O4</f>
        <v>0.36167059776048965</v>
      </c>
      <c r="Q4" s="3"/>
      <c r="R4" s="3"/>
      <c r="S4" s="3"/>
      <c r="T4" s="3"/>
      <c r="U4" s="3"/>
      <c r="V4" s="3"/>
      <c r="W4" s="3"/>
    </row>
    <row r="5" spans="1:23" x14ac:dyDescent="0.25">
      <c r="A5" s="2">
        <v>1E-13</v>
      </c>
      <c r="B5" s="2">
        <v>3.2020000000000002E-5</v>
      </c>
      <c r="C5" s="2">
        <v>1.5310000000000001E-4</v>
      </c>
      <c r="D5" s="2">
        <v>-4.8109999999999998E-4</v>
      </c>
      <c r="E5" s="2">
        <v>0</v>
      </c>
      <c r="F5" s="2">
        <v>0</v>
      </c>
      <c r="G5" s="2">
        <v>0</v>
      </c>
      <c r="H5" s="2">
        <v>7.4528566000000004E-5</v>
      </c>
      <c r="I5" s="2">
        <v>1.5634089E-5</v>
      </c>
      <c r="J5" s="2">
        <v>-2.0606752E-4</v>
      </c>
      <c r="K5" s="3"/>
      <c r="L5" s="3">
        <f t="shared" si="0"/>
        <v>6.6555809602993149E-2</v>
      </c>
      <c r="M5" s="3"/>
      <c r="N5" s="2">
        <f>IF('Modell einstellen'!$B$1="Voll",H5/0.35,H5/0.35*2)</f>
        <v>2.1293876000000003E-4</v>
      </c>
      <c r="O5" s="2">
        <f>IF('Modell einstellen'!$B$1="Voll",J5/0.35,J5/0.35*2)</f>
        <v>-5.8876434285714293E-4</v>
      </c>
      <c r="P5" s="3">
        <f t="shared" si="1"/>
        <v>0.36167061165194786</v>
      </c>
      <c r="Q5" s="3"/>
      <c r="R5" s="3"/>
      <c r="S5" s="3"/>
      <c r="T5" s="3"/>
      <c r="U5" s="3"/>
      <c r="V5" s="3"/>
      <c r="W5" s="3"/>
    </row>
    <row r="6" spans="1:23" x14ac:dyDescent="0.25">
      <c r="A6" s="2">
        <v>9.9999999999999998E-13</v>
      </c>
      <c r="B6" s="2">
        <v>3.2020000000000002E-5</v>
      </c>
      <c r="C6" s="2">
        <v>1.5310000000000001E-4</v>
      </c>
      <c r="D6" s="2">
        <v>-4.8109999999999998E-4</v>
      </c>
      <c r="E6" s="2">
        <v>0</v>
      </c>
      <c r="F6" s="2">
        <v>0</v>
      </c>
      <c r="G6" s="2">
        <v>0</v>
      </c>
      <c r="H6" s="2">
        <v>7.4528685000000003E-5</v>
      </c>
      <c r="I6" s="2">
        <v>1.5634139999999999E-5</v>
      </c>
      <c r="J6" s="2">
        <v>-2.0606781999999999E-4</v>
      </c>
      <c r="K6" s="3"/>
      <c r="L6" s="3">
        <f t="shared" si="0"/>
        <v>6.6555809602993149E-2</v>
      </c>
      <c r="M6" s="3"/>
      <c r="N6" s="2">
        <f>IF('Modell einstellen'!$B$1="Voll",H6/0.35,H6/0.35*2)</f>
        <v>2.1293910000000002E-4</v>
      </c>
      <c r="O6" s="2">
        <f>IF('Modell einstellen'!$B$1="Voll",J6/0.35,J6/0.35*2)</f>
        <v>-5.8876520000000006E-4</v>
      </c>
      <c r="P6" s="3">
        <f t="shared" si="1"/>
        <v>0.36167066260030317</v>
      </c>
      <c r="Q6" s="3"/>
      <c r="R6" s="3"/>
      <c r="S6" s="3"/>
      <c r="T6" s="3"/>
      <c r="U6" s="3"/>
      <c r="V6" s="3"/>
      <c r="W6" s="3"/>
    </row>
    <row r="7" spans="1:23" x14ac:dyDescent="0.25">
      <c r="A7" s="2">
        <v>9.9999999999999994E-12</v>
      </c>
      <c r="B7" s="2">
        <v>3.2020000000000002E-5</v>
      </c>
      <c r="C7" s="2">
        <v>1.5310000000000001E-4</v>
      </c>
      <c r="D7" s="2">
        <v>-4.8109999999999998E-4</v>
      </c>
      <c r="E7" s="2">
        <v>0</v>
      </c>
      <c r="F7" s="2">
        <v>0</v>
      </c>
      <c r="G7" s="2">
        <v>0</v>
      </c>
      <c r="H7" s="2">
        <v>7.4528725000000005E-5</v>
      </c>
      <c r="I7" s="2">
        <v>1.5634156E-5</v>
      </c>
      <c r="J7" s="2">
        <v>-2.0606792E-4</v>
      </c>
      <c r="K7" s="3"/>
      <c r="L7" s="3">
        <f t="shared" si="0"/>
        <v>6.6555809602993149E-2</v>
      </c>
      <c r="M7" s="3"/>
      <c r="N7" s="2">
        <f>IF('Modell einstellen'!$B$1="Voll",H7/0.35,H7/0.35*2)</f>
        <v>2.1293921428571432E-4</v>
      </c>
      <c r="O7" s="2">
        <f>IF('Modell einstellen'!$B$1="Voll",J7/0.35,J7/0.35*2)</f>
        <v>-5.8876548571428573E-4</v>
      </c>
      <c r="P7" s="3">
        <f t="shared" si="1"/>
        <v>0.36167068120064499</v>
      </c>
      <c r="Q7" s="3"/>
      <c r="R7" s="3"/>
      <c r="S7" s="3"/>
      <c r="T7" s="3"/>
      <c r="U7" s="3"/>
      <c r="V7" s="3"/>
      <c r="W7" s="3"/>
    </row>
    <row r="8" spans="1:23" x14ac:dyDescent="0.25">
      <c r="A8" s="2">
        <v>1E-10</v>
      </c>
      <c r="B8" s="2">
        <v>3.2020000000000002E-5</v>
      </c>
      <c r="C8" s="2">
        <v>1.5310000000000001E-4</v>
      </c>
      <c r="D8" s="2">
        <v>-4.8109999999999998E-4</v>
      </c>
      <c r="E8" s="2">
        <v>0</v>
      </c>
      <c r="F8" s="2">
        <v>0</v>
      </c>
      <c r="G8" s="2">
        <v>0</v>
      </c>
      <c r="H8" s="2">
        <v>7.4528737999999994E-5</v>
      </c>
      <c r="I8" s="2">
        <v>1.5634161E-5</v>
      </c>
      <c r="J8" s="2">
        <v>-2.0606794999999999E-4</v>
      </c>
      <c r="K8" s="3"/>
      <c r="L8" s="3">
        <f t="shared" si="0"/>
        <v>6.6555809602993149E-2</v>
      </c>
      <c r="M8" s="3"/>
      <c r="N8" s="2">
        <f>IF('Modell einstellen'!$B$1="Voll",H8/0.35,H8/0.35*2)</f>
        <v>2.1293925142857142E-4</v>
      </c>
      <c r="O8" s="2">
        <f>IF('Modell einstellen'!$B$1="Voll",J8/0.35,J8/0.35*2)</f>
        <v>-5.8876557142857144E-4</v>
      </c>
      <c r="P8" s="3">
        <f t="shared" si="1"/>
        <v>0.36167069163351212</v>
      </c>
      <c r="Q8" s="3"/>
      <c r="R8" s="3"/>
      <c r="S8" s="3"/>
      <c r="T8" s="3"/>
      <c r="U8" s="3"/>
      <c r="V8" s="3"/>
      <c r="W8" s="3"/>
    </row>
    <row r="9" spans="1:23" x14ac:dyDescent="0.25">
      <c r="A9" s="2">
        <v>1.0000000000000001E-9</v>
      </c>
      <c r="B9" s="2">
        <v>3.2020000000000002E-5</v>
      </c>
      <c r="C9" s="2">
        <v>1.5310000000000001E-4</v>
      </c>
      <c r="D9" s="2">
        <v>-4.8109999999999998E-4</v>
      </c>
      <c r="E9" s="2">
        <v>0</v>
      </c>
      <c r="F9" s="2">
        <v>0</v>
      </c>
      <c r="G9" s="2">
        <v>0</v>
      </c>
      <c r="H9" s="2">
        <v>7.4528743000000001E-5</v>
      </c>
      <c r="I9" s="2">
        <v>1.5634162E-5</v>
      </c>
      <c r="J9" s="2">
        <v>-2.0606796E-4</v>
      </c>
      <c r="K9" s="3"/>
      <c r="L9" s="3">
        <f t="shared" si="0"/>
        <v>6.6555809602993149E-2</v>
      </c>
      <c r="M9" s="3"/>
      <c r="N9" s="2">
        <f>IF('Modell einstellen'!$B$1="Voll",H9/0.35,H9/0.35*2)</f>
        <v>2.1293926571428574E-4</v>
      </c>
      <c r="O9" s="2">
        <f>IF('Modell einstellen'!$B$1="Voll",J9/0.35,J9/0.35*2)</f>
        <v>-5.8876560000000009E-4</v>
      </c>
      <c r="P9" s="3">
        <f t="shared" si="1"/>
        <v>0.36167069834631255</v>
      </c>
      <c r="Q9" s="3"/>
      <c r="R9" s="3"/>
      <c r="S9" s="3"/>
      <c r="T9" s="3"/>
      <c r="U9" s="3"/>
      <c r="V9" s="3"/>
      <c r="W9" s="3"/>
    </row>
    <row r="10" spans="1:23" x14ac:dyDescent="0.25">
      <c r="A10" s="2">
        <v>1E-8</v>
      </c>
      <c r="B10" s="2">
        <v>3.2020000000000002E-5</v>
      </c>
      <c r="C10" s="2">
        <v>1.5310000000000001E-4</v>
      </c>
      <c r="D10" s="2">
        <v>-4.8109999999999998E-4</v>
      </c>
      <c r="E10" s="2">
        <v>0</v>
      </c>
      <c r="F10" s="2">
        <v>0</v>
      </c>
      <c r="G10" s="2">
        <v>0</v>
      </c>
      <c r="H10" s="2">
        <v>7.4528745000000007E-5</v>
      </c>
      <c r="I10" s="2">
        <v>1.5634162999999999E-5</v>
      </c>
      <c r="J10" s="2">
        <v>-2.0606796999999999E-4</v>
      </c>
      <c r="K10" s="3"/>
      <c r="L10" s="3">
        <f t="shared" si="0"/>
        <v>6.6555809602993149E-2</v>
      </c>
      <c r="M10" s="3"/>
      <c r="N10" s="2">
        <f>IF('Modell einstellen'!$B$1="Voll",H10/0.35,H10/0.35*2)</f>
        <v>2.1293927142857145E-4</v>
      </c>
      <c r="O10" s="2">
        <f>IF('Modell einstellen'!$B$1="Voll",J10/0.35,J10/0.35*2)</f>
        <v>-5.8876562857142862E-4</v>
      </c>
      <c r="P10" s="3">
        <f t="shared" si="1"/>
        <v>0.36167069050080902</v>
      </c>
      <c r="Q10" s="3"/>
      <c r="R10" s="3"/>
      <c r="S10" s="3"/>
      <c r="T10" s="3"/>
      <c r="U10" s="3"/>
      <c r="V10" s="3"/>
      <c r="W10" s="3"/>
    </row>
    <row r="11" spans="1:23" x14ac:dyDescent="0.25">
      <c r="A11" s="2">
        <v>9.9999999999999995E-8</v>
      </c>
      <c r="B11" s="2">
        <v>3.2020000000000002E-5</v>
      </c>
      <c r="C11" s="2">
        <v>1.5310000000000001E-4</v>
      </c>
      <c r="D11" s="2">
        <v>-4.8109999999999998E-4</v>
      </c>
      <c r="E11" s="2">
        <v>0</v>
      </c>
      <c r="F11" s="2">
        <v>0</v>
      </c>
      <c r="G11" s="2">
        <v>0</v>
      </c>
      <c r="H11" s="2">
        <v>7.4528747999999995E-5</v>
      </c>
      <c r="I11" s="2">
        <v>1.5634162999999999E-5</v>
      </c>
      <c r="J11" s="2">
        <v>-2.0606796999999999E-4</v>
      </c>
      <c r="K11" s="3"/>
      <c r="L11" s="3">
        <f t="shared" si="0"/>
        <v>6.6555809602993149E-2</v>
      </c>
      <c r="M11" s="3"/>
      <c r="N11" s="2">
        <f>IF('Modell einstellen'!$B$1="Voll",H11/0.35,H11/0.35*2)</f>
        <v>2.1293928000000001E-4</v>
      </c>
      <c r="O11" s="2">
        <f>IF('Modell einstellen'!$B$1="Voll",J11/0.35,J11/0.35*2)</f>
        <v>-5.8876562857142862E-4</v>
      </c>
      <c r="P11" s="3">
        <f t="shared" si="1"/>
        <v>0.36167070505911225</v>
      </c>
      <c r="Q11" s="3"/>
      <c r="R11" s="3"/>
      <c r="S11" s="3"/>
      <c r="T11" s="3"/>
      <c r="U11" s="3"/>
      <c r="V11" s="3"/>
      <c r="W11" s="3"/>
    </row>
    <row r="12" spans="1:23" x14ac:dyDescent="0.25">
      <c r="A12" s="2">
        <v>9.9999999999999995E-7</v>
      </c>
      <c r="B12" s="2">
        <v>3.2020000000000002E-5</v>
      </c>
      <c r="C12" s="2">
        <v>1.5310000000000001E-4</v>
      </c>
      <c r="D12" s="2">
        <v>-4.8109999999999998E-4</v>
      </c>
      <c r="E12" s="2">
        <v>0</v>
      </c>
      <c r="F12" s="2">
        <v>0</v>
      </c>
      <c r="G12" s="2">
        <v>0</v>
      </c>
      <c r="H12" s="2">
        <v>7.4528773000000003E-5</v>
      </c>
      <c r="I12" s="2">
        <v>1.5634166000000001E-5</v>
      </c>
      <c r="J12" s="2">
        <v>-2.0606800999999999E-4</v>
      </c>
      <c r="K12" s="3"/>
      <c r="L12" s="3">
        <f t="shared" si="0"/>
        <v>6.6555809602993149E-2</v>
      </c>
      <c r="M12" s="3"/>
      <c r="N12" s="2">
        <f>IF('Modell einstellen'!$B$1="Voll",H12/0.35,H12/0.35*2)</f>
        <v>2.1293935142857145E-4</v>
      </c>
      <c r="O12" s="2">
        <f>IF('Modell einstellen'!$B$1="Voll",J12/0.35,J12/0.35*2)</f>
        <v>-5.8876574285714287E-4</v>
      </c>
      <c r="P12" s="3">
        <f t="shared" si="1"/>
        <v>0.36167075617413885</v>
      </c>
      <c r="Q12" s="3"/>
      <c r="R12" s="3"/>
      <c r="S12" s="3"/>
      <c r="T12" s="3"/>
      <c r="U12" s="3"/>
      <c r="V12" s="3"/>
      <c r="W12" s="3"/>
    </row>
    <row r="13" spans="1:23" x14ac:dyDescent="0.25">
      <c r="A13" s="2">
        <v>1.0000000000000001E-5</v>
      </c>
      <c r="B13" s="2">
        <v>3.2020000000000002E-5</v>
      </c>
      <c r="C13" s="2">
        <v>1.5310000000000001E-4</v>
      </c>
      <c r="D13" s="2">
        <v>-4.8109999999999998E-4</v>
      </c>
      <c r="E13" s="2">
        <v>0</v>
      </c>
      <c r="F13" s="2">
        <v>0</v>
      </c>
      <c r="G13" s="2">
        <v>0</v>
      </c>
      <c r="H13" s="2">
        <v>7.4529021000000002E-5</v>
      </c>
      <c r="I13" s="2">
        <v>1.5634192000000002E-5</v>
      </c>
      <c r="J13" s="2">
        <v>-2.0606840000000001E-4</v>
      </c>
      <c r="K13" s="3"/>
      <c r="L13" s="3">
        <f t="shared" si="0"/>
        <v>6.6555809602993149E-2</v>
      </c>
      <c r="M13" s="3"/>
      <c r="N13" s="2">
        <f>IF('Modell einstellen'!$B$1="Voll",H13/0.35,H13/0.35*2)</f>
        <v>2.1294006000000001E-4</v>
      </c>
      <c r="O13" s="2">
        <f>IF('Modell einstellen'!$B$1="Voll",J13/0.35,J13/0.35*2)</f>
        <v>-5.8876685714285724E-4</v>
      </c>
      <c r="P13" s="3">
        <f t="shared" si="1"/>
        <v>0.36167127516882741</v>
      </c>
      <c r="Q13" s="3"/>
      <c r="R13" s="3"/>
      <c r="S13" s="3"/>
      <c r="T13" s="3"/>
      <c r="U13" s="3"/>
      <c r="V13" s="3"/>
      <c r="W13" s="3"/>
    </row>
    <row r="14" spans="1:23" x14ac:dyDescent="0.25">
      <c r="A14" s="2">
        <v>1E-4</v>
      </c>
      <c r="B14" s="2">
        <v>3.2020000000000002E-5</v>
      </c>
      <c r="C14" s="2">
        <v>1.5310000000000001E-4</v>
      </c>
      <c r="D14" s="2">
        <v>-4.8109999999999998E-4</v>
      </c>
      <c r="E14" s="2">
        <v>0</v>
      </c>
      <c r="F14" s="2">
        <v>0</v>
      </c>
      <c r="G14" s="2">
        <v>0</v>
      </c>
      <c r="H14" s="2">
        <v>7.4531497999999997E-5</v>
      </c>
      <c r="I14" s="2">
        <v>1.5634446999999999E-5</v>
      </c>
      <c r="J14" s="2">
        <v>-2.0607224E-4</v>
      </c>
      <c r="K14" s="3"/>
      <c r="L14" s="3">
        <f t="shared" si="0"/>
        <v>6.6555809602993149E-2</v>
      </c>
      <c r="M14" s="3"/>
      <c r="N14" s="2">
        <f>IF('Modell einstellen'!$B$1="Voll",H14/0.35,H14/0.35*2)</f>
        <v>2.1294713714285714E-4</v>
      </c>
      <c r="O14" s="2">
        <f>IF('Modell einstellen'!$B$1="Voll",J14/0.35,J14/0.35*2)</f>
        <v>-5.8877782857142866E-4</v>
      </c>
      <c r="P14" s="3">
        <f t="shared" si="1"/>
        <v>0.36167655575539909</v>
      </c>
      <c r="Q14" s="3"/>
      <c r="R14" s="3"/>
      <c r="S14" s="3"/>
      <c r="T14" s="3"/>
      <c r="U14" s="3"/>
      <c r="V14" s="3"/>
      <c r="W14" s="3"/>
    </row>
    <row r="15" spans="1:23" x14ac:dyDescent="0.25">
      <c r="A15" s="2">
        <v>1E-3</v>
      </c>
      <c r="B15" s="2">
        <v>3.1989999999999997E-5</v>
      </c>
      <c r="C15" s="2">
        <v>1.5310000000000001E-4</v>
      </c>
      <c r="D15" s="2">
        <v>-4.8109999999999998E-4</v>
      </c>
      <c r="E15" s="2">
        <v>0</v>
      </c>
      <c r="F15" s="2">
        <v>0</v>
      </c>
      <c r="G15" s="2">
        <v>0</v>
      </c>
      <c r="H15" s="2">
        <v>7.4556059000000004E-5</v>
      </c>
      <c r="I15" s="2">
        <v>1.5636982E-5</v>
      </c>
      <c r="J15" s="2">
        <v>-2.0611039999999999E-4</v>
      </c>
      <c r="K15" s="3"/>
      <c r="L15" s="3">
        <f t="shared" si="0"/>
        <v>6.6493452504676781E-2</v>
      </c>
      <c r="M15" s="3"/>
      <c r="N15" s="2">
        <f>IF('Modell einstellen'!$B$1="Voll",H15/0.35,H15/0.35*2)</f>
        <v>2.1301731142857146E-4</v>
      </c>
      <c r="O15" s="2">
        <f>IF('Modell einstellen'!$B$1="Voll",J15/0.35,J15/0.35*2)</f>
        <v>-5.8888685714285718E-4</v>
      </c>
      <c r="P15" s="3">
        <f t="shared" si="1"/>
        <v>0.3617287579860114</v>
      </c>
      <c r="Q15" s="3"/>
      <c r="R15" s="3"/>
      <c r="S15" s="3"/>
      <c r="T15" s="3"/>
      <c r="U15" s="3"/>
      <c r="V15" s="3"/>
      <c r="W15" s="3"/>
    </row>
    <row r="16" spans="1:23" x14ac:dyDescent="0.25">
      <c r="A16" s="2">
        <v>0.01</v>
      </c>
      <c r="B16" s="2">
        <v>3.1699999999999998E-5</v>
      </c>
      <c r="C16" s="2">
        <v>1.5330000000000001E-4</v>
      </c>
      <c r="D16" s="2">
        <v>-4.8119999999999999E-4</v>
      </c>
      <c r="E16" s="2">
        <v>0</v>
      </c>
      <c r="F16" s="2">
        <v>0</v>
      </c>
      <c r="G16" s="2">
        <v>0</v>
      </c>
      <c r="H16" s="2">
        <v>7.4791096000000005E-5</v>
      </c>
      <c r="I16" s="2">
        <v>1.5661231E-5</v>
      </c>
      <c r="J16" s="2">
        <v>-2.0647543000000001E-4</v>
      </c>
      <c r="K16" s="3"/>
      <c r="L16" s="3">
        <f t="shared" si="0"/>
        <v>6.5876974231088944E-2</v>
      </c>
      <c r="M16" s="3"/>
      <c r="N16" s="2">
        <f>IF('Modell einstellen'!$B$1="Voll",H16/0.35,H16/0.35*2)</f>
        <v>2.1368884571428576E-4</v>
      </c>
      <c r="O16" s="2">
        <f>IF('Modell einstellen'!$B$1="Voll",J16/0.35,J16/0.35*2)</f>
        <v>-5.8992980000000005E-4</v>
      </c>
      <c r="P16" s="3">
        <f t="shared" si="1"/>
        <v>0.36222758320445203</v>
      </c>
      <c r="Q16" s="3"/>
      <c r="R16" s="3"/>
      <c r="S16" s="3"/>
      <c r="T16" s="3"/>
      <c r="U16" s="3"/>
      <c r="V16" s="3"/>
      <c r="W16" s="3"/>
    </row>
    <row r="17" spans="1:23" x14ac:dyDescent="0.25">
      <c r="A17" s="2">
        <v>0.1</v>
      </c>
      <c r="B17" s="2">
        <v>2.957E-5</v>
      </c>
      <c r="C17" s="2">
        <v>1.548E-4</v>
      </c>
      <c r="D17" s="2">
        <v>-4.8220000000000001E-4</v>
      </c>
      <c r="E17" s="2">
        <v>0</v>
      </c>
      <c r="F17" s="2">
        <v>0</v>
      </c>
      <c r="G17" s="2">
        <v>0</v>
      </c>
      <c r="H17" s="2">
        <v>7.6526263999999994E-5</v>
      </c>
      <c r="I17" s="2">
        <v>1.5839086000000001E-5</v>
      </c>
      <c r="J17" s="2">
        <v>-2.0916304999999999E-4</v>
      </c>
      <c r="K17" s="3"/>
      <c r="L17" s="3">
        <f t="shared" si="0"/>
        <v>6.1323102447117375E-2</v>
      </c>
      <c r="M17" s="3"/>
      <c r="N17" s="2">
        <f>IF('Modell einstellen'!$B$1="Voll",H17/0.35,H17/0.35*2)</f>
        <v>2.1864646857142856E-4</v>
      </c>
      <c r="O17" s="2">
        <f>IF('Modell einstellen'!$B$1="Voll",J17/0.35,J17/0.35*2)</f>
        <v>-5.9760871428571425E-4</v>
      </c>
      <c r="P17" s="3">
        <f t="shared" si="1"/>
        <v>0.36586894291319622</v>
      </c>
      <c r="Q17" s="3"/>
      <c r="R17" s="3"/>
      <c r="S17" s="3"/>
      <c r="T17" s="3"/>
      <c r="U17" s="3"/>
      <c r="V17" s="3"/>
      <c r="W17" s="3"/>
    </row>
    <row r="18" spans="1:23" x14ac:dyDescent="0.25">
      <c r="A18" s="2">
        <v>1</v>
      </c>
      <c r="B18" s="2">
        <v>2.6319999999999999E-5</v>
      </c>
      <c r="C18" s="2">
        <v>1.5799999999999999E-4</v>
      </c>
      <c r="D18" s="2">
        <v>-4.8470000000000002E-4</v>
      </c>
      <c r="E18" s="2">
        <v>0</v>
      </c>
      <c r="F18" s="2">
        <v>0</v>
      </c>
      <c r="G18" s="2">
        <v>0</v>
      </c>
      <c r="H18" s="2">
        <v>7.9648927999999999E-5</v>
      </c>
      <c r="I18" s="2">
        <v>1.6195032000000001E-5</v>
      </c>
      <c r="J18" s="2">
        <v>-2.1408091000000001E-4</v>
      </c>
      <c r="K18" s="3"/>
      <c r="L18" s="3">
        <f t="shared" si="0"/>
        <v>5.4301629874148952E-2</v>
      </c>
      <c r="M18" s="3"/>
      <c r="N18" s="2">
        <f>IF('Modell einstellen'!$B$1="Voll",H18/0.35,H18/0.35*2)</f>
        <v>2.2756836571428572E-4</v>
      </c>
      <c r="O18" s="2">
        <f>IF('Modell einstellen'!$B$1="Voll",J18/0.35,J18/0.35*2)</f>
        <v>-6.1165974285714295E-4</v>
      </c>
      <c r="P18" s="3">
        <f t="shared" si="1"/>
        <v>0.37205058592099588</v>
      </c>
      <c r="Q18" s="3"/>
      <c r="R18" s="3"/>
      <c r="S18" s="3"/>
      <c r="T18" s="3"/>
      <c r="U18" s="3"/>
      <c r="V18" s="3"/>
      <c r="W18" s="3"/>
    </row>
    <row r="19" spans="1:23" x14ac:dyDescent="0.25">
      <c r="A19" s="2">
        <v>10</v>
      </c>
      <c r="B19" s="2">
        <v>2.3479999999999999E-5</v>
      </c>
      <c r="C19" s="2">
        <v>1.6009999999999999E-4</v>
      </c>
      <c r="D19" s="2">
        <v>-4.8579999999999999E-4</v>
      </c>
      <c r="E19" s="2">
        <v>0</v>
      </c>
      <c r="F19" s="2">
        <v>0</v>
      </c>
      <c r="G19" s="2">
        <v>0</v>
      </c>
      <c r="H19" s="2">
        <v>8.1945875000000003E-5</v>
      </c>
      <c r="I19" s="2">
        <v>1.6436093000000001E-5</v>
      </c>
      <c r="J19" s="2">
        <v>-2.1761396E-4</v>
      </c>
      <c r="K19" s="3"/>
      <c r="L19" s="3">
        <f t="shared" si="0"/>
        <v>4.8332647179909427E-2</v>
      </c>
      <c r="M19" s="3"/>
      <c r="N19" s="2">
        <f>IF('Modell einstellen'!$B$1="Voll",H19/0.35,H19/0.35*2)</f>
        <v>2.3413107142857144E-4</v>
      </c>
      <c r="O19" s="2">
        <f>IF('Modell einstellen'!$B$1="Voll",J19/0.35,J19/0.35*2)</f>
        <v>-6.217541714285715E-4</v>
      </c>
      <c r="P19" s="3">
        <f t="shared" si="1"/>
        <v>0.37656534075295534</v>
      </c>
      <c r="Q19" s="3"/>
      <c r="R19" s="3"/>
      <c r="S19" s="3"/>
      <c r="T19" s="3"/>
      <c r="U19" s="3"/>
      <c r="V19" s="3"/>
      <c r="W19" s="3"/>
    </row>
    <row r="20" spans="1:23" x14ac:dyDescent="0.25">
      <c r="A20" s="2">
        <v>100</v>
      </c>
      <c r="B20" s="2">
        <v>2.0360000000000002E-5</v>
      </c>
      <c r="C20" s="2">
        <v>1.6229999999999999E-4</v>
      </c>
      <c r="D20" s="2">
        <v>-4.8670000000000001E-4</v>
      </c>
      <c r="E20" s="2">
        <v>0</v>
      </c>
      <c r="F20" s="2">
        <v>0</v>
      </c>
      <c r="G20" s="2">
        <v>0</v>
      </c>
      <c r="H20" s="2">
        <v>8.4371961000000005E-5</v>
      </c>
      <c r="I20" s="2">
        <v>1.6684960000000001E-5</v>
      </c>
      <c r="J20" s="2">
        <v>-2.2131359E-4</v>
      </c>
      <c r="K20" s="3"/>
      <c r="L20" s="3">
        <f t="shared" si="0"/>
        <v>4.1832751181425931E-2</v>
      </c>
      <c r="M20" s="3"/>
      <c r="N20" s="2">
        <f>IF('Modell einstellen'!$B$1="Voll",H20/0.35,H20/0.35*2)</f>
        <v>2.4106274571428574E-4</v>
      </c>
      <c r="O20" s="2">
        <f>IF('Modell einstellen'!$B$1="Voll",J20/0.35,J20/0.35*2)</f>
        <v>-6.3232454285714289E-4</v>
      </c>
      <c r="P20" s="3">
        <f t="shared" si="1"/>
        <v>0.38123262561508314</v>
      </c>
      <c r="Q20" s="3"/>
      <c r="R20" s="3"/>
      <c r="S20" s="3"/>
      <c r="T20" s="3"/>
      <c r="U20" s="3"/>
      <c r="V20" s="3"/>
      <c r="W20" s="3"/>
    </row>
    <row r="21" spans="1:23" x14ac:dyDescent="0.25">
      <c r="A21" s="2">
        <v>1000</v>
      </c>
      <c r="B21" s="2">
        <v>1.6609999999999999E-5</v>
      </c>
      <c r="C21" s="2">
        <v>1.6479999999999999E-4</v>
      </c>
      <c r="D21" s="2">
        <v>-4.8759999999999998E-4</v>
      </c>
      <c r="E21" s="2">
        <v>0</v>
      </c>
      <c r="F21" s="2">
        <v>0</v>
      </c>
      <c r="G21" s="2">
        <v>0</v>
      </c>
      <c r="H21" s="2">
        <v>8.7191586999999998E-5</v>
      </c>
      <c r="I21" s="2">
        <v>1.6973175E-5</v>
      </c>
      <c r="J21" s="2">
        <v>-2.2558844000000001E-4</v>
      </c>
      <c r="K21" s="3"/>
      <c r="L21" s="3">
        <f t="shared" si="0"/>
        <v>3.4064807219031989E-2</v>
      </c>
      <c r="M21" s="3"/>
      <c r="N21" s="2">
        <f>IF('Modell einstellen'!$B$1="Voll",H21/0.35,H21/0.35*2)</f>
        <v>2.4911882000000003E-4</v>
      </c>
      <c r="O21" s="2">
        <f>IF('Modell einstellen'!$B$1="Voll",J21/0.35,J21/0.35*2)</f>
        <v>-6.4453840000000008E-4</v>
      </c>
      <c r="P21" s="3">
        <f t="shared" si="1"/>
        <v>0.38650733610286059</v>
      </c>
      <c r="Q21" s="3"/>
      <c r="R21" s="3"/>
      <c r="S21" s="3"/>
      <c r="T21" s="3"/>
      <c r="U21" s="3"/>
      <c r="V21" s="3"/>
      <c r="W21" s="3"/>
    </row>
    <row r="22" spans="1:23" x14ac:dyDescent="0.25">
      <c r="A22" s="2">
        <v>10000</v>
      </c>
      <c r="B22" s="2">
        <v>1.292E-5</v>
      </c>
      <c r="C22" s="2">
        <v>1.683E-4</v>
      </c>
      <c r="D22" s="2">
        <v>-4.8939999999999997E-4</v>
      </c>
      <c r="E22" s="2">
        <v>0</v>
      </c>
      <c r="F22" s="2">
        <v>0</v>
      </c>
      <c r="G22" s="2">
        <v>0</v>
      </c>
      <c r="H22" s="2">
        <v>9.0453450999999996E-5</v>
      </c>
      <c r="I22" s="2">
        <v>1.737463E-5</v>
      </c>
      <c r="J22" s="2">
        <v>-2.3070003000000001E-4</v>
      </c>
      <c r="K22" s="3"/>
      <c r="L22" s="3">
        <f t="shared" si="0"/>
        <v>2.6399673069064163E-2</v>
      </c>
      <c r="M22" s="3"/>
      <c r="N22" s="2">
        <f>IF('Modell einstellen'!$B$1="Voll",H22/0.35,H22/0.35*2)</f>
        <v>2.5843843142857141E-4</v>
      </c>
      <c r="O22" s="2">
        <f>IF('Modell einstellen'!$B$1="Voll",J22/0.35,J22/0.35*2)</f>
        <v>-6.5914294285714299E-4</v>
      </c>
      <c r="P22" s="3">
        <f t="shared" si="1"/>
        <v>0.39208252812104089</v>
      </c>
      <c r="Q22" s="3"/>
      <c r="R22" s="3"/>
      <c r="S22" s="3"/>
      <c r="T22" s="3"/>
      <c r="U22" s="3"/>
      <c r="V22" s="3"/>
      <c r="W22" s="3"/>
    </row>
    <row r="23" spans="1:23" x14ac:dyDescent="0.25">
      <c r="A23" s="2">
        <v>100000</v>
      </c>
      <c r="B23" s="2">
        <v>1.4399999999999999E-5</v>
      </c>
      <c r="C23" s="2">
        <v>1.7819999999999999E-4</v>
      </c>
      <c r="D23" s="2">
        <v>-5.0149999999999999E-4</v>
      </c>
      <c r="E23" s="2">
        <v>0</v>
      </c>
      <c r="F23" s="2">
        <v>0</v>
      </c>
      <c r="G23" s="2">
        <v>0</v>
      </c>
      <c r="H23" s="2">
        <v>9.4853534000000002E-5</v>
      </c>
      <c r="I23" s="2">
        <v>1.8486266999999999E-5</v>
      </c>
      <c r="J23" s="2">
        <v>-2.3918305000000001E-4</v>
      </c>
      <c r="K23" s="3"/>
      <c r="L23" s="3">
        <f t="shared" si="0"/>
        <v>2.8713858424725822E-2</v>
      </c>
      <c r="M23" s="3"/>
      <c r="N23" s="2">
        <f>IF('Modell einstellen'!$B$1="Voll",H23/0.35,H23/0.35*2)</f>
        <v>2.7101009714285715E-4</v>
      </c>
      <c r="O23" s="2">
        <f>IF('Modell einstellen'!$B$1="Voll",J23/0.35,J23/0.35*2)</f>
        <v>-6.8338014285714292E-4</v>
      </c>
      <c r="P23" s="3">
        <f t="shared" si="1"/>
        <v>0.39657297622051391</v>
      </c>
      <c r="Q23" s="3"/>
      <c r="R23" s="3"/>
      <c r="S23" s="3"/>
      <c r="T23" s="3"/>
      <c r="U23" s="3"/>
      <c r="V23" s="3"/>
      <c r="W23" s="3"/>
    </row>
    <row r="24" spans="1:23" x14ac:dyDescent="0.25">
      <c r="A24" s="2">
        <v>1000000</v>
      </c>
      <c r="B24" s="2">
        <v>3.502E-5</v>
      </c>
      <c r="C24" s="2">
        <v>2.0599999999999999E-4</v>
      </c>
      <c r="D24" s="2">
        <v>-5.4589999999999999E-4</v>
      </c>
      <c r="E24" s="2">
        <v>0</v>
      </c>
      <c r="F24" s="2">
        <v>0</v>
      </c>
      <c r="G24" s="2">
        <v>0</v>
      </c>
      <c r="H24" s="2">
        <v>1.0153899E-4</v>
      </c>
      <c r="I24" s="2">
        <v>2.1670838999999999E-5</v>
      </c>
      <c r="J24" s="2">
        <v>-2.5633276000000001E-4</v>
      </c>
      <c r="K24" s="3"/>
      <c r="L24" s="3">
        <f t="shared" si="0"/>
        <v>6.4150943396226415E-2</v>
      </c>
      <c r="M24" s="3"/>
      <c r="N24" s="2">
        <f>IF('Modell einstellen'!$B$1="Voll",H24/0.35,H24/0.35*2)</f>
        <v>2.9011140000000004E-4</v>
      </c>
      <c r="O24" s="2">
        <f>IF('Modell einstellen'!$B$1="Voll",J24/0.35,J24/0.35*2)</f>
        <v>-7.3237931428571433E-4</v>
      </c>
      <c r="P24" s="3">
        <f t="shared" si="1"/>
        <v>0.3961217832632864</v>
      </c>
      <c r="Q24" s="3"/>
      <c r="R24" s="3"/>
      <c r="S24" s="3"/>
      <c r="T24" s="3"/>
      <c r="U24" s="3"/>
      <c r="V24" s="3"/>
      <c r="W24" s="3"/>
    </row>
    <row r="25" spans="1:23" x14ac:dyDescent="0.25">
      <c r="A25" s="2">
        <v>10000000</v>
      </c>
      <c r="B25" s="2">
        <v>7.1740000000000001E-5</v>
      </c>
      <c r="C25" s="2">
        <v>2.4879999999999998E-4</v>
      </c>
      <c r="D25" s="2">
        <v>-6.1740000000000005E-4</v>
      </c>
      <c r="E25" s="2">
        <v>0</v>
      </c>
      <c r="F25" s="2">
        <v>0</v>
      </c>
      <c r="G25" s="2">
        <v>0</v>
      </c>
      <c r="H25" s="2">
        <v>1.0974611E-4</v>
      </c>
      <c r="I25" s="2">
        <v>2.6704937E-5</v>
      </c>
      <c r="J25" s="2">
        <v>-2.8078161999999998E-4</v>
      </c>
      <c r="K25" s="3"/>
      <c r="L25" s="3">
        <f t="shared" si="0"/>
        <v>0.11619695497246517</v>
      </c>
      <c r="M25" s="3"/>
      <c r="N25" s="2">
        <f>IF('Modell einstellen'!$B$1="Voll",H25/0.35,H25/0.35*2)</f>
        <v>3.1356031428571432E-4</v>
      </c>
      <c r="O25" s="2">
        <f>IF('Modell einstellen'!$B$1="Voll",J25/0.35,J25/0.35*2)</f>
        <v>-8.0223320000000003E-4</v>
      </c>
      <c r="P25" s="3">
        <f t="shared" si="1"/>
        <v>0.39085930909580197</v>
      </c>
      <c r="Q25" s="3"/>
      <c r="R25" s="3"/>
      <c r="S25" s="3"/>
      <c r="T25" s="3"/>
      <c r="U25" s="3"/>
      <c r="V25" s="3"/>
      <c r="W25" s="3"/>
    </row>
    <row r="26" spans="1:23" x14ac:dyDescent="0.25">
      <c r="A26" s="2">
        <v>100000000</v>
      </c>
      <c r="B26" s="2">
        <v>1.103E-4</v>
      </c>
      <c r="C26" s="2">
        <v>2.9320000000000003E-4</v>
      </c>
      <c r="D26" s="2">
        <v>-6.9229999999999997E-4</v>
      </c>
      <c r="E26" s="2">
        <v>0</v>
      </c>
      <c r="F26" s="2">
        <v>0</v>
      </c>
      <c r="G26" s="2">
        <v>0</v>
      </c>
      <c r="H26" s="2">
        <v>1.1799073E-4</v>
      </c>
      <c r="I26" s="2">
        <v>3.2085585000000002E-5</v>
      </c>
      <c r="J26" s="2">
        <v>-3.0650433999999997E-4</v>
      </c>
      <c r="K26" s="3"/>
      <c r="L26" s="3">
        <f t="shared" si="0"/>
        <v>0.15932399248880544</v>
      </c>
      <c r="M26" s="3"/>
      <c r="N26" s="2">
        <f>IF('Modell einstellen'!$B$1="Voll",H26/0.35,H26/0.35*2)</f>
        <v>3.3711637142857143E-4</v>
      </c>
      <c r="O26" s="2">
        <f>IF('Modell einstellen'!$B$1="Voll",J26/0.35,J26/0.35*2)</f>
        <v>-8.7572668571428566E-4</v>
      </c>
      <c r="P26" s="3">
        <f t="shared" si="1"/>
        <v>0.38495614776612952</v>
      </c>
      <c r="Q26" s="3"/>
      <c r="R26" s="3"/>
      <c r="S26" s="3"/>
      <c r="T26" s="3"/>
      <c r="U26" s="3"/>
      <c r="V26" s="3"/>
      <c r="W26" s="3"/>
    </row>
    <row r="27" spans="1:23" x14ac:dyDescent="0.25">
      <c r="A27" s="2">
        <v>1000000000</v>
      </c>
      <c r="B27" s="2">
        <v>1.427E-4</v>
      </c>
      <c r="C27" s="2">
        <v>3.3369999999999998E-4</v>
      </c>
      <c r="D27" s="2">
        <v>-7.5929999999999997E-4</v>
      </c>
      <c r="E27" s="2">
        <v>0</v>
      </c>
      <c r="F27" s="2">
        <v>0</v>
      </c>
      <c r="G27" s="2">
        <v>0</v>
      </c>
      <c r="H27" s="2">
        <v>1.2652293999999999E-4</v>
      </c>
      <c r="I27" s="2">
        <v>3.7163562E-5</v>
      </c>
      <c r="J27" s="2">
        <v>-3.3192397E-4</v>
      </c>
      <c r="K27" s="3"/>
      <c r="L27" s="3">
        <f t="shared" si="0"/>
        <v>0.18793625707888845</v>
      </c>
      <c r="M27" s="3"/>
      <c r="N27" s="2">
        <f>IF('Modell einstellen'!$B$1="Voll",H27/0.35,H27/0.35*2)</f>
        <v>3.6149411428571427E-4</v>
      </c>
      <c r="O27" s="2">
        <f>IF('Modell einstellen'!$B$1="Voll",J27/0.35,J27/0.35*2)</f>
        <v>-9.4835420000000006E-4</v>
      </c>
      <c r="P27" s="3">
        <f t="shared" si="1"/>
        <v>0.38118048539850852</v>
      </c>
      <c r="Q27" s="3"/>
      <c r="R27" s="3"/>
      <c r="S27" s="3"/>
      <c r="T27" s="3"/>
      <c r="U27" s="3"/>
      <c r="V27" s="3"/>
      <c r="W27" s="3"/>
    </row>
    <row r="28" spans="1:23" x14ac:dyDescent="0.25">
      <c r="A28" s="2">
        <v>10000000000</v>
      </c>
      <c r="B28" s="2">
        <v>1.6670000000000001E-4</v>
      </c>
      <c r="C28" s="2">
        <v>3.7130000000000003E-4</v>
      </c>
      <c r="D28" s="2">
        <v>-8.1789999999999999E-4</v>
      </c>
      <c r="E28" s="2">
        <v>0</v>
      </c>
      <c r="F28" s="2">
        <v>0</v>
      </c>
      <c r="G28" s="2">
        <v>0</v>
      </c>
      <c r="H28" s="2">
        <v>1.3617999999999999E-4</v>
      </c>
      <c r="I28" s="2">
        <v>4.2057227000000002E-5</v>
      </c>
      <c r="J28" s="2">
        <v>-3.5843235000000001E-4</v>
      </c>
      <c r="K28" s="3"/>
      <c r="L28" s="3">
        <f t="shared" si="0"/>
        <v>0.20381464726739212</v>
      </c>
      <c r="M28" s="3"/>
      <c r="N28" s="2">
        <f>IF('Modell einstellen'!$B$1="Voll",H28/0.35,H28/0.35*2)</f>
        <v>3.890857142857143E-4</v>
      </c>
      <c r="O28" s="2">
        <f>IF('Modell einstellen'!$B$1="Voll",J28/0.35,J28/0.35*2)</f>
        <v>-1.0240924285714287E-3</v>
      </c>
      <c r="P28" s="3">
        <f t="shared" si="1"/>
        <v>0.37993222430955237</v>
      </c>
      <c r="Q28" s="3"/>
      <c r="R28" s="3"/>
      <c r="S28" s="3"/>
      <c r="T28" s="3"/>
      <c r="U28" s="3"/>
      <c r="V28" s="3"/>
      <c r="W28" s="3"/>
    </row>
    <row r="29" spans="1:23" x14ac:dyDescent="0.25">
      <c r="A29" s="2">
        <v>100000000000</v>
      </c>
      <c r="B29" s="2">
        <v>1.8330000000000001E-4</v>
      </c>
      <c r="C29" s="2">
        <v>4.0660000000000002E-4</v>
      </c>
      <c r="D29" s="2">
        <v>-8.6870000000000003E-4</v>
      </c>
      <c r="E29" s="2">
        <v>0</v>
      </c>
      <c r="F29" s="2">
        <v>0</v>
      </c>
      <c r="G29" s="2">
        <v>0</v>
      </c>
      <c r="H29" s="2">
        <v>1.4639848000000001E-4</v>
      </c>
      <c r="I29" s="2">
        <v>4.6800262999999999E-5</v>
      </c>
      <c r="J29" s="2">
        <v>-3.8539963E-4</v>
      </c>
      <c r="K29" s="3"/>
      <c r="L29" s="3">
        <f t="shared" si="0"/>
        <v>0.21100494992517554</v>
      </c>
      <c r="M29" s="3"/>
      <c r="N29" s="2">
        <f>IF('Modell einstellen'!$B$1="Voll",H29/0.35,H29/0.35*2)</f>
        <v>4.182813714285715E-4</v>
      </c>
      <c r="O29" s="2">
        <f>IF('Modell einstellen'!$B$1="Voll",J29/0.35,J29/0.35*2)</f>
        <v>-1.1011418E-3</v>
      </c>
      <c r="P29" s="3">
        <f t="shared" si="1"/>
        <v>0.37986149597497026</v>
      </c>
      <c r="Q29" s="3"/>
      <c r="R29" s="3"/>
      <c r="S29" s="3"/>
      <c r="T29" s="3"/>
      <c r="U29" s="3"/>
      <c r="V29" s="3"/>
      <c r="W29" s="3"/>
    </row>
    <row r="30" spans="1:23" x14ac:dyDescent="0.25">
      <c r="A30" s="2">
        <v>1000000000000</v>
      </c>
      <c r="B30" s="2">
        <v>1.9450000000000001E-4</v>
      </c>
      <c r="C30" s="2">
        <v>4.3780000000000002E-4</v>
      </c>
      <c r="D30" s="2">
        <v>-9.1060000000000002E-4</v>
      </c>
      <c r="E30" s="2">
        <v>0</v>
      </c>
      <c r="F30" s="2">
        <v>0</v>
      </c>
      <c r="G30" s="2">
        <v>0</v>
      </c>
      <c r="H30" s="2">
        <v>1.5566484E-4</v>
      </c>
      <c r="I30" s="2">
        <v>5.1090220000000002E-5</v>
      </c>
      <c r="J30" s="2">
        <v>-4.0996933999999999E-4</v>
      </c>
      <c r="K30" s="3"/>
      <c r="L30" s="3">
        <f t="shared" si="0"/>
        <v>0.21359543158357128</v>
      </c>
      <c r="M30" s="3"/>
      <c r="N30" s="2">
        <f>IF('Modell einstellen'!$B$1="Voll",H30/0.35,H30/0.35*2)</f>
        <v>4.4475668571428574E-4</v>
      </c>
      <c r="O30" s="2">
        <f>IF('Modell einstellen'!$B$1="Voll",J30/0.35,J30/0.35*2)</f>
        <v>-1.1713409714285714E-3</v>
      </c>
      <c r="P30" s="3">
        <f t="shared" si="1"/>
        <v>0.37969873552007577</v>
      </c>
      <c r="Q30" s="3"/>
      <c r="R30" s="3"/>
      <c r="S30" s="3"/>
      <c r="T30" s="3"/>
      <c r="U30" s="3"/>
      <c r="V30" s="3"/>
      <c r="W30" s="3"/>
    </row>
    <row r="31" spans="1:23" x14ac:dyDescent="0.25">
      <c r="A31" s="2">
        <v>10000000000000</v>
      </c>
      <c r="B31" s="2">
        <v>2.008E-4</v>
      </c>
      <c r="C31" s="2">
        <v>4.6579999999999999E-4</v>
      </c>
      <c r="D31" s="2">
        <v>-9.4490000000000004E-4</v>
      </c>
      <c r="E31" s="2">
        <v>0</v>
      </c>
      <c r="F31" s="2">
        <v>0</v>
      </c>
      <c r="G31" s="2">
        <v>0</v>
      </c>
      <c r="H31" s="2">
        <v>1.6431961000000001E-4</v>
      </c>
      <c r="I31" s="2">
        <v>5.5000563999999998E-5</v>
      </c>
      <c r="J31" s="2">
        <v>-4.3271744999999999E-4</v>
      </c>
      <c r="K31" s="3"/>
      <c r="L31" s="3">
        <f t="shared" si="0"/>
        <v>0.21250926023917874</v>
      </c>
      <c r="M31" s="3"/>
      <c r="N31" s="2">
        <f>IF('Modell einstellen'!$B$1="Voll",H31/0.35,H31/0.35*2)</f>
        <v>4.6948460000000009E-4</v>
      </c>
      <c r="O31" s="2">
        <f>IF('Modell einstellen'!$B$1="Voll",J31/0.35,J31/0.35*2)</f>
        <v>-1.2363355714285714E-3</v>
      </c>
      <c r="P31" s="3">
        <f t="shared" si="1"/>
        <v>0.37973881108792823</v>
      </c>
      <c r="Q31" s="3"/>
      <c r="R31" s="3"/>
      <c r="S31" s="3"/>
      <c r="T31" s="3"/>
      <c r="U31" s="3"/>
      <c r="V31" s="3"/>
      <c r="W31" s="3"/>
    </row>
    <row r="32" spans="1:23" x14ac:dyDescent="0.25">
      <c r="A32" s="2">
        <v>100000000000000</v>
      </c>
      <c r="B32" s="2">
        <v>2.017E-4</v>
      </c>
      <c r="C32" s="2">
        <v>4.9310000000000001E-4</v>
      </c>
      <c r="D32" s="2">
        <v>-9.7409999999999999E-4</v>
      </c>
      <c r="E32" s="2">
        <v>0</v>
      </c>
      <c r="F32" s="2">
        <v>0</v>
      </c>
      <c r="G32" s="2">
        <v>0</v>
      </c>
      <c r="H32" s="2">
        <v>1.7346015000000001E-4</v>
      </c>
      <c r="I32" s="2">
        <v>5.8891395000000003E-5</v>
      </c>
      <c r="J32" s="2">
        <v>-4.5606245999999998E-4</v>
      </c>
      <c r="K32" s="3"/>
      <c r="L32" s="3">
        <f t="shared" si="0"/>
        <v>0.20706292988399549</v>
      </c>
      <c r="M32" s="3"/>
      <c r="N32" s="2">
        <f>IF('Modell einstellen'!$B$1="Voll",H32/0.35,H32/0.35*2)</f>
        <v>4.9560042857142857E-4</v>
      </c>
      <c r="O32" s="2">
        <f>IF('Modell einstellen'!$B$1="Voll",J32/0.35,J32/0.35*2)</f>
        <v>-1.3030356000000001E-3</v>
      </c>
      <c r="P32" s="3">
        <f t="shared" si="1"/>
        <v>0.38034296881177193</v>
      </c>
      <c r="Q32" s="3"/>
      <c r="R32" s="3"/>
      <c r="S32" s="3"/>
      <c r="T32" s="3"/>
      <c r="U32" s="3"/>
      <c r="V32" s="3"/>
      <c r="W32" s="3"/>
    </row>
    <row r="33" spans="1:23" x14ac:dyDescent="0.25">
      <c r="A33" s="2">
        <v>1000000000000000</v>
      </c>
      <c r="B33" s="2">
        <v>1.962E-4</v>
      </c>
      <c r="C33" s="2">
        <v>5.1840000000000002E-4</v>
      </c>
      <c r="D33" s="2">
        <v>-9.9550000000000007E-4</v>
      </c>
      <c r="E33" s="2">
        <v>0</v>
      </c>
      <c r="F33" s="2">
        <v>0</v>
      </c>
      <c r="G33" s="2">
        <v>0</v>
      </c>
      <c r="H33" s="2">
        <v>1.828601E-4</v>
      </c>
      <c r="I33" s="2">
        <v>6.2578772999999997E-5</v>
      </c>
      <c r="J33" s="2">
        <v>-4.7908066999999998E-4</v>
      </c>
      <c r="K33" s="3"/>
      <c r="L33" s="3">
        <f t="shared" si="0"/>
        <v>0.19708689100954294</v>
      </c>
      <c r="M33" s="3"/>
      <c r="N33" s="2">
        <f>IF('Modell einstellen'!$B$1="Voll",H33/0.35,H33/0.35*2)</f>
        <v>5.2245742857142861E-4</v>
      </c>
      <c r="O33" s="2">
        <f>IF('Modell einstellen'!$B$1="Voll",J33/0.35,J33/0.35*2)</f>
        <v>-1.3688019142857144E-3</v>
      </c>
      <c r="P33" s="3">
        <f t="shared" si="1"/>
        <v>0.3816895805877536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3.468E-5</v>
      </c>
      <c r="C3" s="3">
        <v>1.55E-4</v>
      </c>
      <c r="D3" s="3">
        <v>-4.8509999999999997E-4</v>
      </c>
      <c r="E3" s="3">
        <v>0</v>
      </c>
      <c r="F3" s="3">
        <v>0</v>
      </c>
      <c r="G3" s="3">
        <v>0</v>
      </c>
      <c r="H3" s="3">
        <v>7.4790100000000001E-5</v>
      </c>
      <c r="I3" s="3">
        <v>1.5852278E-5</v>
      </c>
      <c r="J3" s="3">
        <v>-2.0706317999999999E-4</v>
      </c>
      <c r="L3" s="3">
        <f>-B3/D3</f>
        <v>7.1490414347557207E-2</v>
      </c>
      <c r="M3" s="3"/>
      <c r="N3" s="2">
        <f>IF('Modell einstellen'!$B$1="Voll",H3/0.35,H3/0.35*2)</f>
        <v>2.1368600000000001E-4</v>
      </c>
      <c r="O3" s="2">
        <f>IF('Modell einstellen'!$B$1="Voll",J3/0.35,J3/0.35*2)</f>
        <v>-5.9160908571428571E-4</v>
      </c>
      <c r="P3" s="3">
        <f>-N3/O3</f>
        <v>0.36119458804795718</v>
      </c>
    </row>
    <row r="4" spans="1:16" x14ac:dyDescent="0.25">
      <c r="A4" s="3">
        <v>1E-14</v>
      </c>
      <c r="B4" s="3">
        <v>3.468E-5</v>
      </c>
      <c r="C4" s="3">
        <v>1.55E-4</v>
      </c>
      <c r="D4" s="3">
        <v>-4.8509999999999997E-4</v>
      </c>
      <c r="E4" s="3">
        <v>0</v>
      </c>
      <c r="F4" s="3">
        <v>0</v>
      </c>
      <c r="G4" s="3">
        <v>0</v>
      </c>
      <c r="H4" s="3">
        <v>7.4791625000000006E-5</v>
      </c>
      <c r="I4" s="3">
        <v>1.5853465000000001E-5</v>
      </c>
      <c r="J4" s="3">
        <v>-2.0705939000000001E-4</v>
      </c>
      <c r="L4" s="3">
        <f t="shared" ref="L4:L33" si="0">-B4/D4</f>
        <v>7.1490414347557207E-2</v>
      </c>
      <c r="M4" s="3"/>
      <c r="N4" s="2">
        <f>IF('Modell einstellen'!$B$1="Voll",H4/0.35,H4/0.35*2)</f>
        <v>2.1369035714285717E-4</v>
      </c>
      <c r="O4" s="2">
        <f>IF('Modell einstellen'!$B$1="Voll",J4/0.35,J4/0.35*2)</f>
        <v>-5.9159825714285717E-4</v>
      </c>
      <c r="P4" s="3">
        <f t="shared" ref="P4:P33" si="1">-N4/O4</f>
        <v>0.36120856436406967</v>
      </c>
    </row>
    <row r="5" spans="1:16" x14ac:dyDescent="0.25">
      <c r="A5" s="3">
        <v>1E-13</v>
      </c>
      <c r="B5" s="3">
        <v>3.468E-5</v>
      </c>
      <c r="C5" s="3">
        <v>1.55E-4</v>
      </c>
      <c r="D5" s="3">
        <v>-4.8509999999999997E-4</v>
      </c>
      <c r="E5" s="3">
        <v>0</v>
      </c>
      <c r="F5" s="3">
        <v>0</v>
      </c>
      <c r="G5" s="3">
        <v>0</v>
      </c>
      <c r="H5" s="3">
        <v>7.4792006999999997E-5</v>
      </c>
      <c r="I5" s="3">
        <v>1.5853645E-5</v>
      </c>
      <c r="J5" s="3">
        <v>-2.0706043E-4</v>
      </c>
      <c r="L5" s="3">
        <f t="shared" si="0"/>
        <v>7.1490414347557207E-2</v>
      </c>
      <c r="M5" s="3"/>
      <c r="N5" s="2">
        <f>IF('Modell einstellen'!$B$1="Voll",H5/0.35,H5/0.35*2)</f>
        <v>2.1369144857142858E-4</v>
      </c>
      <c r="O5" s="2">
        <f>IF('Modell einstellen'!$B$1="Voll",J5/0.35,J5/0.35*2)</f>
        <v>-5.9160122857142858E-4</v>
      </c>
      <c r="P5" s="3">
        <f t="shared" si="1"/>
        <v>0.36120859499808822</v>
      </c>
    </row>
    <row r="6" spans="1:16" x14ac:dyDescent="0.25">
      <c r="A6" s="3">
        <v>9.9999999999999998E-13</v>
      </c>
      <c r="B6" s="3">
        <v>3.468E-5</v>
      </c>
      <c r="C6" s="3">
        <v>1.55E-4</v>
      </c>
      <c r="D6" s="3">
        <v>-4.8509999999999997E-4</v>
      </c>
      <c r="E6" s="3">
        <v>0</v>
      </c>
      <c r="F6" s="3">
        <v>0</v>
      </c>
      <c r="G6" s="3">
        <v>0</v>
      </c>
      <c r="H6" s="3">
        <v>7.4792142999999996E-5</v>
      </c>
      <c r="I6" s="3">
        <v>1.5853695999999999E-5</v>
      </c>
      <c r="J6" s="3">
        <v>-2.0706076000000001E-4</v>
      </c>
      <c r="L6" s="3">
        <f t="shared" si="0"/>
        <v>7.1490414347557207E-2</v>
      </c>
      <c r="M6" s="3"/>
      <c r="N6" s="2">
        <f>IF('Modell einstellen'!$B$1="Voll",H6/0.35,H6/0.35*2)</f>
        <v>2.1369183714285714E-4</v>
      </c>
      <c r="O6" s="2">
        <f>IF('Modell einstellen'!$B$1="Voll",J6/0.35,J6/0.35*2)</f>
        <v>-5.9160217142857153E-4</v>
      </c>
      <c r="P6" s="3">
        <f t="shared" si="1"/>
        <v>0.36120867613931285</v>
      </c>
    </row>
    <row r="7" spans="1:16" x14ac:dyDescent="0.25">
      <c r="A7" s="3">
        <v>9.9999999999999994E-12</v>
      </c>
      <c r="B7" s="3">
        <v>3.468E-5</v>
      </c>
      <c r="C7" s="3">
        <v>1.55E-4</v>
      </c>
      <c r="D7" s="3">
        <v>-4.8509999999999997E-4</v>
      </c>
      <c r="E7" s="3">
        <v>0</v>
      </c>
      <c r="F7" s="3">
        <v>0</v>
      </c>
      <c r="G7" s="3">
        <v>0</v>
      </c>
      <c r="H7" s="3">
        <v>7.4792356999999995E-5</v>
      </c>
      <c r="I7" s="3">
        <v>1.5853729999999999E-5</v>
      </c>
      <c r="J7" s="3">
        <v>-2.0706112000000001E-4</v>
      </c>
      <c r="L7" s="3">
        <f t="shared" si="0"/>
        <v>7.1490414347557207E-2</v>
      </c>
      <c r="M7" s="3"/>
      <c r="N7" s="2">
        <f>IF('Modell einstellen'!$B$1="Voll",H7/0.35,H7/0.35*2)</f>
        <v>2.1369244857142856E-4</v>
      </c>
      <c r="O7" s="2">
        <f>IF('Modell einstellen'!$B$1="Voll",J7/0.35,J7/0.35*2)</f>
        <v>-5.9160320000000008E-4</v>
      </c>
      <c r="P7" s="3">
        <f t="shared" si="1"/>
        <v>0.36120908164700349</v>
      </c>
    </row>
    <row r="8" spans="1:16" x14ac:dyDescent="0.25">
      <c r="A8" s="3">
        <v>1E-10</v>
      </c>
      <c r="B8" s="3">
        <v>3.468E-5</v>
      </c>
      <c r="C8" s="3">
        <v>1.551E-4</v>
      </c>
      <c r="D8" s="3">
        <v>-4.8509999999999997E-4</v>
      </c>
      <c r="E8" s="3">
        <v>0</v>
      </c>
      <c r="F8" s="3">
        <v>0</v>
      </c>
      <c r="G8" s="3">
        <v>0</v>
      </c>
      <c r="H8" s="3">
        <v>7.4794112000000002E-5</v>
      </c>
      <c r="I8" s="3">
        <v>1.5853919999999999E-5</v>
      </c>
      <c r="J8" s="3">
        <v>-2.0706388000000001E-4</v>
      </c>
      <c r="L8" s="3">
        <f t="shared" si="0"/>
        <v>7.1490414347557207E-2</v>
      </c>
      <c r="M8" s="3"/>
      <c r="N8" s="2">
        <f>IF('Modell einstellen'!$B$1="Voll",H8/0.35,H8/0.35*2)</f>
        <v>2.1369746285714288E-4</v>
      </c>
      <c r="O8" s="2">
        <f>IF('Modell einstellen'!$B$1="Voll",J8/0.35,J8/0.35*2)</f>
        <v>-5.9161108571428574E-4</v>
      </c>
      <c r="P8" s="3">
        <f t="shared" si="1"/>
        <v>0.36121274265700037</v>
      </c>
    </row>
    <row r="9" spans="1:16" x14ac:dyDescent="0.25">
      <c r="A9" s="3">
        <v>1.0000000000000001E-9</v>
      </c>
      <c r="B9" s="3">
        <v>3.4659999999999997E-5</v>
      </c>
      <c r="C9" s="3">
        <v>1.551E-4</v>
      </c>
      <c r="D9" s="3">
        <v>-4.8509999999999997E-4</v>
      </c>
      <c r="E9" s="3">
        <v>0</v>
      </c>
      <c r="F9" s="3">
        <v>0</v>
      </c>
      <c r="G9" s="3">
        <v>0</v>
      </c>
      <c r="H9" s="3">
        <v>7.4811426000000005E-5</v>
      </c>
      <c r="I9" s="3">
        <v>1.5855758E-5</v>
      </c>
      <c r="J9" s="3">
        <v>-2.0709092999999999E-4</v>
      </c>
      <c r="L9" s="3">
        <f t="shared" si="0"/>
        <v>7.1449185734900014E-2</v>
      </c>
      <c r="M9" s="3"/>
      <c r="N9" s="2">
        <f>IF('Modell einstellen'!$B$1="Voll",H9/0.35,H9/0.35*2)</f>
        <v>2.1374693142857146E-4</v>
      </c>
      <c r="O9" s="2">
        <f>IF('Modell einstellen'!$B$1="Voll",J9/0.35,J9/0.35*2)</f>
        <v>-5.9168837142857143E-4</v>
      </c>
      <c r="P9" s="3">
        <f t="shared" si="1"/>
        <v>0.36124916721364869</v>
      </c>
    </row>
    <row r="10" spans="1:16" x14ac:dyDescent="0.25">
      <c r="A10" s="3">
        <v>1E-8</v>
      </c>
      <c r="B10" s="3">
        <v>3.4459999999999999E-5</v>
      </c>
      <c r="C10" s="3">
        <v>1.552E-4</v>
      </c>
      <c r="D10" s="3">
        <v>-4.8519999999999998E-4</v>
      </c>
      <c r="E10" s="3">
        <v>0</v>
      </c>
      <c r="F10" s="3">
        <v>0</v>
      </c>
      <c r="G10" s="3">
        <v>0</v>
      </c>
      <c r="H10" s="3">
        <v>7.4978583999999997E-5</v>
      </c>
      <c r="I10" s="3">
        <v>1.5873497000000002E-5</v>
      </c>
      <c r="J10" s="3">
        <v>-2.0735202999999999E-4</v>
      </c>
      <c r="L10" s="3">
        <f t="shared" si="0"/>
        <v>7.1022258862324814E-2</v>
      </c>
      <c r="M10" s="3"/>
      <c r="N10" s="2">
        <f>IF('Modell einstellen'!$B$1="Voll",H10/0.35,H10/0.35*2)</f>
        <v>2.1422452571428572E-4</v>
      </c>
      <c r="O10" s="2">
        <f>IF('Modell einstellen'!$B$1="Voll",J10/0.35,J10/0.35*2)</f>
        <v>-5.9243437142857147E-4</v>
      </c>
      <c r="P10" s="3">
        <f t="shared" si="1"/>
        <v>0.36160043381297013</v>
      </c>
    </row>
    <row r="11" spans="1:16" x14ac:dyDescent="0.25">
      <c r="A11" s="3">
        <v>9.9999999999999995E-8</v>
      </c>
      <c r="B11" s="3">
        <v>3.2830000000000002E-5</v>
      </c>
      <c r="C11" s="3">
        <v>1.5640000000000001E-4</v>
      </c>
      <c r="D11" s="3">
        <v>-4.86E-4</v>
      </c>
      <c r="E11" s="3">
        <v>0</v>
      </c>
      <c r="F11" s="3">
        <v>0</v>
      </c>
      <c r="G11" s="3">
        <v>0</v>
      </c>
      <c r="H11" s="3">
        <v>7.6321051999999999E-5</v>
      </c>
      <c r="I11" s="3">
        <v>1.6015269000000001E-5</v>
      </c>
      <c r="J11" s="3">
        <v>-2.0944478000000001E-4</v>
      </c>
      <c r="L11" s="3">
        <f t="shared" si="0"/>
        <v>6.7551440329218115E-2</v>
      </c>
      <c r="M11" s="3"/>
      <c r="N11" s="2">
        <f>IF('Modell einstellen'!$B$1="Voll",H11/0.35,H11/0.35*2)</f>
        <v>2.1806014857142858E-4</v>
      </c>
      <c r="O11" s="2">
        <f>IF('Modell einstellen'!$B$1="Voll",J11/0.35,J11/0.35*2)</f>
        <v>-5.9841365714285717E-4</v>
      </c>
      <c r="P11" s="3">
        <f t="shared" si="1"/>
        <v>0.3643970119474928</v>
      </c>
    </row>
    <row r="12" spans="1:16" x14ac:dyDescent="0.25">
      <c r="A12" s="3">
        <v>9.9999999999999995E-7</v>
      </c>
      <c r="B12" s="3">
        <v>2.9479999999999999E-5</v>
      </c>
      <c r="C12" s="3">
        <v>1.5980000000000001E-4</v>
      </c>
      <c r="D12" s="3">
        <v>-4.8870000000000001E-4</v>
      </c>
      <c r="E12" s="3">
        <v>0</v>
      </c>
      <c r="F12" s="3">
        <v>0</v>
      </c>
      <c r="G12" s="3">
        <v>0</v>
      </c>
      <c r="H12" s="3">
        <v>7.9560495000000005E-5</v>
      </c>
      <c r="I12" s="3">
        <v>1.6390747000000001E-5</v>
      </c>
      <c r="J12" s="3">
        <v>-2.1457164999999999E-4</v>
      </c>
      <c r="L12" s="3">
        <f t="shared" si="0"/>
        <v>6.032330673214651E-2</v>
      </c>
      <c r="M12" s="3"/>
      <c r="N12" s="2">
        <f>IF('Modell einstellen'!$B$1="Voll",H12/0.35,H12/0.35*2)</f>
        <v>2.2731570000000004E-4</v>
      </c>
      <c r="O12" s="2">
        <f>IF('Modell einstellen'!$B$1="Voll",J12/0.35,J12/0.35*2)</f>
        <v>-6.1306185714285716E-4</v>
      </c>
      <c r="P12" s="3">
        <f t="shared" si="1"/>
        <v>0.37078754346158971</v>
      </c>
    </row>
    <row r="13" spans="1:16" x14ac:dyDescent="0.25">
      <c r="A13" s="3">
        <v>1.0000000000000001E-5</v>
      </c>
      <c r="B13" s="3">
        <v>2.6650000000000001E-5</v>
      </c>
      <c r="C13" s="3">
        <v>1.6200000000000001E-4</v>
      </c>
      <c r="D13" s="3">
        <v>-4.8990000000000004E-4</v>
      </c>
      <c r="E13" s="3">
        <v>0</v>
      </c>
      <c r="F13" s="3">
        <v>0</v>
      </c>
      <c r="G13" s="3">
        <v>0</v>
      </c>
      <c r="H13" s="3">
        <v>8.1884774999999997E-5</v>
      </c>
      <c r="I13" s="3">
        <v>1.6641605E-5</v>
      </c>
      <c r="J13" s="3">
        <v>-2.1817008000000001E-4</v>
      </c>
      <c r="L13" s="3">
        <f t="shared" si="0"/>
        <v>5.4398856909573377E-2</v>
      </c>
      <c r="M13" s="3"/>
      <c r="N13" s="2">
        <f>IF('Modell einstellen'!$B$1="Voll",H13/0.35,H13/0.35*2)</f>
        <v>2.3395650000000002E-4</v>
      </c>
      <c r="O13" s="2">
        <f>IF('Modell einstellen'!$B$1="Voll",J13/0.35,J13/0.35*2)</f>
        <v>-6.2334308571428576E-4</v>
      </c>
      <c r="P13" s="3">
        <f t="shared" si="1"/>
        <v>0.37532541125712565</v>
      </c>
    </row>
    <row r="14" spans="1:16" x14ac:dyDescent="0.25">
      <c r="A14" s="3">
        <v>1E-4</v>
      </c>
      <c r="B14" s="3">
        <v>2.366E-5</v>
      </c>
      <c r="C14" s="3">
        <v>1.641E-4</v>
      </c>
      <c r="D14" s="3">
        <v>-4.9089999999999995E-4</v>
      </c>
      <c r="E14" s="3">
        <v>0</v>
      </c>
      <c r="F14" s="3">
        <v>0</v>
      </c>
      <c r="G14" s="3">
        <v>0</v>
      </c>
      <c r="H14" s="3">
        <v>8.4240268000000006E-5</v>
      </c>
      <c r="I14" s="3">
        <v>1.6889707000000001E-5</v>
      </c>
      <c r="J14" s="3">
        <v>-2.2178466000000001E-4</v>
      </c>
      <c r="L14" s="3">
        <f t="shared" si="0"/>
        <v>4.8197188836830315E-2</v>
      </c>
      <c r="M14" s="3"/>
      <c r="N14" s="2">
        <f>IF('Modell einstellen'!$B$1="Voll",H14/0.35,H14/0.35*2)</f>
        <v>2.4068648000000003E-4</v>
      </c>
      <c r="O14" s="2">
        <f>IF('Modell einstellen'!$B$1="Voll",J14/0.35,J14/0.35*2)</f>
        <v>-6.3367045714285723E-4</v>
      </c>
      <c r="P14" s="3">
        <f t="shared" si="1"/>
        <v>0.37982910089453437</v>
      </c>
    </row>
    <row r="15" spans="1:16" x14ac:dyDescent="0.25">
      <c r="A15" s="3">
        <v>1E-3</v>
      </c>
      <c r="B15" s="3">
        <v>1.995E-5</v>
      </c>
      <c r="C15" s="3">
        <v>1.6660000000000001E-4</v>
      </c>
      <c r="D15" s="3">
        <v>-4.9180000000000003E-4</v>
      </c>
      <c r="E15" s="3">
        <v>0</v>
      </c>
      <c r="F15" s="3">
        <v>0</v>
      </c>
      <c r="G15" s="3">
        <v>0</v>
      </c>
      <c r="H15" s="3">
        <v>8.7018033999999999E-5</v>
      </c>
      <c r="I15" s="3">
        <v>1.7173982999999999E-5</v>
      </c>
      <c r="J15" s="3">
        <v>-2.2600305E-4</v>
      </c>
      <c r="L15" s="3">
        <f t="shared" si="0"/>
        <v>4.0565270435136233E-2</v>
      </c>
      <c r="M15" s="3"/>
      <c r="N15" s="2">
        <f>IF('Modell einstellen'!$B$1="Voll",H15/0.35,H15/0.35*2)</f>
        <v>2.486229542857143E-4</v>
      </c>
      <c r="O15" s="2">
        <f>IF('Modell einstellen'!$B$1="Voll",J15/0.35,J15/0.35*2)</f>
        <v>-6.4572300000000007E-4</v>
      </c>
      <c r="P15" s="3">
        <f t="shared" si="1"/>
        <v>0.38503035246648221</v>
      </c>
    </row>
    <row r="16" spans="1:16" x14ac:dyDescent="0.25">
      <c r="A16" s="3">
        <v>0.01</v>
      </c>
      <c r="B16" s="3">
        <v>1.5569999999999998E-5</v>
      </c>
      <c r="C16" s="3">
        <v>1.6919999999999999E-4</v>
      </c>
      <c r="D16" s="3">
        <v>-4.9229999999999999E-4</v>
      </c>
      <c r="E16" s="3">
        <v>0</v>
      </c>
      <c r="F16" s="3">
        <v>0</v>
      </c>
      <c r="G16" s="3">
        <v>0</v>
      </c>
      <c r="H16" s="3">
        <v>9.0118676000000003E-5</v>
      </c>
      <c r="I16" s="3">
        <v>1.7480910000000001E-5</v>
      </c>
      <c r="J16" s="3">
        <v>-2.306566E-4</v>
      </c>
      <c r="L16" s="3">
        <f t="shared" si="0"/>
        <v>3.1627056672760508E-2</v>
      </c>
      <c r="M16" s="3"/>
      <c r="N16" s="2">
        <f>IF('Modell einstellen'!$B$1="Voll",H16/0.35,H16/0.35*2)</f>
        <v>2.5748193142857148E-4</v>
      </c>
      <c r="O16" s="2">
        <f>IF('Modell einstellen'!$B$1="Voll",J16/0.35,J16/0.35*2)</f>
        <v>-6.5901885714285716E-4</v>
      </c>
      <c r="P16" s="3">
        <f t="shared" si="1"/>
        <v>0.39070495273059608</v>
      </c>
    </row>
    <row r="17" spans="1:16" x14ac:dyDescent="0.25">
      <c r="A17" s="3">
        <v>0.1</v>
      </c>
      <c r="B17" s="3">
        <v>1.0030000000000001E-5</v>
      </c>
      <c r="C17" s="3">
        <v>1.7229999999999999E-4</v>
      </c>
      <c r="D17" s="3">
        <v>-4.9229999999999999E-4</v>
      </c>
      <c r="E17" s="3">
        <v>0</v>
      </c>
      <c r="F17" s="3">
        <v>0</v>
      </c>
      <c r="G17" s="3">
        <v>0</v>
      </c>
      <c r="H17" s="3">
        <v>9.3836526E-5</v>
      </c>
      <c r="I17" s="3">
        <v>1.7835030999999999E-5</v>
      </c>
      <c r="J17" s="3">
        <v>-2.3616364999999999E-4</v>
      </c>
      <c r="L17" s="3">
        <f t="shared" si="0"/>
        <v>2.0373755839935E-2</v>
      </c>
      <c r="M17" s="3"/>
      <c r="N17" s="2">
        <f>IF('Modell einstellen'!$B$1="Voll",H17/0.35,H17/0.35*2)</f>
        <v>2.6810435999999999E-4</v>
      </c>
      <c r="O17" s="2">
        <f>IF('Modell einstellen'!$B$1="Voll",J17/0.35,J17/0.35*2)</f>
        <v>-6.7475328571428572E-4</v>
      </c>
      <c r="P17" s="3">
        <f t="shared" si="1"/>
        <v>0.39733687212236091</v>
      </c>
    </row>
    <row r="18" spans="1:16" x14ac:dyDescent="0.25">
      <c r="A18" s="3">
        <v>1</v>
      </c>
      <c r="B18" s="3">
        <v>3.225E-6</v>
      </c>
      <c r="C18" s="3">
        <v>1.7560000000000001E-4</v>
      </c>
      <c r="D18" s="3">
        <v>-4.9169999999999997E-4</v>
      </c>
      <c r="E18" s="3">
        <v>0</v>
      </c>
      <c r="F18" s="3">
        <v>0</v>
      </c>
      <c r="G18" s="3">
        <v>0</v>
      </c>
      <c r="H18" s="3">
        <v>9.8138460000000006E-5</v>
      </c>
      <c r="I18" s="3">
        <v>1.8227062E-5</v>
      </c>
      <c r="J18" s="3">
        <v>-2.4244226000000001E-4</v>
      </c>
      <c r="L18" s="3">
        <f t="shared" si="0"/>
        <v>6.5588773642464926E-3</v>
      </c>
      <c r="M18" s="3"/>
      <c r="N18" s="2">
        <f>IF('Modell einstellen'!$B$1="Voll",H18/0.35,H18/0.35*2)</f>
        <v>2.8039560000000006E-4</v>
      </c>
      <c r="O18" s="2">
        <f>IF('Modell einstellen'!$B$1="Voll",J18/0.35,J18/0.35*2)</f>
        <v>-6.9269217142857149E-4</v>
      </c>
      <c r="P18" s="3">
        <f t="shared" si="1"/>
        <v>0.40479106241626361</v>
      </c>
    </row>
    <row r="19" spans="1:16" x14ac:dyDescent="0.25">
      <c r="A19" s="3">
        <v>10</v>
      </c>
      <c r="B19" s="3">
        <v>-4.7060000000000003E-6</v>
      </c>
      <c r="C19" s="3">
        <v>1.7909999999999999E-4</v>
      </c>
      <c r="D19" s="3">
        <v>-4.9019999999999999E-4</v>
      </c>
      <c r="E19" s="3">
        <v>0</v>
      </c>
      <c r="F19" s="3">
        <v>0</v>
      </c>
      <c r="G19" s="3">
        <v>0</v>
      </c>
      <c r="H19" s="3">
        <v>1.0290387999999999E-4</v>
      </c>
      <c r="I19" s="3">
        <v>1.8645671000000001E-5</v>
      </c>
      <c r="J19" s="3">
        <v>-2.4930253999999998E-4</v>
      </c>
      <c r="L19" s="3">
        <f t="shared" si="0"/>
        <v>-9.6001631986944117E-3</v>
      </c>
      <c r="M19" s="3"/>
      <c r="N19" s="2">
        <f>IF('Modell einstellen'!$B$1="Voll",H19/0.35,H19/0.35*2)</f>
        <v>2.9401108571428571E-4</v>
      </c>
      <c r="O19" s="2">
        <f>IF('Modell einstellen'!$B$1="Voll",J19/0.35,J19/0.35*2)</f>
        <v>-7.1229297142857138E-4</v>
      </c>
      <c r="P19" s="3">
        <f t="shared" si="1"/>
        <v>0.41276707409399038</v>
      </c>
    </row>
    <row r="20" spans="1:16" x14ac:dyDescent="0.25">
      <c r="A20" s="3">
        <v>100</v>
      </c>
      <c r="B20" s="3">
        <v>-1.279E-5</v>
      </c>
      <c r="C20" s="3">
        <v>1.8320000000000001E-4</v>
      </c>
      <c r="D20" s="3">
        <v>-4.8890000000000001E-4</v>
      </c>
      <c r="E20" s="3">
        <v>0</v>
      </c>
      <c r="F20" s="3">
        <v>0</v>
      </c>
      <c r="G20" s="3">
        <v>0</v>
      </c>
      <c r="H20" s="3">
        <v>1.0788396E-4</v>
      </c>
      <c r="I20" s="3">
        <v>1.9127388999999999E-5</v>
      </c>
      <c r="J20" s="3">
        <v>-2.5655467000000002E-4</v>
      </c>
      <c r="L20" s="3">
        <f t="shared" si="0"/>
        <v>-2.6160769073430148E-2</v>
      </c>
      <c r="M20" s="3"/>
      <c r="N20" s="2">
        <f>IF('Modell einstellen'!$B$1="Voll",H20/0.35,H20/0.35*2)</f>
        <v>3.0823988571428574E-4</v>
      </c>
      <c r="O20" s="2">
        <f>IF('Modell einstellen'!$B$1="Voll",J20/0.35,J20/0.35*2)</f>
        <v>-7.3301334285714298E-4</v>
      </c>
      <c r="P20" s="3">
        <f t="shared" si="1"/>
        <v>0.42051060695952247</v>
      </c>
    </row>
    <row r="21" spans="1:16" x14ac:dyDescent="0.25">
      <c r="A21" s="3">
        <v>1000</v>
      </c>
      <c r="B21" s="3">
        <v>-1.747E-5</v>
      </c>
      <c r="C21" s="3">
        <v>1.928E-4</v>
      </c>
      <c r="D21" s="3">
        <v>-4.9560000000000001E-4</v>
      </c>
      <c r="E21" s="3">
        <v>0</v>
      </c>
      <c r="F21" s="3">
        <v>0</v>
      </c>
      <c r="G21" s="3">
        <v>0</v>
      </c>
      <c r="H21" s="3">
        <v>1.1405290999999999E-4</v>
      </c>
      <c r="I21" s="3">
        <v>2.0253846000000002E-5</v>
      </c>
      <c r="J21" s="3">
        <v>-2.6706981E-4</v>
      </c>
      <c r="L21" s="3">
        <f t="shared" si="0"/>
        <v>-3.5250201775625503E-2</v>
      </c>
      <c r="M21" s="3"/>
      <c r="N21" s="2">
        <f>IF('Modell einstellen'!$B$1="Voll",H21/0.35,H21/0.35*2)</f>
        <v>3.2586545714285715E-4</v>
      </c>
      <c r="O21" s="2">
        <f>IF('Modell einstellen'!$B$1="Voll",J21/0.35,J21/0.35*2)</f>
        <v>-7.6305660000000001E-4</v>
      </c>
      <c r="P21" s="3">
        <f t="shared" si="1"/>
        <v>0.42705279941600288</v>
      </c>
    </row>
    <row r="22" spans="1:16" x14ac:dyDescent="0.25">
      <c r="A22" s="3">
        <v>10000</v>
      </c>
      <c r="B22" s="3">
        <v>-5.2789999999999998E-6</v>
      </c>
      <c r="C22" s="3">
        <v>2.229E-4</v>
      </c>
      <c r="D22" s="3">
        <v>-5.3569999999999996E-4</v>
      </c>
      <c r="E22" s="3">
        <v>0</v>
      </c>
      <c r="F22" s="3">
        <v>0</v>
      </c>
      <c r="G22" s="3">
        <v>0</v>
      </c>
      <c r="H22" s="3">
        <v>1.2360081000000001E-4</v>
      </c>
      <c r="I22" s="3">
        <v>2.3790224E-5</v>
      </c>
      <c r="J22" s="3">
        <v>-2.8871531E-4</v>
      </c>
      <c r="L22" s="3">
        <f t="shared" si="0"/>
        <v>-9.8543961172297932E-3</v>
      </c>
      <c r="M22" s="3"/>
      <c r="N22" s="2">
        <f>IF('Modell einstellen'!$B$1="Voll",H22/0.35,H22/0.35*2)</f>
        <v>3.531451714285715E-4</v>
      </c>
      <c r="O22" s="2">
        <f>IF('Modell einstellen'!$B$1="Voll",J22/0.35,J22/0.35*2)</f>
        <v>-8.2490088571428571E-4</v>
      </c>
      <c r="P22" s="3">
        <f t="shared" si="1"/>
        <v>0.4281061852937415</v>
      </c>
    </row>
    <row r="23" spans="1:16" x14ac:dyDescent="0.25">
      <c r="A23" s="3">
        <v>100000</v>
      </c>
      <c r="B23" s="3">
        <v>2.5539999999999999E-5</v>
      </c>
      <c r="C23" s="3">
        <v>2.7549999999999997E-4</v>
      </c>
      <c r="D23" s="3">
        <v>-6.1240000000000003E-4</v>
      </c>
      <c r="E23" s="3">
        <v>0</v>
      </c>
      <c r="F23" s="3">
        <v>0</v>
      </c>
      <c r="G23" s="3">
        <v>0</v>
      </c>
      <c r="H23" s="3">
        <v>1.3574512999999999E-4</v>
      </c>
      <c r="I23" s="3">
        <v>3.0137209000000001E-5</v>
      </c>
      <c r="J23" s="3">
        <v>-3.2208725000000001E-4</v>
      </c>
      <c r="L23" s="3">
        <f t="shared" si="0"/>
        <v>4.1704768125408229E-2</v>
      </c>
      <c r="M23" s="3"/>
      <c r="N23" s="2">
        <f>IF('Modell einstellen'!$B$1="Voll",H23/0.35,H23/0.35*2)</f>
        <v>3.8784322857142857E-4</v>
      </c>
      <c r="O23" s="2">
        <f>IF('Modell einstellen'!$B$1="Voll",J23/0.35,J23/0.35*2)</f>
        <v>-9.2024928571428583E-4</v>
      </c>
      <c r="P23" s="3">
        <f t="shared" si="1"/>
        <v>0.42145452823730212</v>
      </c>
    </row>
    <row r="24" spans="1:16" x14ac:dyDescent="0.25">
      <c r="A24" s="3">
        <v>1000000</v>
      </c>
      <c r="B24" s="3">
        <v>6.2370000000000001E-5</v>
      </c>
      <c r="C24" s="3">
        <v>3.3389999999999998E-4</v>
      </c>
      <c r="D24" s="3">
        <v>-6.9990000000000004E-4</v>
      </c>
      <c r="E24" s="3">
        <v>0</v>
      </c>
      <c r="F24" s="3">
        <v>0</v>
      </c>
      <c r="G24" s="3">
        <v>0</v>
      </c>
      <c r="H24" s="3">
        <v>1.4742075999999999E-4</v>
      </c>
      <c r="I24" s="3">
        <v>3.7465146000000001E-5</v>
      </c>
      <c r="J24" s="3">
        <v>-3.5829455000000002E-4</v>
      </c>
      <c r="L24" s="3">
        <f t="shared" si="0"/>
        <v>8.9112730390055711E-2</v>
      </c>
      <c r="M24" s="3"/>
      <c r="N24" s="2">
        <f>IF('Modell einstellen'!$B$1="Voll",H24/0.35,H24/0.35*2)</f>
        <v>4.2120217142857145E-4</v>
      </c>
      <c r="O24" s="2">
        <f>IF('Modell einstellen'!$B$1="Voll",J24/0.35,J24/0.35*2)</f>
        <v>-1.0236987142857143E-3</v>
      </c>
      <c r="P24" s="3">
        <f t="shared" si="1"/>
        <v>0.41145130452026135</v>
      </c>
    </row>
    <row r="25" spans="1:16" x14ac:dyDescent="0.25">
      <c r="A25" s="3">
        <v>10000000</v>
      </c>
      <c r="B25" s="3">
        <v>9.5530000000000002E-5</v>
      </c>
      <c r="C25" s="3">
        <v>3.8739999999999998E-4</v>
      </c>
      <c r="D25" s="3">
        <v>-7.7990000000000004E-4</v>
      </c>
      <c r="E25" s="3">
        <v>0</v>
      </c>
      <c r="F25" s="3">
        <v>0</v>
      </c>
      <c r="G25" s="3">
        <v>0</v>
      </c>
      <c r="H25" s="3">
        <v>1.578293E-4</v>
      </c>
      <c r="I25" s="3">
        <v>4.4431590000000003E-5</v>
      </c>
      <c r="J25" s="3">
        <v>-3.9221622000000002E-4</v>
      </c>
      <c r="L25" s="3">
        <f t="shared" si="0"/>
        <v>0.12249006282856777</v>
      </c>
      <c r="M25" s="3"/>
      <c r="N25" s="2">
        <f>IF('Modell einstellen'!$B$1="Voll",H25/0.35,H25/0.35*2)</f>
        <v>4.5094085714285717E-4</v>
      </c>
      <c r="O25" s="2">
        <f>IF('Modell einstellen'!$B$1="Voll",J25/0.35,J25/0.35*2)</f>
        <v>-1.1206177714285716E-3</v>
      </c>
      <c r="P25" s="3">
        <f t="shared" si="1"/>
        <v>0.40240380675740534</v>
      </c>
    </row>
    <row r="26" spans="1:16" x14ac:dyDescent="0.25">
      <c r="A26" s="3">
        <v>100000000</v>
      </c>
      <c r="B26" s="3">
        <v>1.195E-4</v>
      </c>
      <c r="C26" s="3">
        <v>4.35E-4</v>
      </c>
      <c r="D26" s="3">
        <v>-8.4699999999999999E-4</v>
      </c>
      <c r="E26" s="3">
        <v>0</v>
      </c>
      <c r="F26" s="3">
        <v>0</v>
      </c>
      <c r="G26" s="3">
        <v>0</v>
      </c>
      <c r="H26" s="3">
        <v>1.6849258E-4</v>
      </c>
      <c r="I26" s="3">
        <v>5.0867713999999999E-5</v>
      </c>
      <c r="J26" s="3">
        <v>-4.2503350000000002E-4</v>
      </c>
      <c r="L26" s="3">
        <f t="shared" si="0"/>
        <v>0.14108618654073199</v>
      </c>
      <c r="M26" s="3"/>
      <c r="N26" s="2">
        <f>IF('Modell einstellen'!$B$1="Voll",H26/0.35,H26/0.35*2)</f>
        <v>4.8140737142857143E-4</v>
      </c>
      <c r="O26" s="2">
        <f>IF('Modell einstellen'!$B$1="Voll",J26/0.35,J26/0.35*2)</f>
        <v>-1.2143814285714286E-3</v>
      </c>
      <c r="P26" s="3">
        <f t="shared" si="1"/>
        <v>0.39642188203988626</v>
      </c>
    </row>
    <row r="27" spans="1:16" x14ac:dyDescent="0.25">
      <c r="A27" s="3">
        <v>1000000000</v>
      </c>
      <c r="B27" s="3">
        <v>1.3559999999999999E-4</v>
      </c>
      <c r="C27" s="3">
        <v>4.7649999999999998E-4</v>
      </c>
      <c r="D27" s="3">
        <v>-9.0209999999999997E-4</v>
      </c>
      <c r="E27" s="3">
        <v>0</v>
      </c>
      <c r="F27" s="3">
        <v>0</v>
      </c>
      <c r="G27" s="3">
        <v>0</v>
      </c>
      <c r="H27" s="3">
        <v>1.7896996E-4</v>
      </c>
      <c r="I27" s="3">
        <v>5.6670370000000003E-5</v>
      </c>
      <c r="J27" s="3">
        <v>-4.5581248000000003E-4</v>
      </c>
      <c r="L27" s="3">
        <f t="shared" si="0"/>
        <v>0.15031592949783837</v>
      </c>
      <c r="M27" s="3"/>
      <c r="N27" s="2">
        <f>IF('Modell einstellen'!$B$1="Voll",H27/0.35,H27/0.35*2)</f>
        <v>5.113427428571429E-4</v>
      </c>
      <c r="O27" s="2">
        <f>IF('Modell einstellen'!$B$1="Voll",J27/0.35,J27/0.35*2)</f>
        <v>-1.3023213714285717E-3</v>
      </c>
      <c r="P27" s="3">
        <f t="shared" si="1"/>
        <v>0.39263944681813007</v>
      </c>
    </row>
    <row r="28" spans="1:16" x14ac:dyDescent="0.25">
      <c r="A28" s="3">
        <v>10000000000</v>
      </c>
      <c r="B28" s="3">
        <v>1.429E-4</v>
      </c>
      <c r="C28" s="3">
        <v>5.1519999999999995E-4</v>
      </c>
      <c r="D28" s="3">
        <v>-9.4709999999999998E-4</v>
      </c>
      <c r="E28" s="3">
        <v>0</v>
      </c>
      <c r="F28" s="3">
        <v>0</v>
      </c>
      <c r="G28" s="3">
        <v>0</v>
      </c>
      <c r="H28" s="3">
        <v>1.9026690000000001E-4</v>
      </c>
      <c r="I28" s="3">
        <v>6.2224995000000001E-5</v>
      </c>
      <c r="J28" s="3">
        <v>-4.8689394E-4</v>
      </c>
      <c r="L28" s="3">
        <f t="shared" si="0"/>
        <v>0.15088163868651674</v>
      </c>
      <c r="M28" s="3"/>
      <c r="N28" s="2">
        <f>IF('Modell einstellen'!$B$1="Voll",H28/0.35,H28/0.35*2)</f>
        <v>5.436197142857143E-4</v>
      </c>
      <c r="O28" s="2">
        <f>IF('Modell einstellen'!$B$1="Voll",J28/0.35,J28/0.35*2)</f>
        <v>-1.3911255428571429E-3</v>
      </c>
      <c r="P28" s="3">
        <f t="shared" si="1"/>
        <v>0.3907768907536619</v>
      </c>
    </row>
    <row r="29" spans="1:16" x14ac:dyDescent="0.25">
      <c r="A29" s="3">
        <v>100000000000</v>
      </c>
      <c r="B29" s="3">
        <v>1.4119999999999999E-4</v>
      </c>
      <c r="C29" s="3">
        <v>5.5360000000000001E-4</v>
      </c>
      <c r="D29" s="3">
        <v>-9.8400000000000007E-4</v>
      </c>
      <c r="E29" s="3">
        <v>0</v>
      </c>
      <c r="F29" s="3">
        <v>0</v>
      </c>
      <c r="G29" s="3">
        <v>0</v>
      </c>
      <c r="H29" s="3">
        <v>2.0284666000000001E-4</v>
      </c>
      <c r="I29" s="3">
        <v>6.7849913000000005E-5</v>
      </c>
      <c r="J29" s="3">
        <v>-5.1980020999999998E-4</v>
      </c>
      <c r="L29" s="3">
        <f t="shared" si="0"/>
        <v>0.14349593495934956</v>
      </c>
      <c r="M29" s="3"/>
      <c r="N29" s="2">
        <f>IF('Modell einstellen'!$B$1="Voll",H29/0.35,H29/0.35*2)</f>
        <v>5.795618857142858E-4</v>
      </c>
      <c r="O29" s="2">
        <f>IF('Modell einstellen'!$B$1="Voll",J29/0.35,J29/0.35*2)</f>
        <v>-1.4851434571428572E-3</v>
      </c>
      <c r="P29" s="3">
        <f t="shared" si="1"/>
        <v>0.39023966535142418</v>
      </c>
    </row>
    <row r="30" spans="1:16" x14ac:dyDescent="0.25">
      <c r="A30" s="3">
        <v>1000000000000</v>
      </c>
      <c r="B30" s="3">
        <v>1.2650000000000001E-4</v>
      </c>
      <c r="C30" s="3">
        <v>5.9690000000000003E-4</v>
      </c>
      <c r="D30" s="3">
        <v>-1.0139999999999999E-3</v>
      </c>
      <c r="E30" s="3">
        <v>0</v>
      </c>
      <c r="F30" s="3">
        <v>0</v>
      </c>
      <c r="G30" s="3">
        <v>0</v>
      </c>
      <c r="H30" s="3">
        <v>2.1894986999999999E-4</v>
      </c>
      <c r="I30" s="3">
        <v>7.4361006000000005E-5</v>
      </c>
      <c r="J30" s="3">
        <v>-5.5974648E-4</v>
      </c>
      <c r="L30" s="3">
        <f t="shared" si="0"/>
        <v>0.12475345167652863</v>
      </c>
      <c r="M30" s="3"/>
      <c r="N30" s="2">
        <f>IF('Modell einstellen'!$B$1="Voll",H30/0.35,H30/0.35*2)</f>
        <v>6.2557105714285718E-4</v>
      </c>
      <c r="O30" s="2">
        <f>IF('Modell einstellen'!$B$1="Voll",J30/0.35,J30/0.35*2)</f>
        <v>-1.5992756571428573E-3</v>
      </c>
      <c r="P30" s="3">
        <f t="shared" si="1"/>
        <v>0.39115899397884557</v>
      </c>
    </row>
    <row r="31" spans="1:16" x14ac:dyDescent="0.25">
      <c r="A31" s="3">
        <v>10000000000000</v>
      </c>
      <c r="B31" s="3">
        <v>9.8289999999999996E-5</v>
      </c>
      <c r="C31" s="3">
        <v>6.4689999999999995E-4</v>
      </c>
      <c r="D31" s="3">
        <v>-1.0380000000000001E-3</v>
      </c>
      <c r="E31" s="3">
        <v>0</v>
      </c>
      <c r="F31" s="3">
        <v>0</v>
      </c>
      <c r="G31" s="3">
        <v>0</v>
      </c>
      <c r="H31" s="3">
        <v>2.3898682000000001E-4</v>
      </c>
      <c r="I31" s="3">
        <v>8.2052883999999998E-5</v>
      </c>
      <c r="J31" s="3">
        <v>-6.0811499000000004E-4</v>
      </c>
      <c r="L31" s="3">
        <f t="shared" si="0"/>
        <v>9.469171483622349E-2</v>
      </c>
      <c r="M31" s="3"/>
      <c r="N31" s="2">
        <f>IF('Modell einstellen'!$B$1="Voll",H31/0.35,H31/0.35*2)</f>
        <v>6.8281948571428583E-4</v>
      </c>
      <c r="O31" s="2">
        <f>IF('Modell einstellen'!$B$1="Voll",J31/0.35,J31/0.35*2)</f>
        <v>-1.7374714000000003E-3</v>
      </c>
      <c r="P31" s="3">
        <f t="shared" si="1"/>
        <v>0.39299610095123622</v>
      </c>
    </row>
    <row r="32" spans="1:16" x14ac:dyDescent="0.25">
      <c r="A32" s="3">
        <v>100000000000000</v>
      </c>
      <c r="B32" s="3">
        <v>4.7719999999999997E-5</v>
      </c>
      <c r="C32" s="3">
        <v>7.1009999999999997E-4</v>
      </c>
      <c r="D32" s="3">
        <v>-1.0549999999999999E-3</v>
      </c>
      <c r="E32" s="3">
        <v>0</v>
      </c>
      <c r="F32" s="3">
        <v>0</v>
      </c>
      <c r="G32" s="3">
        <v>0</v>
      </c>
      <c r="H32" s="3">
        <v>2.6616873999999997E-4</v>
      </c>
      <c r="I32" s="3">
        <v>9.2008418000000001E-5</v>
      </c>
      <c r="J32" s="3">
        <v>-6.7207818000000004E-4</v>
      </c>
      <c r="L32" s="3">
        <f t="shared" si="0"/>
        <v>4.5232227488151658E-2</v>
      </c>
      <c r="M32" s="3"/>
      <c r="N32" s="2">
        <f>IF('Modell einstellen'!$B$1="Voll",H32/0.35,H32/0.35*2)</f>
        <v>7.6048211428571429E-4</v>
      </c>
      <c r="O32" s="2">
        <f>IF('Modell einstellen'!$B$1="Voll",J32/0.35,J32/0.35*2)</f>
        <v>-1.9202233714285717E-3</v>
      </c>
      <c r="P32" s="3">
        <f t="shared" si="1"/>
        <v>0.39603835970392604</v>
      </c>
    </row>
    <row r="33" spans="1:16" x14ac:dyDescent="0.25">
      <c r="A33" s="3">
        <v>1000000000000000</v>
      </c>
      <c r="B33" s="3">
        <v>-3.9440000000000002E-5</v>
      </c>
      <c r="C33" s="3">
        <v>7.9480000000000002E-4</v>
      </c>
      <c r="D33" s="3">
        <v>-1.057E-3</v>
      </c>
      <c r="E33" s="3">
        <v>0</v>
      </c>
      <c r="F33" s="3">
        <v>0</v>
      </c>
      <c r="G33" s="3">
        <v>0</v>
      </c>
      <c r="H33" s="3">
        <v>3.0486142000000002E-4</v>
      </c>
      <c r="I33" s="3">
        <v>1.0569819E-4</v>
      </c>
      <c r="J33" s="3">
        <v>-7.6135022000000004E-4</v>
      </c>
      <c r="L33" s="3">
        <f t="shared" si="0"/>
        <v>-3.7313150425733209E-2</v>
      </c>
      <c r="M33" s="3"/>
      <c r="N33" s="2">
        <f>IF('Modell einstellen'!$B$1="Voll",H33/0.35,H33/0.35*2)</f>
        <v>8.7103262857142873E-4</v>
      </c>
      <c r="O33" s="2">
        <f>IF('Modell einstellen'!$B$1="Voll",J33/0.35,J33/0.35*2)</f>
        <v>-2.1752863428571431E-3</v>
      </c>
      <c r="P33" s="3">
        <f t="shared" si="1"/>
        <v>0.40042205543724679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3.642E-5</v>
      </c>
      <c r="C3" s="3">
        <v>1.563E-4</v>
      </c>
      <c r="D3" s="3">
        <v>-4.8769999999999998E-4</v>
      </c>
      <c r="E3" s="3">
        <v>0</v>
      </c>
      <c r="F3" s="3">
        <v>0</v>
      </c>
      <c r="G3" s="3">
        <v>0</v>
      </c>
      <c r="H3" s="3">
        <v>7.4962001999999997E-5</v>
      </c>
      <c r="I3" s="3">
        <v>1.5994803E-5</v>
      </c>
      <c r="J3" s="3">
        <v>-2.0770877000000001E-4</v>
      </c>
      <c r="K3" s="3"/>
      <c r="L3" s="3">
        <f>-B3/D3</f>
        <v>7.4677055566946898E-2</v>
      </c>
      <c r="M3" s="3"/>
      <c r="N3" s="2">
        <f>IF('Modell einstellen'!$B$1="Voll",H3/0.35,H3/0.35*2)</f>
        <v>2.1417714857142859E-4</v>
      </c>
      <c r="O3" s="2">
        <f>IF('Modell einstellen'!$B$1="Voll",J3/0.35,J3/0.35*2)</f>
        <v>-5.934536285714286E-4</v>
      </c>
      <c r="P3" s="3">
        <f>-N3/O3</f>
        <v>0.36089955180996935</v>
      </c>
      <c r="Q3" s="3"/>
      <c r="R3" s="3"/>
      <c r="S3" s="3"/>
      <c r="T3" s="3"/>
      <c r="U3" s="3"/>
    </row>
    <row r="4" spans="1:21" x14ac:dyDescent="0.25">
      <c r="A4" s="3">
        <v>1E-14</v>
      </c>
      <c r="B4" s="3">
        <v>3.6409999999999999E-5</v>
      </c>
      <c r="C4" s="3">
        <v>1.563E-4</v>
      </c>
      <c r="D4" s="3">
        <v>-4.8769999999999998E-4</v>
      </c>
      <c r="E4" s="3">
        <v>0</v>
      </c>
      <c r="F4" s="3">
        <v>0</v>
      </c>
      <c r="G4" s="3">
        <v>0</v>
      </c>
      <c r="H4" s="3">
        <v>7.4963693000000003E-5</v>
      </c>
      <c r="I4" s="3">
        <v>1.5995968999999999E-5</v>
      </c>
      <c r="J4" s="3">
        <v>-2.0770511E-4</v>
      </c>
      <c r="K4" s="3"/>
      <c r="L4" s="3">
        <f t="shared" ref="L4:L33" si="0">-B4/D4</f>
        <v>7.4656551158499077E-2</v>
      </c>
      <c r="M4" s="3"/>
      <c r="N4" s="2">
        <f>IF('Modell einstellen'!$B$1="Voll",H4/0.35,H4/0.35*2)</f>
        <v>2.1418198000000002E-4</v>
      </c>
      <c r="O4" s="2">
        <f>IF('Modell einstellen'!$B$1="Voll",J4/0.35,J4/0.35*2)</f>
        <v>-5.9344317142857146E-4</v>
      </c>
      <c r="P4" s="3">
        <f t="shared" ref="P4:P33" si="1">-N4/O4</f>
        <v>0.36091405262008242</v>
      </c>
      <c r="Q4" s="3"/>
      <c r="R4" s="3"/>
      <c r="S4" s="3"/>
      <c r="T4" s="3"/>
      <c r="U4" s="3"/>
    </row>
    <row r="5" spans="1:21" x14ac:dyDescent="0.25">
      <c r="A5" s="3">
        <v>1E-13</v>
      </c>
      <c r="B5" s="3">
        <v>3.642E-5</v>
      </c>
      <c r="C5" s="3">
        <v>1.563E-4</v>
      </c>
      <c r="D5" s="3">
        <v>-4.8769999999999998E-4</v>
      </c>
      <c r="E5" s="3">
        <v>0</v>
      </c>
      <c r="F5" s="3">
        <v>0</v>
      </c>
      <c r="G5" s="3">
        <v>0</v>
      </c>
      <c r="H5" s="3">
        <v>7.4965127000000006E-5</v>
      </c>
      <c r="I5" s="3">
        <v>1.5996259999999999E-5</v>
      </c>
      <c r="J5" s="3">
        <v>-2.0770778000000001E-4</v>
      </c>
      <c r="K5" s="3"/>
      <c r="L5" s="3">
        <f t="shared" si="0"/>
        <v>7.4677055566946898E-2</v>
      </c>
      <c r="M5" s="3"/>
      <c r="N5" s="2">
        <f>IF('Modell einstellen'!$B$1="Voll",H5/0.35,H5/0.35*2)</f>
        <v>2.1418607714285718E-4</v>
      </c>
      <c r="O5" s="2">
        <f>IF('Modell einstellen'!$B$1="Voll",J5/0.35,J5/0.35*2)</f>
        <v>-5.9345080000000009E-4</v>
      </c>
      <c r="P5" s="3">
        <f t="shared" si="1"/>
        <v>0.36091631714517386</v>
      </c>
      <c r="Q5" s="3"/>
      <c r="R5" s="3"/>
      <c r="S5" s="3"/>
      <c r="T5" s="3"/>
      <c r="U5" s="3"/>
    </row>
    <row r="6" spans="1:21" x14ac:dyDescent="0.25">
      <c r="A6" s="3">
        <v>9.9999999999999998E-13</v>
      </c>
      <c r="B6" s="3">
        <v>3.6399999999999997E-5</v>
      </c>
      <c r="C6" s="3">
        <v>1.563E-4</v>
      </c>
      <c r="D6" s="3">
        <v>-4.8769999999999998E-4</v>
      </c>
      <c r="E6" s="3">
        <v>0</v>
      </c>
      <c r="F6" s="3">
        <v>0</v>
      </c>
      <c r="G6" s="3">
        <v>0</v>
      </c>
      <c r="H6" s="3">
        <v>7.4975745999999994E-5</v>
      </c>
      <c r="I6" s="3">
        <v>1.5997444000000001E-5</v>
      </c>
      <c r="J6" s="3">
        <v>-2.0772455E-4</v>
      </c>
      <c r="K6" s="3"/>
      <c r="L6" s="3">
        <f t="shared" si="0"/>
        <v>7.4636046750051255E-2</v>
      </c>
      <c r="M6" s="3"/>
      <c r="N6" s="2">
        <f>IF('Modell einstellen'!$B$1="Voll",H6/0.35,H6/0.35*2)</f>
        <v>2.1421641714285713E-4</v>
      </c>
      <c r="O6" s="2">
        <f>IF('Modell einstellen'!$B$1="Voll",J6/0.35,J6/0.35*2)</f>
        <v>-5.9349871428571437E-4</v>
      </c>
      <c r="P6" s="3">
        <f t="shared" si="1"/>
        <v>0.36093830026349794</v>
      </c>
      <c r="Q6" s="3"/>
      <c r="R6" s="3"/>
      <c r="S6" s="3"/>
      <c r="T6" s="3"/>
      <c r="U6" s="3"/>
    </row>
    <row r="7" spans="1:21" x14ac:dyDescent="0.25">
      <c r="A7" s="3">
        <v>9.9999999999999994E-12</v>
      </c>
      <c r="B7" s="3">
        <v>3.6279999999999998E-5</v>
      </c>
      <c r="C7" s="3">
        <v>1.5640000000000001E-4</v>
      </c>
      <c r="D7" s="3">
        <v>-4.8779999999999998E-4</v>
      </c>
      <c r="E7" s="3">
        <v>0</v>
      </c>
      <c r="F7" s="3">
        <v>0</v>
      </c>
      <c r="G7" s="3">
        <v>0</v>
      </c>
      <c r="H7" s="3">
        <v>7.507817E-5</v>
      </c>
      <c r="I7" s="3">
        <v>1.6008523000000001E-5</v>
      </c>
      <c r="J7" s="3">
        <v>-2.0788516999999999E-4</v>
      </c>
      <c r="K7" s="3"/>
      <c r="L7" s="3">
        <f t="shared" si="0"/>
        <v>7.4374743747437466E-2</v>
      </c>
      <c r="M7" s="3"/>
      <c r="N7" s="2">
        <f>IF('Modell einstellen'!$B$1="Voll",H7/0.35,H7/0.35*2)</f>
        <v>2.1450905714285717E-4</v>
      </c>
      <c r="O7" s="2">
        <f>IF('Modell einstellen'!$B$1="Voll",J7/0.35,J7/0.35*2)</f>
        <v>-5.9395762857142862E-4</v>
      </c>
      <c r="P7" s="3">
        <f t="shared" si="1"/>
        <v>0.36115212066353747</v>
      </c>
      <c r="Q7" s="3"/>
      <c r="R7" s="3"/>
      <c r="S7" s="3"/>
      <c r="T7" s="3"/>
      <c r="U7" s="3"/>
    </row>
    <row r="8" spans="1:21" x14ac:dyDescent="0.25">
      <c r="A8" s="3">
        <v>1E-10</v>
      </c>
      <c r="B8" s="3">
        <v>3.5209999999999997E-5</v>
      </c>
      <c r="C8" s="3">
        <v>1.572E-4</v>
      </c>
      <c r="D8" s="3">
        <v>-4.883E-4</v>
      </c>
      <c r="E8" s="3">
        <v>0</v>
      </c>
      <c r="F8" s="3">
        <v>0</v>
      </c>
      <c r="G8" s="3">
        <v>0</v>
      </c>
      <c r="H8" s="3">
        <v>7.5969557000000001E-5</v>
      </c>
      <c r="I8" s="3">
        <v>1.6104568000000001E-5</v>
      </c>
      <c r="J8" s="3">
        <v>-2.0928101999999999E-4</v>
      </c>
      <c r="K8" s="3"/>
      <c r="L8" s="3">
        <f t="shared" si="0"/>
        <v>7.2107311079254555E-2</v>
      </c>
      <c r="M8" s="3"/>
      <c r="N8" s="2">
        <f>IF('Modell einstellen'!$B$1="Voll",H8/0.35,H8/0.35*2)</f>
        <v>2.1705587714285717E-4</v>
      </c>
      <c r="O8" s="2">
        <f>IF('Modell einstellen'!$B$1="Voll",J8/0.35,J8/0.35*2)</f>
        <v>-5.9794577142857142E-4</v>
      </c>
      <c r="P8" s="3">
        <f t="shared" si="1"/>
        <v>0.36300261246815413</v>
      </c>
      <c r="Q8" s="3"/>
      <c r="R8" s="3"/>
      <c r="S8" s="3"/>
      <c r="T8" s="3"/>
      <c r="U8" s="3"/>
    </row>
    <row r="9" spans="1:21" x14ac:dyDescent="0.25">
      <c r="A9" s="3">
        <v>1.0000000000000001E-9</v>
      </c>
      <c r="B9" s="3">
        <v>3.188E-5</v>
      </c>
      <c r="C9" s="3">
        <v>1.606E-4</v>
      </c>
      <c r="D9" s="3">
        <v>-4.9109999999999996E-4</v>
      </c>
      <c r="E9" s="3">
        <v>0</v>
      </c>
      <c r="F9" s="3">
        <v>0</v>
      </c>
      <c r="G9" s="3">
        <v>0</v>
      </c>
      <c r="H9" s="3">
        <v>7.9201183999999999E-5</v>
      </c>
      <c r="I9" s="3">
        <v>1.6483393E-5</v>
      </c>
      <c r="J9" s="3">
        <v>-2.1441607000000001E-4</v>
      </c>
      <c r="K9" s="3"/>
      <c r="L9" s="3">
        <f t="shared" si="0"/>
        <v>6.4915495825697417E-2</v>
      </c>
      <c r="M9" s="3"/>
      <c r="N9" s="2">
        <f>IF('Modell einstellen'!$B$1="Voll",H9/0.35,H9/0.35*2)</f>
        <v>2.2628909714285717E-4</v>
      </c>
      <c r="O9" s="2">
        <f>IF('Modell einstellen'!$B$1="Voll",J9/0.35,J9/0.35*2)</f>
        <v>-6.1261734285714294E-4</v>
      </c>
      <c r="P9" s="3">
        <f t="shared" si="1"/>
        <v>0.3693808211296849</v>
      </c>
      <c r="Q9" s="3"/>
      <c r="R9" s="3"/>
      <c r="S9" s="3"/>
      <c r="T9" s="3"/>
      <c r="U9" s="3"/>
    </row>
    <row r="10" spans="1:21" x14ac:dyDescent="0.25">
      <c r="A10" s="3">
        <v>1E-8</v>
      </c>
      <c r="B10" s="3">
        <v>2.9E-5</v>
      </c>
      <c r="C10" s="3">
        <v>1.629E-4</v>
      </c>
      <c r="D10" s="3">
        <v>-4.9249999999999999E-4</v>
      </c>
      <c r="E10" s="3">
        <v>0</v>
      </c>
      <c r="F10" s="3">
        <v>0</v>
      </c>
      <c r="G10" s="3">
        <v>0</v>
      </c>
      <c r="H10" s="3">
        <v>8.1614005000000002E-5</v>
      </c>
      <c r="I10" s="3">
        <v>1.6749147000000001E-5</v>
      </c>
      <c r="J10" s="3">
        <v>-2.1817081E-4</v>
      </c>
      <c r="K10" s="3"/>
      <c r="L10" s="3">
        <f t="shared" si="0"/>
        <v>5.8883248730964469E-2</v>
      </c>
      <c r="M10" s="3"/>
      <c r="N10" s="2">
        <f>IF('Modell einstellen'!$B$1="Voll",H10/0.35,H10/0.35*2)</f>
        <v>2.3318287142857144E-4</v>
      </c>
      <c r="O10" s="2">
        <f>IF('Modell einstellen'!$B$1="Voll",J10/0.35,J10/0.35*2)</f>
        <v>-6.2334517142857151E-4</v>
      </c>
      <c r="P10" s="3">
        <f t="shared" si="1"/>
        <v>0.37408306363257299</v>
      </c>
      <c r="Q10" s="3"/>
      <c r="R10" s="3"/>
      <c r="S10" s="3"/>
      <c r="T10" s="3"/>
      <c r="U10" s="3"/>
    </row>
    <row r="11" spans="1:21" x14ac:dyDescent="0.25">
      <c r="A11" s="3">
        <v>9.9999999999999995E-8</v>
      </c>
      <c r="B11" s="3">
        <v>2.614E-5</v>
      </c>
      <c r="C11" s="3">
        <v>1.651E-4</v>
      </c>
      <c r="D11" s="3">
        <v>-4.9350000000000002E-4</v>
      </c>
      <c r="E11" s="3">
        <v>0</v>
      </c>
      <c r="F11" s="3">
        <v>0</v>
      </c>
      <c r="G11" s="3">
        <v>0</v>
      </c>
      <c r="H11" s="3">
        <v>8.3901704000000001E-5</v>
      </c>
      <c r="I11" s="3">
        <v>1.6995333999999999E-5</v>
      </c>
      <c r="J11" s="3">
        <v>-2.2170018000000001E-4</v>
      </c>
      <c r="K11" s="3"/>
      <c r="L11" s="3">
        <f t="shared" si="0"/>
        <v>5.2968591691995949E-2</v>
      </c>
      <c r="M11" s="3"/>
      <c r="N11" s="2">
        <f>IF('Modell einstellen'!$B$1="Voll",H11/0.35,H11/0.35*2)</f>
        <v>2.397191542857143E-4</v>
      </c>
      <c r="O11" s="2">
        <f>IF('Modell einstellen'!$B$1="Voll",J11/0.35,J11/0.35*2)</f>
        <v>-6.3342908571428574E-4</v>
      </c>
      <c r="P11" s="3">
        <f t="shared" si="1"/>
        <v>0.37844671122955337</v>
      </c>
      <c r="Q11" s="3"/>
      <c r="R11" s="3"/>
      <c r="S11" s="3"/>
      <c r="T11" s="3"/>
      <c r="U11" s="3"/>
    </row>
    <row r="12" spans="1:21" x14ac:dyDescent="0.25">
      <c r="A12" s="3">
        <v>9.9999999999999995E-7</v>
      </c>
      <c r="B12" s="3">
        <v>2.2569999999999999E-5</v>
      </c>
      <c r="C12" s="3">
        <v>1.6760000000000001E-4</v>
      </c>
      <c r="D12" s="3">
        <v>-4.9450000000000004E-4</v>
      </c>
      <c r="E12" s="3">
        <v>0</v>
      </c>
      <c r="F12" s="3">
        <v>0</v>
      </c>
      <c r="G12" s="3">
        <v>0</v>
      </c>
      <c r="H12" s="3">
        <v>8.6621867999999997E-5</v>
      </c>
      <c r="I12" s="3">
        <v>1.7280296E-5</v>
      </c>
      <c r="J12" s="3">
        <v>-2.2585574000000001E-4</v>
      </c>
      <c r="K12" s="3"/>
      <c r="L12" s="3">
        <f t="shared" si="0"/>
        <v>4.5642062689585434E-2</v>
      </c>
      <c r="M12" s="3"/>
      <c r="N12" s="2">
        <f>IF('Modell einstellen'!$B$1="Voll",H12/0.35,H12/0.35*2)</f>
        <v>2.4749105142857144E-4</v>
      </c>
      <c r="O12" s="2">
        <f>IF('Modell einstellen'!$B$1="Voll",J12/0.35,J12/0.35*2)</f>
        <v>-6.4530211428571441E-4</v>
      </c>
      <c r="P12" s="3">
        <f t="shared" si="1"/>
        <v>0.38352741444605298</v>
      </c>
      <c r="Q12" s="3"/>
      <c r="R12" s="3"/>
      <c r="S12" s="3"/>
      <c r="T12" s="3"/>
      <c r="U12" s="3"/>
    </row>
    <row r="13" spans="1:21" x14ac:dyDescent="0.25">
      <c r="A13" s="3">
        <v>1.0000000000000001E-5</v>
      </c>
      <c r="B13" s="3">
        <v>1.84E-5</v>
      </c>
      <c r="C13" s="3">
        <v>1.7019999999999999E-4</v>
      </c>
      <c r="D13" s="3">
        <v>-4.9510000000000005E-4</v>
      </c>
      <c r="E13" s="3">
        <v>0</v>
      </c>
      <c r="F13" s="3">
        <v>0</v>
      </c>
      <c r="G13" s="3">
        <v>0</v>
      </c>
      <c r="H13" s="3">
        <v>8.9619525999999996E-5</v>
      </c>
      <c r="I13" s="3">
        <v>1.7584227000000001E-5</v>
      </c>
      <c r="J13" s="3">
        <v>-2.3038183999999999E-4</v>
      </c>
      <c r="K13" s="3"/>
      <c r="L13" s="3">
        <f t="shared" si="0"/>
        <v>3.716420925065643E-2</v>
      </c>
      <c r="M13" s="3"/>
      <c r="N13" s="2">
        <f>IF('Modell einstellen'!$B$1="Voll",H13/0.35,H13/0.35*2)</f>
        <v>2.5605578857142857E-4</v>
      </c>
      <c r="O13" s="2">
        <f>IF('Modell einstellen'!$B$1="Voll",J13/0.35,J13/0.35*2)</f>
        <v>-6.5823382857142863E-4</v>
      </c>
      <c r="P13" s="3">
        <f t="shared" si="1"/>
        <v>0.38900429825545274</v>
      </c>
      <c r="Q13" s="3"/>
      <c r="R13" s="3"/>
      <c r="S13" s="3"/>
      <c r="T13" s="3"/>
      <c r="U13" s="3"/>
    </row>
    <row r="14" spans="1:21" x14ac:dyDescent="0.25">
      <c r="A14" s="3">
        <v>1E-4</v>
      </c>
      <c r="B14" s="3">
        <v>1.313E-5</v>
      </c>
      <c r="C14" s="3">
        <v>1.7320000000000001E-4</v>
      </c>
      <c r="D14" s="3">
        <v>-4.9540000000000001E-4</v>
      </c>
      <c r="E14" s="3">
        <v>0</v>
      </c>
      <c r="F14" s="3">
        <v>0</v>
      </c>
      <c r="G14" s="3">
        <v>0</v>
      </c>
      <c r="H14" s="3">
        <v>9.3218742000000004E-5</v>
      </c>
      <c r="I14" s="3">
        <v>1.7935987E-5</v>
      </c>
      <c r="J14" s="3">
        <v>-2.3574775E-4</v>
      </c>
      <c r="K14" s="3"/>
      <c r="L14" s="3">
        <f t="shared" si="0"/>
        <v>2.6503835284618488E-2</v>
      </c>
      <c r="M14" s="3"/>
      <c r="N14" s="2">
        <f>IF('Modell einstellen'!$B$1="Voll",H14/0.35,H14/0.35*2)</f>
        <v>2.6633926285714288E-4</v>
      </c>
      <c r="O14" s="2">
        <f>IF('Modell einstellen'!$B$1="Voll",J14/0.35,J14/0.35*2)</f>
        <v>-6.735650000000001E-4</v>
      </c>
      <c r="P14" s="3">
        <f t="shared" si="1"/>
        <v>0.39541731363289784</v>
      </c>
      <c r="Q14" s="3"/>
      <c r="R14" s="3"/>
      <c r="S14" s="3"/>
      <c r="T14" s="3"/>
      <c r="U14" s="3"/>
    </row>
    <row r="15" spans="1:21" x14ac:dyDescent="0.25">
      <c r="A15" s="3">
        <v>1E-3</v>
      </c>
      <c r="B15" s="3">
        <v>6.6170000000000003E-6</v>
      </c>
      <c r="C15" s="3">
        <v>1.7650000000000001E-4</v>
      </c>
      <c r="D15" s="3">
        <v>-4.95E-4</v>
      </c>
      <c r="E15" s="3">
        <v>0</v>
      </c>
      <c r="F15" s="3">
        <v>0</v>
      </c>
      <c r="G15" s="3">
        <v>0</v>
      </c>
      <c r="H15" s="3">
        <v>9.7400462000000006E-5</v>
      </c>
      <c r="I15" s="3">
        <v>1.8327028999999999E-5</v>
      </c>
      <c r="J15" s="3">
        <v>-2.4189061000000001E-4</v>
      </c>
      <c r="K15" s="3"/>
      <c r="L15" s="3">
        <f t="shared" si="0"/>
        <v>1.3367676767676768E-2</v>
      </c>
      <c r="M15" s="3"/>
      <c r="N15" s="2">
        <f>IF('Modell einstellen'!$B$1="Voll",H15/0.35,H15/0.35*2)</f>
        <v>2.782870342857143E-4</v>
      </c>
      <c r="O15" s="2">
        <f>IF('Modell einstellen'!$B$1="Voll",J15/0.35,J15/0.35*2)</f>
        <v>-6.9111602857142862E-4</v>
      </c>
      <c r="P15" s="3">
        <f t="shared" si="1"/>
        <v>0.40266326171156458</v>
      </c>
      <c r="Q15" s="3"/>
      <c r="R15" s="3"/>
      <c r="S15" s="3"/>
      <c r="T15" s="3"/>
      <c r="U15" s="3"/>
    </row>
    <row r="16" spans="1:21" x14ac:dyDescent="0.25">
      <c r="A16" s="3">
        <v>0.01</v>
      </c>
      <c r="B16" s="3">
        <v>-1.1689999999999999E-6</v>
      </c>
      <c r="C16" s="3">
        <v>1.8000000000000001E-4</v>
      </c>
      <c r="D16" s="3">
        <v>-4.9370000000000002E-4</v>
      </c>
      <c r="E16" s="3">
        <v>0</v>
      </c>
      <c r="F16" s="3">
        <v>0</v>
      </c>
      <c r="G16" s="3">
        <v>0</v>
      </c>
      <c r="H16" s="3">
        <v>1.0211168000000001E-4</v>
      </c>
      <c r="I16" s="3">
        <v>1.8746071000000001E-5</v>
      </c>
      <c r="J16" s="3">
        <v>-2.4870041999999998E-4</v>
      </c>
      <c r="K16" s="3"/>
      <c r="L16" s="3">
        <f t="shared" si="0"/>
        <v>-2.3678347174397405E-3</v>
      </c>
      <c r="M16" s="3"/>
      <c r="N16" s="2">
        <f>IF('Modell einstellen'!$B$1="Voll",H16/0.35,H16/0.35*2)</f>
        <v>2.9174765714285719E-4</v>
      </c>
      <c r="O16" s="2">
        <f>IF('Modell einstellen'!$B$1="Voll",J16/0.35,J16/0.35*2)</f>
        <v>-7.1057262857142855E-4</v>
      </c>
      <c r="P16" s="3">
        <f t="shared" si="1"/>
        <v>0.41058105169263492</v>
      </c>
      <c r="Q16" s="3"/>
      <c r="R16" s="3"/>
      <c r="S16" s="3"/>
      <c r="T16" s="3"/>
      <c r="U16" s="3"/>
    </row>
    <row r="17" spans="1:25" x14ac:dyDescent="0.25">
      <c r="A17" s="3">
        <v>0.1</v>
      </c>
      <c r="B17" s="3">
        <v>-9.6889999999999999E-6</v>
      </c>
      <c r="C17" s="3">
        <v>1.8340000000000001E-4</v>
      </c>
      <c r="D17" s="3">
        <v>-4.9149999999999997E-4</v>
      </c>
      <c r="E17" s="3">
        <v>0</v>
      </c>
      <c r="F17" s="3">
        <v>0</v>
      </c>
      <c r="G17" s="3">
        <v>0</v>
      </c>
      <c r="H17" s="3">
        <v>1.0698126E-4</v>
      </c>
      <c r="I17" s="3">
        <v>1.9157072E-5</v>
      </c>
      <c r="J17" s="3">
        <v>-2.5562453999999999E-4</v>
      </c>
      <c r="K17" s="3"/>
      <c r="L17" s="3">
        <f t="shared" si="0"/>
        <v>-1.9713123092573753E-2</v>
      </c>
      <c r="M17" s="3"/>
      <c r="N17" s="2">
        <f>IF('Modell einstellen'!$B$1="Voll",H17/0.35,H17/0.35*2)</f>
        <v>3.056607428571429E-4</v>
      </c>
      <c r="O17" s="2">
        <f>IF('Modell einstellen'!$B$1="Voll",J17/0.35,J17/0.35*2)</f>
        <v>-7.3035582857142861E-4</v>
      </c>
      <c r="P17" s="3">
        <f t="shared" si="1"/>
        <v>0.41850934968919656</v>
      </c>
      <c r="Q17" s="3"/>
      <c r="R17" s="3"/>
      <c r="S17" s="3"/>
      <c r="T17" s="3"/>
      <c r="U17" s="3"/>
      <c r="V17" s="3"/>
      <c r="W17" s="3"/>
      <c r="X17" s="3"/>
      <c r="Y17" s="3"/>
    </row>
    <row r="18" spans="1:25" x14ac:dyDescent="0.25">
      <c r="A18" s="3">
        <v>1</v>
      </c>
      <c r="B18" s="3">
        <v>-1.9720000000000001E-5</v>
      </c>
      <c r="C18" s="3">
        <v>1.8709999999999999E-4</v>
      </c>
      <c r="D18" s="3">
        <v>-4.8819999999999999E-4</v>
      </c>
      <c r="E18" s="3">
        <v>0</v>
      </c>
      <c r="F18" s="3">
        <v>0</v>
      </c>
      <c r="G18" s="3">
        <v>0</v>
      </c>
      <c r="H18" s="3">
        <v>1.1245626E-4</v>
      </c>
      <c r="I18" s="3">
        <v>1.9600194999999999E-5</v>
      </c>
      <c r="J18" s="3">
        <v>-2.6330215999999999E-4</v>
      </c>
      <c r="K18" s="3"/>
      <c r="L18" s="3">
        <f t="shared" si="0"/>
        <v>-4.0393281442031956E-2</v>
      </c>
      <c r="M18" s="3"/>
      <c r="N18" s="2">
        <f>IF('Modell einstellen'!$B$1="Voll",H18/0.35,H18/0.35*2)</f>
        <v>3.2130360000000004E-4</v>
      </c>
      <c r="O18" s="2">
        <f>IF('Modell einstellen'!$B$1="Voll",J18/0.35,J18/0.35*2)</f>
        <v>-7.5229188571428575E-4</v>
      </c>
      <c r="P18" s="3">
        <f t="shared" si="1"/>
        <v>0.42709964855586452</v>
      </c>
      <c r="Q18" s="3"/>
      <c r="R18" s="3"/>
      <c r="S18" s="3"/>
      <c r="T18" s="3"/>
      <c r="U18" s="3"/>
      <c r="V18" s="3"/>
      <c r="W18" s="3"/>
      <c r="X18" s="3"/>
      <c r="Y18" s="3"/>
    </row>
    <row r="19" spans="1:25" x14ac:dyDescent="0.25">
      <c r="A19" s="3">
        <v>10</v>
      </c>
      <c r="B19" s="3">
        <v>-3.341E-5</v>
      </c>
      <c r="C19" s="3">
        <v>1.9210000000000001E-4</v>
      </c>
      <c r="D19" s="3">
        <v>-4.8319999999999998E-4</v>
      </c>
      <c r="E19" s="3">
        <v>0</v>
      </c>
      <c r="F19" s="3">
        <v>0</v>
      </c>
      <c r="G19" s="3">
        <v>0</v>
      </c>
      <c r="H19" s="3">
        <v>1.198268E-4</v>
      </c>
      <c r="I19" s="3">
        <v>2.0217174999999998E-5</v>
      </c>
      <c r="J19" s="3">
        <v>-2.7362595E-4</v>
      </c>
      <c r="K19" s="3"/>
      <c r="L19" s="3">
        <f t="shared" si="0"/>
        <v>-6.9143211920529801E-2</v>
      </c>
      <c r="M19" s="3"/>
      <c r="N19" s="2">
        <f>IF('Modell einstellen'!$B$1="Voll",H19/0.35,H19/0.35*2)</f>
        <v>3.4236228571428575E-4</v>
      </c>
      <c r="O19" s="2">
        <f>IF('Modell einstellen'!$B$1="Voll",J19/0.35,J19/0.35*2)</f>
        <v>-7.8178842857142862E-4</v>
      </c>
      <c r="P19" s="3">
        <f t="shared" si="1"/>
        <v>0.43792191493533417</v>
      </c>
      <c r="Q19" s="3"/>
      <c r="R19" s="3"/>
      <c r="S19" s="3"/>
      <c r="T19" s="3"/>
      <c r="U19" s="3"/>
      <c r="V19" s="3"/>
      <c r="W19" s="3"/>
      <c r="X19" s="3"/>
      <c r="Y19" s="3"/>
    </row>
    <row r="20" spans="1:25" x14ac:dyDescent="0.25">
      <c r="A20" s="3">
        <v>100</v>
      </c>
      <c r="B20" s="3">
        <v>-4.702E-5</v>
      </c>
      <c r="C20" s="3">
        <v>2.028E-4</v>
      </c>
      <c r="D20" s="3">
        <v>-4.8339999999999999E-4</v>
      </c>
      <c r="E20" s="3">
        <v>0</v>
      </c>
      <c r="F20" s="3">
        <v>0</v>
      </c>
      <c r="G20" s="3">
        <v>0</v>
      </c>
      <c r="H20" s="3">
        <v>1.2936476E-4</v>
      </c>
      <c r="I20" s="3">
        <v>2.1491461999999999E-5</v>
      </c>
      <c r="J20" s="3">
        <v>-2.8833291999999999E-4</v>
      </c>
      <c r="K20" s="3"/>
      <c r="L20" s="3">
        <f t="shared" si="0"/>
        <v>-9.7269342159702107E-2</v>
      </c>
      <c r="M20" s="3"/>
      <c r="N20" s="2">
        <f>IF('Modell einstellen'!$B$1="Voll",H20/0.35,H20/0.35*2)</f>
        <v>3.6961360000000001E-4</v>
      </c>
      <c r="O20" s="2">
        <f>IF('Modell einstellen'!$B$1="Voll",J20/0.35,J20/0.35*2)</f>
        <v>-8.2380834285714283E-4</v>
      </c>
      <c r="P20" s="3">
        <f t="shared" si="1"/>
        <v>0.44866455068675476</v>
      </c>
      <c r="Q20" s="3"/>
      <c r="R20" s="3"/>
      <c r="S20" s="3"/>
      <c r="T20" s="3"/>
      <c r="U20" s="3"/>
      <c r="V20" s="3"/>
      <c r="W20" s="3"/>
      <c r="X20" s="3"/>
      <c r="Y20" s="3"/>
    </row>
    <row r="21" spans="1:25" x14ac:dyDescent="0.25">
      <c r="A21" s="3">
        <v>1000</v>
      </c>
      <c r="B21" s="3">
        <v>-4.083E-5</v>
      </c>
      <c r="C21" s="3">
        <v>2.3330000000000001E-4</v>
      </c>
      <c r="D21" s="3">
        <v>-5.1849999999999997E-4</v>
      </c>
      <c r="E21" s="3">
        <v>0</v>
      </c>
      <c r="F21" s="3">
        <v>0</v>
      </c>
      <c r="G21" s="3">
        <v>0</v>
      </c>
      <c r="H21" s="3">
        <v>1.4030684000000001E-4</v>
      </c>
      <c r="I21" s="3">
        <v>2.5140650000000001E-5</v>
      </c>
      <c r="J21" s="3">
        <v>-3.1190269999999999E-4</v>
      </c>
      <c r="K21" s="3"/>
      <c r="L21" s="3">
        <f t="shared" si="0"/>
        <v>-7.8746383799421407E-2</v>
      </c>
      <c r="M21" s="3"/>
      <c r="N21" s="2">
        <f>IF('Modell einstellen'!$B$1="Voll",H21/0.35,H21/0.35*2)</f>
        <v>4.008766857142858E-4</v>
      </c>
      <c r="O21" s="2">
        <f>IF('Modell einstellen'!$B$1="Voll",J21/0.35,J21/0.35*2)</f>
        <v>-8.9115057142857151E-4</v>
      </c>
      <c r="P21" s="3">
        <f t="shared" si="1"/>
        <v>0.44984169742679375</v>
      </c>
      <c r="Q21" s="3"/>
      <c r="R21" s="3"/>
      <c r="S21" s="3"/>
      <c r="T21" s="3"/>
      <c r="U21" s="3"/>
      <c r="V21" s="3"/>
      <c r="W21" s="3"/>
      <c r="X21" s="3"/>
      <c r="Y21" s="3"/>
    </row>
    <row r="22" spans="1:25" x14ac:dyDescent="0.25">
      <c r="A22" s="3">
        <v>10000</v>
      </c>
      <c r="B22" s="3">
        <v>-9.1050000000000001E-6</v>
      </c>
      <c r="C22" s="3">
        <v>2.876E-4</v>
      </c>
      <c r="D22" s="3">
        <v>-5.9719999999999999E-4</v>
      </c>
      <c r="E22" s="3">
        <v>0</v>
      </c>
      <c r="F22" s="3">
        <v>0</v>
      </c>
      <c r="G22" s="3">
        <v>0</v>
      </c>
      <c r="H22" s="3">
        <v>1.5134204999999999E-4</v>
      </c>
      <c r="I22" s="3">
        <v>3.1778910999999998E-5</v>
      </c>
      <c r="J22" s="3">
        <v>-3.4507370999999998E-4</v>
      </c>
      <c r="K22" s="3"/>
      <c r="L22" s="3">
        <f t="shared" si="0"/>
        <v>-1.5246148693904889E-2</v>
      </c>
      <c r="M22" s="3"/>
      <c r="N22" s="2">
        <f>IF('Modell einstellen'!$B$1="Voll",H22/0.35,H22/0.35*2)</f>
        <v>4.3240585714285714E-4</v>
      </c>
      <c r="O22" s="2">
        <f>IF('Modell einstellen'!$B$1="Voll",J22/0.35,J22/0.35*2)</f>
        <v>-9.8592488571428577E-4</v>
      </c>
      <c r="P22" s="3">
        <f t="shared" si="1"/>
        <v>0.43857890535908978</v>
      </c>
      <c r="Q22" s="3"/>
      <c r="R22" s="3"/>
      <c r="S22" s="3"/>
      <c r="T22" s="3"/>
      <c r="U22" s="3"/>
      <c r="V22" s="3"/>
      <c r="W22" s="3"/>
      <c r="X22" s="3"/>
      <c r="Y22" s="3"/>
    </row>
    <row r="23" spans="1:25" x14ac:dyDescent="0.25">
      <c r="A23" s="3">
        <v>100000</v>
      </c>
      <c r="B23" s="3">
        <v>2.796E-5</v>
      </c>
      <c r="C23" s="3">
        <v>3.5090000000000002E-4</v>
      </c>
      <c r="D23" s="3">
        <v>-6.8919999999999995E-4</v>
      </c>
      <c r="E23" s="3">
        <v>0</v>
      </c>
      <c r="F23" s="3">
        <v>0</v>
      </c>
      <c r="G23" s="3">
        <v>0</v>
      </c>
      <c r="H23" s="3">
        <v>1.6311270999999999E-4</v>
      </c>
      <c r="I23" s="3">
        <v>3.9813015999999997E-5</v>
      </c>
      <c r="J23" s="3">
        <v>-3.8380740999999999E-4</v>
      </c>
      <c r="K23" s="3"/>
      <c r="L23" s="3">
        <f t="shared" si="0"/>
        <v>4.0568775391758564E-2</v>
      </c>
      <c r="M23" s="3"/>
      <c r="N23" s="2">
        <f>IF('Modell einstellen'!$B$1="Voll",H23/0.35,H23/0.35*2)</f>
        <v>4.6603631428571428E-4</v>
      </c>
      <c r="O23" s="2">
        <f>IF('Modell einstellen'!$B$1="Voll",J23/0.35,J23/0.35*2)</f>
        <v>-1.0965926E-3</v>
      </c>
      <c r="P23" s="3">
        <f t="shared" si="1"/>
        <v>0.42498582817877334</v>
      </c>
      <c r="Q23" s="3"/>
      <c r="R23" s="3"/>
      <c r="S23" s="3"/>
      <c r="T23" s="3"/>
      <c r="U23" s="3"/>
      <c r="V23" s="3"/>
      <c r="W23" s="3"/>
      <c r="X23" s="3"/>
      <c r="Y23" s="3"/>
    </row>
    <row r="24" spans="1:25" x14ac:dyDescent="0.25">
      <c r="A24" s="3">
        <v>1000000</v>
      </c>
      <c r="B24" s="3">
        <v>6.0890000000000001E-5</v>
      </c>
      <c r="C24" s="3">
        <v>4.1070000000000001E-4</v>
      </c>
      <c r="D24" s="3">
        <v>-7.7490000000000002E-4</v>
      </c>
      <c r="E24" s="3">
        <v>0</v>
      </c>
      <c r="F24" s="3">
        <v>0</v>
      </c>
      <c r="G24" s="3">
        <v>0</v>
      </c>
      <c r="H24" s="3">
        <v>1.7434528999999999E-4</v>
      </c>
      <c r="I24" s="3">
        <v>4.7732909999999999E-5</v>
      </c>
      <c r="J24" s="3">
        <v>-4.2190393000000003E-4</v>
      </c>
      <c r="K24" s="3"/>
      <c r="L24" s="3">
        <f t="shared" si="0"/>
        <v>7.857788101690541E-2</v>
      </c>
      <c r="M24" s="3"/>
      <c r="N24" s="2">
        <f>IF('Modell einstellen'!$B$1="Voll",H24/0.35,H24/0.35*2)</f>
        <v>4.9812939999999996E-4</v>
      </c>
      <c r="O24" s="2">
        <f>IF('Modell einstellen'!$B$1="Voll",J24/0.35,J24/0.35*2)</f>
        <v>-1.2054398E-3</v>
      </c>
      <c r="P24" s="3">
        <f t="shared" si="1"/>
        <v>0.41323457214536963</v>
      </c>
      <c r="Q24" s="3"/>
      <c r="R24" s="3"/>
      <c r="S24" s="3"/>
      <c r="T24" s="3"/>
      <c r="U24" s="3"/>
      <c r="V24" s="3"/>
      <c r="W24" s="3"/>
      <c r="X24" s="3"/>
      <c r="Y24" s="3"/>
    </row>
    <row r="25" spans="1:25" x14ac:dyDescent="0.25">
      <c r="A25" s="3">
        <v>10000000</v>
      </c>
      <c r="B25" s="3">
        <v>8.4060000000000005E-5</v>
      </c>
      <c r="C25" s="3">
        <v>4.6460000000000002E-4</v>
      </c>
      <c r="D25" s="3">
        <v>-8.4719999999999999E-4</v>
      </c>
      <c r="E25" s="3">
        <v>0</v>
      </c>
      <c r="F25" s="3">
        <v>0</v>
      </c>
      <c r="G25" s="3">
        <v>0</v>
      </c>
      <c r="H25" s="3">
        <v>1.8623272000000001E-4</v>
      </c>
      <c r="I25" s="3">
        <v>5.5167382E-5</v>
      </c>
      <c r="J25" s="3">
        <v>-4.5947167000000001E-4</v>
      </c>
      <c r="K25" s="3"/>
      <c r="L25" s="3">
        <f t="shared" si="0"/>
        <v>9.9220963172804544E-2</v>
      </c>
      <c r="M25" s="3"/>
      <c r="N25" s="2">
        <f>IF('Modell einstellen'!$B$1="Voll",H25/0.35,H25/0.35*2)</f>
        <v>5.3209348571428582E-4</v>
      </c>
      <c r="O25" s="2">
        <f>IF('Modell einstellen'!$B$1="Voll",J25/0.35,J25/0.35*2)</f>
        <v>-1.3127762000000002E-3</v>
      </c>
      <c r="P25" s="3">
        <f t="shared" si="1"/>
        <v>0.40531926592993212</v>
      </c>
      <c r="Q25" s="3"/>
      <c r="R25" s="3"/>
      <c r="S25" s="3"/>
      <c r="T25" s="3"/>
      <c r="U25" s="3"/>
      <c r="V25" s="3"/>
      <c r="W25" s="3"/>
      <c r="X25" s="3"/>
      <c r="Y25" s="3"/>
    </row>
    <row r="26" spans="1:25" x14ac:dyDescent="0.25">
      <c r="A26" s="3">
        <v>100000000</v>
      </c>
      <c r="B26" s="3">
        <v>9.6470000000000003E-5</v>
      </c>
      <c r="C26" s="3">
        <v>5.1360000000000002E-4</v>
      </c>
      <c r="D26" s="3">
        <v>-9.0600000000000001E-4</v>
      </c>
      <c r="E26" s="3">
        <v>0</v>
      </c>
      <c r="F26" s="3">
        <v>0</v>
      </c>
      <c r="G26" s="3">
        <v>0</v>
      </c>
      <c r="H26" s="3">
        <v>1.9886224E-4</v>
      </c>
      <c r="I26" s="3">
        <v>6.2144866999999998E-5</v>
      </c>
      <c r="J26" s="3">
        <v>-4.9663262999999997E-4</v>
      </c>
      <c r="K26" s="3"/>
      <c r="L26" s="3">
        <f t="shared" si="0"/>
        <v>0.10647902869757174</v>
      </c>
      <c r="M26" s="3"/>
      <c r="N26" s="2">
        <f>IF('Modell einstellen'!$B$1="Voll",H26/0.35,H26/0.35*2)</f>
        <v>5.681778285714286E-4</v>
      </c>
      <c r="O26" s="2">
        <f>IF('Modell einstellen'!$B$1="Voll",J26/0.35,J26/0.35*2)</f>
        <v>-1.4189503714285715E-3</v>
      </c>
      <c r="P26" s="3">
        <f t="shared" si="1"/>
        <v>0.40042121275841258</v>
      </c>
      <c r="Q26" s="3"/>
      <c r="R26" s="3"/>
      <c r="S26" s="3"/>
      <c r="T26" s="3"/>
      <c r="U26" s="3"/>
      <c r="V26" s="3"/>
      <c r="W26" s="3"/>
      <c r="X26" s="3"/>
      <c r="Y26" s="3"/>
    </row>
    <row r="27" spans="1:25" x14ac:dyDescent="0.25">
      <c r="A27" s="3">
        <v>1000000000</v>
      </c>
      <c r="B27" s="3">
        <v>9.4259999999999995E-5</v>
      </c>
      <c r="C27" s="3">
        <v>5.6369999999999999E-4</v>
      </c>
      <c r="D27" s="3">
        <v>-9.5330000000000002E-4</v>
      </c>
      <c r="E27" s="3">
        <v>0</v>
      </c>
      <c r="F27" s="3">
        <v>0</v>
      </c>
      <c r="G27" s="3">
        <v>0</v>
      </c>
      <c r="H27" s="3">
        <v>2.1491971999999999E-4</v>
      </c>
      <c r="I27" s="3">
        <v>6.9516361999999993E-5</v>
      </c>
      <c r="J27" s="3">
        <v>-5.3915642999999996E-4</v>
      </c>
      <c r="K27" s="3"/>
      <c r="L27" s="3">
        <f t="shared" si="0"/>
        <v>9.8877583132277347E-2</v>
      </c>
      <c r="M27" s="3"/>
      <c r="N27" s="2">
        <f>IF('Modell einstellen'!$B$1="Voll",H27/0.35,H27/0.35*2)</f>
        <v>6.1405634285714283E-4</v>
      </c>
      <c r="O27" s="2">
        <f>IF('Modell einstellen'!$B$1="Voll",J27/0.35,J27/0.35*2)</f>
        <v>-1.5404469428571428E-3</v>
      </c>
      <c r="P27" s="3">
        <f t="shared" si="1"/>
        <v>0.39862219578833546</v>
      </c>
      <c r="Q27" s="3"/>
      <c r="R27" s="3"/>
      <c r="S27" s="3"/>
      <c r="T27" s="3"/>
      <c r="U27" s="3"/>
      <c r="V27" s="3"/>
      <c r="W27" s="3"/>
      <c r="X27" s="3"/>
      <c r="Y27" s="3"/>
    </row>
    <row r="28" spans="1:25" x14ac:dyDescent="0.25">
      <c r="A28" s="3">
        <v>10000000000</v>
      </c>
      <c r="B28" s="3">
        <v>7.6660000000000001E-5</v>
      </c>
      <c r="C28" s="3">
        <v>6.1749999999999999E-4</v>
      </c>
      <c r="D28" s="3">
        <v>-9.9050000000000006E-4</v>
      </c>
      <c r="E28" s="3">
        <v>0</v>
      </c>
      <c r="F28" s="3">
        <v>0</v>
      </c>
      <c r="G28" s="3">
        <v>0</v>
      </c>
      <c r="H28" s="3">
        <v>2.3429285E-4</v>
      </c>
      <c r="I28" s="3">
        <v>7.7655445999999994E-5</v>
      </c>
      <c r="J28" s="3">
        <v>-5.8810619999999998E-4</v>
      </c>
      <c r="K28" s="3"/>
      <c r="L28" s="3">
        <f t="shared" si="0"/>
        <v>7.7395254921756682E-2</v>
      </c>
      <c r="M28" s="3"/>
      <c r="N28" s="2">
        <f>IF('Modell einstellen'!$B$1="Voll",H28/0.35,H28/0.35*2)</f>
        <v>6.6940814285714292E-4</v>
      </c>
      <c r="O28" s="2">
        <f>IF('Modell einstellen'!$B$1="Voll",J28/0.35,J28/0.35*2)</f>
        <v>-1.6803034285714285E-3</v>
      </c>
      <c r="P28" s="3">
        <f t="shared" si="1"/>
        <v>0.39838527463237089</v>
      </c>
      <c r="Q28" s="3"/>
      <c r="R28" s="3"/>
      <c r="S28" s="3"/>
      <c r="T28" s="3"/>
      <c r="U28" s="3"/>
      <c r="V28" s="3"/>
      <c r="W28" s="3"/>
      <c r="X28" s="3"/>
      <c r="Y28" s="3"/>
    </row>
    <row r="29" spans="1:25" x14ac:dyDescent="0.25">
      <c r="A29" s="3">
        <v>100000000000</v>
      </c>
      <c r="B29" s="3">
        <v>3.6019999999999997E-5</v>
      </c>
      <c r="C29" s="3">
        <v>6.8159999999999998E-4</v>
      </c>
      <c r="D29" s="3">
        <v>-1.016E-3</v>
      </c>
      <c r="E29" s="3">
        <v>0</v>
      </c>
      <c r="F29" s="3">
        <v>0</v>
      </c>
      <c r="G29" s="3">
        <v>0</v>
      </c>
      <c r="H29" s="3">
        <v>2.6002835E-4</v>
      </c>
      <c r="I29" s="3">
        <v>8.7611393E-5</v>
      </c>
      <c r="J29" s="3">
        <v>-6.5034344000000003E-4</v>
      </c>
      <c r="K29" s="3"/>
      <c r="L29" s="3">
        <f t="shared" si="0"/>
        <v>3.5452755905511807E-2</v>
      </c>
      <c r="M29" s="3"/>
      <c r="N29" s="2">
        <f>IF('Modell einstellen'!$B$1="Voll",H29/0.35,H29/0.35*2)</f>
        <v>7.4293814285714284E-4</v>
      </c>
      <c r="O29" s="2">
        <f>IF('Modell einstellen'!$B$1="Voll",J29/0.35,J29/0.35*2)</f>
        <v>-1.8581241142857144E-3</v>
      </c>
      <c r="P29" s="3">
        <f t="shared" si="1"/>
        <v>0.39983235627009628</v>
      </c>
      <c r="Q29" s="3"/>
      <c r="R29" s="3"/>
      <c r="S29" s="3"/>
      <c r="T29" s="3"/>
      <c r="U29" s="3"/>
      <c r="V29" s="3"/>
      <c r="W29" s="3"/>
      <c r="X29" s="3"/>
      <c r="Y29" s="3"/>
    </row>
    <row r="30" spans="1:25" x14ac:dyDescent="0.25">
      <c r="A30" s="3">
        <v>1000000000000</v>
      </c>
      <c r="B30" s="3">
        <v>-3.8170000000000002E-5</v>
      </c>
      <c r="C30" s="3">
        <v>7.6320000000000001E-4</v>
      </c>
      <c r="D30" s="3">
        <v>-1.0269999999999999E-3</v>
      </c>
      <c r="E30" s="3">
        <v>0</v>
      </c>
      <c r="F30" s="3">
        <v>0</v>
      </c>
      <c r="G30" s="3">
        <v>0</v>
      </c>
      <c r="H30" s="3">
        <v>2.9577518000000001E-4</v>
      </c>
      <c r="I30" s="3">
        <v>1.0065519E-4</v>
      </c>
      <c r="J30" s="3">
        <v>-7.3409956999999999E-4</v>
      </c>
      <c r="K30" s="3"/>
      <c r="L30" s="3">
        <f t="shared" si="0"/>
        <v>-3.7166504381694263E-2</v>
      </c>
      <c r="M30" s="3"/>
      <c r="N30" s="2">
        <f>IF('Modell einstellen'!$B$1="Voll",H30/0.35,H30/0.35*2)</f>
        <v>8.4507194285714292E-4</v>
      </c>
      <c r="O30" s="2">
        <f>IF('Modell einstellen'!$B$1="Voll",J30/0.35,J30/0.35*2)</f>
        <v>-2.0974273428571431E-3</v>
      </c>
      <c r="P30" s="3">
        <f t="shared" si="1"/>
        <v>0.40290880431928328</v>
      </c>
      <c r="Q30" s="3"/>
      <c r="R30" s="3"/>
      <c r="S30" s="3"/>
      <c r="T30" s="3"/>
      <c r="U30" s="3"/>
      <c r="V30" s="3"/>
      <c r="W30" s="3"/>
      <c r="X30" s="3"/>
      <c r="Y30" s="3"/>
    </row>
    <row r="31" spans="1:25" x14ac:dyDescent="0.25">
      <c r="A31" s="3">
        <v>10000000000000</v>
      </c>
      <c r="B31" s="3">
        <v>-1.7870000000000001E-4</v>
      </c>
      <c r="C31" s="3">
        <v>8.811E-4</v>
      </c>
      <c r="D31" s="3">
        <v>-1.01E-3</v>
      </c>
      <c r="E31" s="3">
        <v>0</v>
      </c>
      <c r="F31" s="3">
        <v>0</v>
      </c>
      <c r="G31" s="3">
        <v>0</v>
      </c>
      <c r="H31" s="3">
        <v>3.5167445E-4</v>
      </c>
      <c r="I31" s="3">
        <v>1.2008409E-4</v>
      </c>
      <c r="J31" s="3">
        <v>-8.6155444000000003E-4</v>
      </c>
      <c r="K31" s="3"/>
      <c r="L31" s="3">
        <f t="shared" si="0"/>
        <v>-0.17693069306930692</v>
      </c>
      <c r="M31" s="3"/>
      <c r="N31" s="2">
        <f>IF('Modell einstellen'!$B$1="Voll",H31/0.35,H31/0.35*2)</f>
        <v>1.0047841428571429E-3</v>
      </c>
      <c r="O31" s="2">
        <f>IF('Modell einstellen'!$B$1="Voll",J31/0.35,J31/0.35*2)</f>
        <v>-2.4615841142857147E-3</v>
      </c>
      <c r="P31" s="3">
        <f t="shared" si="1"/>
        <v>0.40818598764345054</v>
      </c>
      <c r="Q31" s="3"/>
      <c r="R31" s="3"/>
      <c r="S31" s="3"/>
      <c r="T31" s="3"/>
      <c r="U31" s="3"/>
      <c r="V31" s="3"/>
      <c r="W31" s="3"/>
      <c r="X31" s="3"/>
      <c r="Y31" s="3"/>
    </row>
    <row r="32" spans="1:25" x14ac:dyDescent="0.25">
      <c r="A32" s="3">
        <v>100000000000000</v>
      </c>
      <c r="B32" s="3">
        <v>-4.5459999999999999E-4</v>
      </c>
      <c r="C32" s="3">
        <v>1.067E-3</v>
      </c>
      <c r="D32" s="3">
        <v>-9.2619999999999996E-4</v>
      </c>
      <c r="E32" s="3">
        <v>0</v>
      </c>
      <c r="F32" s="3">
        <v>0</v>
      </c>
      <c r="G32" s="3">
        <v>0</v>
      </c>
      <c r="H32" s="3">
        <v>4.4619054999999998E-4</v>
      </c>
      <c r="I32" s="3">
        <v>1.5163587E-4</v>
      </c>
      <c r="J32" s="3">
        <v>-1.0720180999999999E-3</v>
      </c>
      <c r="K32" s="3"/>
      <c r="L32" s="3">
        <f t="shared" si="0"/>
        <v>-0.49082271647592313</v>
      </c>
      <c r="M32" s="3"/>
      <c r="N32" s="2">
        <f>IF('Modell einstellen'!$B$1="Voll",H32/0.35,H32/0.35*2)</f>
        <v>1.2748301428571428E-3</v>
      </c>
      <c r="O32" s="2">
        <f>IF('Modell einstellen'!$B$1="Voll",J32/0.35,J32/0.35*2)</f>
        <v>-3.0629088571428572E-3</v>
      </c>
      <c r="P32" s="3">
        <f t="shared" si="1"/>
        <v>0.41621550046589695</v>
      </c>
      <c r="Q32" s="3"/>
      <c r="R32" s="3"/>
      <c r="S32" s="3"/>
      <c r="T32" s="3"/>
      <c r="U32" s="3"/>
      <c r="V32" s="3"/>
      <c r="W32" s="3"/>
      <c r="X32" s="3"/>
      <c r="Y32" s="3"/>
    </row>
    <row r="33" spans="1:25" x14ac:dyDescent="0.25">
      <c r="A33" s="2">
        <v>1000000000000000</v>
      </c>
      <c r="B33" s="3">
        <v>-9.921000000000001E-4</v>
      </c>
      <c r="C33" s="3">
        <v>1.369E-3</v>
      </c>
      <c r="D33" s="3">
        <v>-6.9890000000000002E-4</v>
      </c>
      <c r="E33" s="3">
        <v>0</v>
      </c>
      <c r="F33" s="3">
        <v>0</v>
      </c>
      <c r="G33" s="3">
        <v>0</v>
      </c>
      <c r="H33" s="3">
        <v>6.1131914999999998E-4</v>
      </c>
      <c r="I33" s="3">
        <v>2.0478552000000001E-4</v>
      </c>
      <c r="J33" s="3">
        <v>-1.4316394999999999E-3</v>
      </c>
      <c r="K33" s="3"/>
      <c r="L33" s="3">
        <f t="shared" si="0"/>
        <v>-1.4195163828873947</v>
      </c>
      <c r="M33" s="3"/>
      <c r="N33" s="2">
        <f>IF('Modell einstellen'!$B$1="Voll",H33/0.35,H33/0.35*2)</f>
        <v>1.7466261428571428E-3</v>
      </c>
      <c r="O33" s="2">
        <f>IF('Modell einstellen'!$B$1="Voll",J33/0.35,J33/0.35*2)</f>
        <v>-4.0903985714285714E-3</v>
      </c>
      <c r="P33" s="3">
        <f t="shared" si="1"/>
        <v>0.42700634482353972</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3.8210000000000002E-5</v>
      </c>
      <c r="C3" s="3">
        <v>1.5760000000000001E-4</v>
      </c>
      <c r="D3" s="3">
        <v>-4.9039999999999999E-4</v>
      </c>
      <c r="E3" s="3">
        <v>0</v>
      </c>
      <c r="F3" s="3">
        <v>0</v>
      </c>
      <c r="G3" s="3">
        <v>0</v>
      </c>
      <c r="H3" s="3">
        <v>7.5140990000000004E-5</v>
      </c>
      <c r="I3" s="3">
        <v>1.6141749999999998E-5</v>
      </c>
      <c r="J3" s="3">
        <v>-2.0837652000000001E-4</v>
      </c>
      <c r="K3" s="3"/>
      <c r="L3" s="3">
        <f>-B3/D3</f>
        <v>7.7915986949429042E-2</v>
      </c>
      <c r="M3" s="3"/>
      <c r="N3" s="2">
        <f>IF('Modell einstellen'!$B$1="Voll",H3/0.35,H3/0.35*2)</f>
        <v>2.1468854285714288E-4</v>
      </c>
      <c r="O3" s="2">
        <f>IF('Modell einstellen'!$B$1="Voll",J3/0.35,J3/0.35*2)</f>
        <v>-5.9536148571428572E-4</v>
      </c>
      <c r="P3" s="3">
        <f>-N3/O3</f>
        <v>0.36060200064767378</v>
      </c>
      <c r="Q3" s="3"/>
      <c r="R3" s="3"/>
      <c r="S3" s="3"/>
      <c r="T3" s="3"/>
      <c r="U3" s="3"/>
    </row>
    <row r="4" spans="1:21" x14ac:dyDescent="0.25">
      <c r="A4" s="3">
        <v>1E-14</v>
      </c>
      <c r="B4" s="3">
        <v>3.8179999999999997E-5</v>
      </c>
      <c r="C4" s="3">
        <v>1.5760000000000001E-4</v>
      </c>
      <c r="D4" s="3">
        <v>-4.9039999999999999E-4</v>
      </c>
      <c r="E4" s="3">
        <v>0</v>
      </c>
      <c r="F4" s="3">
        <v>0</v>
      </c>
      <c r="G4" s="3">
        <v>0</v>
      </c>
      <c r="H4" s="3">
        <v>7.5162083000000003E-5</v>
      </c>
      <c r="I4" s="3">
        <v>1.6145001000000002E-5</v>
      </c>
      <c r="J4" s="3">
        <v>-2.0840322000000001E-4</v>
      </c>
      <c r="K4" s="3"/>
      <c r="L4" s="3">
        <f t="shared" ref="L4:L33" si="0">-B4/D4</f>
        <v>7.7854812398042414E-2</v>
      </c>
      <c r="M4" s="3"/>
      <c r="N4" s="2">
        <f>IF('Modell einstellen'!$B$1="Voll",H4/0.35,H4/0.35*2)</f>
        <v>2.147488085714286E-4</v>
      </c>
      <c r="O4" s="2">
        <f>IF('Modell einstellen'!$B$1="Voll",J4/0.35,J4/0.35*2)</f>
        <v>-5.9543777142857151E-4</v>
      </c>
      <c r="P4" s="3">
        <f t="shared" ref="P4:P33" si="1">-N4/O4</f>
        <v>0.36065701384076504</v>
      </c>
      <c r="Q4" s="3"/>
      <c r="R4" s="3"/>
      <c r="S4" s="3"/>
      <c r="T4" s="3"/>
      <c r="U4" s="3"/>
    </row>
    <row r="5" spans="1:21" x14ac:dyDescent="0.25">
      <c r="A5" s="3">
        <v>1E-13</v>
      </c>
      <c r="B5" s="3">
        <v>3.7960000000000002E-5</v>
      </c>
      <c r="C5" s="3">
        <v>1.5779999999999999E-4</v>
      </c>
      <c r="D5" s="3">
        <v>-4.9050000000000005E-4</v>
      </c>
      <c r="E5" s="3">
        <v>0</v>
      </c>
      <c r="F5" s="3">
        <v>0</v>
      </c>
      <c r="G5" s="3">
        <v>0</v>
      </c>
      <c r="H5" s="3">
        <v>7.5349972000000005E-5</v>
      </c>
      <c r="I5" s="3">
        <v>1.6165806E-5</v>
      </c>
      <c r="J5" s="3">
        <v>-2.0869930000000001E-4</v>
      </c>
      <c r="K5" s="3"/>
      <c r="L5" s="3">
        <f t="shared" si="0"/>
        <v>7.7390417940876657E-2</v>
      </c>
      <c r="M5" s="3"/>
      <c r="N5" s="2">
        <f>IF('Modell einstellen'!$B$1="Voll",H5/0.35,H5/0.35*2)</f>
        <v>2.1528563428571432E-4</v>
      </c>
      <c r="O5" s="2">
        <f>IF('Modell einstellen'!$B$1="Voll",J5/0.35,J5/0.35*2)</f>
        <v>-5.9628371428571431E-4</v>
      </c>
      <c r="P5" s="3">
        <f t="shared" si="1"/>
        <v>0.36104563838977904</v>
      </c>
      <c r="Q5" s="3"/>
      <c r="R5" s="3"/>
      <c r="S5" s="3"/>
      <c r="T5" s="3"/>
      <c r="U5" s="3"/>
    </row>
    <row r="6" spans="1:21" x14ac:dyDescent="0.25">
      <c r="A6" s="3">
        <v>9.9999999999999998E-13</v>
      </c>
      <c r="B6" s="3">
        <v>3.6199999999999999E-5</v>
      </c>
      <c r="C6" s="3">
        <v>1.5919999999999999E-4</v>
      </c>
      <c r="D6" s="3">
        <v>-4.9140000000000002E-4</v>
      </c>
      <c r="E6" s="3">
        <v>0</v>
      </c>
      <c r="F6" s="3">
        <v>0</v>
      </c>
      <c r="G6" s="3">
        <v>0</v>
      </c>
      <c r="H6" s="3">
        <v>7.6817743000000006E-5</v>
      </c>
      <c r="I6" s="3">
        <v>1.6326523E-5</v>
      </c>
      <c r="J6" s="3">
        <v>-2.1100413000000001E-4</v>
      </c>
      <c r="K6" s="3"/>
      <c r="L6" s="3">
        <f t="shared" si="0"/>
        <v>7.366707366707366E-2</v>
      </c>
      <c r="M6" s="3"/>
      <c r="N6" s="2">
        <f>IF('Modell einstellen'!$B$1="Voll",H6/0.35,H6/0.35*2)</f>
        <v>2.1947926571428574E-4</v>
      </c>
      <c r="O6" s="2">
        <f>IF('Modell einstellen'!$B$1="Voll",J6/0.35,J6/0.35*2)</f>
        <v>-6.0286894285714295E-4</v>
      </c>
      <c r="P6" s="3">
        <f t="shared" si="1"/>
        <v>0.36405800682669104</v>
      </c>
      <c r="Q6" s="3"/>
      <c r="R6" s="3"/>
      <c r="S6" s="3"/>
      <c r="T6" s="3"/>
      <c r="U6" s="3"/>
    </row>
    <row r="7" spans="1:21" x14ac:dyDescent="0.25">
      <c r="A7" s="3">
        <v>9.9999999999999994E-12</v>
      </c>
      <c r="B7" s="3">
        <v>3.2960000000000003E-5</v>
      </c>
      <c r="C7" s="3">
        <v>1.6259999999999999E-4</v>
      </c>
      <c r="D7" s="3">
        <v>-4.9419999999999998E-4</v>
      </c>
      <c r="E7" s="3">
        <v>0</v>
      </c>
      <c r="F7" s="3">
        <v>0</v>
      </c>
      <c r="G7" s="3">
        <v>0</v>
      </c>
      <c r="H7" s="3">
        <v>8.0022237999999998E-5</v>
      </c>
      <c r="I7" s="3">
        <v>1.6710532999999999E-5</v>
      </c>
      <c r="J7" s="3">
        <v>-2.1611247000000001E-4</v>
      </c>
      <c r="K7" s="3"/>
      <c r="L7" s="3">
        <f t="shared" si="0"/>
        <v>6.6693646297045744E-2</v>
      </c>
      <c r="M7" s="3"/>
      <c r="N7" s="2">
        <f>IF('Modell einstellen'!$B$1="Voll",H7/0.35,H7/0.35*2)</f>
        <v>2.2863496571428571E-4</v>
      </c>
      <c r="O7" s="2">
        <f>IF('Modell einstellen'!$B$1="Voll",J7/0.35,J7/0.35*2)</f>
        <v>-6.1746420000000004E-4</v>
      </c>
      <c r="P7" s="3">
        <f t="shared" si="1"/>
        <v>0.37028052106387011</v>
      </c>
      <c r="Q7" s="3"/>
      <c r="R7" s="3"/>
      <c r="S7" s="3"/>
      <c r="T7" s="3"/>
      <c r="U7" s="3"/>
    </row>
    <row r="8" spans="1:21" x14ac:dyDescent="0.25">
      <c r="A8" s="3">
        <v>1E-10</v>
      </c>
      <c r="B8" s="3">
        <v>3.0199999999999999E-5</v>
      </c>
      <c r="C8" s="3">
        <v>1.649E-4</v>
      </c>
      <c r="D8" s="3">
        <v>-4.9560000000000001E-4</v>
      </c>
      <c r="E8" s="3">
        <v>0</v>
      </c>
      <c r="F8" s="3">
        <v>0</v>
      </c>
      <c r="G8" s="3">
        <v>0</v>
      </c>
      <c r="H8" s="3">
        <v>8.2331490000000002E-5</v>
      </c>
      <c r="I8" s="3">
        <v>1.6968074E-5</v>
      </c>
      <c r="J8" s="3">
        <v>-2.1971284E-4</v>
      </c>
      <c r="K8" s="3"/>
      <c r="L8" s="3">
        <f t="shared" si="0"/>
        <v>6.0936238902340595E-2</v>
      </c>
      <c r="M8" s="3"/>
      <c r="N8" s="2">
        <f>IF('Modell einstellen'!$B$1="Voll",H8/0.35,H8/0.35*2)</f>
        <v>2.352328285714286E-4</v>
      </c>
      <c r="O8" s="2">
        <f>IF('Modell einstellen'!$B$1="Voll",J8/0.35,J8/0.35*2)</f>
        <v>-6.2775097142857153E-4</v>
      </c>
      <c r="P8" s="3">
        <f t="shared" si="1"/>
        <v>0.37472316137736872</v>
      </c>
      <c r="Q8" s="3"/>
      <c r="R8" s="3"/>
      <c r="S8" s="3"/>
      <c r="T8" s="3"/>
      <c r="U8" s="3"/>
    </row>
    <row r="9" spans="1:21" x14ac:dyDescent="0.25">
      <c r="A9" s="3">
        <v>1.0000000000000001E-9</v>
      </c>
      <c r="B9" s="3">
        <v>2.722E-5</v>
      </c>
      <c r="C9" s="3">
        <v>1.671E-4</v>
      </c>
      <c r="D9" s="3">
        <v>-4.9669999999999998E-4</v>
      </c>
      <c r="E9" s="3">
        <v>0</v>
      </c>
      <c r="F9" s="3">
        <v>0</v>
      </c>
      <c r="G9" s="3">
        <v>0</v>
      </c>
      <c r="H9" s="3">
        <v>8.4705202999999998E-5</v>
      </c>
      <c r="I9" s="3">
        <v>1.7226437999999999E-5</v>
      </c>
      <c r="J9" s="3">
        <v>-2.2338079999999999E-4</v>
      </c>
      <c r="K9" s="3"/>
      <c r="L9" s="3">
        <f t="shared" si="0"/>
        <v>5.4801691161667006E-2</v>
      </c>
      <c r="M9" s="3"/>
      <c r="N9" s="2">
        <f>IF('Modell einstellen'!$B$1="Voll",H9/0.35,H9/0.35*2)</f>
        <v>2.4201486571428572E-4</v>
      </c>
      <c r="O9" s="2">
        <f>IF('Modell einstellen'!$B$1="Voll",J9/0.35,J9/0.35*2)</f>
        <v>-6.3823085714285717E-4</v>
      </c>
      <c r="P9" s="3">
        <f t="shared" si="1"/>
        <v>0.37919643496665784</v>
      </c>
      <c r="Q9" s="3"/>
      <c r="R9" s="3"/>
      <c r="S9" s="3"/>
      <c r="T9" s="3"/>
      <c r="U9" s="3"/>
    </row>
    <row r="10" spans="1:21" x14ac:dyDescent="0.25">
      <c r="A10" s="3">
        <v>1E-8</v>
      </c>
      <c r="B10" s="3">
        <v>2.353E-5</v>
      </c>
      <c r="C10" s="3">
        <v>1.697E-4</v>
      </c>
      <c r="D10" s="3">
        <v>-4.9759999999999995E-4</v>
      </c>
      <c r="E10" s="3">
        <v>0</v>
      </c>
      <c r="F10" s="3">
        <v>0</v>
      </c>
      <c r="G10" s="3">
        <v>0</v>
      </c>
      <c r="H10" s="3">
        <v>8.7489906999999996E-5</v>
      </c>
      <c r="I10" s="3">
        <v>1.7520945E-5</v>
      </c>
      <c r="J10" s="3">
        <v>-2.2763876E-4</v>
      </c>
      <c r="K10" s="3"/>
      <c r="L10" s="3">
        <f t="shared" si="0"/>
        <v>4.7286977491961417E-2</v>
      </c>
      <c r="M10" s="3"/>
      <c r="N10" s="2">
        <f>IF('Modell einstellen'!$B$1="Voll",H10/0.35,H10/0.35*2)</f>
        <v>2.4997116285714285E-4</v>
      </c>
      <c r="O10" s="2">
        <f>IF('Modell einstellen'!$B$1="Voll",J10/0.35,J10/0.35*2)</f>
        <v>-6.5039645714285723E-4</v>
      </c>
      <c r="P10" s="3">
        <f t="shared" si="1"/>
        <v>0.38433659979521934</v>
      </c>
      <c r="Q10" s="3"/>
      <c r="R10" s="3"/>
      <c r="S10" s="3"/>
      <c r="T10" s="3"/>
      <c r="U10" s="3"/>
    </row>
    <row r="11" spans="1:21" x14ac:dyDescent="0.25">
      <c r="A11" s="3">
        <v>9.9999999999999995E-8</v>
      </c>
      <c r="B11" s="3">
        <v>1.916E-5</v>
      </c>
      <c r="C11" s="3">
        <v>1.7239999999999999E-4</v>
      </c>
      <c r="D11" s="3">
        <v>-4.9830000000000002E-4</v>
      </c>
      <c r="E11" s="3">
        <v>0</v>
      </c>
      <c r="F11" s="3">
        <v>0</v>
      </c>
      <c r="G11" s="3">
        <v>0</v>
      </c>
      <c r="H11" s="3">
        <v>9.0613938999999997E-5</v>
      </c>
      <c r="I11" s="3">
        <v>1.7840631000000001E-5</v>
      </c>
      <c r="J11" s="3">
        <v>-2.3235958E-4</v>
      </c>
      <c r="K11" s="3"/>
      <c r="L11" s="3">
        <f t="shared" si="0"/>
        <v>3.8450732490467585E-2</v>
      </c>
      <c r="M11" s="3"/>
      <c r="N11" s="2">
        <f>IF('Modell einstellen'!$B$1="Voll",H11/0.35,H11/0.35*2)</f>
        <v>2.5889696857142857E-4</v>
      </c>
      <c r="O11" s="2">
        <f>IF('Modell einstellen'!$B$1="Voll",J11/0.35,J11/0.35*2)</f>
        <v>-6.6388451428571439E-4</v>
      </c>
      <c r="P11" s="3">
        <f t="shared" si="1"/>
        <v>0.38997289890091896</v>
      </c>
      <c r="Q11" s="3"/>
      <c r="R11" s="3"/>
      <c r="S11" s="3"/>
      <c r="T11" s="3"/>
      <c r="U11" s="3"/>
    </row>
    <row r="12" spans="1:21" x14ac:dyDescent="0.25">
      <c r="A12" s="3">
        <v>9.9999999999999995E-7</v>
      </c>
      <c r="B12" s="3">
        <v>1.363E-5</v>
      </c>
      <c r="C12" s="3">
        <v>1.7560000000000001E-4</v>
      </c>
      <c r="D12" s="3">
        <v>-4.9850000000000003E-4</v>
      </c>
      <c r="E12" s="3">
        <v>0</v>
      </c>
      <c r="F12" s="3">
        <v>0</v>
      </c>
      <c r="G12" s="3">
        <v>0</v>
      </c>
      <c r="H12" s="3">
        <v>9.4353298999999994E-5</v>
      </c>
      <c r="I12" s="3">
        <v>1.8208824E-5</v>
      </c>
      <c r="J12" s="3">
        <v>-2.3793562999999999E-4</v>
      </c>
      <c r="K12" s="3"/>
      <c r="L12" s="3">
        <f t="shared" si="0"/>
        <v>2.7342026078234702E-2</v>
      </c>
      <c r="M12" s="3"/>
      <c r="N12" s="2">
        <f>IF('Modell einstellen'!$B$1="Voll",H12/0.35,H12/0.35*2)</f>
        <v>2.6958085428571428E-4</v>
      </c>
      <c r="O12" s="2">
        <f>IF('Modell einstellen'!$B$1="Voll",J12/0.35,J12/0.35*2)</f>
        <v>-6.7981608571428579E-4</v>
      </c>
      <c r="P12" s="3">
        <f t="shared" si="1"/>
        <v>0.39654968446718125</v>
      </c>
      <c r="Q12" s="3"/>
      <c r="R12" s="3"/>
      <c r="S12" s="3"/>
      <c r="T12" s="3"/>
      <c r="U12" s="3"/>
    </row>
    <row r="13" spans="1:21" x14ac:dyDescent="0.25">
      <c r="A13" s="3">
        <v>1.0000000000000001E-5</v>
      </c>
      <c r="B13" s="3">
        <v>6.827E-6</v>
      </c>
      <c r="C13" s="3">
        <v>1.7899999999999999E-4</v>
      </c>
      <c r="D13" s="3">
        <v>-4.9799999999999996E-4</v>
      </c>
      <c r="E13" s="3">
        <v>0</v>
      </c>
      <c r="F13" s="3">
        <v>0</v>
      </c>
      <c r="G13" s="3">
        <v>0</v>
      </c>
      <c r="H13" s="3">
        <v>9.8675888000000002E-5</v>
      </c>
      <c r="I13" s="3">
        <v>1.8615593999999999E-5</v>
      </c>
      <c r="J13" s="3">
        <v>-2.442845E-4</v>
      </c>
      <c r="K13" s="3"/>
      <c r="L13" s="3">
        <f t="shared" si="0"/>
        <v>1.3708835341365463E-2</v>
      </c>
      <c r="M13" s="3"/>
      <c r="N13" s="2">
        <f>IF('Modell einstellen'!$B$1="Voll",H13/0.35,H13/0.35*2)</f>
        <v>2.8193110857142862E-4</v>
      </c>
      <c r="O13" s="2">
        <f>IF('Modell einstellen'!$B$1="Voll",J13/0.35,J13/0.35*2)</f>
        <v>-6.9795571428571434E-4</v>
      </c>
      <c r="P13" s="3">
        <f t="shared" si="1"/>
        <v>0.40393839150662447</v>
      </c>
      <c r="Q13" s="3"/>
      <c r="R13" s="3"/>
      <c r="S13" s="3"/>
      <c r="T13" s="3"/>
      <c r="U13" s="3"/>
    </row>
    <row r="14" spans="1:21" x14ac:dyDescent="0.25">
      <c r="A14" s="3">
        <v>1E-4</v>
      </c>
      <c r="B14" s="3">
        <v>-1.125E-6</v>
      </c>
      <c r="C14" s="3">
        <v>1.8259999999999999E-4</v>
      </c>
      <c r="D14" s="3">
        <v>-4.9649999999999998E-4</v>
      </c>
      <c r="E14" s="3">
        <v>0</v>
      </c>
      <c r="F14" s="3">
        <v>0</v>
      </c>
      <c r="G14" s="3">
        <v>0</v>
      </c>
      <c r="H14" s="3">
        <v>1.0343593E-4</v>
      </c>
      <c r="I14" s="3">
        <v>1.9041204000000001E-5</v>
      </c>
      <c r="J14" s="3">
        <v>-2.5116176000000002E-4</v>
      </c>
      <c r="K14" s="3"/>
      <c r="L14" s="3">
        <f t="shared" si="0"/>
        <v>-2.2658610271903325E-3</v>
      </c>
      <c r="M14" s="3"/>
      <c r="N14" s="2">
        <f>IF('Modell einstellen'!$B$1="Voll",H14/0.35,H14/0.35*2)</f>
        <v>2.9553122857142858E-4</v>
      </c>
      <c r="O14" s="2">
        <f>IF('Modell einstellen'!$B$1="Voll",J14/0.35,J14/0.35*2)</f>
        <v>-7.1760502857142871E-4</v>
      </c>
      <c r="P14" s="3">
        <f t="shared" si="1"/>
        <v>0.41182992984282313</v>
      </c>
      <c r="Q14" s="3"/>
      <c r="R14" s="3"/>
      <c r="S14" s="3"/>
      <c r="T14" s="3"/>
      <c r="U14" s="3"/>
    </row>
    <row r="15" spans="1:21" x14ac:dyDescent="0.25">
      <c r="A15" s="3">
        <v>1E-3</v>
      </c>
      <c r="B15" s="3">
        <v>-9.8649999999999996E-6</v>
      </c>
      <c r="C15" s="3">
        <v>1.8599999999999999E-4</v>
      </c>
      <c r="D15" s="3">
        <v>-4.9419999999999998E-4</v>
      </c>
      <c r="E15" s="3">
        <v>0</v>
      </c>
      <c r="F15" s="3">
        <v>0</v>
      </c>
      <c r="G15" s="3">
        <v>0</v>
      </c>
      <c r="H15" s="3">
        <v>1.0838261E-4</v>
      </c>
      <c r="I15" s="3">
        <v>1.9460767000000002E-5</v>
      </c>
      <c r="J15" s="3">
        <v>-2.5819290000000001E-4</v>
      </c>
      <c r="K15" s="3"/>
      <c r="L15" s="3">
        <f t="shared" si="0"/>
        <v>-1.9961554026709835E-2</v>
      </c>
      <c r="M15" s="3"/>
      <c r="N15" s="2">
        <f>IF('Modell einstellen'!$B$1="Voll",H15/0.35,H15/0.35*2)</f>
        <v>3.0966460000000001E-4</v>
      </c>
      <c r="O15" s="2">
        <f>IF('Modell einstellen'!$B$1="Voll",J15/0.35,J15/0.35*2)</f>
        <v>-7.3769400000000011E-4</v>
      </c>
      <c r="P15" s="3">
        <f t="shared" si="1"/>
        <v>0.41977378154085565</v>
      </c>
      <c r="Q15" s="3"/>
      <c r="R15" s="3"/>
      <c r="S15" s="3"/>
      <c r="T15" s="3"/>
      <c r="U15" s="3"/>
    </row>
    <row r="16" spans="1:21" x14ac:dyDescent="0.25">
      <c r="A16" s="3">
        <v>0.01</v>
      </c>
      <c r="B16" s="3">
        <v>-2.073E-5</v>
      </c>
      <c r="C16" s="3">
        <v>1.8990000000000001E-4</v>
      </c>
      <c r="D16" s="3">
        <v>-4.9039999999999999E-4</v>
      </c>
      <c r="E16" s="3">
        <v>0</v>
      </c>
      <c r="F16" s="3">
        <v>0</v>
      </c>
      <c r="G16" s="3">
        <v>0</v>
      </c>
      <c r="H16" s="3">
        <v>1.1422454999999999E-4</v>
      </c>
      <c r="I16" s="3">
        <v>1.9930080999999999E-5</v>
      </c>
      <c r="J16" s="3">
        <v>-2.6636383999999999E-4</v>
      </c>
      <c r="K16" s="3"/>
      <c r="L16" s="3">
        <f t="shared" si="0"/>
        <v>-4.2271615008156606E-2</v>
      </c>
      <c r="M16" s="3"/>
      <c r="N16" s="2">
        <f>IF('Modell einstellen'!$B$1="Voll",H16/0.35,H16/0.35*2)</f>
        <v>3.2635585714285714E-4</v>
      </c>
      <c r="O16" s="2">
        <f>IF('Modell einstellen'!$B$1="Voll",J16/0.35,J16/0.35*2)</f>
        <v>-7.6103954285714284E-4</v>
      </c>
      <c r="P16" s="3">
        <f t="shared" si="1"/>
        <v>0.42882904075868555</v>
      </c>
      <c r="Q16" s="3"/>
      <c r="R16" s="3"/>
      <c r="S16" s="3"/>
      <c r="T16" s="3"/>
      <c r="U16" s="3"/>
    </row>
    <row r="17" spans="1:21" x14ac:dyDescent="0.25">
      <c r="A17" s="3">
        <v>0.1</v>
      </c>
      <c r="B17" s="3">
        <v>-3.6140000000000003E-5</v>
      </c>
      <c r="C17" s="3">
        <v>1.9459999999999999E-4</v>
      </c>
      <c r="D17" s="3">
        <v>-4.838E-4</v>
      </c>
      <c r="E17" s="3">
        <v>0</v>
      </c>
      <c r="F17" s="3">
        <v>0</v>
      </c>
      <c r="G17" s="3">
        <v>0</v>
      </c>
      <c r="H17" s="3">
        <v>1.2206112E-4</v>
      </c>
      <c r="I17" s="3">
        <v>2.0520719E-5</v>
      </c>
      <c r="J17" s="3">
        <v>-2.7712238999999999E-4</v>
      </c>
      <c r="K17" s="3"/>
      <c r="L17" s="3">
        <f t="shared" si="0"/>
        <v>-7.4700289375775122E-2</v>
      </c>
      <c r="M17" s="3"/>
      <c r="N17" s="2">
        <f>IF('Modell einstellen'!$B$1="Voll",H17/0.35,H17/0.35*2)</f>
        <v>3.4874605714285716E-4</v>
      </c>
      <c r="O17" s="2">
        <f>IF('Modell einstellen'!$B$1="Voll",J17/0.35,J17/0.35*2)</f>
        <v>-7.9177825714285717E-4</v>
      </c>
      <c r="P17" s="3">
        <f t="shared" si="1"/>
        <v>0.44045924979212253</v>
      </c>
      <c r="Q17" s="3"/>
      <c r="R17" s="3"/>
      <c r="S17" s="3"/>
      <c r="T17" s="3"/>
      <c r="U17" s="3"/>
    </row>
    <row r="18" spans="1:21" x14ac:dyDescent="0.25">
      <c r="A18" s="3">
        <v>1</v>
      </c>
      <c r="B18" s="3">
        <v>-5.5640000000000003E-5</v>
      </c>
      <c r="C18" s="3">
        <v>2.0010000000000001E-4</v>
      </c>
      <c r="D18" s="3">
        <v>-4.7409999999999998E-4</v>
      </c>
      <c r="E18" s="3">
        <v>0</v>
      </c>
      <c r="F18" s="3">
        <v>0</v>
      </c>
      <c r="G18" s="3">
        <v>0</v>
      </c>
      <c r="H18" s="3">
        <v>1.3149996E-4</v>
      </c>
      <c r="I18" s="3">
        <v>2.1208598999999999E-5</v>
      </c>
      <c r="J18" s="3">
        <v>-2.8989101999999999E-4</v>
      </c>
      <c r="K18" s="3"/>
      <c r="L18" s="3">
        <f t="shared" si="0"/>
        <v>-0.11735920691837166</v>
      </c>
      <c r="M18" s="3"/>
      <c r="N18" s="2">
        <f>IF('Modell einstellen'!$B$1="Voll",H18/0.35,H18/0.35*2)</f>
        <v>3.7571417142857145E-4</v>
      </c>
      <c r="O18" s="2">
        <f>IF('Modell einstellen'!$B$1="Voll",J18/0.35,J18/0.35*2)</f>
        <v>-8.2826005714285722E-4</v>
      </c>
      <c r="P18" s="3">
        <f t="shared" si="1"/>
        <v>0.4536186046742669</v>
      </c>
      <c r="Q18" s="3"/>
      <c r="R18" s="3"/>
      <c r="S18" s="3"/>
      <c r="T18" s="3"/>
      <c r="U18" s="3"/>
    </row>
    <row r="19" spans="1:21" x14ac:dyDescent="0.25">
      <c r="A19" s="3">
        <v>10</v>
      </c>
      <c r="B19" s="3">
        <v>-7.2860000000000004E-5</v>
      </c>
      <c r="C19" s="3">
        <v>2.0829999999999999E-4</v>
      </c>
      <c r="D19" s="3">
        <v>-4.6809999999999999E-4</v>
      </c>
      <c r="E19" s="3">
        <v>0</v>
      </c>
      <c r="F19" s="3">
        <v>0</v>
      </c>
      <c r="G19" s="3">
        <v>0</v>
      </c>
      <c r="H19" s="3">
        <v>1.4093423999999999E-4</v>
      </c>
      <c r="I19" s="3">
        <v>2.2210033999999999E-5</v>
      </c>
      <c r="J19" s="3">
        <v>-3.0352389000000001E-4</v>
      </c>
      <c r="K19" s="3"/>
      <c r="L19" s="3">
        <f t="shared" si="0"/>
        <v>-0.15565050202948089</v>
      </c>
      <c r="M19" s="3"/>
      <c r="N19" s="2">
        <f>IF('Modell einstellen'!$B$1="Voll",H19/0.35,H19/0.35*2)</f>
        <v>4.0266925714285717E-4</v>
      </c>
      <c r="O19" s="2">
        <f>IF('Modell einstellen'!$B$1="Voll",J19/0.35,J19/0.35*2)</f>
        <v>-8.6721111428571436E-4</v>
      </c>
      <c r="P19" s="3">
        <f t="shared" si="1"/>
        <v>0.46432667952430368</v>
      </c>
      <c r="Q19" s="3"/>
      <c r="R19" s="3"/>
      <c r="S19" s="3"/>
      <c r="T19" s="3"/>
      <c r="U19" s="3"/>
    </row>
    <row r="20" spans="1:21" x14ac:dyDescent="0.25">
      <c r="A20" s="3">
        <v>100</v>
      </c>
      <c r="B20" s="3">
        <v>-7.3219999999999994E-5</v>
      </c>
      <c r="C20" s="3">
        <v>2.3269999999999999E-4</v>
      </c>
      <c r="D20" s="3">
        <v>-4.9140000000000002E-4</v>
      </c>
      <c r="E20" s="3">
        <v>0</v>
      </c>
      <c r="F20" s="3">
        <v>0</v>
      </c>
      <c r="G20" s="3">
        <v>0</v>
      </c>
      <c r="H20" s="3">
        <v>1.5084323000000001E-4</v>
      </c>
      <c r="I20" s="3">
        <v>2.5148643999999999E-5</v>
      </c>
      <c r="J20" s="3">
        <v>-3.2369970999999997E-4</v>
      </c>
      <c r="K20" s="3"/>
      <c r="L20" s="3">
        <f t="shared" si="0"/>
        <v>-0.14900284900284899</v>
      </c>
      <c r="M20" s="3"/>
      <c r="N20" s="2">
        <f>IF('Modell einstellen'!$B$1="Voll",H20/0.35,H20/0.35*2)</f>
        <v>4.3098065714285719E-4</v>
      </c>
      <c r="O20" s="2">
        <f>IF('Modell einstellen'!$B$1="Voll",J20/0.35,J20/0.35*2)</f>
        <v>-9.2485631428571426E-4</v>
      </c>
      <c r="P20" s="3">
        <f t="shared" si="1"/>
        <v>0.46599742088122359</v>
      </c>
      <c r="Q20" s="3"/>
      <c r="R20" s="3"/>
      <c r="S20" s="3"/>
      <c r="T20" s="3"/>
      <c r="U20" s="3"/>
    </row>
    <row r="21" spans="1:21" x14ac:dyDescent="0.25">
      <c r="A21" s="3">
        <v>1000</v>
      </c>
      <c r="B21" s="3">
        <v>-4.7649999999999999E-5</v>
      </c>
      <c r="C21" s="3">
        <v>2.8570000000000001E-4</v>
      </c>
      <c r="D21" s="3">
        <v>-5.6380000000000004E-4</v>
      </c>
      <c r="E21" s="3">
        <v>0</v>
      </c>
      <c r="F21" s="3">
        <v>0</v>
      </c>
      <c r="G21" s="3">
        <v>0</v>
      </c>
      <c r="H21" s="3">
        <v>1.6284553999999999E-4</v>
      </c>
      <c r="I21" s="3">
        <v>3.1673095E-5</v>
      </c>
      <c r="J21" s="3">
        <v>-3.5765614999999998E-4</v>
      </c>
      <c r="K21" s="3"/>
      <c r="L21" s="3">
        <f t="shared" si="0"/>
        <v>-8.4515785739623969E-2</v>
      </c>
      <c r="M21" s="3"/>
      <c r="N21" s="2">
        <f>IF('Modell einstellen'!$B$1="Voll",H21/0.35,H21/0.35*2)</f>
        <v>4.652729714285714E-4</v>
      </c>
      <c r="O21" s="2">
        <f>IF('Modell einstellen'!$B$1="Voll",J21/0.35,J21/0.35*2)</f>
        <v>-1.0218747142857142E-3</v>
      </c>
      <c r="P21" s="3">
        <f t="shared" si="1"/>
        <v>0.45531312686780306</v>
      </c>
      <c r="Q21" s="3"/>
      <c r="R21" s="3"/>
      <c r="S21" s="3"/>
      <c r="T21" s="3"/>
      <c r="U21" s="3"/>
    </row>
    <row r="22" spans="1:21" x14ac:dyDescent="0.25">
      <c r="A22" s="3">
        <v>10000</v>
      </c>
      <c r="B22" s="3">
        <v>-1.114E-5</v>
      </c>
      <c r="C22" s="3">
        <v>3.5270000000000001E-4</v>
      </c>
      <c r="D22" s="3">
        <v>-6.5859999999999996E-4</v>
      </c>
      <c r="E22" s="3">
        <v>0</v>
      </c>
      <c r="F22" s="3">
        <v>0</v>
      </c>
      <c r="G22" s="3">
        <v>0</v>
      </c>
      <c r="H22" s="3">
        <v>1.7494818000000001E-4</v>
      </c>
      <c r="I22" s="3">
        <v>4.0214055999999998E-5</v>
      </c>
      <c r="J22" s="3">
        <v>-3.9847896999999999E-4</v>
      </c>
      <c r="K22" s="3"/>
      <c r="L22" s="3">
        <f t="shared" si="0"/>
        <v>-1.691466747646523E-2</v>
      </c>
      <c r="M22" s="3"/>
      <c r="N22" s="2">
        <f>IF('Modell einstellen'!$B$1="Voll",H22/0.35,H22/0.35*2)</f>
        <v>4.9985194285714289E-4</v>
      </c>
      <c r="O22" s="2">
        <f>IF('Modell einstellen'!$B$1="Voll",J22/0.35,J22/0.35*2)</f>
        <v>-1.1385113428571429E-3</v>
      </c>
      <c r="P22" s="3">
        <f t="shared" si="1"/>
        <v>0.43903993227045335</v>
      </c>
      <c r="Q22" s="3"/>
      <c r="R22" s="3"/>
      <c r="S22" s="3"/>
      <c r="T22" s="3"/>
      <c r="U22" s="3"/>
    </row>
    <row r="23" spans="1:21" x14ac:dyDescent="0.25">
      <c r="A23" s="3">
        <v>100000</v>
      </c>
      <c r="B23" s="3">
        <v>2.0930000000000001E-5</v>
      </c>
      <c r="C23" s="3">
        <v>4.1980000000000001E-4</v>
      </c>
      <c r="D23" s="3">
        <v>-7.5020000000000002E-4</v>
      </c>
      <c r="E23" s="3">
        <v>0</v>
      </c>
      <c r="F23" s="3">
        <v>0</v>
      </c>
      <c r="G23" s="3">
        <v>0</v>
      </c>
      <c r="H23" s="3">
        <v>1.8757687999999999E-4</v>
      </c>
      <c r="I23" s="3">
        <v>4.9142920999999997E-5</v>
      </c>
      <c r="J23" s="3">
        <v>-4.4150445E-4</v>
      </c>
      <c r="K23" s="3"/>
      <c r="L23" s="3">
        <f t="shared" si="0"/>
        <v>2.7899226872833912E-2</v>
      </c>
      <c r="M23" s="3"/>
      <c r="N23" s="2">
        <f>IF('Modell einstellen'!$B$1="Voll",H23/0.35,H23/0.35*2)</f>
        <v>5.3593394285714289E-4</v>
      </c>
      <c r="O23" s="2">
        <f>IF('Modell einstellen'!$B$1="Voll",J23/0.35,J23/0.35*2)</f>
        <v>-1.2614412857142859E-3</v>
      </c>
      <c r="P23" s="3">
        <f t="shared" si="1"/>
        <v>0.42485841309187256</v>
      </c>
      <c r="Q23" s="3"/>
      <c r="R23" s="3"/>
      <c r="S23" s="3"/>
      <c r="T23" s="3"/>
      <c r="U23" s="3"/>
    </row>
    <row r="24" spans="1:21" x14ac:dyDescent="0.25">
      <c r="A24" s="3">
        <v>1000000</v>
      </c>
      <c r="B24" s="3">
        <v>4.2240000000000002E-5</v>
      </c>
      <c r="C24" s="3">
        <v>4.8200000000000001E-4</v>
      </c>
      <c r="D24" s="3">
        <v>-8.2870000000000003E-4</v>
      </c>
      <c r="E24" s="3">
        <v>0</v>
      </c>
      <c r="F24" s="3">
        <v>0</v>
      </c>
      <c r="G24" s="3">
        <v>0</v>
      </c>
      <c r="H24" s="3">
        <v>2.0143422E-4</v>
      </c>
      <c r="I24" s="3">
        <v>5.7807752999999997E-5</v>
      </c>
      <c r="J24" s="3">
        <v>-4.853789E-4</v>
      </c>
      <c r="K24" s="3"/>
      <c r="L24" s="3">
        <f t="shared" si="0"/>
        <v>5.0971400989501627E-2</v>
      </c>
      <c r="M24" s="3"/>
      <c r="N24" s="2">
        <f>IF('Modell einstellen'!$B$1="Voll",H24/0.35,H24/0.35*2)</f>
        <v>5.7552634285714288E-4</v>
      </c>
      <c r="O24" s="2">
        <f>IF('Modell einstellen'!$B$1="Voll",J24/0.35,J24/0.35*2)</f>
        <v>-1.3867968571428572E-3</v>
      </c>
      <c r="P24" s="3">
        <f t="shared" si="1"/>
        <v>0.41500407207647472</v>
      </c>
      <c r="Q24" s="3"/>
      <c r="R24" s="3"/>
      <c r="S24" s="3"/>
      <c r="T24" s="3"/>
      <c r="U24" s="3"/>
    </row>
    <row r="25" spans="1:21" x14ac:dyDescent="0.25">
      <c r="A25" s="3">
        <v>10000000</v>
      </c>
      <c r="B25" s="3">
        <v>4.7120000000000003E-5</v>
      </c>
      <c r="C25" s="3">
        <v>5.4299999999999997E-4</v>
      </c>
      <c r="D25" s="3">
        <v>-8.92E-4</v>
      </c>
      <c r="E25" s="3">
        <v>0</v>
      </c>
      <c r="F25" s="3">
        <v>0</v>
      </c>
      <c r="G25" s="3">
        <v>0</v>
      </c>
      <c r="H25" s="3">
        <v>2.1877058999999999E-4</v>
      </c>
      <c r="I25" s="3">
        <v>6.6647325000000003E-5</v>
      </c>
      <c r="J25" s="3">
        <v>-5.3401576999999995E-4</v>
      </c>
      <c r="K25" s="3"/>
      <c r="L25" s="3">
        <f t="shared" si="0"/>
        <v>5.282511210762332E-2</v>
      </c>
      <c r="M25" s="3"/>
      <c r="N25" s="2">
        <f>IF('Modell einstellen'!$B$1="Voll",H25/0.35,H25/0.35*2)</f>
        <v>6.2505882857142865E-4</v>
      </c>
      <c r="O25" s="2">
        <f>IF('Modell einstellen'!$B$1="Voll",J25/0.35,J25/0.35*2)</f>
        <v>-1.5257593428571429E-3</v>
      </c>
      <c r="P25" s="3">
        <f t="shared" si="1"/>
        <v>0.40967065448273188</v>
      </c>
      <c r="Q25" s="3"/>
      <c r="R25" s="3"/>
      <c r="S25" s="3"/>
      <c r="T25" s="3"/>
      <c r="U25" s="3"/>
    </row>
    <row r="26" spans="1:21" x14ac:dyDescent="0.25">
      <c r="A26" s="3">
        <v>100000000</v>
      </c>
      <c r="B26" s="3">
        <v>3.3040000000000002E-5</v>
      </c>
      <c r="C26" s="3">
        <v>6.0599999999999998E-4</v>
      </c>
      <c r="D26" s="3">
        <v>-9.4050000000000004E-4</v>
      </c>
      <c r="E26" s="3">
        <v>0</v>
      </c>
      <c r="F26" s="3">
        <v>0</v>
      </c>
      <c r="G26" s="3">
        <v>0</v>
      </c>
      <c r="H26" s="3">
        <v>2.3989880999999999E-4</v>
      </c>
      <c r="I26" s="3">
        <v>7.6094448000000006E-5</v>
      </c>
      <c r="J26" s="3">
        <v>-5.8913102000000004E-4</v>
      </c>
      <c r="K26" s="3"/>
      <c r="L26" s="3">
        <f t="shared" si="0"/>
        <v>3.513024986709197E-2</v>
      </c>
      <c r="M26" s="3"/>
      <c r="N26" s="2">
        <f>IF('Modell einstellen'!$B$1="Voll",H26/0.35,H26/0.35*2)</f>
        <v>6.8542517142857146E-4</v>
      </c>
      <c r="O26" s="2">
        <f>IF('Modell einstellen'!$B$1="Voll",J26/0.35,J26/0.35*2)</f>
        <v>-1.6832314857142859E-3</v>
      </c>
      <c r="P26" s="3">
        <f t="shared" si="1"/>
        <v>0.40720790767391601</v>
      </c>
      <c r="Q26" s="3"/>
      <c r="R26" s="3"/>
      <c r="S26" s="3"/>
      <c r="T26" s="3"/>
      <c r="U26" s="3"/>
    </row>
    <row r="27" spans="1:21" x14ac:dyDescent="0.25">
      <c r="A27" s="3">
        <v>1000000000</v>
      </c>
      <c r="B27" s="3">
        <v>-7.9480000000000008E-6</v>
      </c>
      <c r="C27" s="3">
        <v>6.7869999999999996E-4</v>
      </c>
      <c r="D27" s="3">
        <v>-9.7369999999999998E-4</v>
      </c>
      <c r="E27" s="3">
        <v>0</v>
      </c>
      <c r="F27" s="3">
        <v>0</v>
      </c>
      <c r="G27" s="3">
        <v>0</v>
      </c>
      <c r="H27" s="3">
        <v>2.6806539000000002E-4</v>
      </c>
      <c r="I27" s="3">
        <v>8.7355334E-5</v>
      </c>
      <c r="J27" s="3">
        <v>-6.5830035000000002E-4</v>
      </c>
      <c r="K27" s="3"/>
      <c r="L27" s="3">
        <f t="shared" si="0"/>
        <v>-8.162678443052275E-3</v>
      </c>
      <c r="M27" s="3"/>
      <c r="N27" s="2">
        <f>IF('Modell einstellen'!$B$1="Voll",H27/0.35,H27/0.35*2)</f>
        <v>7.6590111428571439E-4</v>
      </c>
      <c r="O27" s="2">
        <f>IF('Modell einstellen'!$B$1="Voll",J27/0.35,J27/0.35*2)</f>
        <v>-1.880858142857143E-3</v>
      </c>
      <c r="P27" s="3">
        <f t="shared" si="1"/>
        <v>0.40720833583029392</v>
      </c>
      <c r="Q27" s="3"/>
      <c r="R27" s="3"/>
      <c r="S27" s="3"/>
      <c r="T27" s="3"/>
      <c r="U27" s="3"/>
    </row>
    <row r="28" spans="1:21" x14ac:dyDescent="0.25">
      <c r="A28" s="3">
        <v>10000000000</v>
      </c>
      <c r="B28" s="3">
        <v>-9.1100000000000005E-5</v>
      </c>
      <c r="C28" s="3">
        <v>7.7079999999999998E-4</v>
      </c>
      <c r="D28" s="3">
        <v>-9.8569999999999994E-4</v>
      </c>
      <c r="E28" s="3">
        <v>0</v>
      </c>
      <c r="F28" s="3">
        <v>0</v>
      </c>
      <c r="G28" s="3">
        <v>0</v>
      </c>
      <c r="H28" s="3">
        <v>3.078531E-4</v>
      </c>
      <c r="I28" s="3">
        <v>1.0207439E-4</v>
      </c>
      <c r="J28" s="3">
        <v>-7.5203404999999997E-4</v>
      </c>
      <c r="K28" s="3"/>
      <c r="L28" s="3">
        <f t="shared" si="0"/>
        <v>-9.2421629298975363E-2</v>
      </c>
      <c r="M28" s="3"/>
      <c r="N28" s="2">
        <f>IF('Modell einstellen'!$B$1="Voll",H28/0.35,H28/0.35*2)</f>
        <v>8.7958028571428581E-4</v>
      </c>
      <c r="O28" s="2">
        <f>IF('Modell einstellen'!$B$1="Voll",J28/0.35,J28/0.35*2)</f>
        <v>-2.1486687142857142E-3</v>
      </c>
      <c r="P28" s="3">
        <f t="shared" si="1"/>
        <v>0.40936058679789838</v>
      </c>
      <c r="Q28" s="3"/>
      <c r="R28" s="3"/>
      <c r="S28" s="3"/>
      <c r="T28" s="3"/>
      <c r="U28" s="3"/>
    </row>
    <row r="29" spans="1:21" x14ac:dyDescent="0.25">
      <c r="A29" s="3">
        <v>100000000000</v>
      </c>
      <c r="B29" s="3">
        <v>-2.565E-4</v>
      </c>
      <c r="C29" s="3">
        <v>9.0379999999999996E-4</v>
      </c>
      <c r="D29" s="3">
        <v>-9.5830000000000004E-4</v>
      </c>
      <c r="E29" s="3">
        <v>0</v>
      </c>
      <c r="F29" s="3">
        <v>0</v>
      </c>
      <c r="G29" s="3">
        <v>0</v>
      </c>
      <c r="H29" s="3">
        <v>3.7136426E-4</v>
      </c>
      <c r="I29" s="3">
        <v>1.2406778999999999E-4</v>
      </c>
      <c r="J29" s="3">
        <v>-8.9634611999999997E-4</v>
      </c>
      <c r="K29" s="3"/>
      <c r="L29" s="3">
        <f t="shared" si="0"/>
        <v>-0.26766148387770006</v>
      </c>
      <c r="M29" s="3"/>
      <c r="N29" s="2">
        <f>IF('Modell einstellen'!$B$1="Voll",H29/0.35,H29/0.35*2)</f>
        <v>1.0610407428571428E-3</v>
      </c>
      <c r="O29" s="2">
        <f>IF('Modell einstellen'!$B$1="Voll",J29/0.35,J29/0.35*2)</f>
        <v>-2.5609889142857146E-3</v>
      </c>
      <c r="P29" s="3">
        <f t="shared" si="1"/>
        <v>0.41430899483337974</v>
      </c>
      <c r="Q29" s="3"/>
      <c r="R29" s="3"/>
      <c r="S29" s="3"/>
      <c r="T29" s="3"/>
      <c r="U29" s="3"/>
    </row>
    <row r="30" spans="1:21" x14ac:dyDescent="0.25">
      <c r="A30" s="3">
        <v>1000000000000</v>
      </c>
      <c r="B30" s="3">
        <v>-5.8160000000000004E-4</v>
      </c>
      <c r="C30" s="3">
        <v>1.114E-3</v>
      </c>
      <c r="D30" s="3">
        <v>-8.5010000000000001E-4</v>
      </c>
      <c r="E30" s="3">
        <v>0</v>
      </c>
      <c r="F30" s="3">
        <v>0</v>
      </c>
      <c r="G30" s="3">
        <v>0</v>
      </c>
      <c r="H30" s="3">
        <v>4.8050536000000002E-4</v>
      </c>
      <c r="I30" s="3">
        <v>1.6009518999999999E-4</v>
      </c>
      <c r="J30" s="3">
        <v>-1.1376292000000001E-3</v>
      </c>
      <c r="K30" s="3"/>
      <c r="L30" s="3">
        <f t="shared" si="0"/>
        <v>-0.68415480531702155</v>
      </c>
      <c r="M30" s="3"/>
      <c r="N30" s="2">
        <f>IF('Modell einstellen'!$B$1="Voll",H30/0.35,H30/0.35*2)</f>
        <v>1.3728724571428572E-3</v>
      </c>
      <c r="O30" s="2">
        <f>IF('Modell einstellen'!$B$1="Voll",J30/0.35,J30/0.35*2)</f>
        <v>-3.2503691428571431E-3</v>
      </c>
      <c r="P30" s="3">
        <f t="shared" si="1"/>
        <v>0.42237432020908044</v>
      </c>
      <c r="Q30" s="3"/>
      <c r="R30" s="3"/>
      <c r="S30" s="3"/>
      <c r="T30" s="3"/>
      <c r="U30" s="3"/>
    </row>
    <row r="31" spans="1:21" x14ac:dyDescent="0.25">
      <c r="A31" s="3">
        <v>10000000000000</v>
      </c>
      <c r="B31" s="3">
        <v>-1.2149999999999999E-3</v>
      </c>
      <c r="C31" s="3">
        <v>1.4549999999999999E-3</v>
      </c>
      <c r="D31" s="3">
        <v>-5.6459999999999995E-4</v>
      </c>
      <c r="E31" s="3">
        <v>0</v>
      </c>
      <c r="F31" s="3">
        <v>0</v>
      </c>
      <c r="G31" s="3">
        <v>0</v>
      </c>
      <c r="H31" s="3">
        <v>6.6963977000000004E-4</v>
      </c>
      <c r="I31" s="3">
        <v>2.2017360000000001E-4</v>
      </c>
      <c r="J31" s="3">
        <v>-1.5462365E-3</v>
      </c>
      <c r="K31" s="3"/>
      <c r="L31" s="3">
        <f t="shared" si="0"/>
        <v>-2.1519659936238047</v>
      </c>
      <c r="M31" s="3"/>
      <c r="N31" s="2">
        <f>IF('Modell einstellen'!$B$1="Voll",H31/0.35,H31/0.35*2)</f>
        <v>1.913256485714286E-3</v>
      </c>
      <c r="O31" s="2">
        <f>IF('Modell einstellen'!$B$1="Voll",J31/0.35,J31/0.35*2)</f>
        <v>-4.4178185714285716E-3</v>
      </c>
      <c r="P31" s="3">
        <f t="shared" si="1"/>
        <v>0.43307719744036571</v>
      </c>
      <c r="Q31" s="3"/>
      <c r="R31" s="3"/>
      <c r="S31" s="3"/>
      <c r="T31" s="3"/>
      <c r="U31" s="3"/>
    </row>
    <row r="32" spans="1:21" x14ac:dyDescent="0.25">
      <c r="A32" s="3">
        <v>100000000000000</v>
      </c>
      <c r="B32" s="3">
        <v>-2.2799999999999999E-3</v>
      </c>
      <c r="C32" s="3">
        <v>1.9650000000000002E-3</v>
      </c>
      <c r="D32" s="3">
        <v>-1.5449999999999999E-5</v>
      </c>
      <c r="E32" s="3">
        <v>0</v>
      </c>
      <c r="F32" s="3">
        <v>0</v>
      </c>
      <c r="G32" s="3">
        <v>0</v>
      </c>
      <c r="H32" s="3">
        <v>9.6686918999999997E-4</v>
      </c>
      <c r="I32" s="3">
        <v>3.1202119E-4</v>
      </c>
      <c r="J32" s="3">
        <v>-2.1770995999999998E-3</v>
      </c>
      <c r="K32" s="3"/>
      <c r="L32" s="3">
        <f t="shared" si="0"/>
        <v>-147.57281553398059</v>
      </c>
      <c r="M32" s="3"/>
      <c r="N32" s="2">
        <f>IF('Modell einstellen'!$B$1="Voll",H32/0.35,H32/0.35*2)</f>
        <v>2.7624834000000002E-3</v>
      </c>
      <c r="O32" s="2">
        <f>IF('Modell einstellen'!$B$1="Voll",J32/0.35,J32/0.35*2)</f>
        <v>-6.2202845714285715E-3</v>
      </c>
      <c r="P32" s="3">
        <f t="shared" si="1"/>
        <v>0.44410884554845359</v>
      </c>
      <c r="Q32" s="3"/>
      <c r="R32" s="3"/>
      <c r="S32" s="3"/>
      <c r="T32" s="3"/>
      <c r="U32" s="3"/>
    </row>
    <row r="33" spans="1:21" x14ac:dyDescent="0.25">
      <c r="A33" s="2">
        <v>1000000000000000</v>
      </c>
      <c r="B33" s="3">
        <v>-3.7090000000000001E-3</v>
      </c>
      <c r="C33" s="3">
        <v>2.6099999999999999E-3</v>
      </c>
      <c r="D33" s="3">
        <v>7.6530000000000001E-4</v>
      </c>
      <c r="E33" s="3">
        <v>0</v>
      </c>
      <c r="F33" s="3">
        <v>0</v>
      </c>
      <c r="G33" s="3">
        <v>0</v>
      </c>
      <c r="H33" s="3">
        <v>1.3531980999999999E-3</v>
      </c>
      <c r="I33" s="3">
        <v>4.2939912999999998E-4</v>
      </c>
      <c r="J33" s="3">
        <v>-2.9869163000000002E-3</v>
      </c>
      <c r="K33" s="3"/>
      <c r="L33" s="3">
        <f t="shared" si="0"/>
        <v>4.8464654383901742</v>
      </c>
      <c r="M33" s="3"/>
      <c r="N33" s="2">
        <f>IF('Modell einstellen'!$B$1="Voll",H33/0.35,H33/0.35*2)</f>
        <v>3.8662802857142857E-3</v>
      </c>
      <c r="O33" s="2">
        <f>IF('Modell einstellen'!$B$1="Voll",J33/0.35,J33/0.35*2)</f>
        <v>-8.5340465714285729E-3</v>
      </c>
      <c r="P33" s="3">
        <f t="shared" si="1"/>
        <v>0.45304185457088292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3.9270000000000002E-5</v>
      </c>
      <c r="C3" s="3">
        <v>1.604E-4</v>
      </c>
      <c r="D3" s="3">
        <v>-4.9470000000000004E-4</v>
      </c>
      <c r="E3" s="3">
        <v>0</v>
      </c>
      <c r="F3" s="3">
        <v>0</v>
      </c>
      <c r="G3" s="3">
        <v>0</v>
      </c>
      <c r="H3" s="3">
        <v>7.6470954999999997E-5</v>
      </c>
      <c r="I3" s="3">
        <v>1.6460851E-5</v>
      </c>
      <c r="J3" s="3">
        <v>-2.1099269E-4</v>
      </c>
      <c r="K3" s="2"/>
      <c r="L3" s="3"/>
      <c r="M3" s="3"/>
      <c r="N3" s="2">
        <f>IF('Modell einstellen'!$B$1="Voll",H3/0.35,H3/0.35*2)</f>
        <v>2.1848844285714286E-4</v>
      </c>
      <c r="O3" s="2">
        <f>IF('Modell einstellen'!$B$1="Voll",J3/0.35,J3/0.35*2)</f>
        <v>-6.0283625714285718E-4</v>
      </c>
      <c r="P3" s="3">
        <f>-N3/O3</f>
        <v>0.36243414404546431</v>
      </c>
      <c r="Q3" s="3"/>
      <c r="R3" s="3"/>
      <c r="S3" s="3"/>
      <c r="T3" s="3"/>
      <c r="U3" s="3"/>
    </row>
    <row r="4" spans="1:21" x14ac:dyDescent="0.25">
      <c r="A4" s="3">
        <v>1E-14</v>
      </c>
      <c r="B4" s="3">
        <v>3.5120000000000003E-5</v>
      </c>
      <c r="C4" s="3">
        <v>1.6440000000000001E-4</v>
      </c>
      <c r="D4" s="3">
        <v>-4.9779999999999996E-4</v>
      </c>
      <c r="E4" s="3">
        <v>0</v>
      </c>
      <c r="F4" s="3">
        <v>0</v>
      </c>
      <c r="G4" s="3">
        <v>0</v>
      </c>
      <c r="H4" s="3">
        <v>8.0332976000000006E-5</v>
      </c>
      <c r="I4" s="3">
        <v>1.6917091E-5</v>
      </c>
      <c r="J4" s="3">
        <v>-2.1712407000000001E-4</v>
      </c>
      <c r="K4" s="2"/>
      <c r="L4" s="3"/>
      <c r="M4" s="3"/>
      <c r="N4" s="2">
        <f>IF('Modell einstellen'!$B$1="Voll",H4/0.35,H4/0.35*2)</f>
        <v>2.295227885714286E-4</v>
      </c>
      <c r="O4" s="2">
        <f>IF('Modell einstellen'!$B$1="Voll",J4/0.35,J4/0.35*2)</f>
        <v>-6.2035448571428578E-4</v>
      </c>
      <c r="P4" s="3">
        <f t="shared" ref="P4:P33" si="0">-N4/O4</f>
        <v>0.3699865058719653</v>
      </c>
      <c r="Q4" s="3"/>
      <c r="R4" s="3"/>
      <c r="S4" s="3"/>
      <c r="T4" s="3"/>
      <c r="U4" s="3"/>
    </row>
    <row r="5" spans="1:21" x14ac:dyDescent="0.25">
      <c r="A5" s="3">
        <v>1E-13</v>
      </c>
      <c r="B5" s="3">
        <v>3.2339999999999999E-5</v>
      </c>
      <c r="C5" s="3">
        <v>1.6679999999999999E-4</v>
      </c>
      <c r="D5" s="3">
        <v>-4.9919999999999999E-4</v>
      </c>
      <c r="E5" s="3">
        <v>0</v>
      </c>
      <c r="F5" s="3">
        <v>0</v>
      </c>
      <c r="G5" s="3">
        <v>0</v>
      </c>
      <c r="H5" s="3">
        <v>8.2677958999999998E-5</v>
      </c>
      <c r="I5" s="3">
        <v>1.7183184000000001E-5</v>
      </c>
      <c r="J5" s="3">
        <v>-2.2079312000000001E-4</v>
      </c>
      <c r="K5" s="2"/>
      <c r="L5" s="3"/>
      <c r="M5" s="3"/>
      <c r="N5" s="2">
        <f>IF('Modell einstellen'!$B$1="Voll",H5/0.35,H5/0.35*2)</f>
        <v>2.3622274000000001E-4</v>
      </c>
      <c r="O5" s="2">
        <f>IF('Modell einstellen'!$B$1="Voll",J5/0.35,J5/0.35*2)</f>
        <v>-6.3083748571428583E-4</v>
      </c>
      <c r="P5" s="3">
        <f t="shared" si="0"/>
        <v>0.37445894600338991</v>
      </c>
      <c r="Q5" s="3"/>
      <c r="R5" s="3"/>
      <c r="S5" s="3"/>
      <c r="T5" s="3"/>
      <c r="U5" s="3"/>
    </row>
    <row r="6" spans="1:21" x14ac:dyDescent="0.25">
      <c r="A6" s="3">
        <v>9.9999999999999998E-13</v>
      </c>
      <c r="B6" s="3">
        <v>2.934E-5</v>
      </c>
      <c r="C6" s="3">
        <v>1.6909999999999999E-4</v>
      </c>
      <c r="D6" s="3">
        <v>-5.0040000000000002E-4</v>
      </c>
      <c r="E6" s="3">
        <v>0</v>
      </c>
      <c r="F6" s="3">
        <v>0</v>
      </c>
      <c r="G6" s="3">
        <v>0</v>
      </c>
      <c r="H6" s="3">
        <v>8.5085068999999998E-5</v>
      </c>
      <c r="I6" s="3">
        <v>1.7449972000000001E-5</v>
      </c>
      <c r="J6" s="3">
        <v>-2.2452655000000001E-4</v>
      </c>
      <c r="K6" s="2"/>
      <c r="L6" s="3"/>
      <c r="M6" s="3"/>
      <c r="N6" s="2">
        <f>IF('Modell einstellen'!$B$1="Voll",H6/0.35,H6/0.35*2)</f>
        <v>2.4310019714285716E-4</v>
      </c>
      <c r="O6" s="2">
        <f>IF('Modell einstellen'!$B$1="Voll",J6/0.35,J6/0.35*2)</f>
        <v>-6.4150442857142866E-4</v>
      </c>
      <c r="P6" s="3">
        <f t="shared" si="0"/>
        <v>0.37895326410172869</v>
      </c>
      <c r="Q6" s="3"/>
      <c r="R6" s="3"/>
      <c r="S6" s="3"/>
      <c r="T6" s="3"/>
      <c r="U6" s="3"/>
    </row>
    <row r="7" spans="1:21" x14ac:dyDescent="0.25">
      <c r="A7" s="3">
        <v>9.9999999999999994E-12</v>
      </c>
      <c r="B7" s="3">
        <v>2.5660000000000002E-5</v>
      </c>
      <c r="C7" s="3">
        <v>1.717E-4</v>
      </c>
      <c r="D7" s="3">
        <v>-5.0140000000000004E-4</v>
      </c>
      <c r="E7" s="3">
        <v>0</v>
      </c>
      <c r="F7" s="3">
        <v>0</v>
      </c>
      <c r="G7" s="3">
        <v>0</v>
      </c>
      <c r="H7" s="3">
        <v>8.7882578000000004E-5</v>
      </c>
      <c r="I7" s="3">
        <v>1.7751301999999999E-5</v>
      </c>
      <c r="J7" s="3">
        <v>-2.2881985E-4</v>
      </c>
      <c r="K7" s="2"/>
      <c r="L7" s="3"/>
      <c r="M7" s="3"/>
      <c r="N7" s="2">
        <f>IF('Modell einstellen'!$B$1="Voll",H7/0.35,H7/0.35*2)</f>
        <v>2.5109308000000004E-4</v>
      </c>
      <c r="O7" s="2">
        <f>IF('Modell einstellen'!$B$1="Voll",J7/0.35,J7/0.35*2)</f>
        <v>-6.5377100000000004E-4</v>
      </c>
      <c r="P7" s="3">
        <f t="shared" si="0"/>
        <v>0.38406885591437984</v>
      </c>
      <c r="Q7" s="3"/>
      <c r="R7" s="3"/>
      <c r="S7" s="3"/>
      <c r="T7" s="3"/>
      <c r="U7" s="3"/>
    </row>
    <row r="8" spans="1:21" x14ac:dyDescent="0.25">
      <c r="A8" s="3">
        <v>1E-10</v>
      </c>
      <c r="B8" s="3">
        <v>2.126E-5</v>
      </c>
      <c r="C8" s="3">
        <v>1.7450000000000001E-4</v>
      </c>
      <c r="D8" s="3">
        <v>-5.0210000000000001E-4</v>
      </c>
      <c r="E8" s="3">
        <v>0</v>
      </c>
      <c r="F8" s="3">
        <v>0</v>
      </c>
      <c r="G8" s="3">
        <v>0</v>
      </c>
      <c r="H8" s="3">
        <v>9.1042982000000006E-5</v>
      </c>
      <c r="I8" s="3">
        <v>1.8080834000000001E-5</v>
      </c>
      <c r="J8" s="3">
        <v>-2.3361352000000001E-4</v>
      </c>
      <c r="K8" s="2"/>
      <c r="L8" s="3"/>
      <c r="M8" s="3"/>
      <c r="N8" s="2">
        <f>IF('Modell einstellen'!$B$1="Voll",H8/0.35,H8/0.35*2)</f>
        <v>2.6012280571428576E-4</v>
      </c>
      <c r="O8" s="2">
        <f>IF('Modell einstellen'!$B$1="Voll",J8/0.35,J8/0.35*2)</f>
        <v>-6.6746720000000011E-4</v>
      </c>
      <c r="P8" s="3">
        <f t="shared" si="0"/>
        <v>0.38971623731366234</v>
      </c>
      <c r="Q8" s="3"/>
      <c r="R8" s="3"/>
      <c r="S8" s="3"/>
      <c r="T8" s="3"/>
      <c r="U8" s="3"/>
    </row>
    <row r="9" spans="1:21" x14ac:dyDescent="0.25">
      <c r="A9" s="3">
        <v>1.0000000000000001E-9</v>
      </c>
      <c r="B9" s="3">
        <v>1.5690000000000001E-5</v>
      </c>
      <c r="C9" s="3">
        <v>1.7770000000000001E-4</v>
      </c>
      <c r="D9" s="3">
        <v>-5.0230000000000001E-4</v>
      </c>
      <c r="E9" s="3">
        <v>0</v>
      </c>
      <c r="F9" s="3">
        <v>0</v>
      </c>
      <c r="G9" s="3">
        <v>0</v>
      </c>
      <c r="H9" s="3">
        <v>9.4815506000000004E-5</v>
      </c>
      <c r="I9" s="3">
        <v>1.8459358999999999E-5</v>
      </c>
      <c r="J9" s="3">
        <v>-2.3925956000000001E-4</v>
      </c>
      <c r="K9" s="2"/>
      <c r="L9" s="3"/>
      <c r="M9" s="3"/>
      <c r="N9" s="2">
        <f>IF('Modell einstellen'!$B$1="Voll",H9/0.35,H9/0.35*2)</f>
        <v>2.7090144571428572E-4</v>
      </c>
      <c r="O9" s="2">
        <f>IF('Modell einstellen'!$B$1="Voll",J9/0.35,J9/0.35*2)</f>
        <v>-6.8359874285714287E-4</v>
      </c>
      <c r="P9" s="3">
        <f t="shared" si="0"/>
        <v>0.39628722045631115</v>
      </c>
      <c r="Q9" s="3"/>
      <c r="R9" s="3"/>
      <c r="S9" s="3"/>
      <c r="T9" s="3"/>
      <c r="U9" s="3"/>
    </row>
    <row r="10" spans="1:21" x14ac:dyDescent="0.25">
      <c r="A10" s="3">
        <v>1E-8</v>
      </c>
      <c r="B10" s="3">
        <v>8.8599999999999999E-6</v>
      </c>
      <c r="C10" s="3">
        <v>1.8129999999999999E-4</v>
      </c>
      <c r="D10" s="3">
        <v>-5.019E-4</v>
      </c>
      <c r="E10" s="3">
        <v>0</v>
      </c>
      <c r="F10" s="3">
        <v>0</v>
      </c>
      <c r="G10" s="3">
        <v>0</v>
      </c>
      <c r="H10" s="3">
        <v>9.9171154999999994E-5</v>
      </c>
      <c r="I10" s="3">
        <v>1.8877122999999999E-5</v>
      </c>
      <c r="J10" s="3">
        <v>-2.4567999000000001E-4</v>
      </c>
      <c r="K10" s="2"/>
      <c r="L10" s="3"/>
      <c r="M10" s="3"/>
      <c r="N10" s="2">
        <f>IF('Modell einstellen'!$B$1="Voll",H10/0.35,H10/0.35*2)</f>
        <v>2.8334615714285712E-4</v>
      </c>
      <c r="O10" s="2">
        <f>IF('Modell einstellen'!$B$1="Voll",J10/0.35,J10/0.35*2)</f>
        <v>-7.0194282857142859E-4</v>
      </c>
      <c r="P10" s="3">
        <f t="shared" si="0"/>
        <v>0.4036598788529745</v>
      </c>
      <c r="Q10" s="3"/>
      <c r="R10" s="3"/>
      <c r="S10" s="3"/>
      <c r="T10" s="3"/>
      <c r="U10" s="3"/>
    </row>
    <row r="11" spans="1:21" x14ac:dyDescent="0.25">
      <c r="A11" s="3">
        <v>9.9999999999999995E-8</v>
      </c>
      <c r="B11" s="3">
        <v>9.1490000000000002E-7</v>
      </c>
      <c r="C11" s="3">
        <v>1.8489999999999999E-4</v>
      </c>
      <c r="D11" s="3">
        <v>-5.0049999999999997E-4</v>
      </c>
      <c r="E11" s="3">
        <v>0</v>
      </c>
      <c r="F11" s="3">
        <v>0</v>
      </c>
      <c r="G11" s="3">
        <v>0</v>
      </c>
      <c r="H11" s="3">
        <v>1.0393423E-4</v>
      </c>
      <c r="I11" s="3">
        <v>1.9311305999999999E-5</v>
      </c>
      <c r="J11" s="3">
        <v>-2.5258601999999998E-4</v>
      </c>
      <c r="K11" s="2"/>
      <c r="L11" s="3"/>
      <c r="M11" s="3"/>
      <c r="N11" s="2">
        <f>IF('Modell einstellen'!$B$1="Voll",H11/0.35,H11/0.35*2)</f>
        <v>2.9695494285714288E-4</v>
      </c>
      <c r="O11" s="2">
        <f>IF('Modell einstellen'!$B$1="Voll",J11/0.35,J11/0.35*2)</f>
        <v>-7.2167434285714291E-4</v>
      </c>
      <c r="P11" s="3">
        <f t="shared" si="0"/>
        <v>0.41148053245385474</v>
      </c>
      <c r="Q11" s="3"/>
      <c r="R11" s="3"/>
      <c r="S11" s="3"/>
      <c r="T11" s="3"/>
      <c r="U11" s="3"/>
    </row>
    <row r="12" spans="1:21" x14ac:dyDescent="0.25">
      <c r="A12" s="3">
        <v>9.9999999999999995E-7</v>
      </c>
      <c r="B12" s="3">
        <v>-7.8529999999999992E-6</v>
      </c>
      <c r="C12" s="3">
        <v>1.885E-4</v>
      </c>
      <c r="D12" s="3">
        <v>-4.9819999999999997E-4</v>
      </c>
      <c r="E12" s="3">
        <v>0</v>
      </c>
      <c r="F12" s="3">
        <v>0</v>
      </c>
      <c r="G12" s="3">
        <v>0</v>
      </c>
      <c r="H12" s="3">
        <v>1.0890323E-4</v>
      </c>
      <c r="I12" s="3">
        <v>1.9741206E-5</v>
      </c>
      <c r="J12" s="3">
        <v>-2.5967417999999998E-4</v>
      </c>
      <c r="K12" s="2"/>
      <c r="L12" s="3"/>
      <c r="M12" s="3"/>
      <c r="N12" s="2">
        <f>IF('Modell einstellen'!$B$1="Voll",H12/0.35,H12/0.35*2)</f>
        <v>3.1115208571428574E-4</v>
      </c>
      <c r="O12" s="2">
        <f>IF('Modell einstellen'!$B$1="Voll",J12/0.35,J12/0.35*2)</f>
        <v>-7.4192622857142856E-4</v>
      </c>
      <c r="P12" s="3">
        <f t="shared" si="0"/>
        <v>0.41938412975829947</v>
      </c>
      <c r="Q12" s="3"/>
      <c r="R12" s="3"/>
      <c r="S12" s="3"/>
      <c r="T12" s="3"/>
      <c r="U12" s="3"/>
    </row>
    <row r="13" spans="1:21" x14ac:dyDescent="0.25">
      <c r="A13" s="3">
        <v>1.0000000000000001E-5</v>
      </c>
      <c r="B13" s="3">
        <v>-1.8919999999999998E-5</v>
      </c>
      <c r="C13" s="3">
        <v>1.9239999999999999E-4</v>
      </c>
      <c r="D13" s="3">
        <v>-4.9439999999999998E-4</v>
      </c>
      <c r="E13" s="3">
        <v>0</v>
      </c>
      <c r="F13" s="3">
        <v>0</v>
      </c>
      <c r="G13" s="3">
        <v>0</v>
      </c>
      <c r="H13" s="3">
        <v>1.1485434000000001E-4</v>
      </c>
      <c r="I13" s="3">
        <v>2.0228597999999999E-5</v>
      </c>
      <c r="J13" s="3">
        <v>-2.6802569999999999E-4</v>
      </c>
      <c r="K13" s="2"/>
      <c r="L13" s="3"/>
      <c r="M13" s="3"/>
      <c r="N13" s="2">
        <f>IF('Modell einstellen'!$B$1="Voll",H13/0.35,H13/0.35*2)</f>
        <v>3.281552571428572E-4</v>
      </c>
      <c r="O13" s="2">
        <f>IF('Modell einstellen'!$B$1="Voll",J13/0.35,J13/0.35*2)</f>
        <v>-7.6578771428571432E-4</v>
      </c>
      <c r="P13" s="3">
        <f t="shared" si="0"/>
        <v>0.42851987701179406</v>
      </c>
      <c r="Q13" s="3"/>
      <c r="R13" s="3"/>
      <c r="S13" s="3"/>
      <c r="T13" s="3"/>
      <c r="U13" s="3"/>
    </row>
    <row r="14" spans="1:21" x14ac:dyDescent="0.25">
      <c r="A14" s="3">
        <v>1E-4</v>
      </c>
      <c r="B14" s="3">
        <v>-3.4610000000000002E-5</v>
      </c>
      <c r="C14" s="3">
        <v>1.973E-4</v>
      </c>
      <c r="D14" s="3">
        <v>-4.8769999999999998E-4</v>
      </c>
      <c r="E14" s="3">
        <v>0</v>
      </c>
      <c r="F14" s="3">
        <v>0</v>
      </c>
      <c r="G14" s="3">
        <v>0</v>
      </c>
      <c r="H14" s="3">
        <v>1.2281004999999999E-4</v>
      </c>
      <c r="I14" s="3">
        <v>2.0836204999999999E-5</v>
      </c>
      <c r="J14" s="3">
        <v>-2.7897044E-4</v>
      </c>
      <c r="K14" s="2"/>
      <c r="L14" s="3"/>
      <c r="M14" s="3"/>
      <c r="N14" s="2">
        <f>IF('Modell einstellen'!$B$1="Voll",H14/0.35,H14/0.35*2)</f>
        <v>3.5088585714285712E-4</v>
      </c>
      <c r="O14" s="2">
        <f>IF('Modell einstellen'!$B$1="Voll",J14/0.35,J14/0.35*2)</f>
        <v>-7.9705840000000004E-4</v>
      </c>
      <c r="P14" s="3">
        <f t="shared" si="0"/>
        <v>0.44022603255025866</v>
      </c>
      <c r="Q14" s="3"/>
      <c r="R14" s="3"/>
      <c r="S14" s="3"/>
      <c r="T14" s="3"/>
      <c r="U14" s="3"/>
    </row>
    <row r="15" spans="1:21" x14ac:dyDescent="0.25">
      <c r="A15" s="3">
        <v>1E-3</v>
      </c>
      <c r="B15" s="3">
        <v>-5.452E-5</v>
      </c>
      <c r="C15" s="3">
        <v>2.0249999999999999E-4</v>
      </c>
      <c r="D15" s="3">
        <v>-4.774E-4</v>
      </c>
      <c r="E15" s="3">
        <v>0</v>
      </c>
      <c r="F15" s="3">
        <v>0</v>
      </c>
      <c r="G15" s="3">
        <v>0</v>
      </c>
      <c r="H15" s="3">
        <v>1.322463E-4</v>
      </c>
      <c r="I15" s="3">
        <v>2.1495996000000001E-5</v>
      </c>
      <c r="J15" s="3">
        <v>-2.9164664E-4</v>
      </c>
      <c r="K15" s="2"/>
      <c r="L15" s="3"/>
      <c r="M15" s="3"/>
      <c r="N15" s="2">
        <f>IF('Modell einstellen'!$B$1="Voll",H15/0.35,H15/0.35*2)</f>
        <v>3.7784657142857144E-4</v>
      </c>
      <c r="O15" s="2">
        <f>IF('Modell einstellen'!$B$1="Voll",J15/0.35,J15/0.35*2)</f>
        <v>-8.3327611428571434E-4</v>
      </c>
      <c r="P15" s="3">
        <f t="shared" si="0"/>
        <v>0.45344702068228865</v>
      </c>
      <c r="Q15" s="3"/>
      <c r="R15" s="3"/>
      <c r="S15" s="3"/>
      <c r="T15" s="3"/>
      <c r="U15" s="3"/>
    </row>
    <row r="16" spans="1:21" x14ac:dyDescent="0.25">
      <c r="A16" s="3">
        <v>0.01</v>
      </c>
      <c r="B16" s="3">
        <v>-7.5119999999999999E-5</v>
      </c>
      <c r="C16" s="3">
        <v>2.0709999999999999E-4</v>
      </c>
      <c r="D16" s="3">
        <v>-4.6519999999999998E-4</v>
      </c>
      <c r="E16" s="3">
        <v>0</v>
      </c>
      <c r="F16" s="3">
        <v>0</v>
      </c>
      <c r="G16" s="3">
        <v>0</v>
      </c>
      <c r="H16" s="3">
        <v>1.4144320000000001E-4</v>
      </c>
      <c r="I16" s="3">
        <v>2.2084712000000002E-5</v>
      </c>
      <c r="J16" s="3">
        <v>-3.0372534999999998E-4</v>
      </c>
      <c r="K16" s="2"/>
      <c r="L16" s="3"/>
      <c r="M16" s="3"/>
      <c r="N16" s="2">
        <f>IF('Modell einstellen'!$B$1="Voll",H16/0.35,H16/0.35*2)</f>
        <v>4.0412342857142861E-4</v>
      </c>
      <c r="O16" s="2">
        <f>IF('Modell einstellen'!$B$1="Voll",J16/0.35,J16/0.35*2)</f>
        <v>-8.6778671428571429E-4</v>
      </c>
      <c r="P16" s="3">
        <f t="shared" si="0"/>
        <v>0.46569441767043818</v>
      </c>
      <c r="Q16" s="3"/>
      <c r="R16" s="3"/>
      <c r="S16" s="3"/>
      <c r="T16" s="3"/>
      <c r="U16" s="3"/>
    </row>
    <row r="17" spans="1:21" x14ac:dyDescent="0.25">
      <c r="A17" s="3">
        <v>0.1</v>
      </c>
      <c r="B17" s="3">
        <v>-9.6080000000000002E-5</v>
      </c>
      <c r="C17" s="3">
        <v>2.1139999999999999E-4</v>
      </c>
      <c r="D17" s="3">
        <v>-4.5199999999999998E-4</v>
      </c>
      <c r="E17" s="3">
        <v>0</v>
      </c>
      <c r="F17" s="3">
        <v>0</v>
      </c>
      <c r="G17" s="3">
        <v>0</v>
      </c>
      <c r="H17" s="3">
        <v>1.5047174E-4</v>
      </c>
      <c r="I17" s="3">
        <v>2.2643726999999999E-5</v>
      </c>
      <c r="J17" s="3">
        <v>-3.1544327E-4</v>
      </c>
      <c r="K17" s="2"/>
      <c r="L17" s="3"/>
      <c r="M17" s="3"/>
      <c r="N17" s="2">
        <f>IF('Modell einstellen'!$B$1="Voll",H17/0.35,H17/0.35*2)</f>
        <v>4.2991925714285715E-4</v>
      </c>
      <c r="O17" s="2">
        <f>IF('Modell einstellen'!$B$1="Voll",J17/0.35,J17/0.35*2)</f>
        <v>-9.0126648571428581E-4</v>
      </c>
      <c r="P17" s="3">
        <f t="shared" si="0"/>
        <v>0.47701680241902128</v>
      </c>
      <c r="Q17" s="3"/>
      <c r="R17" s="3"/>
      <c r="S17" s="3"/>
      <c r="T17" s="3"/>
      <c r="U17" s="3"/>
    </row>
    <row r="18" spans="1:21" x14ac:dyDescent="0.25">
      <c r="A18" s="3">
        <v>1</v>
      </c>
      <c r="B18" s="3">
        <v>-1.184E-4</v>
      </c>
      <c r="C18" s="3">
        <v>2.1800000000000001E-4</v>
      </c>
      <c r="D18" s="3">
        <v>-4.394E-4</v>
      </c>
      <c r="E18" s="3">
        <v>0</v>
      </c>
      <c r="F18" s="3">
        <v>0</v>
      </c>
      <c r="G18" s="3">
        <v>0</v>
      </c>
      <c r="H18" s="3">
        <v>1.6061008999999999E-4</v>
      </c>
      <c r="I18" s="3">
        <v>2.3481655999999999E-5</v>
      </c>
      <c r="J18" s="3">
        <v>-3.2918684999999999E-4</v>
      </c>
      <c r="K18" s="2"/>
      <c r="L18" s="3"/>
      <c r="M18" s="3"/>
      <c r="N18" s="2">
        <f>IF('Modell einstellen'!$B$1="Voll",H18/0.35,H18/0.35*2)</f>
        <v>4.5888597142857145E-4</v>
      </c>
      <c r="O18" s="2">
        <f>IF('Modell einstellen'!$B$1="Voll",J18/0.35,J18/0.35*2)</f>
        <v>-9.4053385714285714E-4</v>
      </c>
      <c r="P18" s="3">
        <f t="shared" si="0"/>
        <v>0.48789947107546977</v>
      </c>
      <c r="Q18" s="3"/>
      <c r="R18" s="3"/>
      <c r="S18" s="3"/>
      <c r="T18" s="3"/>
      <c r="U18" s="3"/>
    </row>
    <row r="19" spans="1:21" x14ac:dyDescent="0.25">
      <c r="A19" s="3">
        <v>10</v>
      </c>
      <c r="B19" s="3">
        <v>-1.293E-4</v>
      </c>
      <c r="C19" s="3">
        <v>2.385E-4</v>
      </c>
      <c r="D19" s="3">
        <v>-4.4939999999999997E-4</v>
      </c>
      <c r="E19" s="3">
        <v>0</v>
      </c>
      <c r="F19" s="3">
        <v>0</v>
      </c>
      <c r="G19" s="3">
        <v>0</v>
      </c>
      <c r="H19" s="3">
        <v>1.7190236999999999E-4</v>
      </c>
      <c r="I19" s="3">
        <v>2.6009628999999998E-5</v>
      </c>
      <c r="J19" s="3">
        <v>-3.4952152999999999E-4</v>
      </c>
      <c r="K19" s="2"/>
      <c r="L19" s="3"/>
      <c r="M19" s="3"/>
      <c r="N19" s="2">
        <f>IF('Modell einstellen'!$B$1="Voll",H19/0.35,H19/0.35*2)</f>
        <v>4.911496285714286E-4</v>
      </c>
      <c r="O19" s="2">
        <f>IF('Modell einstellen'!$B$1="Voll",J19/0.35,J19/0.35*2)</f>
        <v>-9.9863294285714279E-4</v>
      </c>
      <c r="P19" s="3">
        <f t="shared" si="0"/>
        <v>0.49182197731853605</v>
      </c>
      <c r="Q19" s="3"/>
      <c r="R19" s="3"/>
      <c r="S19" s="3"/>
      <c r="T19" s="3"/>
      <c r="U19" s="3"/>
    </row>
    <row r="20" spans="1:21" x14ac:dyDescent="0.25">
      <c r="A20" s="3">
        <v>100</v>
      </c>
      <c r="B20" s="3">
        <v>-1.136E-4</v>
      </c>
      <c r="C20" s="3">
        <v>2.9070000000000002E-4</v>
      </c>
      <c r="D20" s="3">
        <v>-5.1210000000000003E-4</v>
      </c>
      <c r="E20" s="3">
        <v>0</v>
      </c>
      <c r="F20" s="3">
        <v>0</v>
      </c>
      <c r="G20" s="3">
        <v>0</v>
      </c>
      <c r="H20" s="3">
        <v>1.8548236E-4</v>
      </c>
      <c r="I20" s="3">
        <v>3.2519254E-5</v>
      </c>
      <c r="J20" s="3">
        <v>-3.8524441999999998E-4</v>
      </c>
      <c r="K20" s="2"/>
      <c r="L20" s="3"/>
      <c r="M20" s="3"/>
      <c r="N20" s="2">
        <f>IF('Modell einstellen'!$B$1="Voll",H20/0.35,H20/0.35*2)</f>
        <v>5.2994960000000003E-4</v>
      </c>
      <c r="O20" s="2">
        <f>IF('Modell einstellen'!$B$1="Voll",J20/0.35,J20/0.35*2)</f>
        <v>-1.1006983428571428E-3</v>
      </c>
      <c r="P20" s="3">
        <f t="shared" si="0"/>
        <v>0.48146670106214651</v>
      </c>
      <c r="Q20" s="3"/>
      <c r="R20" s="3"/>
      <c r="S20" s="3"/>
      <c r="T20" s="3"/>
      <c r="U20" s="3"/>
    </row>
    <row r="21" spans="1:21" x14ac:dyDescent="0.25">
      <c r="A21" s="3">
        <v>1000</v>
      </c>
      <c r="B21" s="3">
        <v>-8.5699999999999996E-5</v>
      </c>
      <c r="C21" s="3">
        <v>3.6539999999999999E-4</v>
      </c>
      <c r="D21" s="3">
        <v>-6.0669999999999995E-4</v>
      </c>
      <c r="E21" s="3">
        <v>0</v>
      </c>
      <c r="F21" s="3">
        <v>0</v>
      </c>
      <c r="G21" s="3">
        <v>0</v>
      </c>
      <c r="H21" s="3">
        <v>2.0082079999999999E-4</v>
      </c>
      <c r="I21" s="3">
        <v>4.2192701000000003E-5</v>
      </c>
      <c r="J21" s="3">
        <v>-4.3348452000000002E-4</v>
      </c>
      <c r="K21" s="2"/>
      <c r="L21" s="3"/>
      <c r="M21" s="3"/>
      <c r="N21" s="2">
        <f>IF('Modell einstellen'!$B$1="Voll",H21/0.35,H21/0.35*2)</f>
        <v>5.7377371428571431E-4</v>
      </c>
      <c r="O21" s="2">
        <f>IF('Modell einstellen'!$B$1="Voll",J21/0.35,J21/0.35*2)</f>
        <v>-1.2385272000000002E-3</v>
      </c>
      <c r="P21" s="3">
        <f t="shared" si="0"/>
        <v>0.46327098370202463</v>
      </c>
      <c r="Q21" s="3"/>
      <c r="R21" s="3"/>
      <c r="S21" s="3"/>
      <c r="T21" s="3"/>
      <c r="U21" s="3"/>
    </row>
    <row r="22" spans="1:21" x14ac:dyDescent="0.25">
      <c r="A22" s="3">
        <v>10000</v>
      </c>
      <c r="B22" s="3">
        <v>-6.6390000000000006E-5</v>
      </c>
      <c r="C22" s="3">
        <v>4.4759999999999998E-4</v>
      </c>
      <c r="D22" s="3">
        <v>-7.0100000000000002E-4</v>
      </c>
      <c r="E22" s="3">
        <v>0</v>
      </c>
      <c r="F22" s="3">
        <v>0</v>
      </c>
      <c r="G22" s="3">
        <v>0</v>
      </c>
      <c r="H22" s="3">
        <v>2.1929301999999999E-4</v>
      </c>
      <c r="I22" s="3">
        <v>5.3379405E-5</v>
      </c>
      <c r="J22" s="3">
        <v>-4.9056898999999998E-4</v>
      </c>
      <c r="K22" s="2"/>
      <c r="L22" s="3"/>
      <c r="M22" s="3"/>
      <c r="N22" s="2">
        <f>IF('Modell einstellen'!$B$1="Voll",H22/0.35,H22/0.35*2)</f>
        <v>6.2655148571428578E-4</v>
      </c>
      <c r="O22" s="2">
        <f>IF('Modell einstellen'!$B$1="Voll",J22/0.35,J22/0.35*2)</f>
        <v>-1.4016256857142858E-3</v>
      </c>
      <c r="P22" s="3">
        <f t="shared" si="0"/>
        <v>0.44701769673619202</v>
      </c>
      <c r="Q22" s="3"/>
      <c r="R22" s="3"/>
      <c r="S22" s="3"/>
      <c r="T22" s="3"/>
      <c r="U22" s="3"/>
    </row>
    <row r="23" spans="1:21" x14ac:dyDescent="0.25">
      <c r="A23" s="3">
        <v>100000</v>
      </c>
      <c r="B23" s="3">
        <v>-6.4449999999999994E-5</v>
      </c>
      <c r="C23" s="3">
        <v>5.3070000000000005E-4</v>
      </c>
      <c r="D23" s="3">
        <v>-7.8140000000000002E-4</v>
      </c>
      <c r="E23" s="3">
        <v>0</v>
      </c>
      <c r="F23" s="3">
        <v>0</v>
      </c>
      <c r="G23" s="3">
        <v>0</v>
      </c>
      <c r="H23" s="3">
        <v>2.4166416000000001E-4</v>
      </c>
      <c r="I23" s="3">
        <v>6.5303432999999999E-5</v>
      </c>
      <c r="J23" s="3">
        <v>-5.5482296000000002E-4</v>
      </c>
      <c r="K23" s="2"/>
      <c r="L23" s="3"/>
      <c r="M23" s="3"/>
      <c r="N23" s="2">
        <f>IF('Modell einstellen'!$B$1="Voll",H23/0.35,H23/0.35*2)</f>
        <v>6.9046902857142862E-4</v>
      </c>
      <c r="O23" s="2">
        <f>IF('Modell einstellen'!$B$1="Voll",J23/0.35,J23/0.35*2)</f>
        <v>-1.5852084571428573E-3</v>
      </c>
      <c r="P23" s="3">
        <f t="shared" si="0"/>
        <v>0.43556986178077417</v>
      </c>
      <c r="Q23" s="3"/>
      <c r="R23" s="3"/>
      <c r="S23" s="3"/>
      <c r="T23" s="3"/>
      <c r="U23" s="3"/>
    </row>
    <row r="24" spans="1:21" x14ac:dyDescent="0.25">
      <c r="A24" s="3">
        <v>1000000</v>
      </c>
      <c r="B24" s="3">
        <v>-9.1509999999999996E-5</v>
      </c>
      <c r="C24" s="3">
        <v>6.1870000000000002E-4</v>
      </c>
      <c r="D24" s="3">
        <v>-8.4049999999999999E-4</v>
      </c>
      <c r="E24" s="3">
        <v>0</v>
      </c>
      <c r="F24" s="3">
        <v>0</v>
      </c>
      <c r="G24" s="3">
        <v>0</v>
      </c>
      <c r="H24" s="3">
        <v>2.7136898000000001E-4</v>
      </c>
      <c r="I24" s="3">
        <v>7.8577008999999995E-5</v>
      </c>
      <c r="J24" s="3">
        <v>-6.3200053999999998E-4</v>
      </c>
      <c r="K24" s="2"/>
      <c r="L24" s="3"/>
      <c r="M24" s="3"/>
      <c r="N24" s="2">
        <f>IF('Modell einstellen'!$B$1="Voll",H24/0.35,H24/0.35*2)</f>
        <v>7.7533994285714294E-4</v>
      </c>
      <c r="O24" s="2">
        <f>IF('Modell einstellen'!$B$1="Voll",J24/0.35,J24/0.35*2)</f>
        <v>-1.8057158285714285E-3</v>
      </c>
      <c r="P24" s="3">
        <f t="shared" si="0"/>
        <v>0.42938093059224292</v>
      </c>
      <c r="Q24" s="3"/>
      <c r="R24" s="3"/>
      <c r="S24" s="3"/>
      <c r="T24" s="3"/>
      <c r="U24" s="3"/>
    </row>
    <row r="25" spans="1:21" x14ac:dyDescent="0.25">
      <c r="A25" s="3">
        <v>10000000</v>
      </c>
      <c r="B25" s="3">
        <v>-1.6530000000000001E-4</v>
      </c>
      <c r="C25" s="3">
        <v>7.2250000000000005E-4</v>
      </c>
      <c r="D25" s="3">
        <v>-8.7120000000000003E-4</v>
      </c>
      <c r="E25" s="3">
        <v>0</v>
      </c>
      <c r="F25" s="3">
        <v>0</v>
      </c>
      <c r="G25" s="3">
        <v>0</v>
      </c>
      <c r="H25" s="3">
        <v>3.1336892999999998E-4</v>
      </c>
      <c r="I25" s="3">
        <v>9.4886159999999997E-5</v>
      </c>
      <c r="J25" s="3">
        <v>-7.3310377999999995E-4</v>
      </c>
      <c r="K25" s="2"/>
      <c r="L25" s="3"/>
      <c r="M25" s="3"/>
      <c r="N25" s="2">
        <f>IF('Modell einstellen'!$B$1="Voll",H25/0.35,H25/0.35*2)</f>
        <v>8.9533980000000004E-4</v>
      </c>
      <c r="O25" s="2">
        <f>IF('Modell einstellen'!$B$1="Voll",J25/0.35,J25/0.35*2)</f>
        <v>-2.0945822285714285E-3</v>
      </c>
      <c r="P25" s="3">
        <f t="shared" si="0"/>
        <v>0.42745507327761972</v>
      </c>
      <c r="Q25" s="3"/>
      <c r="R25" s="3"/>
      <c r="S25" s="3"/>
      <c r="T25" s="3"/>
      <c r="U25" s="3"/>
    </row>
    <row r="26" spans="1:21" x14ac:dyDescent="0.25">
      <c r="A26" s="3">
        <v>100000000</v>
      </c>
      <c r="B26" s="3">
        <v>-3.3280000000000001E-4</v>
      </c>
      <c r="C26" s="3">
        <v>8.6359999999999996E-4</v>
      </c>
      <c r="D26" s="3">
        <v>-8.4809999999999996E-4</v>
      </c>
      <c r="E26" s="3">
        <v>0</v>
      </c>
      <c r="F26" s="3">
        <v>0</v>
      </c>
      <c r="G26" s="3">
        <v>0</v>
      </c>
      <c r="H26" s="3">
        <v>3.7992613000000002E-4</v>
      </c>
      <c r="I26" s="3">
        <v>1.1798179E-4</v>
      </c>
      <c r="J26" s="3">
        <v>-8.8401973E-4</v>
      </c>
      <c r="K26" s="2"/>
      <c r="L26" s="3"/>
      <c r="M26" s="3"/>
      <c r="N26" s="2">
        <f>IF('Modell einstellen'!$B$1="Voll",H26/0.35,H26/0.35*2)</f>
        <v>1.0855032285714287E-3</v>
      </c>
      <c r="O26" s="2">
        <f>IF('Modell einstellen'!$B$1="Voll",J26/0.35,J26/0.35*2)</f>
        <v>-2.5257706571428572E-3</v>
      </c>
      <c r="P26" s="3">
        <f t="shared" si="0"/>
        <v>0.42977109798216839</v>
      </c>
      <c r="Q26" s="3"/>
      <c r="R26" s="3"/>
      <c r="S26" s="3"/>
      <c r="T26" s="3"/>
      <c r="U26" s="3"/>
    </row>
    <row r="27" spans="1:21" x14ac:dyDescent="0.25">
      <c r="A27" s="3">
        <v>1000000000</v>
      </c>
      <c r="B27" s="3">
        <v>-6.734E-4</v>
      </c>
      <c r="C27" s="3">
        <v>1.0820000000000001E-3</v>
      </c>
      <c r="D27" s="3">
        <v>-7.314E-4</v>
      </c>
      <c r="E27" s="3">
        <v>0</v>
      </c>
      <c r="F27" s="3">
        <v>0</v>
      </c>
      <c r="G27" s="3">
        <v>0</v>
      </c>
      <c r="H27" s="3">
        <v>4.9359112999999995E-4</v>
      </c>
      <c r="I27" s="3">
        <v>1.5516638000000001E-4</v>
      </c>
      <c r="J27" s="3">
        <v>-1.1336711E-3</v>
      </c>
      <c r="K27" s="2"/>
      <c r="L27" s="3"/>
      <c r="M27" s="3"/>
      <c r="N27" s="2">
        <f>IF('Modell einstellen'!$B$1="Voll",H27/0.35,H27/0.35*2)</f>
        <v>1.4102603714285715E-3</v>
      </c>
      <c r="O27" s="2">
        <f>IF('Modell einstellen'!$B$1="Voll",J27/0.35,J27/0.35*2)</f>
        <v>-3.2390602857142858E-3</v>
      </c>
      <c r="P27" s="3">
        <f t="shared" si="0"/>
        <v>0.43539182572440988</v>
      </c>
      <c r="Q27" s="3"/>
      <c r="R27" s="3"/>
      <c r="S27" s="3"/>
      <c r="T27" s="3"/>
      <c r="U27" s="3"/>
    </row>
    <row r="28" spans="1:21" x14ac:dyDescent="0.25">
      <c r="A28" s="3">
        <v>10000000000</v>
      </c>
      <c r="B28" s="3">
        <v>-1.3370000000000001E-3</v>
      </c>
      <c r="C28" s="3">
        <v>1.431E-3</v>
      </c>
      <c r="D28" s="3">
        <v>-4.2210000000000001E-4</v>
      </c>
      <c r="E28" s="3">
        <v>0</v>
      </c>
      <c r="F28" s="3">
        <v>0</v>
      </c>
      <c r="G28" s="3">
        <v>0</v>
      </c>
      <c r="H28" s="3">
        <v>6.8927210000000003E-4</v>
      </c>
      <c r="I28" s="3">
        <v>2.1637524E-4</v>
      </c>
      <c r="J28" s="3">
        <v>-1.5526227000000001E-3</v>
      </c>
      <c r="K28" s="2"/>
      <c r="L28" s="3"/>
      <c r="M28" s="3"/>
      <c r="N28" s="2">
        <f>IF('Modell einstellen'!$B$1="Voll",H28/0.35,H28/0.35*2)</f>
        <v>1.9693488571428572E-3</v>
      </c>
      <c r="O28" s="2">
        <f>IF('Modell einstellen'!$B$1="Voll",J28/0.35,J28/0.35*2)</f>
        <v>-4.4360648571428575E-3</v>
      </c>
      <c r="P28" s="3">
        <f t="shared" si="0"/>
        <v>0.44394050144957947</v>
      </c>
      <c r="Q28" s="3"/>
      <c r="R28" s="3"/>
      <c r="S28" s="3"/>
      <c r="T28" s="3"/>
      <c r="U28" s="3"/>
    </row>
    <row r="29" spans="1:21" x14ac:dyDescent="0.25">
      <c r="A29" s="3">
        <v>100000000000</v>
      </c>
      <c r="B29" s="3">
        <v>-2.4390000000000002E-3</v>
      </c>
      <c r="C29" s="3">
        <v>1.9499999999999999E-3</v>
      </c>
      <c r="D29" s="3">
        <v>1.5669999999999999E-4</v>
      </c>
      <c r="E29" s="3">
        <v>0</v>
      </c>
      <c r="F29" s="3">
        <v>0</v>
      </c>
      <c r="G29" s="3">
        <v>0</v>
      </c>
      <c r="H29" s="3">
        <v>9.9398096000000006E-4</v>
      </c>
      <c r="I29" s="3">
        <v>3.0947601E-4</v>
      </c>
      <c r="J29" s="3">
        <v>-2.1952071999999999E-3</v>
      </c>
      <c r="K29" s="2"/>
      <c r="L29" s="3"/>
      <c r="M29" s="3"/>
      <c r="N29" s="2">
        <f>IF('Modell einstellen'!$B$1="Voll",H29/0.35,H29/0.35*2)</f>
        <v>2.8399456000000002E-3</v>
      </c>
      <c r="O29" s="2">
        <f>IF('Modell einstellen'!$B$1="Voll",J29/0.35,J29/0.35*2)</f>
        <v>-6.2720205714285717E-3</v>
      </c>
      <c r="P29" s="3">
        <f t="shared" si="0"/>
        <v>0.45279596386163457</v>
      </c>
      <c r="Q29" s="3"/>
      <c r="R29" s="3"/>
      <c r="S29" s="3"/>
      <c r="T29" s="3"/>
      <c r="U29" s="3"/>
    </row>
    <row r="30" spans="1:21" x14ac:dyDescent="0.25">
      <c r="A30" s="3">
        <v>1000000000000</v>
      </c>
      <c r="B30" s="3">
        <v>-3.8809999999999999E-3</v>
      </c>
      <c r="C30" s="3">
        <v>2.5969999999999999E-3</v>
      </c>
      <c r="D30" s="3">
        <v>9.4709999999999998E-4</v>
      </c>
      <c r="E30" s="3">
        <v>0</v>
      </c>
      <c r="F30" s="3">
        <v>0</v>
      </c>
      <c r="G30" s="3">
        <v>0</v>
      </c>
      <c r="H30" s="3">
        <v>1.3815868E-3</v>
      </c>
      <c r="I30" s="3">
        <v>4.2720437000000002E-4</v>
      </c>
      <c r="J30" s="3">
        <v>-3.0072993999999999E-3</v>
      </c>
      <c r="K30" s="2"/>
      <c r="L30" s="3"/>
      <c r="M30" s="3"/>
      <c r="N30" s="2">
        <f>IF('Modell einstellen'!$B$1="Voll",H30/0.35,H30/0.35*2)</f>
        <v>3.9473908571428578E-3</v>
      </c>
      <c r="O30" s="2">
        <f>IF('Modell einstellen'!$B$1="Voll",J30/0.35,J30/0.35*2)</f>
        <v>-8.5922840000000004E-3</v>
      </c>
      <c r="P30" s="3">
        <f t="shared" si="0"/>
        <v>0.45941112481184954</v>
      </c>
      <c r="Q30" s="3"/>
      <c r="R30" s="3"/>
      <c r="S30" s="3"/>
      <c r="T30" s="3"/>
      <c r="U30" s="3"/>
    </row>
    <row r="31" spans="1:21" x14ac:dyDescent="0.25">
      <c r="A31" s="3">
        <v>10000000000000</v>
      </c>
      <c r="B31" s="3">
        <v>-5.1609999999999998E-3</v>
      </c>
      <c r="C31" s="3">
        <v>3.1749999999999999E-3</v>
      </c>
      <c r="D31" s="3">
        <v>1.6479999999999999E-3</v>
      </c>
      <c r="E31" s="3">
        <v>0</v>
      </c>
      <c r="F31" s="3">
        <v>0</v>
      </c>
      <c r="G31" s="3">
        <v>0</v>
      </c>
      <c r="H31" s="3">
        <v>1.7255368E-3</v>
      </c>
      <c r="I31" s="3">
        <v>5.3333234000000002E-4</v>
      </c>
      <c r="J31" s="3">
        <v>-3.7314446000000002E-3</v>
      </c>
      <c r="K31" s="2"/>
      <c r="L31" s="3"/>
      <c r="M31" s="3"/>
      <c r="N31" s="2">
        <f>IF('Modell einstellen'!$B$1="Voll",H31/0.35,H31/0.35*2)</f>
        <v>4.9301051428571434E-3</v>
      </c>
      <c r="O31" s="2">
        <f>IF('Modell einstellen'!$B$1="Voll",J31/0.35,J31/0.35*2)</f>
        <v>-1.0661270285714288E-2</v>
      </c>
      <c r="P31" s="3">
        <f t="shared" si="0"/>
        <v>0.46243130609523181</v>
      </c>
      <c r="Q31" s="3"/>
      <c r="R31" s="3"/>
      <c r="S31" s="3"/>
      <c r="T31" s="3"/>
      <c r="U31" s="3"/>
    </row>
    <row r="32" spans="1:21" x14ac:dyDescent="0.25">
      <c r="A32" s="3">
        <v>100000000000000</v>
      </c>
      <c r="B32" s="3">
        <v>-6.0489999999999997E-3</v>
      </c>
      <c r="C32" s="3">
        <v>3.5860000000000002E-3</v>
      </c>
      <c r="D32" s="3">
        <v>2.1229999999999999E-3</v>
      </c>
      <c r="E32" s="3">
        <v>0</v>
      </c>
      <c r="F32" s="3">
        <v>0</v>
      </c>
      <c r="G32" s="3">
        <v>0</v>
      </c>
      <c r="H32" s="3">
        <v>1.9671342999999998E-3</v>
      </c>
      <c r="I32" s="3">
        <v>6.0952388999999997E-4</v>
      </c>
      <c r="J32" s="3">
        <v>-4.2446469000000002E-3</v>
      </c>
      <c r="K32" s="2"/>
      <c r="L32" s="3"/>
      <c r="M32" s="3"/>
      <c r="N32" s="2">
        <f>IF('Modell einstellen'!$B$1="Voll",H32/0.35,H32/0.35*2)</f>
        <v>5.6203837142857144E-3</v>
      </c>
      <c r="O32" s="2">
        <f>IF('Modell einstellen'!$B$1="Voll",J32/0.35,J32/0.35*2)</f>
        <v>-1.2127562571428573E-2</v>
      </c>
      <c r="P32" s="3">
        <f t="shared" si="0"/>
        <v>0.46343885518486821</v>
      </c>
      <c r="Q32" s="3"/>
      <c r="R32" s="3"/>
      <c r="S32" s="3"/>
      <c r="T32" s="3"/>
      <c r="U32" s="3"/>
    </row>
    <row r="33" spans="1:21" x14ac:dyDescent="0.25">
      <c r="A33" s="2">
        <v>1000000000000000</v>
      </c>
      <c r="B33" s="3">
        <v>-6.5750000000000001E-3</v>
      </c>
      <c r="C33" s="3">
        <v>3.839E-3</v>
      </c>
      <c r="D33" s="3">
        <v>2.395E-3</v>
      </c>
      <c r="E33" s="3">
        <v>0</v>
      </c>
      <c r="F33" s="3">
        <v>0</v>
      </c>
      <c r="G33" s="3">
        <v>0</v>
      </c>
      <c r="H33" s="3">
        <v>2.1130873000000001E-3</v>
      </c>
      <c r="I33" s="3">
        <v>6.5666507000000001E-4</v>
      </c>
      <c r="J33" s="3">
        <v>-4.5581212000000001E-3</v>
      </c>
      <c r="K33" s="2"/>
      <c r="L33" s="3"/>
      <c r="M33" s="3"/>
      <c r="N33" s="2">
        <f>IF('Modell einstellen'!$B$1="Voll",H33/0.35,H33/0.35*2)</f>
        <v>6.0373922857142864E-3</v>
      </c>
      <c r="O33" s="2">
        <f>IF('Modell einstellen'!$B$1="Voll",J33/0.35,J33/0.35*2)</f>
        <v>-1.3023203428571429E-2</v>
      </c>
      <c r="P33" s="3">
        <f t="shared" si="0"/>
        <v>0.46358734383807088</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1.279E-5</v>
      </c>
      <c r="C3" s="3">
        <v>1.8430000000000001E-4</v>
      </c>
      <c r="D3" s="3">
        <v>-5.0779999999999998E-4</v>
      </c>
      <c r="E3" s="3">
        <v>0</v>
      </c>
      <c r="F3" s="3">
        <v>0</v>
      </c>
      <c r="G3" s="3">
        <v>0</v>
      </c>
      <c r="H3" s="3">
        <v>9.9208845000000001E-5</v>
      </c>
      <c r="I3" s="3">
        <v>1.9234339E-5</v>
      </c>
      <c r="J3" s="3">
        <v>-2.4684317999999999E-4</v>
      </c>
      <c r="L3" s="3">
        <f>-B3/D3</f>
        <v>2.5187081528160692E-2</v>
      </c>
      <c r="M3" s="3"/>
      <c r="N3" s="2">
        <f>IF('Modell einstellen'!$B$1="Voll",H3/0.35,H3/0.35*2)</f>
        <v>2.8345384285714288E-4</v>
      </c>
      <c r="O3" s="2">
        <f>IF('Modell einstellen'!$B$1="Voll",J3/0.35,J3/0.35*2)</f>
        <v>-7.0526622857142857E-4</v>
      </c>
      <c r="P3" s="3">
        <f>-N3/O3</f>
        <v>0.40191041534953492</v>
      </c>
    </row>
    <row r="4" spans="1:16" x14ac:dyDescent="0.25">
      <c r="A4" s="3">
        <v>1E-14</v>
      </c>
      <c r="B4" s="3">
        <v>2.971E-6</v>
      </c>
      <c r="C4" s="3">
        <v>1.8900000000000001E-4</v>
      </c>
      <c r="D4" s="3">
        <v>-5.0650000000000001E-4</v>
      </c>
      <c r="E4" s="3">
        <v>0</v>
      </c>
      <c r="F4" s="3">
        <v>0</v>
      </c>
      <c r="G4" s="3">
        <v>0</v>
      </c>
      <c r="H4" s="3">
        <v>1.0525905999999999E-4</v>
      </c>
      <c r="I4" s="3">
        <v>1.9799364E-5</v>
      </c>
      <c r="J4" s="3">
        <v>-2.5565321999999999E-4</v>
      </c>
      <c r="L4" s="3">
        <f t="shared" ref="L4:L33" si="0">-B4/D4</f>
        <v>5.8657453109575517E-3</v>
      </c>
      <c r="M4" s="3"/>
      <c r="N4" s="2">
        <f>IF('Modell einstellen'!$B$1="Voll",H4/0.35,H4/0.35*2)</f>
        <v>3.0074017142857145E-4</v>
      </c>
      <c r="O4" s="2">
        <f>IF('Modell einstellen'!$B$1="Voll",J4/0.35,J4/0.35*2)</f>
        <v>-7.3043777142857143E-4</v>
      </c>
      <c r="P4" s="3">
        <f t="shared" ref="P4:P33" si="1">-N4/O4</f>
        <v>0.41172593093096971</v>
      </c>
    </row>
    <row r="5" spans="1:16" x14ac:dyDescent="0.25">
      <c r="A5" s="3">
        <v>1E-13</v>
      </c>
      <c r="B5" s="3">
        <v>-6.1789999999999996E-6</v>
      </c>
      <c r="C5" s="3">
        <v>1.928E-4</v>
      </c>
      <c r="D5" s="3">
        <v>-5.0409999999999995E-4</v>
      </c>
      <c r="E5" s="3">
        <v>0</v>
      </c>
      <c r="F5" s="3">
        <v>0</v>
      </c>
      <c r="G5" s="3">
        <v>0</v>
      </c>
      <c r="H5" s="3">
        <v>1.1046864E-4</v>
      </c>
      <c r="I5" s="3">
        <v>2.0256631E-5</v>
      </c>
      <c r="J5" s="3">
        <v>-2.6309589E-4</v>
      </c>
      <c r="L5" s="3">
        <f t="shared" si="0"/>
        <v>-1.225748859353303E-2</v>
      </c>
      <c r="M5" s="3"/>
      <c r="N5" s="2">
        <f>IF('Modell einstellen'!$B$1="Voll",H5/0.35,H5/0.35*2)</f>
        <v>3.1562468571428573E-4</v>
      </c>
      <c r="O5" s="2">
        <f>IF('Modell einstellen'!$B$1="Voll",J5/0.35,J5/0.35*2)</f>
        <v>-7.5170254285714284E-4</v>
      </c>
      <c r="P5" s="3">
        <f t="shared" si="1"/>
        <v>0.41987976323005277</v>
      </c>
    </row>
    <row r="6" spans="1:16" x14ac:dyDescent="0.25">
      <c r="A6" s="3">
        <v>9.9999999999999998E-13</v>
      </c>
      <c r="B6" s="3">
        <v>-1.8139999999999999E-5</v>
      </c>
      <c r="C6" s="3">
        <v>1.972E-4</v>
      </c>
      <c r="D6" s="3">
        <v>-5.0000000000000001E-4</v>
      </c>
      <c r="E6" s="3">
        <v>0</v>
      </c>
      <c r="F6" s="3">
        <v>0</v>
      </c>
      <c r="G6" s="3">
        <v>0</v>
      </c>
      <c r="H6" s="3">
        <v>1.1690446E-4</v>
      </c>
      <c r="I6" s="3">
        <v>2.0792279E-5</v>
      </c>
      <c r="J6" s="3">
        <v>-2.7214270999999999E-4</v>
      </c>
      <c r="L6" s="3">
        <f t="shared" si="0"/>
        <v>-3.628E-2</v>
      </c>
      <c r="M6" s="3"/>
      <c r="N6" s="2">
        <f>IF('Modell einstellen'!$B$1="Voll",H6/0.35,H6/0.35*2)</f>
        <v>3.3401274285714289E-4</v>
      </c>
      <c r="O6" s="2">
        <f>IF('Modell einstellen'!$B$1="Voll",J6/0.35,J6/0.35*2)</f>
        <v>-7.775506E-4</v>
      </c>
      <c r="P6" s="3">
        <f t="shared" si="1"/>
        <v>0.42957042648689731</v>
      </c>
    </row>
    <row r="7" spans="1:16" x14ac:dyDescent="0.25">
      <c r="A7" s="3">
        <v>9.9999999999999994E-12</v>
      </c>
      <c r="B7" s="3">
        <v>-3.4910000000000003E-5</v>
      </c>
      <c r="C7" s="3">
        <v>2.0239999999999999E-4</v>
      </c>
      <c r="D7" s="3">
        <v>-4.927E-4</v>
      </c>
      <c r="E7" s="3">
        <v>0</v>
      </c>
      <c r="F7" s="3">
        <v>0</v>
      </c>
      <c r="G7" s="3">
        <v>0</v>
      </c>
      <c r="H7" s="3">
        <v>1.2534844000000001E-4</v>
      </c>
      <c r="I7" s="3">
        <v>2.1446688E-5</v>
      </c>
      <c r="J7" s="3">
        <v>-2.8376983E-4</v>
      </c>
      <c r="L7" s="3">
        <f t="shared" si="0"/>
        <v>-7.0854475339963474E-2</v>
      </c>
      <c r="M7" s="3"/>
      <c r="N7" s="2">
        <f>IF('Modell einstellen'!$B$1="Voll",H7/0.35,H7/0.35*2)</f>
        <v>3.5813840000000006E-4</v>
      </c>
      <c r="O7" s="2">
        <f>IF('Modell einstellen'!$B$1="Voll",J7/0.35,J7/0.35*2)</f>
        <v>-8.1077094285714288E-4</v>
      </c>
      <c r="P7" s="3">
        <f t="shared" si="1"/>
        <v>0.44172574653196928</v>
      </c>
    </row>
    <row r="8" spans="1:16" x14ac:dyDescent="0.25">
      <c r="A8" s="3">
        <v>1E-10</v>
      </c>
      <c r="B8" s="3">
        <v>-5.5109999999999999E-5</v>
      </c>
      <c r="C8" s="3">
        <v>2.0770000000000001E-4</v>
      </c>
      <c r="D8" s="3">
        <v>-4.8210000000000001E-4</v>
      </c>
      <c r="E8" s="3">
        <v>0</v>
      </c>
      <c r="F8" s="3">
        <v>0</v>
      </c>
      <c r="G8" s="3">
        <v>0</v>
      </c>
      <c r="H8" s="3">
        <v>1.3483072999999999E-4</v>
      </c>
      <c r="I8" s="3">
        <v>2.2118892000000001E-5</v>
      </c>
      <c r="J8" s="3">
        <v>-2.9651443999999998E-4</v>
      </c>
      <c r="L8" s="3">
        <f t="shared" si="0"/>
        <v>-0.11431238332296204</v>
      </c>
      <c r="M8" s="3"/>
      <c r="N8" s="2">
        <f>IF('Modell einstellen'!$B$1="Voll",H8/0.35,H8/0.35*2)</f>
        <v>3.8523065714285713E-4</v>
      </c>
      <c r="O8" s="2">
        <f>IF('Modell einstellen'!$B$1="Voll",J8/0.35,J8/0.35*2)</f>
        <v>-8.4718411428571431E-4</v>
      </c>
      <c r="P8" s="3">
        <f t="shared" si="1"/>
        <v>0.45471893375580624</v>
      </c>
    </row>
    <row r="9" spans="1:16" x14ac:dyDescent="0.25">
      <c r="A9" s="3">
        <v>1.0000000000000001E-9</v>
      </c>
      <c r="B9" s="3">
        <v>-7.5339999999999994E-5</v>
      </c>
      <c r="C9" s="3">
        <v>2.1220000000000001E-4</v>
      </c>
      <c r="D9" s="3">
        <v>-4.7009999999999999E-4</v>
      </c>
      <c r="E9" s="3">
        <v>0</v>
      </c>
      <c r="F9" s="3">
        <v>0</v>
      </c>
      <c r="G9" s="3">
        <v>0</v>
      </c>
      <c r="H9" s="3">
        <v>1.4377878999999999E-4</v>
      </c>
      <c r="I9" s="3">
        <v>2.2699604E-5</v>
      </c>
      <c r="J9" s="3">
        <v>-3.0827519E-4</v>
      </c>
      <c r="L9" s="3">
        <f t="shared" si="0"/>
        <v>-0.16026377366517761</v>
      </c>
      <c r="M9" s="3"/>
      <c r="N9" s="2">
        <f>IF('Modell einstellen'!$B$1="Voll",H9/0.35,H9/0.35*2)</f>
        <v>4.1079654285714287E-4</v>
      </c>
      <c r="O9" s="2">
        <f>IF('Modell einstellen'!$B$1="Voll",J9/0.35,J9/0.35*2)</f>
        <v>-8.8078625714285718E-4</v>
      </c>
      <c r="P9" s="3">
        <f t="shared" si="1"/>
        <v>0.46639753915973581</v>
      </c>
    </row>
    <row r="10" spans="1:16" x14ac:dyDescent="0.25">
      <c r="A10" s="3">
        <v>1E-8</v>
      </c>
      <c r="B10" s="3">
        <v>-9.7479999999999995E-5</v>
      </c>
      <c r="C10" s="3">
        <v>2.165E-4</v>
      </c>
      <c r="D10" s="3">
        <v>-4.5580000000000002E-4</v>
      </c>
      <c r="E10" s="3">
        <v>0</v>
      </c>
      <c r="F10" s="3">
        <v>0</v>
      </c>
      <c r="G10" s="3">
        <v>0</v>
      </c>
      <c r="H10" s="3">
        <v>1.5314661E-4</v>
      </c>
      <c r="I10" s="3">
        <v>2.3263231999999999E-5</v>
      </c>
      <c r="J10" s="3">
        <v>-3.2036971000000002E-4</v>
      </c>
      <c r="L10" s="3">
        <f t="shared" si="0"/>
        <v>-0.21386573058358926</v>
      </c>
      <c r="M10" s="3"/>
      <c r="N10" s="2">
        <f>IF('Modell einstellen'!$B$1="Voll",H10/0.35,H10/0.35*2)</f>
        <v>4.3756174285714287E-4</v>
      </c>
      <c r="O10" s="2">
        <f>IF('Modell einstellen'!$B$1="Voll",J10/0.35,J10/0.35*2)</f>
        <v>-9.1534202857142873E-4</v>
      </c>
      <c r="P10" s="3">
        <f t="shared" si="1"/>
        <v>0.4780308662763405</v>
      </c>
    </row>
    <row r="11" spans="1:16" x14ac:dyDescent="0.25">
      <c r="A11" s="3">
        <v>9.9999999999999995E-8</v>
      </c>
      <c r="B11" s="3">
        <v>-1.2239999999999999E-4</v>
      </c>
      <c r="C11" s="3">
        <v>2.207E-4</v>
      </c>
      <c r="D11" s="3">
        <v>-4.3859999999999998E-4</v>
      </c>
      <c r="E11" s="3">
        <v>0</v>
      </c>
      <c r="F11" s="3">
        <v>0</v>
      </c>
      <c r="G11" s="3">
        <v>0</v>
      </c>
      <c r="H11" s="3">
        <v>1.6322318999999999E-4</v>
      </c>
      <c r="I11" s="3">
        <v>2.3820381000000001E-5</v>
      </c>
      <c r="J11" s="3">
        <v>-3.3313784000000001E-4</v>
      </c>
      <c r="L11" s="3">
        <f t="shared" si="0"/>
        <v>-0.27906976744186046</v>
      </c>
      <c r="M11" s="3"/>
      <c r="N11" s="2">
        <f>IF('Modell einstellen'!$B$1="Voll",H11/0.35,H11/0.35*2)</f>
        <v>4.6635197142857142E-4</v>
      </c>
      <c r="O11" s="2">
        <f>IF('Modell einstellen'!$B$1="Voll",J11/0.35,J11/0.35*2)</f>
        <v>-9.5182240000000009E-4</v>
      </c>
      <c r="P11" s="3">
        <f t="shared" si="1"/>
        <v>0.4899569199344031</v>
      </c>
    </row>
    <row r="12" spans="1:16" x14ac:dyDescent="0.25">
      <c r="A12" s="3">
        <v>9.9999999999999995E-7</v>
      </c>
      <c r="B12" s="3">
        <v>-1.5080000000000001E-4</v>
      </c>
      <c r="C12" s="3">
        <v>2.2479999999999999E-4</v>
      </c>
      <c r="D12" s="3">
        <v>-4.1770000000000002E-4</v>
      </c>
      <c r="E12" s="3">
        <v>0</v>
      </c>
      <c r="F12" s="3">
        <v>0</v>
      </c>
      <c r="G12" s="3">
        <v>0</v>
      </c>
      <c r="H12" s="3">
        <v>1.7431961000000001E-4</v>
      </c>
      <c r="I12" s="3">
        <v>2.4384551999999999E-5</v>
      </c>
      <c r="J12" s="3">
        <v>-3.4695595999999999E-4</v>
      </c>
      <c r="L12" s="3">
        <f t="shared" si="0"/>
        <v>-0.36102465884606177</v>
      </c>
      <c r="M12" s="3"/>
      <c r="N12" s="2">
        <f>IF('Modell einstellen'!$B$1="Voll",H12/0.35,H12/0.35*2)</f>
        <v>4.9805602857142862E-4</v>
      </c>
      <c r="O12" s="2">
        <f>IF('Modell einstellen'!$B$1="Voll",J12/0.35,J12/0.35*2)</f>
        <v>-9.9130274285714288E-4</v>
      </c>
      <c r="P12" s="3">
        <f t="shared" si="1"/>
        <v>0.50242575455397853</v>
      </c>
    </row>
    <row r="13" spans="1:16" x14ac:dyDescent="0.25">
      <c r="A13" s="3">
        <v>1.0000000000000001E-5</v>
      </c>
      <c r="B13" s="3">
        <v>-1.8420000000000001E-4</v>
      </c>
      <c r="C13" s="3">
        <v>2.2890000000000001E-4</v>
      </c>
      <c r="D13" s="3">
        <v>-3.9209999999999999E-4</v>
      </c>
      <c r="E13" s="3">
        <v>0</v>
      </c>
      <c r="F13" s="3">
        <v>0</v>
      </c>
      <c r="G13" s="3">
        <v>0</v>
      </c>
      <c r="H13" s="3">
        <v>1.8683274E-4</v>
      </c>
      <c r="I13" s="3">
        <v>2.4964475E-5</v>
      </c>
      <c r="J13" s="3">
        <v>-3.6226233E-4</v>
      </c>
      <c r="L13" s="3">
        <f t="shared" si="0"/>
        <v>-0.46977811782708495</v>
      </c>
      <c r="M13" s="3"/>
      <c r="N13" s="2">
        <f>IF('Modell einstellen'!$B$1="Voll",H13/0.35,H13/0.35*2)</f>
        <v>5.3380782857142856E-4</v>
      </c>
      <c r="O13" s="2">
        <f>IF('Modell einstellen'!$B$1="Voll",J13/0.35,J13/0.35*2)</f>
        <v>-1.0350352285714286E-3</v>
      </c>
      <c r="P13" s="3">
        <f t="shared" si="1"/>
        <v>0.51573880176832076</v>
      </c>
    </row>
    <row r="14" spans="1:16" x14ac:dyDescent="0.25">
      <c r="A14" s="3">
        <v>1E-4</v>
      </c>
      <c r="B14" s="3">
        <v>-2.2790000000000001E-4</v>
      </c>
      <c r="C14" s="3">
        <v>2.3360000000000001E-4</v>
      </c>
      <c r="D14" s="3">
        <v>-3.5710000000000001E-4</v>
      </c>
      <c r="E14" s="3">
        <v>0</v>
      </c>
      <c r="F14" s="3">
        <v>0</v>
      </c>
      <c r="G14" s="3">
        <v>0</v>
      </c>
      <c r="H14" s="3">
        <v>2.0265134000000001E-4</v>
      </c>
      <c r="I14" s="3">
        <v>2.5628295E-5</v>
      </c>
      <c r="J14" s="3">
        <v>-3.8127243000000001E-4</v>
      </c>
      <c r="L14" s="3">
        <f t="shared" si="0"/>
        <v>-0.63819658359003084</v>
      </c>
      <c r="M14" s="3"/>
      <c r="N14" s="2">
        <f>IF('Modell einstellen'!$B$1="Voll",H14/0.35,H14/0.35*2)</f>
        <v>5.7900382857142862E-4</v>
      </c>
      <c r="O14" s="2">
        <f>IF('Modell einstellen'!$B$1="Voll",J14/0.35,J14/0.35*2)</f>
        <v>-1.0893498000000001E-3</v>
      </c>
      <c r="P14" s="3">
        <f t="shared" si="1"/>
        <v>0.53151322795618872</v>
      </c>
    </row>
    <row r="15" spans="1:16" x14ac:dyDescent="0.25">
      <c r="A15" s="3">
        <v>1E-3</v>
      </c>
      <c r="B15" s="3">
        <v>-2.8650000000000003E-4</v>
      </c>
      <c r="C15" s="3">
        <v>2.387E-4</v>
      </c>
      <c r="D15" s="3">
        <v>-3.0820000000000001E-4</v>
      </c>
      <c r="E15" s="3">
        <v>0</v>
      </c>
      <c r="F15" s="3">
        <v>0</v>
      </c>
      <c r="G15" s="3">
        <v>0</v>
      </c>
      <c r="H15" s="3">
        <v>2.2304987000000001E-4</v>
      </c>
      <c r="I15" s="3">
        <v>2.6385421000000001E-5</v>
      </c>
      <c r="J15" s="3">
        <v>-4.0529645999999998E-4</v>
      </c>
      <c r="L15" s="3">
        <f t="shared" si="0"/>
        <v>-0.92959117456197282</v>
      </c>
      <c r="M15" s="3"/>
      <c r="N15" s="2">
        <f>IF('Modell einstellen'!$B$1="Voll",H15/0.35,H15/0.35*2)</f>
        <v>6.3728534285714287E-4</v>
      </c>
      <c r="O15" s="2">
        <f>IF('Modell einstellen'!$B$1="Voll",J15/0.35,J15/0.35*2)</f>
        <v>-1.1579898857142857E-3</v>
      </c>
      <c r="P15" s="3">
        <f t="shared" si="1"/>
        <v>0.55033757264990668</v>
      </c>
    </row>
    <row r="16" spans="1:16" x14ac:dyDescent="0.25">
      <c r="A16" s="3">
        <v>0.01</v>
      </c>
      <c r="B16" s="3">
        <v>-3.6699999999999998E-4</v>
      </c>
      <c r="C16" s="3">
        <v>2.4459999999999998E-4</v>
      </c>
      <c r="D16" s="3">
        <v>-2.388E-4</v>
      </c>
      <c r="E16" s="3">
        <v>0</v>
      </c>
      <c r="F16" s="3">
        <v>0</v>
      </c>
      <c r="G16" s="3">
        <v>0</v>
      </c>
      <c r="H16" s="3">
        <v>2.5006335999999999E-4</v>
      </c>
      <c r="I16" s="3">
        <v>2.7291435E-5</v>
      </c>
      <c r="J16" s="3">
        <v>-4.3657099E-4</v>
      </c>
      <c r="L16" s="3">
        <f t="shared" si="0"/>
        <v>-1.5368509212730317</v>
      </c>
      <c r="M16" s="3"/>
      <c r="N16" s="2">
        <f>IF('Modell einstellen'!$B$1="Voll",H16/0.35,H16/0.35*2)</f>
        <v>7.1446674285714285E-4</v>
      </c>
      <c r="O16" s="2">
        <f>IF('Modell einstellen'!$B$1="Voll",J16/0.35,J16/0.35*2)</f>
        <v>-1.2473456857142859E-3</v>
      </c>
      <c r="P16" s="3">
        <f t="shared" si="1"/>
        <v>0.57278968536136576</v>
      </c>
    </row>
    <row r="17" spans="1:16" x14ac:dyDescent="0.25">
      <c r="A17" s="3">
        <v>0.1</v>
      </c>
      <c r="B17" s="3">
        <v>-4.8040000000000002E-4</v>
      </c>
      <c r="C17" s="3">
        <v>2.5500000000000002E-4</v>
      </c>
      <c r="D17" s="3">
        <v>-1.4109999999999999E-4</v>
      </c>
      <c r="E17" s="3">
        <v>0</v>
      </c>
      <c r="F17" s="3">
        <v>0</v>
      </c>
      <c r="G17" s="3">
        <v>0</v>
      </c>
      <c r="H17" s="3">
        <v>2.8764572E-4</v>
      </c>
      <c r="I17" s="3">
        <v>2.8814868E-5</v>
      </c>
      <c r="J17" s="3">
        <v>-4.8064916E-4</v>
      </c>
      <c r="L17" s="3">
        <f t="shared" si="0"/>
        <v>-3.4046775336640684</v>
      </c>
      <c r="M17" s="3"/>
      <c r="N17" s="2">
        <f>IF('Modell einstellen'!$B$1="Voll",H17/0.35,H17/0.35*2)</f>
        <v>8.2184491428571437E-4</v>
      </c>
      <c r="O17" s="2">
        <f>IF('Modell einstellen'!$B$1="Voll",J17/0.35,J17/0.35*2)</f>
        <v>-1.3732833142857143E-3</v>
      </c>
      <c r="P17" s="3">
        <f t="shared" si="1"/>
        <v>0.5984525594510558</v>
      </c>
    </row>
    <row r="18" spans="1:16" x14ac:dyDescent="0.25">
      <c r="A18" s="3">
        <v>1</v>
      </c>
      <c r="B18" s="3">
        <v>-6.3840000000000001E-4</v>
      </c>
      <c r="C18" s="3">
        <v>2.9070000000000002E-4</v>
      </c>
      <c r="D18" s="3">
        <v>-2.2580000000000001E-5</v>
      </c>
      <c r="E18" s="3">
        <v>0</v>
      </c>
      <c r="F18" s="3">
        <v>0</v>
      </c>
      <c r="G18" s="3">
        <v>0</v>
      </c>
      <c r="H18" s="3">
        <v>3.4414850999999998E-4</v>
      </c>
      <c r="I18" s="3">
        <v>3.3737527999999997E-5</v>
      </c>
      <c r="J18" s="3">
        <v>-5.5541319000000004E-4</v>
      </c>
      <c r="L18" s="3">
        <f t="shared" si="0"/>
        <v>-28.272807794508413</v>
      </c>
      <c r="M18" s="3"/>
      <c r="N18" s="2">
        <f>IF('Modell einstellen'!$B$1="Voll",H18/0.35,H18/0.35*2)</f>
        <v>9.8328145714285712E-4</v>
      </c>
      <c r="O18" s="2">
        <f>IF('Modell einstellen'!$B$1="Voll",J18/0.35,J18/0.35*2)</f>
        <v>-1.5868948285714289E-3</v>
      </c>
      <c r="P18" s="3">
        <f t="shared" si="1"/>
        <v>0.61962610214568348</v>
      </c>
    </row>
    <row r="19" spans="1:16" x14ac:dyDescent="0.25">
      <c r="A19" s="3">
        <v>10</v>
      </c>
      <c r="B19" s="3">
        <v>-8.7909999999999996E-4</v>
      </c>
      <c r="C19" s="3">
        <v>3.8880000000000002E-4</v>
      </c>
      <c r="D19" s="3">
        <v>1.2E-4</v>
      </c>
      <c r="E19" s="3">
        <v>0</v>
      </c>
      <c r="F19" s="3">
        <v>0</v>
      </c>
      <c r="G19" s="3">
        <v>0</v>
      </c>
      <c r="H19" s="3">
        <v>4.3510183000000001E-4</v>
      </c>
      <c r="I19" s="3">
        <v>4.7629480000000001E-5</v>
      </c>
      <c r="J19" s="3">
        <v>-6.9607988999999997E-4</v>
      </c>
      <c r="L19" s="3">
        <f t="shared" si="0"/>
        <v>7.3258333333333328</v>
      </c>
      <c r="M19" s="3"/>
      <c r="N19" s="2">
        <f>IF('Modell einstellen'!$B$1="Voll",H19/0.35,H19/0.35*2)</f>
        <v>1.2431480857142858E-3</v>
      </c>
      <c r="O19" s="2">
        <f>IF('Modell einstellen'!$B$1="Voll",J19/0.35,J19/0.35*2)</f>
        <v>-1.9887996857142856E-3</v>
      </c>
      <c r="P19" s="3">
        <f t="shared" si="1"/>
        <v>0.62507455861136874</v>
      </c>
    </row>
    <row r="20" spans="1:16" x14ac:dyDescent="0.25">
      <c r="A20" s="3">
        <v>100</v>
      </c>
      <c r="B20" s="3">
        <v>-1.3309999999999999E-3</v>
      </c>
      <c r="C20" s="3">
        <v>5.6090000000000003E-4</v>
      </c>
      <c r="D20" s="3">
        <v>4.0109999999999999E-4</v>
      </c>
      <c r="E20" s="3">
        <v>0</v>
      </c>
      <c r="F20" s="3">
        <v>0</v>
      </c>
      <c r="G20" s="3">
        <v>0</v>
      </c>
      <c r="H20" s="3">
        <v>5.8661341000000003E-4</v>
      </c>
      <c r="I20" s="3">
        <v>7.4042972999999995E-5</v>
      </c>
      <c r="J20" s="3">
        <v>-9.4222076000000001E-4</v>
      </c>
      <c r="L20" s="3">
        <f t="shared" si="0"/>
        <v>3.3183744702069307</v>
      </c>
      <c r="M20" s="3"/>
      <c r="N20" s="2">
        <f>IF('Modell einstellen'!$B$1="Voll",H20/0.35,H20/0.35*2)</f>
        <v>1.6760383142857146E-3</v>
      </c>
      <c r="O20" s="2">
        <f>IF('Modell einstellen'!$B$1="Voll",J20/0.35,J20/0.35*2)</f>
        <v>-2.6920593142857143E-3</v>
      </c>
      <c r="P20" s="3">
        <f t="shared" si="1"/>
        <v>0.6225859532112199</v>
      </c>
    </row>
    <row r="21" spans="1:16" x14ac:dyDescent="0.25">
      <c r="A21" s="3">
        <v>1000</v>
      </c>
      <c r="B21" s="3">
        <v>-2.1619999999999999E-3</v>
      </c>
      <c r="C21" s="3">
        <v>8.3089999999999998E-4</v>
      </c>
      <c r="D21" s="3">
        <v>9.6270000000000004E-4</v>
      </c>
      <c r="E21" s="3">
        <v>0</v>
      </c>
      <c r="F21" s="3">
        <v>0</v>
      </c>
      <c r="G21" s="3">
        <v>0</v>
      </c>
      <c r="H21" s="3">
        <v>8.3490403000000002E-4</v>
      </c>
      <c r="I21" s="3">
        <v>1.1909591999999999E-4</v>
      </c>
      <c r="J21" s="3">
        <v>-1.3525099999999999E-3</v>
      </c>
      <c r="L21" s="3">
        <f t="shared" si="0"/>
        <v>2.2457671133271004</v>
      </c>
      <c r="M21" s="3"/>
      <c r="N21" s="2">
        <f>IF('Modell einstellen'!$B$1="Voll",H21/0.35,H21/0.35*2)</f>
        <v>2.3854400857142859E-3</v>
      </c>
      <c r="O21" s="2">
        <f>IF('Modell einstellen'!$B$1="Voll",J21/0.35,J21/0.35*2)</f>
        <v>-3.8643142857142858E-3</v>
      </c>
      <c r="P21" s="3">
        <f t="shared" si="1"/>
        <v>0.61729970942913548</v>
      </c>
    </row>
    <row r="22" spans="1:16" x14ac:dyDescent="0.25">
      <c r="A22" s="3">
        <v>10000</v>
      </c>
      <c r="B22" s="3">
        <v>-3.46E-3</v>
      </c>
      <c r="C22" s="3">
        <v>1.266E-3</v>
      </c>
      <c r="D22" s="3">
        <v>1.8289999999999999E-3</v>
      </c>
      <c r="E22" s="3">
        <v>0</v>
      </c>
      <c r="F22" s="3">
        <v>0</v>
      </c>
      <c r="G22" s="3">
        <v>0</v>
      </c>
      <c r="H22" s="3">
        <v>1.1952448000000001E-3</v>
      </c>
      <c r="I22" s="3">
        <v>1.9464995E-4</v>
      </c>
      <c r="J22" s="3">
        <v>-1.9844145000000001E-3</v>
      </c>
      <c r="L22" s="3">
        <f t="shared" si="0"/>
        <v>1.8917441224712959</v>
      </c>
      <c r="M22" s="3"/>
      <c r="N22" s="2">
        <f>IF('Modell einstellen'!$B$1="Voll",H22/0.35,H22/0.35*2)</f>
        <v>3.4149851428571434E-3</v>
      </c>
      <c r="O22" s="2">
        <f>IF('Modell einstellen'!$B$1="Voll",J22/0.35,J22/0.35*2)</f>
        <v>-5.6697557142857151E-3</v>
      </c>
      <c r="P22" s="3">
        <f t="shared" si="1"/>
        <v>0.60231609877875814</v>
      </c>
    </row>
    <row r="23" spans="1:16" x14ac:dyDescent="0.25">
      <c r="A23" s="3">
        <v>100000</v>
      </c>
      <c r="B23" s="3">
        <v>-4.9750000000000003E-3</v>
      </c>
      <c r="C23" s="3">
        <v>1.892E-3</v>
      </c>
      <c r="D23" s="3">
        <v>2.722E-3</v>
      </c>
      <c r="E23" s="3">
        <v>0</v>
      </c>
      <c r="F23" s="3">
        <v>0</v>
      </c>
      <c r="G23" s="3">
        <v>0</v>
      </c>
      <c r="H23" s="3">
        <v>1.5929335999999999E-3</v>
      </c>
      <c r="I23" s="3">
        <v>3.0494195999999999E-4</v>
      </c>
      <c r="J23" s="3">
        <v>-2.7778103E-3</v>
      </c>
      <c r="L23" s="3">
        <f t="shared" si="0"/>
        <v>1.8277002204261572</v>
      </c>
      <c r="M23" s="3"/>
      <c r="N23" s="2">
        <f>IF('Modell einstellen'!$B$1="Voll",H23/0.35,H23/0.35*2)</f>
        <v>4.5512388571428575E-3</v>
      </c>
      <c r="O23" s="2">
        <f>IF('Modell einstellen'!$B$1="Voll",J23/0.35,J23/0.35*2)</f>
        <v>-7.9366008571428569E-3</v>
      </c>
      <c r="P23" s="3">
        <f t="shared" si="1"/>
        <v>0.57344938205463492</v>
      </c>
    </row>
    <row r="24" spans="1:16" x14ac:dyDescent="0.25">
      <c r="A24" s="3">
        <v>1000000</v>
      </c>
      <c r="B24" s="3">
        <v>-6.1749999999999999E-3</v>
      </c>
      <c r="C24" s="3">
        <v>2.565E-3</v>
      </c>
      <c r="D24" s="3">
        <v>3.2550000000000001E-3</v>
      </c>
      <c r="E24" s="3">
        <v>0</v>
      </c>
      <c r="F24" s="3">
        <v>0</v>
      </c>
      <c r="G24" s="3">
        <v>0</v>
      </c>
      <c r="H24" s="3">
        <v>1.8986935000000001E-3</v>
      </c>
      <c r="I24" s="3">
        <v>4.2456705000000001E-4</v>
      </c>
      <c r="J24" s="3">
        <v>-3.5120388000000002E-3</v>
      </c>
      <c r="L24" s="3">
        <f t="shared" si="0"/>
        <v>1.8970814132104454</v>
      </c>
      <c r="M24" s="3"/>
      <c r="N24" s="2">
        <f>IF('Modell einstellen'!$B$1="Voll",H24/0.35,H24/0.35*2)</f>
        <v>5.4248385714285724E-3</v>
      </c>
      <c r="O24" s="2">
        <f>IF('Modell einstellen'!$B$1="Voll",J24/0.35,J24/0.35*2)</f>
        <v>-1.0034396571428572E-2</v>
      </c>
      <c r="P24" s="3">
        <f t="shared" si="1"/>
        <v>0.54062429492521558</v>
      </c>
    </row>
    <row r="25" spans="1:16" x14ac:dyDescent="0.25">
      <c r="A25" s="3">
        <v>10000000</v>
      </c>
      <c r="B25" s="3">
        <v>-6.8710000000000004E-3</v>
      </c>
      <c r="C25" s="3">
        <v>3.124E-3</v>
      </c>
      <c r="D25" s="3">
        <v>3.3960000000000001E-3</v>
      </c>
      <c r="E25" s="3">
        <v>0</v>
      </c>
      <c r="F25" s="3">
        <v>0</v>
      </c>
      <c r="G25" s="3">
        <v>0</v>
      </c>
      <c r="H25" s="3">
        <v>2.0769386000000002E-3</v>
      </c>
      <c r="I25" s="3">
        <v>5.2510816000000005E-4</v>
      </c>
      <c r="J25" s="3">
        <v>-4.0500637000000003E-3</v>
      </c>
      <c r="L25" s="3">
        <f t="shared" si="0"/>
        <v>2.0232626619552416</v>
      </c>
      <c r="M25" s="3"/>
      <c r="N25" s="2">
        <f>IF('Modell einstellen'!$B$1="Voll",H25/0.35,H25/0.35*2)</f>
        <v>5.9341102857142867E-3</v>
      </c>
      <c r="O25" s="2">
        <f>IF('Modell einstellen'!$B$1="Voll",J25/0.35,J25/0.35*2)</f>
        <v>-1.1571610571428572E-2</v>
      </c>
      <c r="P25" s="3">
        <f t="shared" si="1"/>
        <v>0.51281627990196799</v>
      </c>
    </row>
    <row r="26" spans="1:16" x14ac:dyDescent="0.25">
      <c r="A26" s="3">
        <v>100000000</v>
      </c>
      <c r="B26" s="3">
        <v>-7.2719999999999998E-3</v>
      </c>
      <c r="C26" s="3">
        <v>3.5370000000000002E-3</v>
      </c>
      <c r="D26" s="3">
        <v>3.388E-3</v>
      </c>
      <c r="E26" s="3">
        <v>0</v>
      </c>
      <c r="F26" s="3">
        <v>0</v>
      </c>
      <c r="G26" s="3">
        <v>0</v>
      </c>
      <c r="H26" s="3">
        <v>2.1847666000000001E-3</v>
      </c>
      <c r="I26" s="3">
        <v>6.0005873999999996E-4</v>
      </c>
      <c r="J26" s="3">
        <v>-4.4257884000000001E-3</v>
      </c>
      <c r="L26" s="3">
        <f t="shared" si="0"/>
        <v>2.1463990554899643</v>
      </c>
      <c r="M26" s="3"/>
      <c r="N26" s="2">
        <f>IF('Modell einstellen'!$B$1="Voll",H26/0.35,H26/0.35*2)</f>
        <v>6.2421902857142863E-3</v>
      </c>
      <c r="O26" s="2">
        <f>IF('Modell einstellen'!$B$1="Voll",J26/0.35,J26/0.35*2)</f>
        <v>-1.2645109714285716E-2</v>
      </c>
      <c r="P26" s="3">
        <f t="shared" si="1"/>
        <v>0.49364461256213693</v>
      </c>
    </row>
    <row r="27" spans="1:16" x14ac:dyDescent="0.25">
      <c r="A27" s="3">
        <v>1000000000</v>
      </c>
      <c r="B27" s="3">
        <v>-7.5300000000000002E-3</v>
      </c>
      <c r="C27" s="3">
        <v>3.8370000000000001E-3</v>
      </c>
      <c r="D27" s="3">
        <v>3.3479999999999998E-3</v>
      </c>
      <c r="E27" s="3">
        <v>0</v>
      </c>
      <c r="F27" s="3">
        <v>0</v>
      </c>
      <c r="G27" s="3">
        <v>0</v>
      </c>
      <c r="H27" s="3">
        <v>2.2616565000000001E-3</v>
      </c>
      <c r="I27" s="3">
        <v>6.5506123999999998E-4</v>
      </c>
      <c r="J27" s="3">
        <v>-4.6989911999999997E-3</v>
      </c>
      <c r="L27" s="3">
        <f t="shared" si="0"/>
        <v>2.2491039426523298</v>
      </c>
      <c r="M27" s="3"/>
      <c r="N27" s="2">
        <f>IF('Modell einstellen'!$B$1="Voll",H27/0.35,H27/0.35*2)</f>
        <v>6.4618757142857145E-3</v>
      </c>
      <c r="O27" s="2">
        <f>IF('Modell einstellen'!$B$1="Voll",J27/0.35,J27/0.35*2)</f>
        <v>-1.3425689142857142E-2</v>
      </c>
      <c r="P27" s="3">
        <f t="shared" si="1"/>
        <v>0.48130681751436355</v>
      </c>
    </row>
    <row r="28" spans="1:16" x14ac:dyDescent="0.25">
      <c r="A28" s="3">
        <v>10000000000</v>
      </c>
      <c r="B28" s="3">
        <v>-7.5940000000000001E-3</v>
      </c>
      <c r="C28" s="3">
        <v>4.0169999999999997E-3</v>
      </c>
      <c r="D28" s="3">
        <v>3.2339999999999999E-3</v>
      </c>
      <c r="E28" s="3">
        <v>0</v>
      </c>
      <c r="F28" s="3">
        <v>0</v>
      </c>
      <c r="G28" s="3">
        <v>0</v>
      </c>
      <c r="H28" s="3">
        <v>2.2942613999999998E-3</v>
      </c>
      <c r="I28" s="3">
        <v>6.8841748999999997E-4</v>
      </c>
      <c r="J28" s="3">
        <v>-4.8506929999999997E-3</v>
      </c>
      <c r="L28" s="3">
        <f t="shared" si="0"/>
        <v>2.3481756338899196</v>
      </c>
      <c r="M28" s="3"/>
      <c r="N28" s="2">
        <f>IF('Modell einstellen'!$B$1="Voll",H28/0.35,H28/0.35*2)</f>
        <v>6.5550325714285717E-3</v>
      </c>
      <c r="O28" s="2">
        <f>IF('Modell einstellen'!$B$1="Voll",J28/0.35,J28/0.35*2)</f>
        <v>-1.3859122857142856E-2</v>
      </c>
      <c r="P28" s="3">
        <f t="shared" si="1"/>
        <v>0.47297600569650566</v>
      </c>
    </row>
    <row r="29" spans="1:16" x14ac:dyDescent="0.25">
      <c r="A29" s="3">
        <v>100000000000</v>
      </c>
      <c r="B29" s="3">
        <v>-7.9150000000000002E-3</v>
      </c>
      <c r="C29" s="3">
        <v>4.2290000000000001E-3</v>
      </c>
      <c r="D29" s="3">
        <v>3.3430000000000001E-3</v>
      </c>
      <c r="E29" s="3">
        <v>0</v>
      </c>
      <c r="F29" s="3">
        <v>0</v>
      </c>
      <c r="G29" s="3">
        <v>0</v>
      </c>
      <c r="H29" s="3">
        <v>2.4013492000000002E-3</v>
      </c>
      <c r="I29" s="3">
        <v>7.2842445999999998E-4</v>
      </c>
      <c r="J29" s="3">
        <v>-5.0994982000000001E-3</v>
      </c>
      <c r="L29" s="3">
        <f t="shared" si="0"/>
        <v>2.367633861800778</v>
      </c>
      <c r="M29" s="3"/>
      <c r="N29" s="2">
        <f>IF('Modell einstellen'!$B$1="Voll",H29/0.35,H29/0.35*2)</f>
        <v>6.8609977142857154E-3</v>
      </c>
      <c r="O29" s="2">
        <f>IF('Modell einstellen'!$B$1="Voll",J29/0.35,J29/0.35*2)</f>
        <v>-1.4569994857142858E-2</v>
      </c>
      <c r="P29" s="3">
        <f t="shared" si="1"/>
        <v>0.47089911709352117</v>
      </c>
    </row>
    <row r="30" spans="1:16" x14ac:dyDescent="0.25">
      <c r="A30" s="3">
        <v>1000000000000</v>
      </c>
      <c r="B30" s="3">
        <v>-8.1410000000000007E-3</v>
      </c>
      <c r="C30" s="3">
        <v>4.3969999999999999E-3</v>
      </c>
      <c r="D30" s="3">
        <v>3.4020000000000001E-3</v>
      </c>
      <c r="E30" s="3">
        <v>0</v>
      </c>
      <c r="F30" s="3">
        <v>0</v>
      </c>
      <c r="G30" s="3">
        <v>0</v>
      </c>
      <c r="H30" s="3">
        <v>2.4842948E-3</v>
      </c>
      <c r="I30" s="3">
        <v>7.6042850000000001E-4</v>
      </c>
      <c r="J30" s="3">
        <v>-5.2956658E-3</v>
      </c>
      <c r="L30" s="3">
        <f t="shared" si="0"/>
        <v>2.3930041152263377</v>
      </c>
      <c r="M30" s="3"/>
      <c r="N30" s="2">
        <f>IF('Modell einstellen'!$B$1="Voll",H30/0.35,H30/0.35*2)</f>
        <v>7.097985142857143E-3</v>
      </c>
      <c r="O30" s="2">
        <f>IF('Modell einstellen'!$B$1="Voll",J30/0.35,J30/0.35*2)</f>
        <v>-1.5130473714285716E-2</v>
      </c>
      <c r="P30" s="3">
        <f t="shared" si="1"/>
        <v>0.46911850064254429</v>
      </c>
    </row>
    <row r="31" spans="1:16" x14ac:dyDescent="0.25">
      <c r="A31" s="3">
        <v>10000000000000</v>
      </c>
      <c r="B31" s="3">
        <v>-8.1589999999999996E-3</v>
      </c>
      <c r="C31" s="3">
        <v>4.4270000000000004E-3</v>
      </c>
      <c r="D31" s="3">
        <v>3.3890000000000001E-3</v>
      </c>
      <c r="E31" s="3">
        <v>0</v>
      </c>
      <c r="F31" s="3">
        <v>0</v>
      </c>
      <c r="G31" s="3">
        <v>0</v>
      </c>
      <c r="H31" s="3">
        <v>2.4935550000000002E-3</v>
      </c>
      <c r="I31" s="3">
        <v>7.6612904E-4</v>
      </c>
      <c r="J31" s="3">
        <v>-5.3251441999999996E-3</v>
      </c>
      <c r="L31" s="3">
        <f t="shared" si="0"/>
        <v>2.4074948362348771</v>
      </c>
      <c r="M31" s="3"/>
      <c r="N31" s="2">
        <f>IF('Modell einstellen'!$B$1="Voll",H31/0.35,H31/0.35*2)</f>
        <v>7.1244428571428584E-3</v>
      </c>
      <c r="O31" s="2">
        <f>IF('Modell einstellen'!$B$1="Voll",J31/0.35,J31/0.35*2)</f>
        <v>-1.5214697714285715E-2</v>
      </c>
      <c r="P31" s="3">
        <f t="shared" si="1"/>
        <v>0.46826055902861752</v>
      </c>
    </row>
    <row r="32" spans="1:16" x14ac:dyDescent="0.25">
      <c r="A32" s="3">
        <v>100000000000000</v>
      </c>
      <c r="B32" s="3">
        <v>-8.0809999999999996E-3</v>
      </c>
      <c r="C32" s="3">
        <v>4.4650000000000002E-3</v>
      </c>
      <c r="D32" s="3">
        <v>3.2750000000000001E-3</v>
      </c>
      <c r="E32" s="3">
        <v>0</v>
      </c>
      <c r="F32" s="3">
        <v>0</v>
      </c>
      <c r="G32" s="3">
        <v>0</v>
      </c>
      <c r="H32" s="3">
        <v>2.4924958999999998E-3</v>
      </c>
      <c r="I32" s="3">
        <v>7.7343403000000002E-4</v>
      </c>
      <c r="J32" s="3">
        <v>-5.3502198999999997E-3</v>
      </c>
      <c r="L32" s="3">
        <f t="shared" si="0"/>
        <v>2.4674809160305342</v>
      </c>
      <c r="M32" s="3"/>
      <c r="N32" s="2">
        <f>IF('Modell einstellen'!$B$1="Voll",H32/0.35,H32/0.35*2)</f>
        <v>7.1214168571428569E-3</v>
      </c>
      <c r="O32" s="2">
        <f>IF('Modell einstellen'!$B$1="Voll",J32/0.35,J32/0.35*2)</f>
        <v>-1.5286342571428571E-2</v>
      </c>
      <c r="P32" s="3">
        <f t="shared" si="1"/>
        <v>0.46586793563382323</v>
      </c>
    </row>
    <row r="33" spans="1:16" x14ac:dyDescent="0.25">
      <c r="A33" s="3">
        <v>1000000000000000</v>
      </c>
      <c r="B33" s="3">
        <v>-8.0829999999999999E-3</v>
      </c>
      <c r="C33" s="3">
        <v>4.4669999999999996E-3</v>
      </c>
      <c r="D33" s="3">
        <v>3.274E-3</v>
      </c>
      <c r="E33" s="3">
        <v>0</v>
      </c>
      <c r="F33" s="3">
        <v>0</v>
      </c>
      <c r="G33" s="3">
        <v>0</v>
      </c>
      <c r="H33" s="3">
        <v>2.4937702999999999E-3</v>
      </c>
      <c r="I33" s="3">
        <v>7.7382557000000001E-4</v>
      </c>
      <c r="J33" s="3">
        <v>-5.3528591000000002E-3</v>
      </c>
      <c r="L33" s="3">
        <f t="shared" si="0"/>
        <v>2.4688454489920586</v>
      </c>
      <c r="M33" s="3"/>
      <c r="N33" s="2">
        <f>IF('Modell einstellen'!$B$1="Voll",H33/0.35,H33/0.35*2)</f>
        <v>7.1250580000000001E-3</v>
      </c>
      <c r="O33" s="2">
        <f>IF('Modell einstellen'!$B$1="Voll",J33/0.35,J33/0.35*2)</f>
        <v>-1.5293883142857144E-2</v>
      </c>
      <c r="P33" s="3">
        <f t="shared" si="1"/>
        <v>0.46587632018933578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-7.1429999999999999E-5</v>
      </c>
      <c r="C3" s="3">
        <v>2.154E-4</v>
      </c>
      <c r="D3" s="3">
        <v>-4.7619999999999997E-4</v>
      </c>
      <c r="E3" s="3">
        <v>0</v>
      </c>
      <c r="F3" s="3">
        <v>0</v>
      </c>
      <c r="G3" s="3">
        <v>0</v>
      </c>
      <c r="H3" s="3">
        <v>1.4363434000000001E-4</v>
      </c>
      <c r="I3" s="3">
        <v>2.3092762999999999E-5</v>
      </c>
      <c r="J3" s="3">
        <v>-3.0936058000000002E-4</v>
      </c>
      <c r="L3" s="3">
        <f>-B3/D3</f>
        <v>-0.15</v>
      </c>
      <c r="M3" s="3"/>
      <c r="N3" s="2">
        <f>IF('Modell einstellen'!$B$1="Voll",H3/0.35,H3/0.35*2)</f>
        <v>4.1038382857142865E-4</v>
      </c>
      <c r="O3" s="2">
        <f>IF('Modell einstellen'!$B$1="Voll",J3/0.35,J3/0.35*2)</f>
        <v>-8.8388737142857158E-4</v>
      </c>
      <c r="P3" s="3">
        <f>-N3/O3</f>
        <v>0.46429425494353549</v>
      </c>
    </row>
    <row r="4" spans="1:16" x14ac:dyDescent="0.25">
      <c r="A4" s="3">
        <v>1E-14</v>
      </c>
      <c r="B4" s="3">
        <v>-9.9779999999999997E-5</v>
      </c>
      <c r="C4" s="3">
        <v>2.2110000000000001E-4</v>
      </c>
      <c r="D4" s="3">
        <v>-4.5830000000000003E-4</v>
      </c>
      <c r="E4" s="3">
        <v>0</v>
      </c>
      <c r="F4" s="3">
        <v>0</v>
      </c>
      <c r="G4" s="3">
        <v>0</v>
      </c>
      <c r="H4" s="3">
        <v>1.5577494999999999E-4</v>
      </c>
      <c r="I4" s="3">
        <v>2.3840805000000001E-5</v>
      </c>
      <c r="J4" s="3">
        <v>-3.2510223000000002E-4</v>
      </c>
      <c r="L4" s="3">
        <f t="shared" ref="L4:L33" si="0">-B4/D4</f>
        <v>-0.21771765219288675</v>
      </c>
      <c r="M4" s="3"/>
      <c r="N4" s="2">
        <f>IF('Modell einstellen'!$B$1="Voll",H4/0.35,H4/0.35*2)</f>
        <v>4.4507128571428573E-4</v>
      </c>
      <c r="O4" s="2">
        <f>IF('Modell einstellen'!$B$1="Voll",J4/0.35,J4/0.35*2)</f>
        <v>-9.2886351428571442E-4</v>
      </c>
      <c r="P4" s="3">
        <f t="shared" ref="P4:P33" si="1">-N4/O4</f>
        <v>0.47915681784157549</v>
      </c>
    </row>
    <row r="5" spans="1:16" x14ac:dyDescent="0.25">
      <c r="A5" s="3">
        <v>1E-13</v>
      </c>
      <c r="B5" s="3">
        <v>-1.2559999999999999E-4</v>
      </c>
      <c r="C5" s="3">
        <v>2.254E-4</v>
      </c>
      <c r="D5" s="3">
        <v>-4.4030000000000002E-4</v>
      </c>
      <c r="E5" s="3">
        <v>0</v>
      </c>
      <c r="F5" s="3">
        <v>0</v>
      </c>
      <c r="G5" s="3">
        <v>0</v>
      </c>
      <c r="H5" s="3">
        <v>1.6617159999999999E-4</v>
      </c>
      <c r="I5" s="3">
        <v>2.4418438E-5</v>
      </c>
      <c r="J5" s="3">
        <v>-3.3826770999999999E-4</v>
      </c>
      <c r="L5" s="3">
        <f t="shared" si="0"/>
        <v>-0.28526004996593229</v>
      </c>
      <c r="M5" s="3"/>
      <c r="N5" s="2">
        <f>IF('Modell einstellen'!$B$1="Voll",H5/0.35,H5/0.35*2)</f>
        <v>4.74776E-4</v>
      </c>
      <c r="O5" s="2">
        <f>IF('Modell einstellen'!$B$1="Voll",J5/0.35,J5/0.35*2)</f>
        <v>-9.6647917142857144E-4</v>
      </c>
      <c r="P5" s="3">
        <f t="shared" si="1"/>
        <v>0.49124286796395672</v>
      </c>
    </row>
    <row r="6" spans="1:16" x14ac:dyDescent="0.25">
      <c r="A6" s="3">
        <v>9.9999999999999998E-13</v>
      </c>
      <c r="B6" s="3">
        <v>-1.5540000000000001E-4</v>
      </c>
      <c r="C6" s="3">
        <v>2.298E-4</v>
      </c>
      <c r="D6" s="3">
        <v>-4.1839999999999998E-4</v>
      </c>
      <c r="E6" s="3">
        <v>0</v>
      </c>
      <c r="F6" s="3">
        <v>0</v>
      </c>
      <c r="G6" s="3">
        <v>0</v>
      </c>
      <c r="H6" s="3">
        <v>1.7774218000000001E-4</v>
      </c>
      <c r="I6" s="3">
        <v>2.5010807E-5</v>
      </c>
      <c r="J6" s="3">
        <v>-3.5267183999999999E-4</v>
      </c>
      <c r="L6" s="3">
        <f t="shared" si="0"/>
        <v>-0.37141491395793502</v>
      </c>
      <c r="M6" s="3"/>
      <c r="N6" s="2">
        <f>IF('Modell einstellen'!$B$1="Voll",H6/0.35,H6/0.35*2)</f>
        <v>5.0783480000000003E-4</v>
      </c>
      <c r="O6" s="2">
        <f>IF('Modell einstellen'!$B$1="Voll",J6/0.35,J6/0.35*2)</f>
        <v>-1.0076338285714287E-3</v>
      </c>
      <c r="P6" s="3">
        <f t="shared" si="1"/>
        <v>0.50398744623330283</v>
      </c>
    </row>
    <row r="7" spans="1:16" x14ac:dyDescent="0.25">
      <c r="A7" s="3">
        <v>9.9999999999999994E-12</v>
      </c>
      <c r="B7" s="3">
        <v>-1.9029999999999999E-4</v>
      </c>
      <c r="C7" s="3">
        <v>2.341E-4</v>
      </c>
      <c r="D7" s="3">
        <v>-3.9149999999999998E-4</v>
      </c>
      <c r="E7" s="3">
        <v>0</v>
      </c>
      <c r="F7" s="3">
        <v>0</v>
      </c>
      <c r="G7" s="3">
        <v>0</v>
      </c>
      <c r="H7" s="3">
        <v>1.9072425E-4</v>
      </c>
      <c r="I7" s="3">
        <v>2.5616807000000001E-5</v>
      </c>
      <c r="J7" s="3">
        <v>-3.6854617E-4</v>
      </c>
      <c r="L7" s="3">
        <f t="shared" si="0"/>
        <v>-0.48607918263090677</v>
      </c>
      <c r="M7" s="3"/>
      <c r="N7" s="2">
        <f>IF('Modell einstellen'!$B$1="Voll",H7/0.35,H7/0.35*2)</f>
        <v>5.4492642857142861E-4</v>
      </c>
      <c r="O7" s="2">
        <f>IF('Modell einstellen'!$B$1="Voll",J7/0.35,J7/0.35*2)</f>
        <v>-1.0529890571428571E-3</v>
      </c>
      <c r="P7" s="3">
        <f t="shared" si="1"/>
        <v>0.51750436044417447</v>
      </c>
    </row>
    <row r="8" spans="1:16" x14ac:dyDescent="0.25">
      <c r="A8" s="3">
        <v>1E-10</v>
      </c>
      <c r="B8" s="3">
        <v>-2.3800000000000001E-4</v>
      </c>
      <c r="C8" s="3">
        <v>2.3910000000000001E-4</v>
      </c>
      <c r="D8" s="3">
        <v>-3.5310000000000002E-4</v>
      </c>
      <c r="E8" s="3">
        <v>0</v>
      </c>
      <c r="F8" s="3">
        <v>0</v>
      </c>
      <c r="G8" s="3">
        <v>0</v>
      </c>
      <c r="H8" s="3">
        <v>2.0786534999999999E-4</v>
      </c>
      <c r="I8" s="3">
        <v>2.6339009000000001E-5</v>
      </c>
      <c r="J8" s="3">
        <v>-3.8912677999999997E-4</v>
      </c>
      <c r="L8" s="3">
        <f t="shared" si="0"/>
        <v>-0.67403001982441235</v>
      </c>
      <c r="M8" s="3"/>
      <c r="N8" s="2">
        <f>IF('Modell einstellen'!$B$1="Voll",H8/0.35,H8/0.35*2)</f>
        <v>5.9390099999999998E-4</v>
      </c>
      <c r="O8" s="2">
        <f>IF('Modell einstellen'!$B$1="Voll",J8/0.35,J8/0.35*2)</f>
        <v>-1.1117907999999999E-3</v>
      </c>
      <c r="P8" s="3">
        <f t="shared" si="1"/>
        <v>0.5341841288846787</v>
      </c>
    </row>
    <row r="9" spans="1:16" x14ac:dyDescent="0.25">
      <c r="A9" s="3">
        <v>1.0000000000000001E-9</v>
      </c>
      <c r="B9" s="3">
        <v>-3.01E-4</v>
      </c>
      <c r="C9" s="3">
        <v>2.4449999999999998E-4</v>
      </c>
      <c r="D9" s="3">
        <v>-3.0019999999999998E-4</v>
      </c>
      <c r="E9" s="3">
        <v>0</v>
      </c>
      <c r="F9" s="3">
        <v>0</v>
      </c>
      <c r="G9" s="3">
        <v>0</v>
      </c>
      <c r="H9" s="3">
        <v>2.295776E-4</v>
      </c>
      <c r="I9" s="3">
        <v>2.7139699000000001E-5</v>
      </c>
      <c r="J9" s="3">
        <v>-4.1464087999999998E-4</v>
      </c>
      <c r="L9" s="3">
        <f t="shared" si="0"/>
        <v>-1.0026648900732846</v>
      </c>
      <c r="M9" s="3"/>
      <c r="N9" s="2">
        <f>IF('Modell einstellen'!$B$1="Voll",H9/0.35,H9/0.35*2)</f>
        <v>6.5593600000000008E-4</v>
      </c>
      <c r="O9" s="2">
        <f>IF('Modell einstellen'!$B$1="Voll",J9/0.35,J9/0.35*2)</f>
        <v>-1.1846882285714286E-3</v>
      </c>
      <c r="P9" s="3">
        <f t="shared" si="1"/>
        <v>0.55367816120783853</v>
      </c>
    </row>
    <row r="10" spans="1:16" x14ac:dyDescent="0.25">
      <c r="A10" s="3">
        <v>1E-8</v>
      </c>
      <c r="B10" s="3">
        <v>-3.901E-4</v>
      </c>
      <c r="C10" s="3">
        <v>2.5050000000000002E-4</v>
      </c>
      <c r="D10" s="3">
        <v>-2.2249999999999999E-4</v>
      </c>
      <c r="E10" s="3">
        <v>0</v>
      </c>
      <c r="F10" s="3">
        <v>0</v>
      </c>
      <c r="G10" s="3">
        <v>0</v>
      </c>
      <c r="H10" s="3">
        <v>2.5904427E-4</v>
      </c>
      <c r="I10" s="3">
        <v>2.8068483000000001E-5</v>
      </c>
      <c r="J10" s="3">
        <v>-4.4850115999999998E-4</v>
      </c>
      <c r="L10" s="3">
        <f t="shared" si="0"/>
        <v>-1.7532584269662923</v>
      </c>
      <c r="M10" s="3"/>
      <c r="N10" s="2">
        <f>IF('Modell einstellen'!$B$1="Voll",H10/0.35,H10/0.35*2)</f>
        <v>7.4012648571428576E-4</v>
      </c>
      <c r="O10" s="2">
        <f>IF('Modell einstellen'!$B$1="Voll",J10/0.35,J10/0.35*2)</f>
        <v>-1.2814318857142857E-3</v>
      </c>
      <c r="P10" s="3">
        <f t="shared" si="1"/>
        <v>0.57757770347795756</v>
      </c>
    </row>
    <row r="11" spans="1:16" x14ac:dyDescent="0.25">
      <c r="A11" s="3">
        <v>9.9999999999999995E-8</v>
      </c>
      <c r="B11" s="3">
        <v>-5.2059999999999997E-4</v>
      </c>
      <c r="C11" s="3">
        <v>2.5700000000000001E-4</v>
      </c>
      <c r="D11" s="3">
        <v>-1.047E-4</v>
      </c>
      <c r="E11" s="3">
        <v>0</v>
      </c>
      <c r="F11" s="3">
        <v>0</v>
      </c>
      <c r="G11" s="3">
        <v>0</v>
      </c>
      <c r="H11" s="3">
        <v>3.0040568E-4</v>
      </c>
      <c r="I11" s="3">
        <v>2.9135187E-5</v>
      </c>
      <c r="J11" s="3">
        <v>-4.9487947000000001E-4</v>
      </c>
      <c r="L11" s="3">
        <f t="shared" si="0"/>
        <v>-4.9723018147086915</v>
      </c>
      <c r="M11" s="3"/>
      <c r="N11" s="2">
        <f>IF('Modell einstellen'!$B$1="Voll",H11/0.35,H11/0.35*2)</f>
        <v>8.5830194285714295E-4</v>
      </c>
      <c r="O11" s="2">
        <f>IF('Modell einstellen'!$B$1="Voll",J11/0.35,J11/0.35*2)</f>
        <v>-1.413941342857143E-3</v>
      </c>
      <c r="P11" s="3">
        <f t="shared" si="1"/>
        <v>0.60702796986102492</v>
      </c>
    </row>
    <row r="12" spans="1:16" x14ac:dyDescent="0.25">
      <c r="A12" s="3">
        <v>9.9999999999999995E-7</v>
      </c>
      <c r="B12" s="3">
        <v>-7.3280000000000003E-4</v>
      </c>
      <c r="C12" s="3">
        <v>2.6429999999999997E-4</v>
      </c>
      <c r="D12" s="3">
        <v>9.2999999999999997E-5</v>
      </c>
      <c r="E12" s="3">
        <v>0</v>
      </c>
      <c r="F12" s="3">
        <v>0</v>
      </c>
      <c r="G12" s="3">
        <v>0</v>
      </c>
      <c r="H12" s="3">
        <v>3.6492113000000001E-4</v>
      </c>
      <c r="I12" s="3">
        <v>3.0419198E-5</v>
      </c>
      <c r="J12" s="3">
        <v>-5.6537381999999996E-4</v>
      </c>
      <c r="L12" s="3">
        <f t="shared" si="0"/>
        <v>7.8795698924731186</v>
      </c>
      <c r="M12" s="3"/>
      <c r="N12" s="2">
        <f>IF('Modell einstellen'!$B$1="Voll",H12/0.35,H12/0.35*2)</f>
        <v>1.0426318000000001E-3</v>
      </c>
      <c r="O12" s="2">
        <f>IF('Modell einstellen'!$B$1="Voll",J12/0.35,J12/0.35*2)</f>
        <v>-1.6153537714285713E-3</v>
      </c>
      <c r="P12" s="3">
        <f t="shared" si="1"/>
        <v>0.64545105749679044</v>
      </c>
    </row>
    <row r="13" spans="1:16" x14ac:dyDescent="0.25">
      <c r="A13" s="3">
        <v>1.0000000000000001E-5</v>
      </c>
      <c r="B13" s="3">
        <v>-1.108E-3</v>
      </c>
      <c r="C13" s="3">
        <v>2.721E-4</v>
      </c>
      <c r="D13" s="3">
        <v>4.5199999999999998E-4</v>
      </c>
      <c r="E13" s="3">
        <v>0</v>
      </c>
      <c r="F13" s="3">
        <v>0</v>
      </c>
      <c r="G13" s="3">
        <v>0</v>
      </c>
      <c r="H13" s="3">
        <v>4.7426945999999999E-4</v>
      </c>
      <c r="I13" s="3">
        <v>3.1931692000000003E-5</v>
      </c>
      <c r="J13" s="3">
        <v>-6.8161155000000001E-4</v>
      </c>
      <c r="L13" s="3">
        <f t="shared" si="0"/>
        <v>2.4513274336283186</v>
      </c>
      <c r="M13" s="3"/>
      <c r="N13" s="2">
        <f>IF('Modell einstellen'!$B$1="Voll",H13/0.35,H13/0.35*2)</f>
        <v>1.3550556E-3</v>
      </c>
      <c r="O13" s="2">
        <f>IF('Modell einstellen'!$B$1="Voll",J13/0.35,J13/0.35*2)</f>
        <v>-1.9474615714285715E-3</v>
      </c>
      <c r="P13" s="3">
        <f t="shared" si="1"/>
        <v>0.69580607899029878</v>
      </c>
    </row>
    <row r="14" spans="1:16" x14ac:dyDescent="0.25">
      <c r="A14" s="3">
        <v>1E-4</v>
      </c>
      <c r="B14" s="3">
        <v>-1.794E-3</v>
      </c>
      <c r="C14" s="3">
        <v>2.7940000000000002E-4</v>
      </c>
      <c r="D14" s="3">
        <v>1.1230000000000001E-3</v>
      </c>
      <c r="E14" s="3">
        <v>0</v>
      </c>
      <c r="F14" s="3">
        <v>0</v>
      </c>
      <c r="G14" s="3">
        <v>0</v>
      </c>
      <c r="H14" s="3">
        <v>6.6710178000000005E-4</v>
      </c>
      <c r="I14" s="3">
        <v>3.3533988999999998E-5</v>
      </c>
      <c r="J14" s="3">
        <v>-8.8130874E-4</v>
      </c>
      <c r="L14" s="3">
        <f t="shared" si="0"/>
        <v>1.5975066785396259</v>
      </c>
      <c r="M14" s="3"/>
      <c r="N14" s="2">
        <f>IF('Modell einstellen'!$B$1="Voll",H14/0.35,H14/0.35*2)</f>
        <v>1.906005085714286E-3</v>
      </c>
      <c r="O14" s="2">
        <f>IF('Modell einstellen'!$B$1="Voll",J14/0.35,J14/0.35*2)</f>
        <v>-2.5180249714285715E-3</v>
      </c>
      <c r="P14" s="3">
        <f t="shared" si="1"/>
        <v>0.75694447328412984</v>
      </c>
    </row>
    <row r="15" spans="1:16" x14ac:dyDescent="0.25">
      <c r="A15" s="3">
        <v>1E-3</v>
      </c>
      <c r="B15" s="3">
        <v>-2.9659999999999999E-3</v>
      </c>
      <c r="C15" s="3">
        <v>2.855E-4</v>
      </c>
      <c r="D15" s="3">
        <v>2.2820000000000002E-3</v>
      </c>
      <c r="E15" s="3">
        <v>0</v>
      </c>
      <c r="F15" s="3">
        <v>0</v>
      </c>
      <c r="G15" s="3">
        <v>0</v>
      </c>
      <c r="H15" s="3">
        <v>9.8773634000000007E-4</v>
      </c>
      <c r="I15" s="3">
        <v>3.4956762E-5</v>
      </c>
      <c r="J15" s="3">
        <v>-1.2068604000000001E-3</v>
      </c>
      <c r="L15" s="3">
        <f t="shared" si="0"/>
        <v>1.2997370727432076</v>
      </c>
      <c r="M15" s="3"/>
      <c r="N15" s="2">
        <f>IF('Modell einstellen'!$B$1="Voll",H15/0.35,H15/0.35*2)</f>
        <v>2.8221038285714288E-3</v>
      </c>
      <c r="O15" s="2">
        <f>IF('Modell einstellen'!$B$1="Voll",J15/0.35,J15/0.35*2)</f>
        <v>-3.4481725714285718E-3</v>
      </c>
      <c r="P15" s="3">
        <f t="shared" si="1"/>
        <v>0.81843462591033722</v>
      </c>
    </row>
    <row r="16" spans="1:16" x14ac:dyDescent="0.25">
      <c r="A16" s="3">
        <v>0.01</v>
      </c>
      <c r="B16" s="3">
        <v>-4.6909999999999999E-3</v>
      </c>
      <c r="C16" s="3">
        <v>2.9550000000000003E-4</v>
      </c>
      <c r="D16" s="3">
        <v>3.993E-3</v>
      </c>
      <c r="E16" s="3">
        <v>0</v>
      </c>
      <c r="F16" s="3">
        <v>0</v>
      </c>
      <c r="G16" s="3">
        <v>0</v>
      </c>
      <c r="H16" s="3">
        <v>1.4541949999999999E-3</v>
      </c>
      <c r="I16" s="3">
        <v>3.6628665000000001E-5</v>
      </c>
      <c r="J16" s="3">
        <v>-1.6767263E-3</v>
      </c>
      <c r="L16" s="3">
        <f t="shared" si="0"/>
        <v>1.1748059103431003</v>
      </c>
      <c r="M16" s="3"/>
      <c r="N16" s="2">
        <f>IF('Modell einstellen'!$B$1="Voll",H16/0.35,H16/0.35*2)</f>
        <v>4.1548428571428573E-3</v>
      </c>
      <c r="O16" s="2">
        <f>IF('Modell einstellen'!$B$1="Voll",J16/0.35,J16/0.35*2)</f>
        <v>-4.790646571428572E-3</v>
      </c>
      <c r="P16" s="3">
        <f t="shared" si="1"/>
        <v>0.86728227499025923</v>
      </c>
    </row>
    <row r="17" spans="1:16" x14ac:dyDescent="0.25">
      <c r="A17" s="3">
        <v>0.1</v>
      </c>
      <c r="B17" s="3">
        <v>-6.5290000000000001E-3</v>
      </c>
      <c r="C17" s="3">
        <v>3.346E-4</v>
      </c>
      <c r="D17" s="3">
        <v>5.7920000000000003E-3</v>
      </c>
      <c r="E17" s="3">
        <v>0</v>
      </c>
      <c r="F17" s="3">
        <v>0</v>
      </c>
      <c r="G17" s="3">
        <v>0</v>
      </c>
      <c r="H17" s="3">
        <v>1.9537777000000001E-3</v>
      </c>
      <c r="I17" s="3">
        <v>4.2276184000000003E-5</v>
      </c>
      <c r="J17" s="3">
        <v>-2.1917052E-3</v>
      </c>
      <c r="L17" s="3">
        <f t="shared" si="0"/>
        <v>1.1272444751381214</v>
      </c>
      <c r="M17" s="3"/>
      <c r="N17" s="2">
        <f>IF('Modell einstellen'!$B$1="Voll",H17/0.35,H17/0.35*2)</f>
        <v>5.5822220000000004E-3</v>
      </c>
      <c r="O17" s="2">
        <f>IF('Modell einstellen'!$B$1="Voll",J17/0.35,J17/0.35*2)</f>
        <v>-6.2620148571428573E-3</v>
      </c>
      <c r="P17" s="3">
        <f t="shared" si="1"/>
        <v>0.89144183259682919</v>
      </c>
    </row>
    <row r="18" spans="1:16" x14ac:dyDescent="0.25">
      <c r="A18" s="3">
        <v>1</v>
      </c>
      <c r="B18" s="3">
        <v>-7.9260000000000008E-3</v>
      </c>
      <c r="C18" s="3">
        <v>4.6010000000000002E-4</v>
      </c>
      <c r="D18" s="3">
        <v>7.0650000000000001E-3</v>
      </c>
      <c r="E18" s="3">
        <v>0</v>
      </c>
      <c r="F18" s="3">
        <v>0</v>
      </c>
      <c r="G18" s="3">
        <v>0</v>
      </c>
      <c r="H18" s="3">
        <v>2.3430766000000001E-3</v>
      </c>
      <c r="I18" s="3">
        <v>6.1712413999999994E-5</v>
      </c>
      <c r="J18" s="3">
        <v>-2.6456801000000001E-3</v>
      </c>
      <c r="L18" s="3">
        <f t="shared" si="0"/>
        <v>1.1218683651804673</v>
      </c>
      <c r="M18" s="3"/>
      <c r="N18" s="2">
        <f>IF('Modell einstellen'!$B$1="Voll",H18/0.35,H18/0.35*2)</f>
        <v>6.6945045714285724E-3</v>
      </c>
      <c r="O18" s="2">
        <f>IF('Modell einstellen'!$B$1="Voll",J18/0.35,J18/0.35*2)</f>
        <v>-7.5590860000000005E-3</v>
      </c>
      <c r="P18" s="3">
        <f t="shared" si="1"/>
        <v>0.88562354912069685</v>
      </c>
    </row>
    <row r="19" spans="1:16" x14ac:dyDescent="0.25">
      <c r="A19" s="3">
        <v>10</v>
      </c>
      <c r="B19" s="3">
        <v>-8.659E-3</v>
      </c>
      <c r="C19" s="3">
        <v>7.1270000000000003E-4</v>
      </c>
      <c r="D19" s="3">
        <v>7.5500000000000003E-3</v>
      </c>
      <c r="E19" s="3">
        <v>0</v>
      </c>
      <c r="F19" s="3">
        <v>0</v>
      </c>
      <c r="G19" s="3">
        <v>0</v>
      </c>
      <c r="H19" s="3">
        <v>2.5511227000000001E-3</v>
      </c>
      <c r="I19" s="3">
        <v>1.0387464000000001E-4</v>
      </c>
      <c r="J19" s="3">
        <v>-3.0020808000000001E-3</v>
      </c>
      <c r="L19" s="3">
        <f t="shared" si="0"/>
        <v>1.146887417218543</v>
      </c>
      <c r="M19" s="3"/>
      <c r="N19" s="2">
        <f>IF('Modell einstellen'!$B$1="Voll",H19/0.35,H19/0.35*2)</f>
        <v>7.2889220000000006E-3</v>
      </c>
      <c r="O19" s="2">
        <f>IF('Modell einstellen'!$B$1="Voll",J19/0.35,J19/0.35*2)</f>
        <v>-8.5773737142857149E-3</v>
      </c>
      <c r="P19" s="3">
        <f t="shared" si="1"/>
        <v>0.84978482258039156</v>
      </c>
    </row>
    <row r="20" spans="1:16" x14ac:dyDescent="0.25">
      <c r="A20" s="3">
        <v>100</v>
      </c>
      <c r="B20" s="3">
        <v>-9.0460000000000002E-3</v>
      </c>
      <c r="C20" s="3">
        <v>1.1410000000000001E-3</v>
      </c>
      <c r="D20" s="3">
        <v>7.515E-3</v>
      </c>
      <c r="E20" s="3">
        <v>0</v>
      </c>
      <c r="F20" s="3">
        <v>0</v>
      </c>
      <c r="G20" s="3">
        <v>0</v>
      </c>
      <c r="H20" s="3">
        <v>2.6528572999999999E-3</v>
      </c>
      <c r="I20" s="3">
        <v>1.7849297000000001E-4</v>
      </c>
      <c r="J20" s="3">
        <v>-3.3707532999999999E-3</v>
      </c>
      <c r="L20" s="3">
        <f t="shared" si="0"/>
        <v>1.203725881570193</v>
      </c>
      <c r="M20" s="3"/>
      <c r="N20" s="2">
        <f>IF('Modell einstellen'!$B$1="Voll",H20/0.35,H20/0.35*2)</f>
        <v>7.579592285714286E-3</v>
      </c>
      <c r="O20" s="2">
        <f>IF('Modell einstellen'!$B$1="Voll",J20/0.35,J20/0.35*2)</f>
        <v>-9.6307237142857147E-3</v>
      </c>
      <c r="P20" s="3">
        <f t="shared" si="1"/>
        <v>0.78702208791132833</v>
      </c>
    </row>
    <row r="21" spans="1:16" x14ac:dyDescent="0.25">
      <c r="A21" s="3">
        <v>1000</v>
      </c>
      <c r="B21" s="3">
        <v>-9.0930000000000004E-3</v>
      </c>
      <c r="C21" s="3">
        <v>1.7880000000000001E-3</v>
      </c>
      <c r="D21" s="3">
        <v>6.9249999999999997E-3</v>
      </c>
      <c r="E21" s="3">
        <v>0</v>
      </c>
      <c r="F21" s="3">
        <v>0</v>
      </c>
      <c r="G21" s="3">
        <v>0</v>
      </c>
      <c r="H21" s="3">
        <v>2.6470503999999999E-3</v>
      </c>
      <c r="I21" s="3">
        <v>2.9184476999999999E-4</v>
      </c>
      <c r="J21" s="3">
        <v>-3.7732447000000001E-3</v>
      </c>
      <c r="L21" s="3">
        <f t="shared" si="0"/>
        <v>1.3130685920577618</v>
      </c>
      <c r="M21" s="3"/>
      <c r="N21" s="2">
        <f>IF('Modell einstellen'!$B$1="Voll",H21/0.35,H21/0.35*2)</f>
        <v>7.5630011428571434E-3</v>
      </c>
      <c r="O21" s="2">
        <f>IF('Modell einstellen'!$B$1="Voll",J21/0.35,J21/0.35*2)</f>
        <v>-1.0780699142857144E-2</v>
      </c>
      <c r="P21" s="3">
        <f t="shared" si="1"/>
        <v>0.70153160223083333</v>
      </c>
    </row>
    <row r="22" spans="1:16" x14ac:dyDescent="0.25">
      <c r="A22" s="3">
        <v>10000</v>
      </c>
      <c r="B22" s="3">
        <v>-8.8959999999999994E-3</v>
      </c>
      <c r="C22" s="3">
        <v>2.4880000000000002E-3</v>
      </c>
      <c r="D22" s="3">
        <v>6.038E-3</v>
      </c>
      <c r="E22" s="3">
        <v>0</v>
      </c>
      <c r="F22" s="3">
        <v>0</v>
      </c>
      <c r="G22" s="3">
        <v>0</v>
      </c>
      <c r="H22" s="3">
        <v>2.5752741999999999E-3</v>
      </c>
      <c r="I22" s="3">
        <v>4.1475852000000003E-4</v>
      </c>
      <c r="J22" s="3">
        <v>-4.1448822999999996E-3</v>
      </c>
      <c r="L22" s="3">
        <f t="shared" si="0"/>
        <v>1.4733355415700562</v>
      </c>
      <c r="M22" s="3"/>
      <c r="N22" s="2">
        <f>IF('Modell einstellen'!$B$1="Voll",H22/0.35,H22/0.35*2)</f>
        <v>7.3579262857142854E-3</v>
      </c>
      <c r="O22" s="2">
        <f>IF('Modell einstellen'!$B$1="Voll",J22/0.35,J22/0.35*2)</f>
        <v>-1.1842520857142857E-2</v>
      </c>
      <c r="P22" s="3">
        <f t="shared" si="1"/>
        <v>0.62131419268527843</v>
      </c>
    </row>
    <row r="23" spans="1:16" x14ac:dyDescent="0.25">
      <c r="A23" s="3">
        <v>100000</v>
      </c>
      <c r="B23" s="3">
        <v>-9.1409999999999998E-3</v>
      </c>
      <c r="C23" s="3">
        <v>3.1610000000000002E-3</v>
      </c>
      <c r="D23" s="3">
        <v>5.6189999999999999E-3</v>
      </c>
      <c r="E23" s="3">
        <v>0</v>
      </c>
      <c r="F23" s="3">
        <v>0</v>
      </c>
      <c r="G23" s="3">
        <v>0</v>
      </c>
      <c r="H23" s="3">
        <v>2.6277690999999999E-3</v>
      </c>
      <c r="I23" s="3">
        <v>5.3446308999999996E-4</v>
      </c>
      <c r="J23" s="3">
        <v>-4.6266839999999998E-3</v>
      </c>
      <c r="L23" s="3">
        <f t="shared" si="0"/>
        <v>1.6268019220501868</v>
      </c>
      <c r="M23" s="3"/>
      <c r="N23" s="2">
        <f>IF('Modell einstellen'!$B$1="Voll",H23/0.35,H23/0.35*2)</f>
        <v>7.5079117142857147E-3</v>
      </c>
      <c r="O23" s="2">
        <f>IF('Modell einstellen'!$B$1="Voll",J23/0.35,J23/0.35*2)</f>
        <v>-1.3219097142857144E-2</v>
      </c>
      <c r="P23" s="3">
        <f t="shared" si="1"/>
        <v>0.56795949323532791</v>
      </c>
    </row>
    <row r="24" spans="1:16" x14ac:dyDescent="0.25">
      <c r="A24" s="3">
        <v>1000000</v>
      </c>
      <c r="B24" s="3">
        <v>-9.0480000000000005E-3</v>
      </c>
      <c r="C24" s="3">
        <v>3.6679999999999998E-3</v>
      </c>
      <c r="D24" s="3">
        <v>5.025E-3</v>
      </c>
      <c r="E24" s="3">
        <v>0</v>
      </c>
      <c r="F24" s="3">
        <v>0</v>
      </c>
      <c r="G24" s="3">
        <v>0</v>
      </c>
      <c r="H24" s="3">
        <v>2.6005924999999998E-3</v>
      </c>
      <c r="I24" s="3">
        <v>6.2573157999999999E-4</v>
      </c>
      <c r="J24" s="3">
        <v>-4.9274840999999998E-3</v>
      </c>
      <c r="L24" s="3">
        <f t="shared" si="0"/>
        <v>1.8005970149253732</v>
      </c>
      <c r="M24" s="3"/>
      <c r="N24" s="2">
        <f>IF('Modell einstellen'!$B$1="Voll",H24/0.35,H24/0.35*2)</f>
        <v>7.4302642857142854E-3</v>
      </c>
      <c r="O24" s="2">
        <f>IF('Modell einstellen'!$B$1="Voll",J24/0.35,J24/0.35*2)</f>
        <v>-1.4078526000000001E-2</v>
      </c>
      <c r="P24" s="3">
        <f t="shared" si="1"/>
        <v>0.52777288515248577</v>
      </c>
    </row>
    <row r="25" spans="1:16" x14ac:dyDescent="0.25">
      <c r="A25" s="3">
        <v>10000000</v>
      </c>
      <c r="B25" s="3">
        <v>-8.8299999999999993E-3</v>
      </c>
      <c r="C25" s="3">
        <v>3.9909999999999998E-3</v>
      </c>
      <c r="D25" s="3">
        <v>4.4889999999999999E-3</v>
      </c>
      <c r="E25" s="3">
        <v>0</v>
      </c>
      <c r="F25" s="3">
        <v>0</v>
      </c>
      <c r="G25" s="3">
        <v>0</v>
      </c>
      <c r="H25" s="3">
        <v>2.5485856000000001E-3</v>
      </c>
      <c r="I25" s="3">
        <v>6.8415953999999995E-4</v>
      </c>
      <c r="J25" s="3">
        <v>-5.0857452999999997E-3</v>
      </c>
      <c r="L25" s="3">
        <f t="shared" si="0"/>
        <v>1.9670305190465582</v>
      </c>
      <c r="M25" s="3"/>
      <c r="N25" s="2">
        <f>IF('Modell einstellen'!$B$1="Voll",H25/0.35,H25/0.35*2)</f>
        <v>7.2816731428571434E-3</v>
      </c>
      <c r="O25" s="2">
        <f>IF('Modell einstellen'!$B$1="Voll",J25/0.35,J25/0.35*2)</f>
        <v>-1.4530700857142857E-2</v>
      </c>
      <c r="P25" s="3">
        <f t="shared" si="1"/>
        <v>0.50112332601477316</v>
      </c>
    </row>
    <row r="26" spans="1:16" x14ac:dyDescent="0.25">
      <c r="A26" s="3">
        <v>100000000</v>
      </c>
      <c r="B26" s="3">
        <v>-8.6540000000000002E-3</v>
      </c>
      <c r="C26" s="3">
        <v>4.1970000000000002E-3</v>
      </c>
      <c r="D26" s="3">
        <v>4.1099999999999999E-3</v>
      </c>
      <c r="E26" s="3">
        <v>0</v>
      </c>
      <c r="F26" s="3">
        <v>0</v>
      </c>
      <c r="G26" s="3">
        <v>0</v>
      </c>
      <c r="H26" s="3">
        <v>2.5139343999999999E-3</v>
      </c>
      <c r="I26" s="3">
        <v>7.2187303000000003E-4</v>
      </c>
      <c r="J26" s="3">
        <v>-5.1867262999999997E-3</v>
      </c>
      <c r="L26" s="3">
        <f t="shared" si="0"/>
        <v>2.1055961070559612</v>
      </c>
      <c r="M26" s="3"/>
      <c r="N26" s="2">
        <f>IF('Modell einstellen'!$B$1="Voll",H26/0.35,H26/0.35*2)</f>
        <v>7.1826697142857148E-3</v>
      </c>
      <c r="O26" s="2">
        <f>IF('Modell einstellen'!$B$1="Voll",J26/0.35,J26/0.35*2)</f>
        <v>-1.4819218E-2</v>
      </c>
      <c r="P26" s="3">
        <f t="shared" si="1"/>
        <v>0.48468614972029661</v>
      </c>
    </row>
    <row r="27" spans="1:16" x14ac:dyDescent="0.25">
      <c r="A27" s="3">
        <v>1000000000</v>
      </c>
      <c r="B27" s="3">
        <v>-8.5079999999999999E-3</v>
      </c>
      <c r="C27" s="3">
        <v>4.3270000000000001E-3</v>
      </c>
      <c r="D27" s="3">
        <v>3.836E-3</v>
      </c>
      <c r="E27" s="3">
        <v>0</v>
      </c>
      <c r="F27" s="3">
        <v>0</v>
      </c>
      <c r="G27" s="3">
        <v>0</v>
      </c>
      <c r="H27" s="3">
        <v>2.4951615999999999E-3</v>
      </c>
      <c r="I27" s="3">
        <v>7.4611770000000005E-4</v>
      </c>
      <c r="J27" s="3">
        <v>-5.2550321000000002E-3</v>
      </c>
      <c r="L27" s="3">
        <f t="shared" si="0"/>
        <v>2.2179353493222105</v>
      </c>
      <c r="M27" s="3"/>
      <c r="N27" s="2">
        <f>IF('Modell einstellen'!$B$1="Voll",H27/0.35,H27/0.35*2)</f>
        <v>7.1290331428571427E-3</v>
      </c>
      <c r="O27" s="2">
        <f>IF('Modell einstellen'!$B$1="Voll",J27/0.35,J27/0.35*2)</f>
        <v>-1.5014377428571431E-2</v>
      </c>
      <c r="P27" s="3">
        <f t="shared" si="1"/>
        <v>0.47481376945347292</v>
      </c>
    </row>
    <row r="28" spans="1:16" x14ac:dyDescent="0.25">
      <c r="A28" s="3">
        <v>10000000000</v>
      </c>
      <c r="B28" s="3">
        <v>-8.4700000000000001E-3</v>
      </c>
      <c r="C28" s="3">
        <v>4.3620000000000004E-3</v>
      </c>
      <c r="D28" s="3">
        <v>3.764E-3</v>
      </c>
      <c r="E28" s="3">
        <v>0</v>
      </c>
      <c r="F28" s="3">
        <v>0</v>
      </c>
      <c r="G28" s="3">
        <v>0</v>
      </c>
      <c r="H28" s="3">
        <v>2.4913687000000001E-3</v>
      </c>
      <c r="I28" s="3">
        <v>7.5275161999999998E-4</v>
      </c>
      <c r="J28" s="3">
        <v>-5.2750065999999998E-3</v>
      </c>
      <c r="L28" s="3">
        <f t="shared" si="0"/>
        <v>2.2502656748140275</v>
      </c>
      <c r="M28" s="3"/>
      <c r="N28" s="2">
        <f>IF('Modell einstellen'!$B$1="Voll",H28/0.35,H28/0.35*2)</f>
        <v>7.1181962857142867E-3</v>
      </c>
      <c r="O28" s="2">
        <f>IF('Modell einstellen'!$B$1="Voll",J28/0.35,J28/0.35*2)</f>
        <v>-1.5071447428571428E-2</v>
      </c>
      <c r="P28" s="3">
        <f t="shared" si="1"/>
        <v>0.47229679295567145</v>
      </c>
    </row>
    <row r="29" spans="1:16" x14ac:dyDescent="0.25">
      <c r="A29" s="3">
        <v>100000000000</v>
      </c>
      <c r="B29" s="3">
        <v>-8.3149999999999995E-3</v>
      </c>
      <c r="C29" s="3">
        <v>4.4419999999999998E-3</v>
      </c>
      <c r="D29" s="3">
        <v>3.5309999999999999E-3</v>
      </c>
      <c r="E29" s="3">
        <v>0</v>
      </c>
      <c r="F29" s="3">
        <v>0</v>
      </c>
      <c r="G29" s="3">
        <v>0</v>
      </c>
      <c r="H29" s="3">
        <v>2.4858353000000001E-3</v>
      </c>
      <c r="I29" s="3">
        <v>7.6823422000000001E-4</v>
      </c>
      <c r="J29" s="3">
        <v>-5.3249439000000003E-3</v>
      </c>
      <c r="L29" s="3">
        <f t="shared" si="0"/>
        <v>2.3548569810252054</v>
      </c>
      <c r="M29" s="3"/>
      <c r="N29" s="2">
        <f>IF('Modell einstellen'!$B$1="Voll",H29/0.35,H29/0.35*2)</f>
        <v>7.1023865714285725E-3</v>
      </c>
      <c r="O29" s="2">
        <f>IF('Modell einstellen'!$B$1="Voll",J29/0.35,J29/0.35*2)</f>
        <v>-1.521412542857143E-2</v>
      </c>
      <c r="P29" s="3">
        <f t="shared" si="1"/>
        <v>0.46682844865276424</v>
      </c>
    </row>
    <row r="30" spans="1:16" x14ac:dyDescent="0.25">
      <c r="A30" s="3">
        <v>1000000000000</v>
      </c>
      <c r="B30" s="3">
        <v>-8.3140000000000002E-3</v>
      </c>
      <c r="C30" s="3">
        <v>4.4450000000000002E-3</v>
      </c>
      <c r="D30" s="3">
        <v>3.5270000000000002E-3</v>
      </c>
      <c r="E30" s="3">
        <v>0</v>
      </c>
      <c r="F30" s="3">
        <v>0</v>
      </c>
      <c r="G30" s="3">
        <v>0</v>
      </c>
      <c r="H30" s="3">
        <v>2.4871231E-3</v>
      </c>
      <c r="I30" s="3">
        <v>7.6877984000000004E-4</v>
      </c>
      <c r="J30" s="3">
        <v>-5.3281396000000002E-3</v>
      </c>
      <c r="L30" s="3">
        <f t="shared" si="0"/>
        <v>2.3572441168131557</v>
      </c>
      <c r="M30" s="3"/>
      <c r="N30" s="2">
        <f>IF('Modell einstellen'!$B$1="Voll",H30/0.35,H30/0.35*2)</f>
        <v>7.1060660000000003E-3</v>
      </c>
      <c r="O30" s="2">
        <f>IF('Modell einstellen'!$B$1="Voll",J30/0.35,J30/0.35*2)</f>
        <v>-1.5223256000000001E-2</v>
      </c>
      <c r="P30" s="3">
        <f t="shared" si="1"/>
        <v>0.46679015317091166</v>
      </c>
    </row>
    <row r="31" spans="1:16" x14ac:dyDescent="0.25">
      <c r="A31" s="3">
        <v>10000000000000</v>
      </c>
      <c r="B31" s="3">
        <v>-8.1329999999999996E-3</v>
      </c>
      <c r="C31" s="3">
        <v>4.4840000000000001E-3</v>
      </c>
      <c r="D31" s="3">
        <v>3.3080000000000002E-3</v>
      </c>
      <c r="E31" s="3">
        <v>0</v>
      </c>
      <c r="F31" s="3">
        <v>0</v>
      </c>
      <c r="G31" s="3">
        <v>0</v>
      </c>
      <c r="H31" s="3">
        <v>2.4934790999999999E-3</v>
      </c>
      <c r="I31" s="3">
        <v>7.7685164E-4</v>
      </c>
      <c r="J31" s="3">
        <v>-5.3632408999999999E-3</v>
      </c>
      <c r="L31" s="3">
        <f t="shared" si="0"/>
        <v>2.4585852478839176</v>
      </c>
      <c r="M31" s="3"/>
      <c r="N31" s="2">
        <f>IF('Modell einstellen'!$B$1="Voll",H31/0.35,H31/0.35*2)</f>
        <v>7.124226E-3</v>
      </c>
      <c r="O31" s="2">
        <f>IF('Modell einstellen'!$B$1="Voll",J31/0.35,J31/0.35*2)</f>
        <v>-1.5323545428571429E-2</v>
      </c>
      <c r="P31" s="3">
        <f t="shared" si="1"/>
        <v>0.46492021270198769</v>
      </c>
    </row>
    <row r="32" spans="1:16" x14ac:dyDescent="0.25">
      <c r="A32" s="3">
        <v>100000000000000</v>
      </c>
      <c r="B32" s="3">
        <v>-8.1300000000000001E-3</v>
      </c>
      <c r="C32" s="3">
        <v>4.4840000000000001E-3</v>
      </c>
      <c r="D32" s="3">
        <v>3.3040000000000001E-3</v>
      </c>
      <c r="E32" s="3">
        <v>0</v>
      </c>
      <c r="F32" s="3">
        <v>0</v>
      </c>
      <c r="G32" s="3">
        <v>0</v>
      </c>
      <c r="H32" s="3">
        <v>2.4939200000000002E-3</v>
      </c>
      <c r="I32" s="3">
        <v>7.7697381000000005E-4</v>
      </c>
      <c r="J32" s="3">
        <v>-5.3641028000000002E-3</v>
      </c>
      <c r="L32" s="3">
        <f t="shared" si="0"/>
        <v>2.4606537530266341</v>
      </c>
      <c r="M32" s="3"/>
      <c r="N32" s="2">
        <f>IF('Modell einstellen'!$B$1="Voll",H32/0.35,H32/0.35*2)</f>
        <v>7.1254857142857156E-3</v>
      </c>
      <c r="O32" s="2">
        <f>IF('Modell einstellen'!$B$1="Voll",J32/0.35,J32/0.35*2)</f>
        <v>-1.5326008000000002E-2</v>
      </c>
      <c r="P32" s="3">
        <f t="shared" si="1"/>
        <v>0.46492770421924057</v>
      </c>
    </row>
    <row r="33" spans="1:16" x14ac:dyDescent="0.25">
      <c r="A33" s="3">
        <v>1000000000000000</v>
      </c>
      <c r="B33" s="3">
        <v>-8.0730000000000003E-3</v>
      </c>
      <c r="C33" s="3">
        <v>4.4939999999999997E-3</v>
      </c>
      <c r="D33" s="3">
        <v>3.238E-3</v>
      </c>
      <c r="E33" s="3">
        <v>0</v>
      </c>
      <c r="F33" s="3">
        <v>0</v>
      </c>
      <c r="G33" s="3">
        <v>0</v>
      </c>
      <c r="H33" s="3">
        <v>2.4956897E-3</v>
      </c>
      <c r="I33" s="3">
        <v>7.7898642000000001E-4</v>
      </c>
      <c r="J33" s="3">
        <v>-5.3730197000000004E-3</v>
      </c>
      <c r="L33" s="3">
        <f t="shared" si="0"/>
        <v>2.4932056825200744</v>
      </c>
      <c r="M33" s="3"/>
      <c r="N33" s="2">
        <f>IF('Modell einstellen'!$B$1="Voll",H33/0.35,H33/0.35*2)</f>
        <v>7.1305420000000001E-3</v>
      </c>
      <c r="O33" s="2">
        <f>IF('Modell einstellen'!$B$1="Voll",J33/0.35,J33/0.35*2)</f>
        <v>-1.5351484857142859E-2</v>
      </c>
      <c r="P33" s="3">
        <f t="shared" si="1"/>
        <v>0.46448549220841306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2022-01-09T08:26:20Z</dcterms:modified>
</cp:coreProperties>
</file>