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E403" i="43"/>
  <c r="E405" i="43" s="1"/>
  <c r="F403" i="43"/>
  <c r="F415" i="43" s="1"/>
  <c r="G403" i="43"/>
  <c r="G410" i="43" s="1"/>
  <c r="H403" i="43"/>
  <c r="H434" i="43" s="1"/>
  <c r="B403" i="43"/>
  <c r="B405" i="43" s="1"/>
  <c r="C405" i="43"/>
  <c r="D405" i="43"/>
  <c r="D406" i="43"/>
  <c r="E406" i="43"/>
  <c r="C407" i="43"/>
  <c r="D407" i="43"/>
  <c r="C408" i="43"/>
  <c r="D408" i="43"/>
  <c r="E408" i="43"/>
  <c r="C409" i="43"/>
  <c r="D409" i="43"/>
  <c r="C410" i="43"/>
  <c r="D410" i="43"/>
  <c r="E410" i="43"/>
  <c r="F410" i="43"/>
  <c r="D411" i="43"/>
  <c r="E411" i="43"/>
  <c r="C412" i="43"/>
  <c r="D412" i="43"/>
  <c r="D413" i="43"/>
  <c r="E413" i="43"/>
  <c r="G413" i="43"/>
  <c r="C414" i="43"/>
  <c r="D414" i="43"/>
  <c r="C415" i="43"/>
  <c r="D415" i="43"/>
  <c r="E415" i="43"/>
  <c r="D416" i="43"/>
  <c r="E416" i="43"/>
  <c r="F416" i="43"/>
  <c r="G416" i="43"/>
  <c r="C417" i="43"/>
  <c r="D417" i="43"/>
  <c r="E417" i="43"/>
  <c r="C418" i="43"/>
  <c r="D418" i="43"/>
  <c r="E418" i="43"/>
  <c r="C419" i="43"/>
  <c r="D419" i="43"/>
  <c r="E419" i="43"/>
  <c r="F419" i="43"/>
  <c r="C420" i="43"/>
  <c r="D420" i="43"/>
  <c r="E420" i="43"/>
  <c r="F420" i="43"/>
  <c r="C421" i="43"/>
  <c r="D421" i="43"/>
  <c r="C422" i="43"/>
  <c r="D422" i="43"/>
  <c r="E422" i="43"/>
  <c r="C423" i="43"/>
  <c r="D423" i="43"/>
  <c r="E423" i="43"/>
  <c r="F423" i="43"/>
  <c r="C424" i="43"/>
  <c r="D424" i="43"/>
  <c r="E424" i="43"/>
  <c r="F424" i="43"/>
  <c r="C425" i="43"/>
  <c r="D425" i="43"/>
  <c r="E425" i="43"/>
  <c r="C426" i="43"/>
  <c r="D426" i="43"/>
  <c r="E426" i="43"/>
  <c r="C427" i="43"/>
  <c r="D427" i="43"/>
  <c r="E427" i="43"/>
  <c r="F427" i="43"/>
  <c r="C428" i="43"/>
  <c r="D428" i="43"/>
  <c r="C429" i="43"/>
  <c r="D429" i="43"/>
  <c r="E429" i="43"/>
  <c r="C430" i="43"/>
  <c r="D430" i="43"/>
  <c r="E430" i="43"/>
  <c r="F430" i="43"/>
  <c r="C431" i="43"/>
  <c r="D431" i="43"/>
  <c r="E431" i="43"/>
  <c r="F431" i="43"/>
  <c r="G431" i="43"/>
  <c r="C432" i="43"/>
  <c r="D432" i="43"/>
  <c r="C433" i="43"/>
  <c r="D433" i="43"/>
  <c r="E433" i="43"/>
  <c r="C434" i="43"/>
  <c r="D434" i="43"/>
  <c r="E434" i="43"/>
  <c r="F434" i="43"/>
  <c r="G434" i="43"/>
  <c r="C404" i="43"/>
  <c r="D404" i="43"/>
  <c r="E404" i="43"/>
  <c r="F404" i="43"/>
  <c r="B65" i="43"/>
  <c r="A65" i="43"/>
  <c r="A67" i="43"/>
  <c r="G428" i="43" l="1"/>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<sst xmlns="http://schemas.openxmlformats.org/spreadsheetml/2006/main" count="311" uniqueCount="164">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</sst>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65888312"/>
        <c:axId val="6658832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5888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3216"/>
        <c:crossesAt val="-8.0000000000000019E-3"/>
        <c:crossBetween val="midCat"/>
      </c:valAx>
      <c:valAx>
        <c:axId val="66588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8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65888704"/>
        <c:axId val="6658843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58887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4392"/>
        <c:crosses val="autoZero"/>
        <c:crossBetween val="midCat"/>
      </c:valAx>
      <c:valAx>
        <c:axId val="6658843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870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65889096"/>
        <c:axId val="5475986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658890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598640"/>
        <c:crosses val="autoZero"/>
        <c:crossBetween val="midCat"/>
        <c:majorUnit val="10000"/>
      </c:valAx>
      <c:valAx>
        <c:axId val="54759864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909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7599816"/>
        <c:axId val="5476006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599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600600"/>
        <c:crosses val="autoZero"/>
        <c:crossBetween val="midCat"/>
        <c:majorUnit val="10000"/>
      </c:valAx>
      <c:valAx>
        <c:axId val="54760060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59981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7604520"/>
        <c:axId val="4537672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6045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7224"/>
        <c:crosses val="autoZero"/>
        <c:crossBetween val="midCat"/>
        <c:majorUnit val="10000"/>
      </c:valAx>
      <c:valAx>
        <c:axId val="45376722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45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1.9664476045174102E-3</c:v>
                </c:pt>
                <c:pt idx="1">
                  <c:v>2.1353506869131759E-3</c:v>
                </c:pt>
                <c:pt idx="2">
                  <c:v>3.8457236683856833E-3</c:v>
                </c:pt>
                <c:pt idx="3">
                  <c:v>1.717830236026837E-2</c:v>
                </c:pt>
                <c:pt idx="4">
                  <c:v>4.6556313704110813E-2</c:v>
                </c:pt>
                <c:pt idx="5">
                  <c:v>6.7441201739115247E-2</c:v>
                </c:pt>
                <c:pt idx="6">
                  <c:v>8.8792391777203786E-2</c:v>
                </c:pt>
                <c:pt idx="7">
                  <c:v>0.11367731694796435</c:v>
                </c:pt>
                <c:pt idx="8">
                  <c:v>0.14135809282990558</c:v>
                </c:pt>
                <c:pt idx="9">
                  <c:v>0.17383926130692609</c:v>
                </c:pt>
                <c:pt idx="10">
                  <c:v>0.20751655167123539</c:v>
                </c:pt>
                <c:pt idx="11">
                  <c:v>0.22461223215800233</c:v>
                </c:pt>
                <c:pt idx="12">
                  <c:v>0.23486821495636021</c:v>
                </c:pt>
                <c:pt idx="13">
                  <c:v>0.2472784582553007</c:v>
                </c:pt>
                <c:pt idx="14">
                  <c:v>0.26433448743085525</c:v>
                </c:pt>
                <c:pt idx="15">
                  <c:v>0.28638680167575853</c:v>
                </c:pt>
                <c:pt idx="16">
                  <c:v>0.29615254140115993</c:v>
                </c:pt>
                <c:pt idx="17">
                  <c:v>0.30198284595913183</c:v>
                </c:pt>
                <c:pt idx="18">
                  <c:v>0.32653303460144767</c:v>
                </c:pt>
                <c:pt idx="19">
                  <c:v>0.34815536666711572</c:v>
                </c:pt>
                <c:pt idx="20">
                  <c:v>0.35414722469947851</c:v>
                </c:pt>
                <c:pt idx="21">
                  <c:v>0.33668889110851391</c:v>
                </c:pt>
                <c:pt idx="22">
                  <c:v>0.27592599345110036</c:v>
                </c:pt>
                <c:pt idx="23">
                  <c:v>0.16237545441806753</c:v>
                </c:pt>
                <c:pt idx="24">
                  <c:v>8.4631437760317504E-3</c:v>
                </c:pt>
                <c:pt idx="25">
                  <c:v>0.24587797645890874</c:v>
                </c:pt>
                <c:pt idx="26">
                  <c:v>0.46113635372057515</c:v>
                </c:pt>
                <c:pt idx="27">
                  <c:v>0.60829541812878996</c:v>
                </c:pt>
                <c:pt idx="28">
                  <c:v>0.69894932414073385</c:v>
                </c:pt>
                <c:pt idx="29">
                  <c:v>0.70502687741817094</c:v>
                </c:pt>
                <c:pt idx="30">
                  <c:v>0.64445706053272267</c:v>
                </c:pt>
              </c:numCache>
            </c:numRef>
          </c:yVal>
          <c:smooth val="1"/>
        </c:ser>
        <c:dLbls>
          <c:showLegendKey val="0"/>
          <c:showVal val="0"/>
          <c:showCatName val="0"/>
          <c:showSerName val="0"/>
          <c:showPercent val="0"/>
          <c:showBubbleSize val="0"/>
        </c:dLbls>
        <c:axId val="550963592"/>
        <c:axId val="548350120"/>
      </c:scatterChart>
      <c:valAx>
        <c:axId val="550963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120"/>
        <c:crossesAt val="-1.5000000000000005E-3"/>
        <c:crossBetween val="midCat"/>
      </c:valAx>
      <c:valAx>
        <c:axId val="54835012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9635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6184.5960882906511</c:v>
                </c:pt>
                <c:pt idx="1">
                  <c:v>6184.5960882671807</c:v>
                </c:pt>
                <c:pt idx="2">
                  <c:v>6184.5960880324828</c:v>
                </c:pt>
                <c:pt idx="3">
                  <c:v>6184.5960856855017</c:v>
                </c:pt>
                <c:pt idx="4">
                  <c:v>6184.5960622156927</c:v>
                </c:pt>
                <c:pt idx="5">
                  <c:v>6184.5958275179391</c:v>
                </c:pt>
                <c:pt idx="6">
                  <c:v>6184.5934805746647</c:v>
                </c:pt>
                <c:pt idx="7">
                  <c:v>6184.5700145678511</c:v>
                </c:pt>
                <c:pt idx="8">
                  <c:v>6184.3356961173486</c:v>
                </c:pt>
                <c:pt idx="9">
                  <c:v>6182.0257252299871</c:v>
                </c:pt>
                <c:pt idx="10">
                  <c:v>6161.5103066207803</c:v>
                </c:pt>
                <c:pt idx="11">
                  <c:v>6043.6699581334087</c:v>
                </c:pt>
                <c:pt idx="12">
                  <c:v>5895.1547968210689</c:v>
                </c:pt>
                <c:pt idx="13">
                  <c:v>5735.1652317790777</c:v>
                </c:pt>
                <c:pt idx="14">
                  <c:v>5542.7774383866627</c:v>
                </c:pt>
                <c:pt idx="15">
                  <c:v>5342.2522307728968</c:v>
                </c:pt>
                <c:pt idx="16">
                  <c:v>5103.4434839835858</c:v>
                </c:pt>
                <c:pt idx="17">
                  <c:v>4801.3989638713847</c:v>
                </c:pt>
                <c:pt idx="18">
                  <c:v>4459.9909186702807</c:v>
                </c:pt>
                <c:pt idx="19">
                  <c:v>4114.3358692860156</c:v>
                </c:pt>
                <c:pt idx="20">
                  <c:v>3767.0131511041454</c:v>
                </c:pt>
                <c:pt idx="21">
                  <c:v>3405.8836258688521</c:v>
                </c:pt>
                <c:pt idx="22">
                  <c:v>2966.1410025274977</c:v>
                </c:pt>
                <c:pt idx="23">
                  <c:v>2453.6596532740177</c:v>
                </c:pt>
                <c:pt idx="24">
                  <c:v>1873.1149301699609</c:v>
                </c:pt>
                <c:pt idx="25">
                  <c:v>1245.1453357057019</c:v>
                </c:pt>
                <c:pt idx="26">
                  <c:v>743.86973228774343</c:v>
                </c:pt>
                <c:pt idx="27">
                  <c:v>423.62547294868824</c:v>
                </c:pt>
                <c:pt idx="28">
                  <c:v>237.75636297315276</c:v>
                </c:pt>
                <c:pt idx="29">
                  <c:v>164.18832342104798</c:v>
                </c:pt>
                <c:pt idx="30">
                  <c:v>143.36030959638651</c:v>
                </c:pt>
              </c:numCache>
            </c:numRef>
          </c:yVal>
          <c:smooth val="1"/>
        </c:ser>
        <c:dLbls>
          <c:showLegendKey val="0"/>
          <c:showVal val="0"/>
          <c:showCatName val="0"/>
          <c:showSerName val="0"/>
          <c:showPercent val="0"/>
          <c:showBubbleSize val="0"/>
        </c:dLbls>
        <c:axId val="548352080"/>
        <c:axId val="548351688"/>
      </c:scatterChart>
      <c:valAx>
        <c:axId val="5483520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1688"/>
        <c:crosses val="autoZero"/>
        <c:crossBetween val="midCat"/>
      </c:valAx>
      <c:valAx>
        <c:axId val="5483516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208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7.39121326058996E-3</c:v>
                </c:pt>
                <c:pt idx="1">
                  <c:v>7.7774642025209059E-3</c:v>
                </c:pt>
                <c:pt idx="2">
                  <c:v>8.3540100298763499E-3</c:v>
                </c:pt>
                <c:pt idx="3">
                  <c:v>8.356544450423109E-3</c:v>
                </c:pt>
                <c:pt idx="4">
                  <c:v>8.3560496827379659E-3</c:v>
                </c:pt>
                <c:pt idx="5">
                  <c:v>8.3558977183980851E-3</c:v>
                </c:pt>
                <c:pt idx="6">
                  <c:v>8.355844707782667E-3</c:v>
                </c:pt>
                <c:pt idx="7">
                  <c:v>8.3558023012069663E-3</c:v>
                </c:pt>
                <c:pt idx="8">
                  <c:v>8.3557917198759015E-3</c:v>
                </c:pt>
                <c:pt idx="9">
                  <c:v>8.3555622146409252E-3</c:v>
                </c:pt>
                <c:pt idx="10">
                  <c:v>8.3533095709566654E-3</c:v>
                </c:pt>
                <c:pt idx="11">
                  <c:v>8.3310057800709963E-3</c:v>
                </c:pt>
                <c:pt idx="12">
                  <c:v>8.1095547114077536E-3</c:v>
                </c:pt>
                <c:pt idx="13">
                  <c:v>5.990973606898555E-3</c:v>
                </c:pt>
                <c:pt idx="14">
                  <c:v>9.6181730476837621E-3</c:v>
                </c:pt>
                <c:pt idx="15">
                  <c:v>3.7817006594510705E-2</c:v>
                </c:pt>
                <c:pt idx="16">
                  <c:v>5.6363823720921226E-2</c:v>
                </c:pt>
                <c:pt idx="17">
                  <c:v>6.3702212358875202E-2</c:v>
                </c:pt>
                <c:pt idx="18">
                  <c:v>5.9528614575128078E-2</c:v>
                </c:pt>
                <c:pt idx="19">
                  <c:v>6.1117649352724852E-2</c:v>
                </c:pt>
                <c:pt idx="20">
                  <c:v>6.6802455696749682E-2</c:v>
                </c:pt>
                <c:pt idx="21">
                  <c:v>0.10248244839151849</c:v>
                </c:pt>
                <c:pt idx="22">
                  <c:v>0.15280328133903054</c:v>
                </c:pt>
                <c:pt idx="23">
                  <c:v>0.18259638011193022</c:v>
                </c:pt>
                <c:pt idx="24">
                  <c:v>0.18871664734540775</c:v>
                </c:pt>
                <c:pt idx="25">
                  <c:v>0.1847541717409211</c:v>
                </c:pt>
                <c:pt idx="26">
                  <c:v>0.16989786755445521</c:v>
                </c:pt>
                <c:pt idx="27">
                  <c:v>0.12765990669233343</c:v>
                </c:pt>
                <c:pt idx="28">
                  <c:v>5.941555355452463E-2</c:v>
                </c:pt>
                <c:pt idx="29">
                  <c:v>6.6670010930905174E-2</c:v>
                </c:pt>
                <c:pt idx="30">
                  <c:v>0.23252357078557387</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1.9664476045174102E-3</c:v>
                </c:pt>
                <c:pt idx="1">
                  <c:v>2.135350686912734E-3</c:v>
                </c:pt>
                <c:pt idx="2">
                  <c:v>3.8457236683800736E-3</c:v>
                </c:pt>
                <c:pt idx="3">
                  <c:v>1.7178302360210781E-2</c:v>
                </c:pt>
                <c:pt idx="4">
                  <c:v>4.6556313703518128E-2</c:v>
                </c:pt>
                <c:pt idx="5">
                  <c:v>6.7441201733070735E-2</c:v>
                </c:pt>
                <c:pt idx="6">
                  <c:v>8.8792391715551214E-2</c:v>
                </c:pt>
                <c:pt idx="7">
                  <c:v>0.11367731631751289</c:v>
                </c:pt>
                <c:pt idx="8">
                  <c:v>0.14135808638552569</c:v>
                </c:pt>
                <c:pt idx="9">
                  <c:v>0.17383919668976461</c:v>
                </c:pt>
                <c:pt idx="10">
                  <c:v>0.20751600550070576</c:v>
                </c:pt>
                <c:pt idx="11">
                  <c:v>0.22460995883891963</c:v>
                </c:pt>
                <c:pt idx="12">
                  <c:v>0.23486648616247308</c:v>
                </c:pt>
                <c:pt idx="13">
                  <c:v>0.24727588132513997</c:v>
                </c:pt>
                <c:pt idx="14">
                  <c:v>0.2643318550737655</c:v>
                </c:pt>
                <c:pt idx="15">
                  <c:v>0.28638385031998048</c:v>
                </c:pt>
                <c:pt idx="16">
                  <c:v>0.29614857169369935</c:v>
                </c:pt>
                <c:pt idx="17">
                  <c:v>0.30197797395634285</c:v>
                </c:pt>
                <c:pt idx="18">
                  <c:v>0.32652768159232964</c:v>
                </c:pt>
                <c:pt idx="19">
                  <c:v>0.34814971076471979</c:v>
                </c:pt>
                <c:pt idx="20">
                  <c:v>0.35414065336094847</c:v>
                </c:pt>
                <c:pt idx="21">
                  <c:v>0.33668208349396367</c:v>
                </c:pt>
                <c:pt idx="22">
                  <c:v>0.27591229976792153</c:v>
                </c:pt>
                <c:pt idx="23">
                  <c:v>0.16235896240009526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1.5912231047664597E-2</c:v>
                </c:pt>
                <c:pt idx="1">
                  <c:v>5.1228764195774448E-2</c:v>
                </c:pt>
                <c:pt idx="2">
                  <c:v>7.2475612182057614E-2</c:v>
                </c:pt>
                <c:pt idx="3">
                  <c:v>9.4104619058495459E-2</c:v>
                </c:pt>
                <c:pt idx="4">
                  <c:v>0.11844493652723824</c:v>
                </c:pt>
                <c:pt idx="5">
                  <c:v>0.1404018953612321</c:v>
                </c:pt>
                <c:pt idx="6">
                  <c:v>0.14502480866527243</c:v>
                </c:pt>
                <c:pt idx="7">
                  <c:v>0.15461154822249495</c:v>
                </c:pt>
                <c:pt idx="8">
                  <c:v>0.15798528426754729</c:v>
                </c:pt>
                <c:pt idx="9">
                  <c:v>0.15670226306591029</c:v>
                </c:pt>
                <c:pt idx="10">
                  <c:v>0.15675759654205809</c:v>
                </c:pt>
                <c:pt idx="11">
                  <c:v>0.15542328568494743</c:v>
                </c:pt>
                <c:pt idx="12">
                  <c:v>0.14329956015082809</c:v>
                </c:pt>
                <c:pt idx="13">
                  <c:v>0.11397273164371979</c:v>
                </c:pt>
                <c:pt idx="14">
                  <c:v>7.4989067102704171E-2</c:v>
                </c:pt>
                <c:pt idx="15">
                  <c:v>3.1887387122026468E-2</c:v>
                </c:pt>
                <c:pt idx="16">
                  <c:v>7.4500153507053917E-3</c:v>
                </c:pt>
                <c:pt idx="17">
                  <c:v>7.4510144789333904E-2</c:v>
                </c:pt>
                <c:pt idx="18">
                  <c:v>0.16375787745439224</c:v>
                </c:pt>
                <c:pt idx="19">
                  <c:v>0.30574661896883576</c:v>
                </c:pt>
                <c:pt idx="20">
                  <c:v>0.50653923494647868</c:v>
                </c:pt>
                <c:pt idx="21">
                  <c:v>0.66688302089425389</c:v>
                </c:pt>
                <c:pt idx="22">
                  <c:v>0.78561829424949658</c:v>
                </c:pt>
                <c:pt idx="23">
                  <c:v>0.84952450206953445</c:v>
                </c:pt>
                <c:pt idx="24">
                  <c:v>0.85493545876894661</c:v>
                </c:pt>
                <c:pt idx="25">
                  <c:v>0.82209969440976527</c:v>
                </c:pt>
                <c:pt idx="26">
                  <c:v>0.82972713886573679</c:v>
                </c:pt>
                <c:pt idx="27">
                  <c:v>0.79585987925627</c:v>
                </c:pt>
                <c:pt idx="28">
                  <c:v>0.74617960824641072</c:v>
                </c:pt>
                <c:pt idx="29">
                  <c:v>0.71107163061402767</c:v>
                </c:pt>
                <c:pt idx="30">
                  <c:v>0.68970230410903099</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0.34724338842587704</c:v>
                </c:pt>
                <c:pt idx="1">
                  <c:v>0.35324706305084086</c:v>
                </c:pt>
                <c:pt idx="2">
                  <c:v>0.32425816244461558</c:v>
                </c:pt>
                <c:pt idx="3">
                  <c:v>0.2883429534217255</c:v>
                </c:pt>
                <c:pt idx="4">
                  <c:v>0.24997645780277242</c:v>
                </c:pt>
                <c:pt idx="5">
                  <c:v>0.21232868069234079</c:v>
                </c:pt>
                <c:pt idx="6">
                  <c:v>0.17480368033189142</c:v>
                </c:pt>
                <c:pt idx="7">
                  <c:v>8.145893130927942E-2</c:v>
                </c:pt>
                <c:pt idx="8">
                  <c:v>3.7094882141669443E-2</c:v>
                </c:pt>
                <c:pt idx="9">
                  <c:v>0.19967933416043523</c:v>
                </c:pt>
                <c:pt idx="10">
                  <c:v>0.399439444372785</c:v>
                </c:pt>
                <c:pt idx="11">
                  <c:v>0.52687416168498613</c:v>
                </c:pt>
                <c:pt idx="12">
                  <c:v>0.63431812709260038</c:v>
                </c:pt>
                <c:pt idx="13">
                  <c:v>0.67678809503442883</c:v>
                </c:pt>
                <c:pt idx="14">
                  <c:v>0.64830423967569673</c:v>
                </c:pt>
                <c:pt idx="15">
                  <c:v>0.63428737276656111</c:v>
                </c:pt>
                <c:pt idx="16">
                  <c:v>0.73663135982567651</c:v>
                </c:pt>
                <c:pt idx="17">
                  <c:v>0.71982400338343233</c:v>
                </c:pt>
                <c:pt idx="18">
                  <c:v>0.70137303061805401</c:v>
                </c:pt>
                <c:pt idx="19">
                  <c:v>0.68742558743641158</c:v>
                </c:pt>
                <c:pt idx="20">
                  <c:v>0.66257386770641391</c:v>
                </c:pt>
                <c:pt idx="21">
                  <c:v>0.64984682708227159</c:v>
                </c:pt>
                <c:pt idx="22">
                  <c:v>0.64490462441112029</c:v>
                </c:pt>
                <c:pt idx="23">
                  <c:v>0.6418194286615182</c:v>
                </c:pt>
                <c:pt idx="24">
                  <c:v>0.63951550190363515</c:v>
                </c:pt>
                <c:pt idx="25">
                  <c:v>0.6387628476887609</c:v>
                </c:pt>
                <c:pt idx="26">
                  <c:v>0.63669749058613512</c:v>
                </c:pt>
                <c:pt idx="27">
                  <c:v>0.63648894970189707</c:v>
                </c:pt>
                <c:pt idx="28">
                  <c:v>0.63456064770566034</c:v>
                </c:pt>
                <c:pt idx="29">
                  <c:v>0.63450005061321357</c:v>
                </c:pt>
                <c:pt idx="30">
                  <c:v>0.63400298514795217</c:v>
                </c:pt>
              </c:numCache>
            </c:numRef>
          </c:yVal>
          <c:smooth val="1"/>
        </c:ser>
        <c:dLbls>
          <c:showLegendKey val="0"/>
          <c:showVal val="0"/>
          <c:showCatName val="0"/>
          <c:showSerName val="0"/>
          <c:showPercent val="0"/>
          <c:showBubbleSize val="0"/>
        </c:dLbls>
        <c:axId val="548349728"/>
        <c:axId val="548350512"/>
      </c:scatterChart>
      <c:valAx>
        <c:axId val="548349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512"/>
        <c:crossesAt val="1.0000000000000005E-9"/>
        <c:crossBetween val="midCat"/>
      </c:valAx>
      <c:valAx>
        <c:axId val="548350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97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548349336"/>
        <c:axId val="548350904"/>
      </c:scatterChart>
      <c:valAx>
        <c:axId val="548349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904"/>
        <c:crossesAt val="-100"/>
        <c:crossBetween val="midCat"/>
      </c:valAx>
      <c:valAx>
        <c:axId val="548350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93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51078768"/>
        <c:axId val="451079944"/>
      </c:scatterChart>
      <c:valAx>
        <c:axId val="4510787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944"/>
        <c:crosses val="autoZero"/>
        <c:crossBetween val="midCat"/>
      </c:valAx>
      <c:valAx>
        <c:axId val="451079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876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51079552"/>
        <c:axId val="451077984"/>
      </c:scatterChart>
      <c:valAx>
        <c:axId val="4510795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7984"/>
        <c:crosses val="autoZero"/>
        <c:crossBetween val="midCat"/>
      </c:valAx>
      <c:valAx>
        <c:axId val="451077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55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51077592"/>
        <c:axId val="451079160"/>
      </c:scatterChart>
      <c:valAx>
        <c:axId val="451077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160"/>
        <c:crosses val="autoZero"/>
        <c:crossBetween val="midCat"/>
      </c:valAx>
      <c:valAx>
        <c:axId val="45107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759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-47.415745212709396</c:v>
                </c:pt>
                <c:pt idx="1">
                  <c:v>-47.475947395315245</c:v>
                </c:pt>
                <c:pt idx="2">
                  <c:v>-47.362952852895148</c:v>
                </c:pt>
                <c:pt idx="3">
                  <c:v>-47.113737422063565</c:v>
                </c:pt>
                <c:pt idx="4">
                  <c:v>-46.761183583043703</c:v>
                </c:pt>
                <c:pt idx="5">
                  <c:v>-46.334353342722551</c:v>
                </c:pt>
                <c:pt idx="6">
                  <c:v>-45.858749765387756</c:v>
                </c:pt>
                <c:pt idx="7">
                  <c:v>-45.356567428183752</c:v>
                </c:pt>
                <c:pt idx="8">
                  <c:v>-44.846932075239607</c:v>
                </c:pt>
                <c:pt idx="9">
                  <c:v>-44.346129741353366</c:v>
                </c:pt>
                <c:pt idx="10">
                  <c:v>-43.867825613032181</c:v>
                </c:pt>
                <c:pt idx="11">
                  <c:v>-43.423272891616307</c:v>
                </c:pt>
                <c:pt idx="12">
                  <c:v>-43.021511920134046</c:v>
                </c:pt>
                <c:pt idx="13">
                  <c:v>-42.669559832462085</c:v>
                </c:pt>
                <c:pt idx="14">
                  <c:v>-42.372590980283519</c:v>
                </c:pt>
                <c:pt idx="15">
                  <c:v>-42.134108390262938</c:v>
                </c:pt>
                <c:pt idx="16">
                  <c:v>-41.956106500779029</c:v>
                </c:pt>
                <c:pt idx="17">
                  <c:v>-41.839225424479444</c:v>
                </c:pt>
                <c:pt idx="18">
                  <c:v>-41.78289697984281</c:v>
                </c:pt>
                <c:pt idx="19">
                  <c:v>-41.785482731859574</c:v>
                </c:pt>
                <c:pt idx="20">
                  <c:v>-41.844404278864836</c:v>
                </c:pt>
                <c:pt idx="21">
                  <c:v>-41.956266019476502</c:v>
                </c:pt>
                <c:pt idx="22">
                  <c:v>-42.116970630520505</c:v>
                </c:pt>
                <c:pt idx="23">
                  <c:v>-42.32182748374322</c:v>
                </c:pt>
                <c:pt idx="24">
                  <c:v>-42.565654226036578</c:v>
                </c:pt>
                <c:pt idx="25">
                  <c:v>-42.842871744823206</c:v>
                </c:pt>
                <c:pt idx="26">
                  <c:v>-43.147592737173014</c:v>
                </c:pt>
                <c:pt idx="27">
                  <c:v>-43.473704098144609</c:v>
                </c:pt>
                <c:pt idx="28">
                  <c:v>-43.814943340768146</c:v>
                </c:pt>
                <c:pt idx="29">
                  <c:v>-44.164969257010583</c:v>
                </c:pt>
                <c:pt idx="30">
                  <c:v>-44.517427025984112</c:v>
                </c:pt>
                <c:pt idx="31">
                  <c:v>-44.866007972585635</c:v>
                </c:pt>
                <c:pt idx="32">
                  <c:v>-45.204504176674618</c:v>
                </c:pt>
                <c:pt idx="33">
                  <c:v>-45.526858129821797</c:v>
                </c:pt>
                <c:pt idx="34">
                  <c:v>-45.827207633582987</c:v>
                </c:pt>
                <c:pt idx="35">
                  <c:v>-46.099926130176542</c:v>
                </c:pt>
                <c:pt idx="36">
                  <c:v>-46.339658653364175</c:v>
                </c:pt>
                <c:pt idx="37">
                  <c:v>-46.541353584259596</c:v>
                </c:pt>
                <c:pt idx="38">
                  <c:v>-46.700290393711498</c:v>
                </c:pt>
                <c:pt idx="39">
                  <c:v>-46.81210354983056</c:v>
                </c:pt>
                <c:pt idx="40">
                  <c:v>-46.872802766153285</c:v>
                </c:pt>
                <c:pt idx="41">
                  <c:v>-46.878789762858041</c:v>
                </c:pt>
                <c:pt idx="42">
                  <c:v>-46.826871710372565</c:v>
                </c:pt>
                <c:pt idx="43">
                  <c:v>-46.714271521633989</c:v>
                </c:pt>
                <c:pt idx="44">
                  <c:v>-46.538635156186757</c:v>
                </c:pt>
                <c:pt idx="45">
                  <c:v>-46.298036096225204</c:v>
                </c:pt>
                <c:pt idx="46">
                  <c:v>-45.990977151612526</c:v>
                </c:pt>
                <c:pt idx="47">
                  <c:v>-45.616389747828755</c:v>
                </c:pt>
                <c:pt idx="48">
                  <c:v>-45.173630847725271</c:v>
                </c:pt>
                <c:pt idx="49">
                  <c:v>-44.662477654884718</c:v>
                </c:pt>
                <c:pt idx="50">
                  <c:v>-44.083120243309644</c:v>
                </c:pt>
                <c:pt idx="51">
                  <c:v>-43.436152255085027</c:v>
                </c:pt>
                <c:pt idx="52">
                  <c:v>-42.722559804583319</c:v>
                </c:pt>
                <c:pt idx="53">
                  <c:v>-41.943708724704052</c:v>
                </c:pt>
                <c:pt idx="54">
                  <c:v>-41.101330287561986</c:v>
                </c:pt>
                <c:pt idx="55">
                  <c:v>-40.197505528961855</c:v>
                </c:pt>
                <c:pt idx="56">
                  <c:v>-39.234648302920093</c:v>
                </c:pt>
                <c:pt idx="57">
                  <c:v>-38.215487189417203</c:v>
                </c:pt>
                <c:pt idx="58">
                  <c:v>-37.143046375487224</c:v>
                </c:pt>
                <c:pt idx="59">
                  <c:v>-36.020625626673976</c:v>
                </c:pt>
                <c:pt idx="60">
                  <c:v>-34.851779462806583</c:v>
                </c:pt>
                <c:pt idx="61">
                  <c:v>-33.640295648969804</c:v>
                </c:pt>
                <c:pt idx="62">
                  <c:v>-32.390173109467725</c:v>
                </c:pt>
                <c:pt idx="63">
                  <c:v>-31.105599369502425</c:v>
                </c:pt>
                <c:pt idx="64">
                  <c:v>-29.790927626211872</c:v>
                </c:pt>
                <c:pt idx="65">
                  <c:v>-28.45065354763501</c:v>
                </c:pt>
                <c:pt idx="66">
                  <c:v>-27.089391895094</c:v>
                </c:pt>
                <c:pt idx="67">
                  <c:v>-25.711853061407652</c:v>
                </c:pt>
                <c:pt idx="68">
                  <c:v>-24.322819614272092</c:v>
                </c:pt>
                <c:pt idx="69">
                  <c:v>-22.927122931068453</c:v>
                </c:pt>
                <c:pt idx="70">
                  <c:v>-21.529620008279867</c:v>
                </c:pt>
                <c:pt idx="71">
                  <c:v>-20.135170525623419</c:v>
                </c:pt>
                <c:pt idx="72">
                  <c:v>-18.748614241925264</c:v>
                </c:pt>
                <c:pt idx="73">
                  <c:v>-17.374748796690639</c:v>
                </c:pt>
                <c:pt idx="74">
                  <c:v>-16.018307988243023</c:v>
                </c:pt>
                <c:pt idx="75">
                  <c:v>-14.683940596229945</c:v>
                </c:pt>
                <c:pt idx="76">
                  <c:v>-13.376189813215868</c:v>
                </c:pt>
                <c:pt idx="77">
                  <c:v>-12.099473347005583</c:v>
                </c:pt>
                <c:pt idx="78">
                  <c:v>-10.858064252264485</c:v>
                </c:pt>
                <c:pt idx="79">
                  <c:v>-9.6560725469251789</c:v>
                </c:pt>
                <c:pt idx="80">
                  <c:v>-8.4974276657927934</c:v>
                </c:pt>
                <c:pt idx="81">
                  <c:v>-7.3858618006844159</c:v>
                </c:pt>
                <c:pt idx="82">
                  <c:v>-6.3248941733609643</c:v>
                </c:pt>
                <c:pt idx="83">
                  <c:v>-5.3178162844329604</c:v>
                </c:pt>
                <c:pt idx="84">
                  <c:v>-4.3676781783445122</c:v>
                </c:pt>
                <c:pt idx="85">
                  <c:v>-3.4772757614628818</c:v>
                </c:pt>
                <c:pt idx="86">
                  <c:v>-2.6491392072239903</c:v>
                </c:pt>
                <c:pt idx="87">
                  <c:v>-1.8855224792071983</c:v>
                </c:pt>
                <c:pt idx="88">
                  <c:v>-1.1883939999357116</c:v>
                </c:pt>
                <c:pt idx="89">
                  <c:v>-0.55942849012191875</c:v>
                </c:pt>
                <c:pt idx="90">
                  <c:v>0</c:v>
                </c:pt>
                <c:pt idx="91">
                  <c:v>0.48882384868888967</c:v>
                </c:pt>
                <c:pt idx="92">
                  <c:v>0.90628639457055582</c:v>
                </c:pt>
                <c:pt idx="93">
                  <c:v>1.2519452299595217</c:v>
                </c:pt>
                <c:pt idx="94">
                  <c:v>1.5256742462943162</c:v>
                </c:pt>
                <c:pt idx="95">
                  <c:v>1.7276644254290132</c:v>
                </c:pt>
                <c:pt idx="96">
                  <c:v>1.8584233736007487</c:v>
                </c:pt>
                <c:pt idx="97">
                  <c:v>1.9187735979699458</c:v>
                </c:pt>
                <c:pt idx="98">
                  <c:v>1.9098495287069925</c:v>
                </c:pt>
                <c:pt idx="99">
                  <c:v>1.8330932926761228</c:v>
                </c:pt>
                <c:pt idx="100">
                  <c:v>1.6902492478442541</c:v>
                </c:pt>
                <c:pt idx="101">
                  <c:v>1.4833572906195498</c:v>
                </c:pt>
                <c:pt idx="102">
                  <c:v>1.2147449514014743</c:v>
                </c:pt>
                <c:pt idx="103">
                  <c:v>0.8870182967011323</c:v>
                </c:pt>
                <c:pt idx="104">
                  <c:v>0.50305165926766104</c:v>
                </c:pt>
                <c:pt idx="105">
                  <c:v>6.5976220733492144E-2</c:v>
                </c:pt>
                <c:pt idx="106">
                  <c:v>-0.42083252563172369</c:v>
                </c:pt>
                <c:pt idx="107">
                  <c:v>-0.95376840139172059</c:v>
                </c:pt>
                <c:pt idx="108">
                  <c:v>-1.5290092248949285</c:v>
                </c:pt>
                <c:pt idx="109">
                  <c:v>-2.14253251188565</c:v>
                </c:pt>
                <c:pt idx="110">
                  <c:v>-2.7901321548772979</c:v>
                </c:pt>
                <c:pt idx="111">
                  <c:v>-3.4674360383128278</c:v>
                </c:pt>
                <c:pt idx="112">
                  <c:v>-4.1699245434605219</c:v>
                </c:pt>
                <c:pt idx="113">
                  <c:v>-4.8929498939162546</c:v>
                </c:pt>
                <c:pt idx="114">
                  <c:v>-5.6317562895064128</c:v>
                </c:pt>
                <c:pt idx="115">
                  <c:v>-6.3815007733085523</c:v>
                </c:pt>
                <c:pt idx="116">
                  <c:v>-7.137274773429934</c:v>
                </c:pt>
                <c:pt idx="117">
                  <c:v>-7.8941262581070299</c:v>
                </c:pt>
                <c:pt idx="118">
                  <c:v>-8.6470824396121451</c:v>
                </c:pt>
                <c:pt idx="119">
                  <c:v>-9.3911729593762097</c:v>
                </c:pt>
                <c:pt idx="120">
                  <c:v>-10.121453483659824</c:v>
                </c:pt>
                <c:pt idx="121">
                  <c:v>-10.833029636027705</c:v>
                </c:pt>
                <c:pt idx="122">
                  <c:v>-11.521081189804487</c:v>
                </c:pt>
                <c:pt idx="123">
                  <c:v>-12.180886440613079</c:v>
                </c:pt>
                <c:pt idx="124">
                  <c:v>-12.807846676019533</c:v>
                </c:pt>
                <c:pt idx="125">
                  <c:v>-13.397510656231505</c:v>
                </c:pt>
                <c:pt idx="126">
                  <c:v>-13.945599016720379</c:v>
                </c:pt>
                <c:pt idx="127">
                  <c:v>-14.448028500559998</c:v>
                </c:pt>
                <c:pt idx="128">
                  <c:v>-14.900935925198233</c:v>
                </c:pt>
                <c:pt idx="129">
                  <c:v>-15.30070178530003</c:v>
                </c:pt>
                <c:pt idx="130">
                  <c:v>-15.643973390224449</c:v>
                </c:pt>
                <c:pt idx="131">
                  <c:v>-15.927687431620239</c:v>
                </c:pt>
                <c:pt idx="132">
                  <c:v>-16.149091873548201</c:v>
                </c:pt>
                <c:pt idx="133">
                  <c:v>-16.305767054461292</c:v>
                </c:pt>
                <c:pt idx="134">
                  <c:v>-16.395645887296343</c:v>
                </c:pt>
                <c:pt idx="135">
                  <c:v>-16.417033040854463</c:v>
                </c:pt>
                <c:pt idx="136">
                  <c:v>-16.368622982570191</c:v>
                </c:pt>
                <c:pt idx="137">
                  <c:v>-16.249516759691964</c:v>
                </c:pt>
                <c:pt idx="138">
                  <c:v>-16.059237392820414</c:v>
                </c:pt>
                <c:pt idx="139">
                  <c:v>-15.797743752672861</c:v>
                </c:pt>
                <c:pt idx="140">
                  <c:v>-15.465442787866511</c:v>
                </c:pt>
                <c:pt idx="141">
                  <c:v>-15.063199968434597</c:v>
                </c:pt>
                <c:pt idx="142">
                  <c:v>-14.59234780671412</c:v>
                </c:pt>
                <c:pt idx="143">
                  <c:v>-14.05469231416558</c:v>
                </c:pt>
                <c:pt idx="144">
                  <c:v>-13.45251724960878</c:v>
                </c:pt>
                <c:pt idx="145">
                  <c:v>-12.788586011281492</c:v>
                </c:pt>
                <c:pt idx="146">
                  <c:v>-12.066141022051283</c:v>
                </c:pt>
                <c:pt idx="147">
                  <c:v>-11.288900454032595</c:v>
                </c:pt>
                <c:pt idx="148">
                  <c:v>-10.461052135785714</c:v>
                </c:pt>
                <c:pt idx="149">
                  <c:v>-9.5872444821962706</c:v>
                </c:pt>
                <c:pt idx="150">
                  <c:v>-8.672574284056596</c:v>
                </c:pt>
                <c:pt idx="151">
                  <c:v>-7.7225711912948327</c:v>
                </c:pt>
                <c:pt idx="152">
                  <c:v>-6.7431787207186282</c:v>
                </c:pt>
                <c:pt idx="153">
                  <c:v>-5.7407316160646076</c:v>
                </c:pt>
                <c:pt idx="154">
                  <c:v>-4.7219293850679485</c:v>
                </c:pt>
                <c:pt idx="155">
                  <c:v>-3.6938058351878702</c:v>
                </c:pt>
                <c:pt idx="156">
                  <c:v>-2.6636944265498101</c:v>
                </c:pt>
                <c:pt idx="157">
                  <c:v>-1.6391892575863416</c:v>
                </c:pt>
                <c:pt idx="158">
                  <c:v>-0.62810149578346142</c:v>
                </c:pt>
                <c:pt idx="159">
                  <c:v>0.36158893714010532</c:v>
                </c:pt>
                <c:pt idx="160">
                  <c:v>1.3217866193679058</c:v>
                </c:pt>
                <c:pt idx="161">
                  <c:v>2.2443390192599253</c:v>
                </c:pt>
                <c:pt idx="162">
                  <c:v>3.1211002216700976</c:v>
                </c:pt>
                <c:pt idx="163">
                  <c:v>3.9440001932839337</c:v>
                </c:pt>
                <c:pt idx="164">
                  <c:v>4.705119793034207</c:v>
                </c:pt>
                <c:pt idx="165">
                  <c:v>5.396771736727132</c:v>
                </c:pt>
                <c:pt idx="166">
                  <c:v>6.011587728090376</c:v>
                </c:pt>
                <c:pt idx="167">
                  <c:v>6.542611971528288</c:v>
                </c:pt>
                <c:pt idx="168">
                  <c:v>6.9834012849501619</c:v>
                </c:pt>
                <c:pt idx="169">
                  <c:v>7.3281320341133949</c:v>
                </c:pt>
                <c:pt idx="170">
                  <c:v>7.571714112997185</c:v>
                </c:pt>
                <c:pt idx="171">
                  <c:v>7.7099121978047265</c:v>
                </c:pt>
                <c:pt idx="172">
                  <c:v>7.7394745052654628</c:v>
                </c:pt>
                <c:pt idx="173">
                  <c:v>7.6582692889858492</c:v>
                </c:pt>
                <c:pt idx="174">
                  <c:v>7.4654293106760861</c:v>
                </c:pt>
                <c:pt idx="175">
                  <c:v>7.161504526154971</c:v>
                </c:pt>
                <c:pt idx="176">
                  <c:v>6.7486232291150543</c:v>
                </c:pt>
                <c:pt idx="177">
                  <c:v>6.230661898703346</c:v>
                </c:pt>
                <c:pt idx="178">
                  <c:v>5.6134240000534419</c:v>
                </c:pt>
                <c:pt idx="179">
                  <c:v>4.9048279899793101</c:v>
                </c:pt>
                <c:pt idx="180">
                  <c:v>4.115104783121069</c:v>
                </c:pt>
                <c:pt idx="181">
                  <c:v>3.2570049369044227</c:v>
                </c:pt>
                <c:pt idx="182">
                  <c:v>2.3460158167612235</c:v>
                </c:pt>
                <c:pt idx="183">
                  <c:v>1.4005890061264381</c:v>
                </c:pt>
                <c:pt idx="184">
                  <c:v>0.44237822880808153</c:v>
                </c:pt>
                <c:pt idx="185">
                  <c:v>-0.5035119455919812</c:v>
                </c:pt>
                <c:pt idx="186">
                  <c:v>-1.4082663394622159</c:v>
                </c:pt>
                <c:pt idx="187">
                  <c:v>-2.2390880713381875</c:v>
                </c:pt>
                <c:pt idx="188">
                  <c:v>-2.9589158465313403</c:v>
                </c:pt>
                <c:pt idx="189">
                  <c:v>-3.526129351244208</c:v>
                </c:pt>
                <c:pt idx="190">
                  <c:v>-3.8942424641161324</c:v>
                </c:pt>
                <c:pt idx="191">
                  <c:v>-4.0115839960662925</c:v>
                </c:pt>
                <c:pt idx="192">
                  <c:v>-3.8209656662148745</c:v>
                </c:pt>
                <c:pt idx="193">
                  <c:v>-3.2593370186016273</c:v>
                </c:pt>
                <c:pt idx="194">
                  <c:v>-2.2574269813246701</c:v>
                </c:pt>
                <c:pt idx="195">
                  <c:v>-0.73937176666936466</c:v>
                </c:pt>
                <c:pt idx="196">
                  <c:v>1.3776711923060247</c:v>
                </c:pt>
                <c:pt idx="197">
                  <c:v>4.1839235763193301</c:v>
                </c:pt>
                <c:pt idx="198">
                  <c:v>7.7774010962193643</c:v>
                </c:pt>
                <c:pt idx="199">
                  <c:v>12.26434330490747</c:v>
                </c:pt>
                <c:pt idx="200">
                  <c:v>17.759658621644348</c:v>
                </c:pt>
              </c:numCache>
            </c:numRef>
          </c:yVal>
          <c:smooth val="1"/>
        </c:ser>
        <c:dLbls>
          <c:showLegendKey val="0"/>
          <c:showVal val="0"/>
          <c:showCatName val="0"/>
          <c:showSerName val="0"/>
          <c:showPercent val="0"/>
          <c:showBubbleSize val="0"/>
        </c:dLbls>
        <c:axId val="659054448"/>
        <c:axId val="659056800"/>
      </c:scatterChart>
      <c:valAx>
        <c:axId val="65905444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056800"/>
        <c:crossesAt val="-1000"/>
        <c:crossBetween val="midCat"/>
      </c:valAx>
      <c:valAx>
        <c:axId val="65905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05444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0.52427832349594095</v>
      </c>
      <c r="D59" s="55">
        <v>1</v>
      </c>
    </row>
    <row r="60" spans="1:4" s="11" customFormat="1" x14ac:dyDescent="0.25">
      <c r="A60" s="54">
        <v>2</v>
      </c>
      <c r="B60" s="56">
        <f>'Shiftfunktion bestimmen'!N2</f>
        <v>-3.5315284282063972E-2</v>
      </c>
      <c r="D60" s="55">
        <v>2</v>
      </c>
    </row>
    <row r="61" spans="1:4" s="11" customFormat="1" x14ac:dyDescent="0.25">
      <c r="A61" s="54">
        <v>3</v>
      </c>
      <c r="B61" s="56">
        <f>'Shiftfunktion bestimmen'!N3</f>
        <v>-1.5218672356373552E-4</v>
      </c>
      <c r="D61" s="55">
        <v>3</v>
      </c>
    </row>
    <row r="62" spans="1:4" s="11" customFormat="1" x14ac:dyDescent="0.25">
      <c r="A62" s="54">
        <v>4</v>
      </c>
      <c r="B62" s="56">
        <f>'Shiftfunktion bestimmen'!N4</f>
        <v>1.2965286752905169E-5</v>
      </c>
      <c r="D62" s="55">
        <v>4</v>
      </c>
    </row>
    <row r="63" spans="1:4" s="11" customFormat="1" x14ac:dyDescent="0.25">
      <c r="A63" s="54">
        <v>5</v>
      </c>
      <c r="B63" s="56">
        <f>'Shiftfunktion bestimmen'!N5</f>
        <v>3.2635184253375725E-8</v>
      </c>
      <c r="D63" s="55">
        <v>5</v>
      </c>
    </row>
    <row r="64" spans="1:4" s="11" customFormat="1" x14ac:dyDescent="0.25">
      <c r="A64" s="54">
        <v>6</v>
      </c>
      <c r="B64" s="56">
        <f>'Shiftfunktion bestimmen'!N6</f>
        <v>-1.7212797645557277E-9</v>
      </c>
      <c r="D64" s="55">
        <v>6</v>
      </c>
    </row>
    <row r="65" spans="1:5" s="11" customFormat="1" x14ac:dyDescent="0.25">
      <c r="A65" s="54">
        <v>7</v>
      </c>
      <c r="B65" s="56">
        <f>'Shiftfunktion bestimmen'!N7</f>
        <v>-2.1573002487892906E-12</v>
      </c>
      <c r="D65" s="55">
        <v>7</v>
      </c>
    </row>
    <row r="66" spans="1:5" x14ac:dyDescent="0.25">
      <c r="A66" s="54">
        <v>8</v>
      </c>
      <c r="B66" s="56">
        <f>'Shiftfunktion bestimmen'!N8</f>
        <v>7.6314676318104761E-14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0"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6172.4582725066966</v>
      </c>
      <c r="G16" s="26">
        <f>INDEX(Comparison!$AM$3:$AS$33,G14,$B$3)</f>
        <v>6171.4179467154336</v>
      </c>
      <c r="H16" s="26">
        <f>INDEX(Comparison!$AM$3:$AS$33,H14,$B$3)</f>
        <v>6160.9029577093925</v>
      </c>
      <c r="I16" s="26">
        <f>INDEX(Comparison!$AM$3:$AS$33,I14,$B$3)</f>
        <v>6080.1494402060262</v>
      </c>
      <c r="J16" s="26">
        <f>INDEX(Comparison!$AM$3:$AS$33,J14,$B$3)</f>
        <v>5909.4727930371473</v>
      </c>
      <c r="K16" s="26">
        <f>INDEX(Comparison!$AM$3:$AS$33,K14,$B$3)</f>
        <v>5793.8515184178423</v>
      </c>
      <c r="L16" s="26">
        <f>INDEX(Comparison!$AM$3:$AS$33,L14,$B$3)</f>
        <v>5680.232087661574</v>
      </c>
      <c r="M16" s="26">
        <f>INDEX(Comparison!$AM$3:$AS$33,M14,$B$3)</f>
        <v>5553.2872228346014</v>
      </c>
      <c r="N16" s="26">
        <f>INDEX(Comparison!$AM$3:$AS$33,N14,$B$3)</f>
        <v>5418.4008813428445</v>
      </c>
      <c r="O16" s="26">
        <f>INDEX(Comparison!$AM$3:$AS$33,O14,$B$3)</f>
        <v>5266.5010696158342</v>
      </c>
      <c r="P16" s="26">
        <f>INDEX(Comparison!$AM$3:$AS$33,P14,$B$3)</f>
        <v>5102.6301031593184</v>
      </c>
      <c r="Q16" s="26">
        <f>INDEX(Comparison!$AM$3:$AS$33,Q14,$B$3)</f>
        <v>4935.1703334559215</v>
      </c>
      <c r="R16" s="26">
        <f>INDEX(Comparison!$AM$3:$AS$33,R14,$B$3)</f>
        <v>4773.9141111745284</v>
      </c>
      <c r="S16" s="26">
        <f>INDEX(Comparison!$AM$3:$AS$33,S14,$B$3)</f>
        <v>4598.1434168288733</v>
      </c>
      <c r="T16" s="26">
        <f>INDEX(Comparison!$AM$3:$AS$33,T14,$B$3)</f>
        <v>4383.948625533154</v>
      </c>
      <c r="U16" s="26">
        <f>INDEX(Comparison!$AM$3:$AS$33,U14,$B$3)</f>
        <v>4152.9128127042486</v>
      </c>
      <c r="V16" s="26">
        <f>INDEX(Comparison!$AM$3:$AS$33,V14,$B$3)</f>
        <v>3937.3787582645855</v>
      </c>
      <c r="W16" s="26">
        <f>INDEX(Comparison!$AM$3:$AS$33,W14,$B$3)</f>
        <v>3687.7590044854528</v>
      </c>
      <c r="X16" s="26">
        <f>INDEX(Comparison!$AM$3:$AS$33,X14,$B$3)</f>
        <v>3362.1408606761684</v>
      </c>
      <c r="Y16" s="26">
        <f>INDEX(Comparison!$AM$3:$AS$33,Y14,$B$3)</f>
        <v>3051.8261997186564</v>
      </c>
      <c r="Z16" s="26">
        <f>INDEX(Comparison!$AM$3:$AS$33,Z14,$B$3)</f>
        <v>2781.8342661671418</v>
      </c>
      <c r="AA16" s="26">
        <f>INDEX(Comparison!$AM$3:$AS$33,AA14,$B$3)</f>
        <v>2548.0002478694637</v>
      </c>
      <c r="AB16" s="26">
        <f>INDEX(Comparison!$AM$3:$AS$33,AB14,$B$3)</f>
        <v>2324.6967439739478</v>
      </c>
      <c r="AC16" s="26">
        <f>INDEX(Comparison!$AM$3:$AS$33,AC14,$B$3)</f>
        <v>2110.9011240283112</v>
      </c>
      <c r="AD16" s="26">
        <f>INDEX(Comparison!$AM$3:$AS$33,AD14,$B$3)</f>
        <v>1889.1026777393556</v>
      </c>
      <c r="AE16" s="26">
        <f>INDEX(Comparison!$AM$3:$AS$33,AE14,$B$3)</f>
        <v>1651.1191781124999</v>
      </c>
      <c r="AF16" s="26">
        <f>INDEX(Comparison!$AM$3:$AS$33,AF14,$B$3)</f>
        <v>1380.4414853809117</v>
      </c>
      <c r="AG16" s="26">
        <f>INDEX(Comparison!$AM$3:$AS$33,AG14,$B$3)</f>
        <v>1081.4922585918935</v>
      </c>
      <c r="AH16" s="26">
        <f>INDEX(Comparison!$AM$3:$AS$33,AH14,$B$3)</f>
        <v>789.75528719390093</v>
      </c>
      <c r="AI16" s="26">
        <f>INDEX(Comparison!$AM$3:$AS$33,AI14,$B$3)</f>
        <v>556.62130157468891</v>
      </c>
      <c r="AJ16" s="26">
        <f>INDEX(Comparison!$AM$3:$AS$33,AJ14,$B$3)</f>
        <v>403.21517792249892</v>
      </c>
    </row>
    <row r="17" spans="1:36" x14ac:dyDescent="0.25">
      <c r="A17" s="14" t="s">
        <v>20</v>
      </c>
      <c r="B17" s="105">
        <v>1.6109766939938219E-2</v>
      </c>
      <c r="C17" s="18">
        <f t="shared" ref="C17:C48" si="3">ABS(B17/$B$49)</f>
        <v>1.3147853577774735E-2</v>
      </c>
      <c r="D17" s="66"/>
      <c r="E17" s="65" t="s">
        <v>22</v>
      </c>
      <c r="F17" s="27">
        <f>($C$17+SUM(F18:F48))*$B$51</f>
        <v>6184.5960882906511</v>
      </c>
      <c r="G17" s="27">
        <f t="shared" ref="G17:M17" si="4">($C$17+SUM(G18:G48))*$B$51</f>
        <v>6184.5960882671807</v>
      </c>
      <c r="H17" s="27">
        <f t="shared" si="4"/>
        <v>6184.5960880324828</v>
      </c>
      <c r="I17" s="27">
        <f t="shared" si="4"/>
        <v>6184.5960856855017</v>
      </c>
      <c r="J17" s="27">
        <f t="shared" si="4"/>
        <v>6184.5960622156927</v>
      </c>
      <c r="K17" s="27">
        <f t="shared" si="4"/>
        <v>6184.5958275179391</v>
      </c>
      <c r="L17" s="27">
        <f t="shared" si="4"/>
        <v>6184.5934805746647</v>
      </c>
      <c r="M17" s="27">
        <f t="shared" si="4"/>
        <v>6184.5700145678511</v>
      </c>
      <c r="N17" s="27">
        <f t="shared" ref="N17" si="5">($C$17+SUM(N18:N48))*$B$51</f>
        <v>6184.3356961173486</v>
      </c>
      <c r="O17" s="27">
        <f t="shared" ref="O17" si="6">($C$17+SUM(O18:O48))*$B$51</f>
        <v>6182.0257252299871</v>
      </c>
      <c r="P17" s="27">
        <f t="shared" ref="P17" si="7">($C$17+SUM(P18:P48))*$B$51</f>
        <v>6161.5103066207803</v>
      </c>
      <c r="Q17" s="27">
        <f t="shared" ref="Q17" si="8">($C$17+SUM(Q18:Q48))*$B$51</f>
        <v>6043.6699581334087</v>
      </c>
      <c r="R17" s="27">
        <f t="shared" ref="R17" si="9">($C$17+SUM(R18:R48))*$B$51</f>
        <v>5895.1547968210689</v>
      </c>
      <c r="S17" s="27">
        <f t="shared" ref="S17:T17" si="10">($C$17+SUM(S18:S48))*$B$51</f>
        <v>5735.1652317790777</v>
      </c>
      <c r="T17" s="27">
        <f t="shared" si="10"/>
        <v>5542.7774383866627</v>
      </c>
      <c r="U17" s="27">
        <f t="shared" ref="U17" si="11">($C$17+SUM(U18:U48))*$B$51</f>
        <v>5342.2522307728968</v>
      </c>
      <c r="V17" s="27">
        <f t="shared" ref="V17" si="12">($C$17+SUM(V18:V48))*$B$51</f>
        <v>5103.4434839835858</v>
      </c>
      <c r="W17" s="27">
        <f t="shared" ref="W17" si="13">($C$17+SUM(W18:W48))*$B$51</f>
        <v>4801.3989638713847</v>
      </c>
      <c r="X17" s="27">
        <f t="shared" ref="X17" si="14">($C$17+SUM(X18:X48))*$B$51</f>
        <v>4459.9909186702807</v>
      </c>
      <c r="Y17" s="27">
        <f t="shared" ref="Y17" si="15">($C$17+SUM(Y18:Y48))*$B$51</f>
        <v>4114.3358692860156</v>
      </c>
      <c r="Z17" s="27">
        <f t="shared" ref="Z17:AA17" si="16">($C$17+SUM(Z18:Z48))*$B$51</f>
        <v>3767.0131511041454</v>
      </c>
      <c r="AA17" s="27">
        <f t="shared" si="16"/>
        <v>3405.8836258688521</v>
      </c>
      <c r="AB17" s="27">
        <f t="shared" ref="AB17" si="17">($C$17+SUM(AB18:AB48))*$B$51</f>
        <v>2966.1410025274977</v>
      </c>
      <c r="AC17" s="27">
        <f t="shared" ref="AC17" si="18">($C$17+SUM(AC18:AC48))*$B$51</f>
        <v>2453.6596532740177</v>
      </c>
      <c r="AD17" s="27">
        <f t="shared" ref="AD17" si="19">($C$17+SUM(AD18:AD48))*$B$51</f>
        <v>1873.1149301699609</v>
      </c>
      <c r="AE17" s="27">
        <f t="shared" ref="AE17" si="20">($C$17+SUM(AE18:AE48))*$B$51</f>
        <v>1245.1453357057019</v>
      </c>
      <c r="AF17" s="27">
        <f t="shared" ref="AF17" si="21">($C$17+SUM(AF18:AF48))*$B$51</f>
        <v>743.86973228774343</v>
      </c>
      <c r="AG17" s="27">
        <f t="shared" ref="AG17:AH17" si="22">($C$17+SUM(AG18:AG48))*$B$51</f>
        <v>423.62547294868824</v>
      </c>
      <c r="AH17" s="27">
        <f t="shared" si="22"/>
        <v>237.75636297315276</v>
      </c>
      <c r="AI17" s="27">
        <f t="shared" ref="AI17" si="23">($C$17+SUM(AI18:AI48))*$B$51</f>
        <v>164.18832342104798</v>
      </c>
      <c r="AJ17" s="27">
        <f t="shared" ref="AJ17" si="24">($C$17+SUM(AJ18:AJ48))*$B$51</f>
        <v>143.36030959638651</v>
      </c>
    </row>
    <row r="18" spans="1:36" x14ac:dyDescent="0.25">
      <c r="A18" s="3">
        <f>0.000000000000001/10^5</f>
        <v>1.0000000000000001E-20</v>
      </c>
      <c r="B18" s="10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0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0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0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0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0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0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0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0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-12.137815783954466</v>
      </c>
      <c r="G49" s="3">
        <f t="shared" si="31"/>
        <v>-13.178141551747103</v>
      </c>
      <c r="H49" s="3">
        <f t="shared" si="31"/>
        <v>-23.693130323090372</v>
      </c>
      <c r="I49" s="3">
        <f t="shared" si="31"/>
        <v>-104.44664547947559</v>
      </c>
      <c r="J49" s="3">
        <f t="shared" si="31"/>
        <v>-275.12326917854534</v>
      </c>
      <c r="K49" s="3">
        <f t="shared" si="31"/>
        <v>-390.74430910009687</v>
      </c>
      <c r="L49" s="3">
        <f t="shared" si="31"/>
        <v>-504.36139291309064</v>
      </c>
      <c r="M49" s="3">
        <f t="shared" si="31"/>
        <v>-631.28279173324972</v>
      </c>
      <c r="N49" s="3">
        <f t="shared" si="31"/>
        <v>-765.93481477450405</v>
      </c>
      <c r="O49" s="3">
        <f t="shared" si="31"/>
        <v>-915.52465561415283</v>
      </c>
      <c r="P49" s="3">
        <f t="shared" si="31"/>
        <v>-1058.8802034614619</v>
      </c>
      <c r="Q49" s="3">
        <f t="shared" si="31"/>
        <v>-1108.4996246774872</v>
      </c>
      <c r="R49" s="3">
        <f t="shared" si="31"/>
        <v>-1121.2406856465404</v>
      </c>
      <c r="S49" s="3">
        <f t="shared" si="31"/>
        <v>-1137.0218149502043</v>
      </c>
      <c r="T49" s="3">
        <f t="shared" si="31"/>
        <v>-1158.8288128535087</v>
      </c>
      <c r="U49" s="3">
        <f t="shared" si="31"/>
        <v>-1189.3394180686482</v>
      </c>
      <c r="V49" s="3">
        <f t="shared" si="31"/>
        <v>-1166.0647257190003</v>
      </c>
      <c r="W49" s="3">
        <f t="shared" si="31"/>
        <v>-1113.6399593859319</v>
      </c>
      <c r="X49" s="3">
        <f t="shared" si="31"/>
        <v>-1097.8500579941124</v>
      </c>
      <c r="Y49" s="3">
        <f t="shared" si="31"/>
        <v>-1062.5096695673592</v>
      </c>
      <c r="Z49" s="3">
        <f t="shared" si="31"/>
        <v>-985.17888493700366</v>
      </c>
      <c r="AA49" s="3">
        <f t="shared" si="31"/>
        <v>-857.88337799938836</v>
      </c>
      <c r="AB49" s="3">
        <f t="shared" si="31"/>
        <v>-641.44425855354984</v>
      </c>
      <c r="AC49" s="3">
        <f t="shared" si="31"/>
        <v>-342.75852924570654</v>
      </c>
      <c r="AD49" s="3">
        <f t="shared" si="31"/>
        <v>15.987747569394742</v>
      </c>
      <c r="AE49" s="3">
        <f t="shared" si="31"/>
        <v>405.97384240679798</v>
      </c>
      <c r="AF49" s="3">
        <f t="shared" si="31"/>
        <v>636.57175309316824</v>
      </c>
      <c r="AG49" s="3">
        <f t="shared" si="31"/>
        <v>657.86678564320528</v>
      </c>
      <c r="AH49" s="3">
        <f t="shared" si="31"/>
        <v>551.99892422074822</v>
      </c>
      <c r="AI49" s="3">
        <f t="shared" si="31"/>
        <v>392.43297815364093</v>
      </c>
      <c r="AJ49" s="3">
        <f t="shared" si="31"/>
        <v>259.85486832611241</v>
      </c>
    </row>
    <row r="50" spans="1:36" x14ac:dyDescent="0.25">
      <c r="F50" s="57">
        <f t="shared" ref="F50:AJ50" si="32">F49/F17</f>
        <v>-1.9625882775004657E-3</v>
      </c>
      <c r="G50" s="57">
        <f t="shared" si="32"/>
        <v>-2.1308006802169994E-3</v>
      </c>
      <c r="H50" s="57">
        <f t="shared" si="32"/>
        <v>-3.8309907366364344E-3</v>
      </c>
      <c r="I50" s="57">
        <f t="shared" si="32"/>
        <v>-1.6888191893601846E-2</v>
      </c>
      <c r="J50" s="57">
        <f t="shared" si="32"/>
        <v>-4.4485244696802352E-2</v>
      </c>
      <c r="K50" s="57">
        <f t="shared" si="32"/>
        <v>-6.318024976854697E-2</v>
      </c>
      <c r="L50" s="57">
        <f t="shared" si="32"/>
        <v>-8.1551260320868499E-2</v>
      </c>
      <c r="M50" s="57">
        <f t="shared" si="32"/>
        <v>-0.102073837024442</v>
      </c>
      <c r="N50" s="57">
        <f t="shared" si="32"/>
        <v>-0.12385078243009567</v>
      </c>
      <c r="O50" s="57">
        <f t="shared" si="32"/>
        <v>-0.14809460463383836</v>
      </c>
      <c r="P50" s="57">
        <f t="shared" si="32"/>
        <v>-0.17185400182219193</v>
      </c>
      <c r="Q50" s="57">
        <f t="shared" si="32"/>
        <v>-0.18341498333900549</v>
      </c>
      <c r="R50" s="57">
        <f t="shared" si="32"/>
        <v>-0.19019698791474712</v>
      </c>
      <c r="S50" s="57">
        <f t="shared" si="32"/>
        <v>-0.19825441273249844</v>
      </c>
      <c r="T50" s="57">
        <f t="shared" si="32"/>
        <v>-0.20907006022432126</v>
      </c>
      <c r="U50" s="57">
        <f t="shared" si="32"/>
        <v>-0.22262884017675427</v>
      </c>
      <c r="V50" s="57">
        <f t="shared" si="32"/>
        <v>-0.22848587025182598</v>
      </c>
      <c r="W50" s="57">
        <f t="shared" si="32"/>
        <v>-0.23194072556053541</v>
      </c>
      <c r="X50" s="57">
        <f t="shared" si="32"/>
        <v>-0.24615522273785923</v>
      </c>
      <c r="Y50" s="57">
        <f t="shared" si="32"/>
        <v>-0.25824572988780875</v>
      </c>
      <c r="Z50" s="57">
        <f t="shared" si="32"/>
        <v>-0.26152785918685706</v>
      </c>
      <c r="AA50" s="57">
        <f t="shared" si="32"/>
        <v>-0.25188276295862561</v>
      </c>
      <c r="AB50" s="57">
        <f t="shared" si="32"/>
        <v>-0.21625548414824669</v>
      </c>
      <c r="AC50" s="57">
        <f t="shared" si="32"/>
        <v>-0.13969277637521973</v>
      </c>
      <c r="AD50" s="57">
        <f t="shared" si="32"/>
        <v>8.5353799235074485E-3</v>
      </c>
      <c r="AE50" s="57">
        <f t="shared" si="32"/>
        <v>0.32604534648696826</v>
      </c>
      <c r="AF50" s="57">
        <f t="shared" si="32"/>
        <v>0.85575703038140261</v>
      </c>
      <c r="AG50" s="57">
        <f t="shared" si="32"/>
        <v>1.5529443521515751</v>
      </c>
      <c r="AH50" s="57">
        <f t="shared" si="32"/>
        <v>2.3216999003432748</v>
      </c>
      <c r="AI50" s="57">
        <f t="shared" si="32"/>
        <v>2.3901393837080458</v>
      </c>
      <c r="AJ50" s="57">
        <f t="shared" si="32"/>
        <v>1.8125997987706788</v>
      </c>
    </row>
    <row r="51" spans="1:36" x14ac:dyDescent="0.25">
      <c r="A51" s="13" t="s">
        <v>21</v>
      </c>
      <c r="B51" s="3">
        <f>STUTT!D8</f>
        <v>6190.9489999999996</v>
      </c>
      <c r="E51" s="11" t="s">
        <v>24</v>
      </c>
      <c r="F51" s="20">
        <f t="shared" ref="F51:AJ51" si="33">(F16-F17)^2</f>
        <v>147.32657200521416</v>
      </c>
      <c r="G51" s="20">
        <f t="shared" si="33"/>
        <v>173.66341475788354</v>
      </c>
      <c r="H51" s="20">
        <f t="shared" si="33"/>
        <v>561.36442450694449</v>
      </c>
      <c r="I51" s="20">
        <f t="shared" si="33"/>
        <v>10909.101751915259</v>
      </c>
      <c r="J51" s="20">
        <f t="shared" si="33"/>
        <v>75692.813243490324</v>
      </c>
      <c r="K51" s="20">
        <f t="shared" si="33"/>
        <v>152681.11509411206</v>
      </c>
      <c r="L51" s="20">
        <f t="shared" si="33"/>
        <v>254380.41466123299</v>
      </c>
      <c r="M51" s="20">
        <f t="shared" si="33"/>
        <v>398517.96313852555</v>
      </c>
      <c r="N51" s="20">
        <f t="shared" si="33"/>
        <v>586656.14048365387</v>
      </c>
      <c r="O51" s="20">
        <f t="shared" si="33"/>
        <v>838185.39503741311</v>
      </c>
      <c r="P51" s="20">
        <f t="shared" si="33"/>
        <v>1121227.2852825869</v>
      </c>
      <c r="Q51" s="20">
        <f t="shared" si="33"/>
        <v>1228771.41791013</v>
      </c>
      <c r="R51" s="20">
        <f t="shared" si="33"/>
        <v>1257180.6751491241</v>
      </c>
      <c r="S51" s="20">
        <f t="shared" si="33"/>
        <v>1292818.6076726567</v>
      </c>
      <c r="T51" s="20">
        <f t="shared" si="33"/>
        <v>1342884.2174994722</v>
      </c>
      <c r="U51" s="20">
        <f t="shared" si="33"/>
        <v>1414528.2513718707</v>
      </c>
      <c r="V51" s="20">
        <f t="shared" si="33"/>
        <v>1359706.9445661274</v>
      </c>
      <c r="W51" s="20">
        <f t="shared" si="33"/>
        <v>1240193.9591411001</v>
      </c>
      <c r="X51" s="20">
        <f t="shared" si="33"/>
        <v>1205274.7498376758</v>
      </c>
      <c r="Y51" s="20">
        <f t="shared" si="33"/>
        <v>1128926.7979241388</v>
      </c>
      <c r="Z51" s="20">
        <f t="shared" si="33"/>
        <v>970577.4353257179</v>
      </c>
      <c r="AA51" s="20">
        <f t="shared" si="33"/>
        <v>735963.89024764148</v>
      </c>
      <c r="AB51" s="20">
        <f t="shared" si="33"/>
        <v>411450.73683131329</v>
      </c>
      <c r="AC51" s="20">
        <f t="shared" si="33"/>
        <v>117483.40937067986</v>
      </c>
      <c r="AD51" s="20">
        <f t="shared" si="33"/>
        <v>255.60807234268748</v>
      </c>
      <c r="AE51" s="20">
        <f t="shared" si="33"/>
        <v>164814.76071853965</v>
      </c>
      <c r="AF51" s="20">
        <f t="shared" si="33"/>
        <v>405223.59683610953</v>
      </c>
      <c r="AG51" s="20">
        <f t="shared" si="33"/>
        <v>432788.70765252301</v>
      </c>
      <c r="AH51" s="20">
        <f t="shared" si="33"/>
        <v>304702.81234086334</v>
      </c>
      <c r="AI51" s="20">
        <f t="shared" si="33"/>
        <v>154003.64234253601</v>
      </c>
      <c r="AJ51" s="20">
        <f t="shared" si="33"/>
        <v>67524.552592781212</v>
      </c>
    </row>
    <row r="52" spans="1:36" x14ac:dyDescent="0.25">
      <c r="A52" s="13"/>
    </row>
    <row r="53" spans="1:36" x14ac:dyDescent="0.25">
      <c r="E53" s="118" t="s">
        <v>25</v>
      </c>
      <c r="F53" s="118"/>
      <c r="G53" s="104">
        <f>SUM(F51:AJ51)</f>
        <v>18674207.356507547</v>
      </c>
      <c r="I53" s="3">
        <f>G53+C123</f>
        <v>18674207.356507547</v>
      </c>
      <c r="K53" s="3">
        <f>SUM(Z51:AJ51)</f>
        <v>3764789.1523310486</v>
      </c>
    </row>
    <row r="55" spans="1:36" x14ac:dyDescent="0.25">
      <c r="E55" s="30" t="s">
        <v>30</v>
      </c>
      <c r="F55" s="31">
        <f t="shared" ref="F55:AJ55" si="34">ABS(F17-F16)/F16</f>
        <v>1.9664476045174102E-3</v>
      </c>
      <c r="G55" s="31">
        <f t="shared" si="34"/>
        <v>2.1353506869131759E-3</v>
      </c>
      <c r="H55" s="31">
        <f t="shared" si="34"/>
        <v>3.8457236683856833E-3</v>
      </c>
      <c r="I55" s="31">
        <f t="shared" si="34"/>
        <v>1.717830236026837E-2</v>
      </c>
      <c r="J55" s="31">
        <f t="shared" si="34"/>
        <v>4.6556313704110813E-2</v>
      </c>
      <c r="K55" s="31">
        <f t="shared" si="34"/>
        <v>6.7441201739115247E-2</v>
      </c>
      <c r="L55" s="31">
        <f t="shared" si="34"/>
        <v>8.8792391777203786E-2</v>
      </c>
      <c r="M55" s="31">
        <f t="shared" si="34"/>
        <v>0.11367731694796435</v>
      </c>
      <c r="N55" s="31">
        <f t="shared" si="34"/>
        <v>0.14135809282990558</v>
      </c>
      <c r="O55" s="31">
        <f t="shared" si="34"/>
        <v>0.17383926130692609</v>
      </c>
      <c r="P55" s="31">
        <f t="shared" si="34"/>
        <v>0.20751655167123539</v>
      </c>
      <c r="Q55" s="31">
        <f t="shared" si="34"/>
        <v>0.22461223215800233</v>
      </c>
      <c r="R55" s="31">
        <f t="shared" si="34"/>
        <v>0.23486821495636021</v>
      </c>
      <c r="S55" s="31">
        <f t="shared" si="34"/>
        <v>0.2472784582553007</v>
      </c>
      <c r="T55" s="31">
        <f t="shared" si="34"/>
        <v>0.26433448743085525</v>
      </c>
      <c r="U55" s="31">
        <f t="shared" si="34"/>
        <v>0.28638680167575853</v>
      </c>
      <c r="V55" s="31">
        <f t="shared" si="34"/>
        <v>0.29615254140115993</v>
      </c>
      <c r="W55" s="31">
        <f t="shared" si="34"/>
        <v>0.30198284595913183</v>
      </c>
      <c r="X55" s="31">
        <f t="shared" si="34"/>
        <v>0.32653303460144767</v>
      </c>
      <c r="Y55" s="31">
        <f t="shared" si="34"/>
        <v>0.34815536666711572</v>
      </c>
      <c r="Z55" s="31">
        <f t="shared" si="34"/>
        <v>0.35414722469947851</v>
      </c>
      <c r="AA55" s="31">
        <f t="shared" si="34"/>
        <v>0.33668889110851391</v>
      </c>
      <c r="AB55" s="31">
        <f t="shared" si="34"/>
        <v>0.27592599345110036</v>
      </c>
      <c r="AC55" s="31">
        <f t="shared" si="34"/>
        <v>0.16237545441806753</v>
      </c>
      <c r="AD55" s="31">
        <f t="shared" si="34"/>
        <v>8.4631437760317504E-3</v>
      </c>
      <c r="AE55" s="31">
        <f t="shared" si="34"/>
        <v>0.24587797645890874</v>
      </c>
      <c r="AF55" s="31">
        <f t="shared" si="34"/>
        <v>0.46113635372057515</v>
      </c>
      <c r="AG55" s="31">
        <f t="shared" si="34"/>
        <v>0.60829541812878996</v>
      </c>
      <c r="AH55" s="31">
        <f t="shared" si="34"/>
        <v>0.69894932414073385</v>
      </c>
      <c r="AI55" s="31">
        <f t="shared" si="34"/>
        <v>0.70502687741817094</v>
      </c>
      <c r="AJ55" s="31">
        <f t="shared" si="34"/>
        <v>0.64445706053272267</v>
      </c>
    </row>
    <row r="56" spans="1:36" x14ac:dyDescent="0.25">
      <c r="E56" s="13" t="s">
        <v>31</v>
      </c>
      <c r="F56" s="32">
        <f>AVERAGE(F55:AJ55)</f>
        <v>0.25470821468563781</v>
      </c>
    </row>
    <row r="57" spans="1:36" x14ac:dyDescent="0.25">
      <c r="A57" s="42"/>
      <c r="B57" s="15"/>
      <c r="C57" s="15"/>
      <c r="D57" s="15"/>
      <c r="F57" s="60">
        <f>AVERAGE(S55:X55)</f>
        <v>0.28711136155394229</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1.1595403502407274E+17</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12.063922953615501</v>
      </c>
    </row>
    <row r="123" spans="1:14" x14ac:dyDescent="0.25">
      <c r="A123" s="118"/>
      <c r="B123" s="118"/>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6190.6068528413971</v>
      </c>
      <c r="C131" s="27">
        <f t="shared" ref="C131:AF131" si="40">($C$17+SUM(C132:C162))*$B$51</f>
        <v>6188.2481809448936</v>
      </c>
      <c r="D131" s="27">
        <f t="shared" si="40"/>
        <v>6184.6211299173856</v>
      </c>
      <c r="E131" s="27">
        <f t="shared" si="40"/>
        <v>6184.5960882932568</v>
      </c>
      <c r="F131" s="27">
        <f t="shared" si="40"/>
        <v>6184.596088293245</v>
      </c>
      <c r="G131" s="27">
        <f t="shared" si="40"/>
        <v>6184.596088293114</v>
      </c>
      <c r="H131" s="27">
        <f t="shared" si="40"/>
        <v>6184.5960882918152</v>
      </c>
      <c r="I131" s="27">
        <f t="shared" si="40"/>
        <v>6184.5960882788222</v>
      </c>
      <c r="J131" s="27">
        <f t="shared" si="40"/>
        <v>6184.59608814889</v>
      </c>
      <c r="K131" s="27">
        <f t="shared" si="40"/>
        <v>6184.5960868495713</v>
      </c>
      <c r="L131" s="27">
        <f t="shared" si="40"/>
        <v>6184.5960738563799</v>
      </c>
      <c r="M131" s="27">
        <f t="shared" si="40"/>
        <v>6184.5959439245798</v>
      </c>
      <c r="N131" s="27">
        <f t="shared" si="40"/>
        <v>6184.5946446170701</v>
      </c>
      <c r="O131" s="27">
        <f t="shared" si="40"/>
        <v>6184.58165259213</v>
      </c>
      <c r="P131" s="27">
        <f t="shared" si="40"/>
        <v>6184.4518371920849</v>
      </c>
      <c r="Q131" s="27">
        <f t="shared" si="40"/>
        <v>6183.1640050827709</v>
      </c>
      <c r="R131" s="27">
        <f t="shared" si="40"/>
        <v>6171.1767584316231</v>
      </c>
      <c r="S131" s="27">
        <f t="shared" si="40"/>
        <v>6089.5219467799816</v>
      </c>
      <c r="T131" s="27">
        <f t="shared" si="40"/>
        <v>5928.0481982517185</v>
      </c>
      <c r="U131" s="27">
        <f t="shared" si="40"/>
        <v>5782.1446636204082</v>
      </c>
      <c r="V131" s="27">
        <f t="shared" si="40"/>
        <v>5588.9216537710481</v>
      </c>
      <c r="W131" s="27">
        <f t="shared" si="40"/>
        <v>5391.161176273783</v>
      </c>
      <c r="X131" s="27">
        <f t="shared" si="40"/>
        <v>5165.8450536746868</v>
      </c>
      <c r="Y131" s="27">
        <f t="shared" si="40"/>
        <v>4875.3067148597938</v>
      </c>
      <c r="Z131" s="27">
        <f t="shared" si="40"/>
        <v>4537.6118531466673</v>
      </c>
      <c r="AA131" s="27">
        <f t="shared" si="40"/>
        <v>4191.8075853678374</v>
      </c>
      <c r="AB131" s="27">
        <f t="shared" si="40"/>
        <v>3849.8092221882785</v>
      </c>
      <c r="AC131" s="27">
        <f t="shared" si="40"/>
        <v>3488.8359057643643</v>
      </c>
      <c r="AD131" s="27">
        <f t="shared" si="40"/>
        <v>3105.2967109284941</v>
      </c>
      <c r="AE131" s="27">
        <f t="shared" si="40"/>
        <v>2594.5493536299132</v>
      </c>
      <c r="AF131" s="27">
        <f t="shared" si="40"/>
        <v>2029.0089566854228</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6.2428025733889697E-2</v>
      </c>
      <c r="B163" s="80">
        <f>IF($A$64&lt;=B129,IF($B$64&gt;=B129,ABS((B131-B130)/B130),0),0)</f>
        <v>7.39121326058996E-3</v>
      </c>
      <c r="C163" s="80">
        <f t="shared" ref="C163:AF163" si="103">IF($A$64&lt;=C129,IF($B$64&gt;=C129,ABS((C131-C130)/C130),0),0)</f>
        <v>7.7774642025209059E-3</v>
      </c>
      <c r="D163" s="80">
        <f t="shared" si="103"/>
        <v>8.3540100298763499E-3</v>
      </c>
      <c r="E163" s="80">
        <f t="shared" si="103"/>
        <v>8.356544450423109E-3</v>
      </c>
      <c r="F163" s="80">
        <f t="shared" si="103"/>
        <v>8.3560496827379659E-3</v>
      </c>
      <c r="G163" s="80">
        <f t="shared" si="103"/>
        <v>8.3558977183980851E-3</v>
      </c>
      <c r="H163" s="80">
        <f t="shared" si="103"/>
        <v>8.355844707782667E-3</v>
      </c>
      <c r="I163" s="80">
        <f t="shared" si="103"/>
        <v>8.3558023012069663E-3</v>
      </c>
      <c r="J163" s="80">
        <f t="shared" si="103"/>
        <v>8.3557917198759015E-3</v>
      </c>
      <c r="K163" s="80">
        <f t="shared" si="103"/>
        <v>8.3555622146409252E-3</v>
      </c>
      <c r="L163" s="80">
        <f t="shared" si="103"/>
        <v>8.3533095709566654E-3</v>
      </c>
      <c r="M163" s="80">
        <f t="shared" si="103"/>
        <v>8.3310057800709963E-3</v>
      </c>
      <c r="N163" s="80">
        <f t="shared" si="103"/>
        <v>8.1095547114077536E-3</v>
      </c>
      <c r="O163" s="80">
        <f t="shared" si="103"/>
        <v>5.990973606898555E-3</v>
      </c>
      <c r="P163" s="80">
        <f t="shared" si="103"/>
        <v>9.6181730476837621E-3</v>
      </c>
      <c r="Q163" s="80">
        <f t="shared" si="103"/>
        <v>3.7817006594510705E-2</v>
      </c>
      <c r="R163" s="80">
        <f t="shared" si="103"/>
        <v>5.6363823720921226E-2</v>
      </c>
      <c r="S163" s="80">
        <f t="shared" si="103"/>
        <v>6.3702212358875202E-2</v>
      </c>
      <c r="T163" s="80">
        <f t="shared" si="103"/>
        <v>5.9528614575128078E-2</v>
      </c>
      <c r="U163" s="80">
        <f t="shared" si="103"/>
        <v>6.1117649352724852E-2</v>
      </c>
      <c r="V163" s="80">
        <f t="shared" si="103"/>
        <v>6.6802455696749682E-2</v>
      </c>
      <c r="W163" s="80">
        <f t="shared" si="103"/>
        <v>0.10248244839151849</v>
      </c>
      <c r="X163" s="80">
        <f t="shared" si="103"/>
        <v>0.15280328133903054</v>
      </c>
      <c r="Y163" s="80">
        <f t="shared" si="103"/>
        <v>0.18259638011193022</v>
      </c>
      <c r="Z163" s="80">
        <f t="shared" si="103"/>
        <v>0.18871664734540775</v>
      </c>
      <c r="AA163" s="80">
        <f t="shared" si="103"/>
        <v>0.1847541717409211</v>
      </c>
      <c r="AB163" s="80">
        <f t="shared" si="103"/>
        <v>0.16989786755445521</v>
      </c>
      <c r="AC163" s="80">
        <f t="shared" si="103"/>
        <v>0.12765990669233343</v>
      </c>
      <c r="AD163" s="80">
        <f t="shared" si="103"/>
        <v>5.941555355452463E-2</v>
      </c>
      <c r="AE163" s="80">
        <f t="shared" si="103"/>
        <v>6.6670010930905174E-2</v>
      </c>
      <c r="AF163" s="80">
        <f t="shared" si="103"/>
        <v>0.23252357078557387</v>
      </c>
    </row>
    <row r="164" spans="1:34" x14ac:dyDescent="0.25">
      <c r="B164" s="21">
        <f>(B131-B130)^2</f>
        <v>2124.9155963681064</v>
      </c>
      <c r="C164" s="21">
        <f t="shared" ref="C164:AF164" si="104">(C131-C130)^2</f>
        <v>2352.8449793481618</v>
      </c>
      <c r="D164" s="21">
        <f t="shared" si="104"/>
        <v>2714.5813712727054</v>
      </c>
      <c r="E164" s="21">
        <f t="shared" si="104"/>
        <v>2716.2205961551513</v>
      </c>
      <c r="F164" s="21">
        <f t="shared" si="104"/>
        <v>2715.8962558650601</v>
      </c>
      <c r="G164" s="21">
        <f t="shared" si="104"/>
        <v>2715.7966410274653</v>
      </c>
      <c r="H164" s="21">
        <f t="shared" si="104"/>
        <v>2715.7618922330334</v>
      </c>
      <c r="I164" s="21">
        <f t="shared" si="104"/>
        <v>2715.7340946060804</v>
      </c>
      <c r="J164" s="21">
        <f t="shared" si="104"/>
        <v>2715.7271584257646</v>
      </c>
      <c r="K164" s="21">
        <f t="shared" si="104"/>
        <v>2715.5767187390343</v>
      </c>
      <c r="L164" s="21">
        <f t="shared" si="104"/>
        <v>2714.1003452255304</v>
      </c>
      <c r="M164" s="21">
        <f t="shared" si="104"/>
        <v>2699.5045559502469</v>
      </c>
      <c r="N164" s="21">
        <f t="shared" si="104"/>
        <v>2556.7548164639757</v>
      </c>
      <c r="O164" s="21">
        <f t="shared" si="104"/>
        <v>1389.424049383678</v>
      </c>
      <c r="P164" s="21">
        <f t="shared" si="104"/>
        <v>3471.1491734461847</v>
      </c>
      <c r="Q164" s="21">
        <f t="shared" si="104"/>
        <v>50763.816366600331</v>
      </c>
      <c r="R164" s="21">
        <f t="shared" si="104"/>
        <v>108420.10608974491</v>
      </c>
      <c r="S164" s="21">
        <f t="shared" si="104"/>
        <v>132994.997621524</v>
      </c>
      <c r="T164" s="21">
        <f t="shared" si="104"/>
        <v>110930.15561215526</v>
      </c>
      <c r="U164" s="21">
        <f t="shared" si="104"/>
        <v>110913.42459364378</v>
      </c>
      <c r="V164" s="21">
        <f t="shared" si="104"/>
        <v>122482.17370455712</v>
      </c>
      <c r="W164" s="21">
        <f t="shared" si="104"/>
        <v>251142.52038514949</v>
      </c>
      <c r="X164" s="21">
        <f t="shared" si="104"/>
        <v>468854.0850564242</v>
      </c>
      <c r="Y164" s="21">
        <f t="shared" si="104"/>
        <v>566650.2999165582</v>
      </c>
      <c r="Z164" s="21">
        <f t="shared" si="104"/>
        <v>518941.52360192372</v>
      </c>
      <c r="AA164" s="21">
        <f t="shared" si="104"/>
        <v>427301.77047156839</v>
      </c>
      <c r="AB164" s="21">
        <f t="shared" si="104"/>
        <v>312577.97561548784</v>
      </c>
      <c r="AC164" s="21">
        <f t="shared" si="104"/>
        <v>155996.1401600338</v>
      </c>
      <c r="AD164" s="21">
        <f t="shared" si="104"/>
        <v>30330.097935972866</v>
      </c>
      <c r="AE164" s="21">
        <f t="shared" si="104"/>
        <v>34349.030549749077</v>
      </c>
      <c r="AF164" s="21">
        <f t="shared" si="104"/>
        <v>377895.5719640872</v>
      </c>
    </row>
    <row r="165" spans="1:34" x14ac:dyDescent="0.25">
      <c r="A165" s="71">
        <f>SUM(B165:AF165)</f>
        <v>3819577.6778896907</v>
      </c>
      <c r="B165" s="60">
        <f>IF($A$64&lt;=B129,IF($B$64&gt;=B129,ABS(B164),0),0)</f>
        <v>2124.9155963681064</v>
      </c>
      <c r="C165" s="60">
        <f t="shared" ref="C165:AF165" si="105">IF($A$64&lt;=C129,IF($B$64&gt;=C129,ABS(C164),0),0)</f>
        <v>2352.8449793481618</v>
      </c>
      <c r="D165" s="60">
        <f t="shared" si="105"/>
        <v>2714.5813712727054</v>
      </c>
      <c r="E165" s="60">
        <f t="shared" si="105"/>
        <v>2716.2205961551513</v>
      </c>
      <c r="F165" s="60">
        <f t="shared" si="105"/>
        <v>2715.8962558650601</v>
      </c>
      <c r="G165" s="60">
        <f t="shared" si="105"/>
        <v>2715.7966410274653</v>
      </c>
      <c r="H165" s="60">
        <f t="shared" si="105"/>
        <v>2715.7618922330334</v>
      </c>
      <c r="I165" s="60">
        <f t="shared" si="105"/>
        <v>2715.7340946060804</v>
      </c>
      <c r="J165" s="60">
        <f t="shared" si="105"/>
        <v>2715.7271584257646</v>
      </c>
      <c r="K165" s="60">
        <f t="shared" si="105"/>
        <v>2715.5767187390343</v>
      </c>
      <c r="L165" s="60">
        <f t="shared" si="105"/>
        <v>2714.1003452255304</v>
      </c>
      <c r="M165" s="60">
        <f t="shared" si="105"/>
        <v>2699.5045559502469</v>
      </c>
      <c r="N165" s="60">
        <f t="shared" si="105"/>
        <v>2556.7548164639757</v>
      </c>
      <c r="O165" s="60">
        <f t="shared" si="105"/>
        <v>1389.424049383678</v>
      </c>
      <c r="P165" s="60">
        <f t="shared" si="105"/>
        <v>3471.1491734461847</v>
      </c>
      <c r="Q165" s="60">
        <f t="shared" si="105"/>
        <v>50763.816366600331</v>
      </c>
      <c r="R165" s="60">
        <f t="shared" si="105"/>
        <v>108420.10608974491</v>
      </c>
      <c r="S165" s="60">
        <f t="shared" si="105"/>
        <v>132994.997621524</v>
      </c>
      <c r="T165" s="60">
        <f t="shared" si="105"/>
        <v>110930.15561215526</v>
      </c>
      <c r="U165" s="60">
        <f t="shared" si="105"/>
        <v>110913.42459364378</v>
      </c>
      <c r="V165" s="60">
        <f t="shared" si="105"/>
        <v>122482.17370455712</v>
      </c>
      <c r="W165" s="60">
        <f t="shared" si="105"/>
        <v>251142.52038514949</v>
      </c>
      <c r="X165" s="60">
        <f t="shared" si="105"/>
        <v>468854.0850564242</v>
      </c>
      <c r="Y165" s="60">
        <f t="shared" si="105"/>
        <v>566650.2999165582</v>
      </c>
      <c r="Z165" s="60">
        <f t="shared" si="105"/>
        <v>518941.52360192372</v>
      </c>
      <c r="AA165" s="60">
        <f t="shared" si="105"/>
        <v>427301.77047156839</v>
      </c>
      <c r="AB165" s="60">
        <f t="shared" si="105"/>
        <v>312577.97561548784</v>
      </c>
      <c r="AC165" s="60">
        <f t="shared" si="105"/>
        <v>155996.1401600338</v>
      </c>
      <c r="AD165" s="60">
        <f t="shared" si="105"/>
        <v>30330.097935972866</v>
      </c>
      <c r="AE165" s="60">
        <f t="shared" si="105"/>
        <v>34349.030549749077</v>
      </c>
      <c r="AF165" s="60">
        <f t="shared" si="105"/>
        <v>377895.5719640872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6185.6946661809843</v>
      </c>
      <c r="C170" s="27">
        <f t="shared" ref="C170:AF170" si="106">($C$17+SUM(C171:C201))*$B$51</f>
        <v>6184.5960884451561</v>
      </c>
      <c r="D170" s="27">
        <f t="shared" si="106"/>
        <v>6184.5960882932541</v>
      </c>
      <c r="E170" s="27">
        <f t="shared" si="106"/>
        <v>6184.5960882932131</v>
      </c>
      <c r="F170" s="27">
        <f t="shared" si="106"/>
        <v>6184.5960882928011</v>
      </c>
      <c r="G170" s="27">
        <f t="shared" si="106"/>
        <v>6184.596088288682</v>
      </c>
      <c r="H170" s="27">
        <f t="shared" si="106"/>
        <v>6184.5960882474956</v>
      </c>
      <c r="I170" s="27">
        <f t="shared" si="106"/>
        <v>6184.5960878356254</v>
      </c>
      <c r="J170" s="27">
        <f t="shared" si="106"/>
        <v>6184.5960837169141</v>
      </c>
      <c r="K170" s="27">
        <f t="shared" si="106"/>
        <v>6184.5960425298272</v>
      </c>
      <c r="L170" s="27">
        <f t="shared" si="106"/>
        <v>6184.595630660011</v>
      </c>
      <c r="M170" s="27">
        <f t="shared" si="106"/>
        <v>6184.5915120673753</v>
      </c>
      <c r="N170" s="27">
        <f t="shared" si="106"/>
        <v>6184.5503366891635</v>
      </c>
      <c r="O170" s="27">
        <f t="shared" si="106"/>
        <v>6184.1396324691204</v>
      </c>
      <c r="P170" s="27">
        <f t="shared" si="106"/>
        <v>6180.1325358746763</v>
      </c>
      <c r="Q170" s="27">
        <f t="shared" si="106"/>
        <v>6146.7538641494039</v>
      </c>
      <c r="R170" s="27">
        <f t="shared" si="106"/>
        <v>5997.1388688824263</v>
      </c>
      <c r="S170" s="27">
        <f t="shared" si="106"/>
        <v>5858.4865639113377</v>
      </c>
      <c r="T170" s="27">
        <f t="shared" si="106"/>
        <v>5682.9621277656888</v>
      </c>
      <c r="U170" s="27">
        <f t="shared" si="106"/>
        <v>5490.9116197856711</v>
      </c>
      <c r="V170" s="27">
        <f t="shared" si="106"/>
        <v>5285.8800554610389</v>
      </c>
      <c r="W170" s="27">
        <f t="shared" si="106"/>
        <v>5030.9900208167646</v>
      </c>
      <c r="X170" s="27">
        <f t="shared" si="106"/>
        <v>4718.1656753263842</v>
      </c>
      <c r="Y170" s="27">
        <f t="shared" si="106"/>
        <v>4377.3022942663374</v>
      </c>
      <c r="Z170" s="27">
        <f t="shared" si="106"/>
        <v>4035.9702626963681</v>
      </c>
      <c r="AA170" s="27">
        <f t="shared" si="106"/>
        <v>3685.0243323011914</v>
      </c>
      <c r="AB170" s="27">
        <f t="shared" si="106"/>
        <v>3329.4753966798958</v>
      </c>
      <c r="AC170" s="27">
        <f t="shared" si="106"/>
        <v>2835.2212325575051</v>
      </c>
      <c r="AD170" s="27">
        <f t="shared" si="106"/>
        <v>2304.117256711575</v>
      </c>
      <c r="AE170" s="27">
        <f t="shared" si="106"/>
        <v>1708.2064052060475</v>
      </c>
      <c r="AF170" s="27">
        <f t="shared" si="106"/>
        <v>1081.0547761504085</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0.18232041073596861</v>
      </c>
      <c r="B202" s="80">
        <f>IF($A$64&lt;=B168,IF($B$64&gt;=B168,ABS((B170-B169)/B169),0),0)</f>
        <v>3.738096719076771E-3</v>
      </c>
      <c r="C202" s="80">
        <f t="shared" ref="C202:AF202" si="138">IF($A$64&lt;=C168,IF($B$64&gt;=C168,ABS((C170-C169)/C169),0),0)</f>
        <v>3.9230372038303665E-3</v>
      </c>
      <c r="D202" s="80">
        <f t="shared" si="138"/>
        <v>3.9180118022166272E-3</v>
      </c>
      <c r="E202" s="80">
        <f t="shared" si="138"/>
        <v>3.9163649326361717E-3</v>
      </c>
      <c r="F202" s="80">
        <f t="shared" si="138"/>
        <v>3.9143363851856681E-3</v>
      </c>
      <c r="G202" s="80">
        <f t="shared" si="138"/>
        <v>3.8983801279412829E-3</v>
      </c>
      <c r="H202" s="80">
        <f t="shared" si="138"/>
        <v>3.7415953226555194E-3</v>
      </c>
      <c r="I202" s="80">
        <f t="shared" si="138"/>
        <v>2.2281081024970355E-3</v>
      </c>
      <c r="J202" s="80">
        <f t="shared" si="138"/>
        <v>9.9121402556032745E-3</v>
      </c>
      <c r="K202" s="80">
        <f t="shared" si="138"/>
        <v>3.9479142827319687E-2</v>
      </c>
      <c r="L202" s="80">
        <f t="shared" si="138"/>
        <v>6.0410254395041885E-2</v>
      </c>
      <c r="M202" s="80">
        <f t="shared" si="138"/>
        <v>8.1508098394188572E-2</v>
      </c>
      <c r="N202" s="80">
        <f t="shared" si="138"/>
        <v>0.10622551453886125</v>
      </c>
      <c r="O202" s="80">
        <f t="shared" si="138"/>
        <v>0.13355376995875479</v>
      </c>
      <c r="P202" s="80">
        <f t="shared" si="138"/>
        <v>0.16539704259541116</v>
      </c>
      <c r="Q202" s="80">
        <f t="shared" si="138"/>
        <v>0.1962662038370207</v>
      </c>
      <c r="R202" s="80">
        <f t="shared" si="138"/>
        <v>0.20698903500110208</v>
      </c>
      <c r="S202" s="80">
        <f t="shared" si="138"/>
        <v>0.22003360984300327</v>
      </c>
      <c r="T202" s="80">
        <f t="shared" si="138"/>
        <v>0.2376605621663124</v>
      </c>
      <c r="U202" s="80">
        <f t="shared" si="138"/>
        <v>0.29370935676168181</v>
      </c>
      <c r="V202" s="80">
        <f t="shared" si="138"/>
        <v>0.38288402639214841</v>
      </c>
      <c r="W202" s="80">
        <f t="shared" si="138"/>
        <v>0.45385638741957529</v>
      </c>
      <c r="X202" s="80">
        <f t="shared" si="138"/>
        <v>0.48297479561774437</v>
      </c>
      <c r="Y202" s="80">
        <f t="shared" si="138"/>
        <v>0.48459604096623182</v>
      </c>
      <c r="Z202" s="80">
        <f t="shared" si="138"/>
        <v>0.46397888635533824</v>
      </c>
      <c r="AA202" s="80">
        <f t="shared" si="138"/>
        <v>0.42591666987515087</v>
      </c>
      <c r="AB202" s="80">
        <f t="shared" si="138"/>
        <v>0.37487712808727724</v>
      </c>
      <c r="AC202" s="80">
        <f t="shared" si="138"/>
        <v>0.26158652870573196</v>
      </c>
      <c r="AD202" s="80">
        <f t="shared" si="138"/>
        <v>0.11532679920720587</v>
      </c>
      <c r="AE202" s="80">
        <f t="shared" si="138"/>
        <v>8.4160343766373574E-2</v>
      </c>
      <c r="AF202" s="80">
        <f t="shared" si="138"/>
        <v>0.34135246525190849</v>
      </c>
    </row>
    <row r="203" spans="1:34" x14ac:dyDescent="0.25">
      <c r="B203" s="21">
        <f>(B170-B169)^2</f>
        <v>538.68015839563986</v>
      </c>
      <c r="C203" s="21">
        <f t="shared" ref="C203:AF203" si="139">(C170-C169)^2</f>
        <v>593.31010428828029</v>
      </c>
      <c r="D203" s="21">
        <f t="shared" si="139"/>
        <v>591.78504874702128</v>
      </c>
      <c r="E203" s="21">
        <f t="shared" si="139"/>
        <v>591.28570455317447</v>
      </c>
      <c r="F203" s="21">
        <f t="shared" si="139"/>
        <v>590.67092449539996</v>
      </c>
      <c r="G203" s="21">
        <f t="shared" si="139"/>
        <v>585.84639149132204</v>
      </c>
      <c r="H203" s="21">
        <f t="shared" si="139"/>
        <v>539.50107495094221</v>
      </c>
      <c r="I203" s="21">
        <f t="shared" si="139"/>
        <v>190.73599885290761</v>
      </c>
      <c r="J203" s="21">
        <f t="shared" si="139"/>
        <v>3684.6002190800182</v>
      </c>
      <c r="K203" s="21">
        <f t="shared" si="139"/>
        <v>55172.99331866602</v>
      </c>
      <c r="L203" s="21">
        <f t="shared" si="139"/>
        <v>124135.53210194368</v>
      </c>
      <c r="M203" s="21">
        <f t="shared" si="139"/>
        <v>217252.11375598115</v>
      </c>
      <c r="N203" s="21">
        <f t="shared" si="139"/>
        <v>352684.68564646057</v>
      </c>
      <c r="O203" s="21">
        <f t="shared" si="139"/>
        <v>530868.0964288062</v>
      </c>
      <c r="P203" s="21">
        <f t="shared" si="139"/>
        <v>769313.28825230617</v>
      </c>
      <c r="Q203" s="21">
        <f t="shared" si="139"/>
        <v>1017014.2164202909</v>
      </c>
      <c r="R203" s="21">
        <f t="shared" si="139"/>
        <v>1057733.4554474896</v>
      </c>
      <c r="S203" s="21">
        <f t="shared" si="139"/>
        <v>1116362.7433317157</v>
      </c>
      <c r="T203" s="21">
        <f t="shared" si="139"/>
        <v>1190859.865726321</v>
      </c>
      <c r="U203" s="21">
        <f t="shared" si="139"/>
        <v>1554000.0658749649</v>
      </c>
      <c r="V203" s="21">
        <f t="shared" si="139"/>
        <v>2141892.0780574866</v>
      </c>
      <c r="W203" s="21">
        <f t="shared" si="139"/>
        <v>2466611.7612505686</v>
      </c>
      <c r="X203" s="21">
        <f t="shared" si="139"/>
        <v>2361172.7831240259</v>
      </c>
      <c r="Y203" s="21">
        <f t="shared" si="139"/>
        <v>2041532.0718274959</v>
      </c>
      <c r="Z203" s="21">
        <f t="shared" si="139"/>
        <v>1636148.5243846385</v>
      </c>
      <c r="AA203" s="21">
        <f t="shared" si="139"/>
        <v>1211551.0090240517</v>
      </c>
      <c r="AB203" s="21">
        <f t="shared" si="139"/>
        <v>824141.40511265711</v>
      </c>
      <c r="AC203" s="21">
        <f t="shared" si="139"/>
        <v>345597.48139583447</v>
      </c>
      <c r="AD203" s="21">
        <f t="shared" si="139"/>
        <v>56763.001963163457</v>
      </c>
      <c r="AE203" s="21">
        <f t="shared" si="139"/>
        <v>24640.913493130007</v>
      </c>
      <c r="AF203" s="21">
        <f t="shared" si="139"/>
        <v>313902.91288022656</v>
      </c>
      <c r="AG203" s="3"/>
      <c r="AH203" s="3"/>
    </row>
    <row r="204" spans="1:34" x14ac:dyDescent="0.25">
      <c r="A204" s="71">
        <f>SUM(B204:AF204)</f>
        <v>21417257.414443079</v>
      </c>
      <c r="B204" s="60">
        <f>IF($A$64&lt;=B168,IF($B$64&gt;=B168,ABS(B203),0),0)</f>
        <v>538.68015839563986</v>
      </c>
      <c r="C204" s="60">
        <f t="shared" ref="C204" si="140">IF($A$64&lt;=C168,IF($B$64&gt;=C168,ABS(C203),0),0)</f>
        <v>593.31010428828029</v>
      </c>
      <c r="D204" s="60">
        <f t="shared" ref="D204" si="141">IF($A$64&lt;=D168,IF($B$64&gt;=D168,ABS(D203),0),0)</f>
        <v>591.78504874702128</v>
      </c>
      <c r="E204" s="60">
        <f t="shared" ref="E204" si="142">IF($A$64&lt;=E168,IF($B$64&gt;=E168,ABS(E203),0),0)</f>
        <v>591.28570455317447</v>
      </c>
      <c r="F204" s="60">
        <f t="shared" ref="F204" si="143">IF($A$64&lt;=F168,IF($B$64&gt;=F168,ABS(F203),0),0)</f>
        <v>590.67092449539996</v>
      </c>
      <c r="G204" s="60">
        <f t="shared" ref="G204" si="144">IF($A$64&lt;=G168,IF($B$64&gt;=G168,ABS(G203),0),0)</f>
        <v>585.84639149132204</v>
      </c>
      <c r="H204" s="60">
        <f t="shared" ref="H204" si="145">IF($A$64&lt;=H168,IF($B$64&gt;=H168,ABS(H203),0),0)</f>
        <v>539.50107495094221</v>
      </c>
      <c r="I204" s="60">
        <f t="shared" ref="I204" si="146">IF($A$64&lt;=I168,IF($B$64&gt;=I168,ABS(I203),0),0)</f>
        <v>190.73599885290761</v>
      </c>
      <c r="J204" s="60">
        <f t="shared" ref="J204" si="147">IF($A$64&lt;=J168,IF($B$64&gt;=J168,ABS(J203),0),0)</f>
        <v>3684.6002190800182</v>
      </c>
      <c r="K204" s="60">
        <f t="shared" ref="K204" si="148">IF($A$64&lt;=K168,IF($B$64&gt;=K168,ABS(K203),0),0)</f>
        <v>55172.99331866602</v>
      </c>
      <c r="L204" s="60">
        <f t="shared" ref="L204" si="149">IF($A$64&lt;=L168,IF($B$64&gt;=L168,ABS(L203),0),0)</f>
        <v>124135.53210194368</v>
      </c>
      <c r="M204" s="60">
        <f t="shared" ref="M204" si="150">IF($A$64&lt;=M168,IF($B$64&gt;=M168,ABS(M203),0),0)</f>
        <v>217252.11375598115</v>
      </c>
      <c r="N204" s="60">
        <f t="shared" ref="N204" si="151">IF($A$64&lt;=N168,IF($B$64&gt;=N168,ABS(N203),0),0)</f>
        <v>352684.68564646057</v>
      </c>
      <c r="O204" s="60">
        <f t="shared" ref="O204" si="152">IF($A$64&lt;=O168,IF($B$64&gt;=O168,ABS(O203),0),0)</f>
        <v>530868.0964288062</v>
      </c>
      <c r="P204" s="60">
        <f t="shared" ref="P204" si="153">IF($A$64&lt;=P168,IF($B$64&gt;=P168,ABS(P203),0),0)</f>
        <v>769313.28825230617</v>
      </c>
      <c r="Q204" s="60">
        <f t="shared" ref="Q204" si="154">IF($A$64&lt;=Q168,IF($B$64&gt;=Q168,ABS(Q203),0),0)</f>
        <v>1017014.2164202909</v>
      </c>
      <c r="R204" s="60">
        <f t="shared" ref="R204" si="155">IF($A$64&lt;=R168,IF($B$64&gt;=R168,ABS(R203),0),0)</f>
        <v>1057733.4554474896</v>
      </c>
      <c r="S204" s="60">
        <f t="shared" ref="S204" si="156">IF($A$64&lt;=S168,IF($B$64&gt;=S168,ABS(S203),0),0)</f>
        <v>1116362.7433317157</v>
      </c>
      <c r="T204" s="60">
        <f t="shared" ref="T204" si="157">IF($A$64&lt;=T168,IF($B$64&gt;=T168,ABS(T203),0),0)</f>
        <v>1190859.865726321</v>
      </c>
      <c r="U204" s="60">
        <f t="shared" ref="U204" si="158">IF($A$64&lt;=U168,IF($B$64&gt;=U168,ABS(U203),0),0)</f>
        <v>1554000.0658749649</v>
      </c>
      <c r="V204" s="60">
        <f t="shared" ref="V204" si="159">IF($A$64&lt;=V168,IF($B$64&gt;=V168,ABS(V203),0),0)</f>
        <v>2141892.0780574866</v>
      </c>
      <c r="W204" s="60">
        <f t="shared" ref="W204" si="160">IF($A$64&lt;=W168,IF($B$64&gt;=W168,ABS(W203),0),0)</f>
        <v>2466611.7612505686</v>
      </c>
      <c r="X204" s="60">
        <f t="shared" ref="X204" si="161">IF($A$64&lt;=X168,IF($B$64&gt;=X168,ABS(X203),0),0)</f>
        <v>2361172.7831240259</v>
      </c>
      <c r="Y204" s="60">
        <f t="shared" ref="Y204" si="162">IF($A$64&lt;=Y168,IF($B$64&gt;=Y168,ABS(Y203),0),0)</f>
        <v>2041532.0718274959</v>
      </c>
      <c r="Z204" s="60">
        <f t="shared" ref="Z204" si="163">IF($A$64&lt;=Z168,IF($B$64&gt;=Z168,ABS(Z203),0),0)</f>
        <v>1636148.5243846385</v>
      </c>
      <c r="AA204" s="60">
        <f t="shared" ref="AA204" si="164">IF($A$64&lt;=AA168,IF($B$64&gt;=AA168,ABS(AA203),0),0)</f>
        <v>1211551.0090240517</v>
      </c>
      <c r="AB204" s="60">
        <f t="shared" ref="AB204" si="165">IF($A$64&lt;=AB168,IF($B$64&gt;=AB168,ABS(AB203),0),0)</f>
        <v>824141.40511265711</v>
      </c>
      <c r="AC204" s="60">
        <f t="shared" ref="AC204" si="166">IF($A$64&lt;=AC168,IF($B$64&gt;=AC168,ABS(AC203),0),0)</f>
        <v>345597.48139583447</v>
      </c>
      <c r="AD204" s="60">
        <f t="shared" ref="AD204" si="167">IF($A$64&lt;=AD168,IF($B$64&gt;=AD168,ABS(AD203),0),0)</f>
        <v>56763.001963163457</v>
      </c>
      <c r="AE204" s="60">
        <f t="shared" ref="AE204" si="168">IF($A$64&lt;=AE168,IF($B$64&gt;=AE168,ABS(AE203),0),0)</f>
        <v>24640.913493130007</v>
      </c>
      <c r="AF204" s="60">
        <f t="shared" ref="AF204" si="169">IF($A$64&lt;=AF168,IF($B$64&gt;=AF168,ABS(AF203),0),0)</f>
        <v>313902.91288022656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6184.5960882932559</v>
      </c>
      <c r="C209" s="27">
        <f t="shared" ref="C209:AF209" si="170">($C$17+SUM(C210:C240))*$B$51</f>
        <v>6184.5960882932231</v>
      </c>
      <c r="D209" s="27">
        <f t="shared" si="170"/>
        <v>6184.5960882928957</v>
      </c>
      <c r="E209" s="27">
        <f t="shared" si="170"/>
        <v>6184.5960882896297</v>
      </c>
      <c r="F209" s="27">
        <f t="shared" si="170"/>
        <v>6184.5960882569589</v>
      </c>
      <c r="G209" s="27">
        <f t="shared" si="170"/>
        <v>6184.5960879302665</v>
      </c>
      <c r="H209" s="27">
        <f t="shared" si="170"/>
        <v>6184.5960846633316</v>
      </c>
      <c r="I209" s="27">
        <f t="shared" si="170"/>
        <v>6184.596051993989</v>
      </c>
      <c r="J209" s="27">
        <f t="shared" si="170"/>
        <v>6184.5957253012357</v>
      </c>
      <c r="K209" s="27">
        <f t="shared" si="170"/>
        <v>6184.5924584400955</v>
      </c>
      <c r="L209" s="27">
        <f t="shared" si="170"/>
        <v>6184.5597964658918</v>
      </c>
      <c r="M209" s="27">
        <f t="shared" si="170"/>
        <v>6184.233837819319</v>
      </c>
      <c r="N209" s="27">
        <f t="shared" si="170"/>
        <v>6181.0378333687122</v>
      </c>
      <c r="O209" s="27">
        <f t="shared" si="170"/>
        <v>6153.6369680495918</v>
      </c>
      <c r="P209" s="27">
        <f t="shared" si="170"/>
        <v>6015.8978600486398</v>
      </c>
      <c r="Q209" s="27">
        <f t="shared" si="170"/>
        <v>5873.965315403947</v>
      </c>
      <c r="R209" s="27">
        <f t="shared" si="170"/>
        <v>5704.8425795633539</v>
      </c>
      <c r="S209" s="27">
        <f t="shared" si="170"/>
        <v>5512.9400957401258</v>
      </c>
      <c r="T209" s="27">
        <f t="shared" si="170"/>
        <v>5310.1892892798051</v>
      </c>
      <c r="U209" s="27">
        <f t="shared" si="170"/>
        <v>5062.4027339377571</v>
      </c>
      <c r="V209" s="27">
        <f t="shared" si="170"/>
        <v>4754.3472182465248</v>
      </c>
      <c r="W209" s="27">
        <f t="shared" si="170"/>
        <v>4413.271034286714</v>
      </c>
      <c r="X209" s="27">
        <f t="shared" si="170"/>
        <v>4070.0337231433514</v>
      </c>
      <c r="Y209" s="27">
        <f t="shared" si="170"/>
        <v>3720.5117775112685</v>
      </c>
      <c r="Z209" s="27">
        <f t="shared" si="170"/>
        <v>3362.5724138220262</v>
      </c>
      <c r="AA209" s="27">
        <f t="shared" si="170"/>
        <v>2888.3408935459693</v>
      </c>
      <c r="AB209" s="27">
        <f t="shared" si="170"/>
        <v>2365.9109967993336</v>
      </c>
      <c r="AC209" s="27">
        <f t="shared" si="170"/>
        <v>1776.2835881510186</v>
      </c>
      <c r="AD209" s="27">
        <f t="shared" si="170"/>
        <v>1147.1892295257337</v>
      </c>
      <c r="AE209" s="27">
        <f t="shared" si="170"/>
        <v>684.05329930963194</v>
      </c>
      <c r="AF209" s="27">
        <f t="shared" si="170"/>
        <v>383.79729089128489</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0.23060808513531136</v>
      </c>
      <c r="B241" s="80">
        <f>IF($A$64&lt;=B207,IF($B$64&gt;=B207,ABS((B209-B208)/B208),0),0)</f>
        <v>1.0259709794086121E-3</v>
      </c>
      <c r="C241" s="80">
        <f t="shared" ref="C241:AF241" si="202">IF($A$64&lt;=C207,IF($B$64&gt;=C207,ABS((C209-C208)/C208),0),0)</f>
        <v>1.0329295335268654E-3</v>
      </c>
      <c r="D241" s="80">
        <f t="shared" si="202"/>
        <v>1.0184257722389591E-3</v>
      </c>
      <c r="E241" s="80">
        <f t="shared" si="202"/>
        <v>9.216315429023469E-4</v>
      </c>
      <c r="F241" s="80">
        <f t="shared" si="202"/>
        <v>7.9803909281304176E-6</v>
      </c>
      <c r="G241" s="80">
        <f t="shared" si="202"/>
        <v>8.0912014823150569E-3</v>
      </c>
      <c r="H241" s="80">
        <f t="shared" si="202"/>
        <v>3.7659496844571011E-2</v>
      </c>
      <c r="I241" s="80">
        <f t="shared" si="202"/>
        <v>5.9455990455284907E-2</v>
      </c>
      <c r="J241" s="80">
        <f t="shared" si="202"/>
        <v>8.0013774531659393E-2</v>
      </c>
      <c r="K241" s="80">
        <f t="shared" si="202"/>
        <v>0.10431237592468608</v>
      </c>
      <c r="L241" s="80">
        <f t="shared" si="202"/>
        <v>0.1308957617015814</v>
      </c>
      <c r="M241" s="80">
        <f t="shared" si="202"/>
        <v>0.16251754933435339</v>
      </c>
      <c r="N241" s="80">
        <f t="shared" si="202"/>
        <v>0.19838340146070157</v>
      </c>
      <c r="O241" s="80">
        <f t="shared" si="202"/>
        <v>0.23358303279949166</v>
      </c>
      <c r="P241" s="80">
        <f t="shared" si="202"/>
        <v>0.24651397500641442</v>
      </c>
      <c r="Q241" s="80">
        <f t="shared" si="202"/>
        <v>0.2612525291719936</v>
      </c>
      <c r="R241" s="80">
        <f t="shared" si="202"/>
        <v>0.28262057214074032</v>
      </c>
      <c r="S241" s="80">
        <f t="shared" si="202"/>
        <v>0.31585273598264491</v>
      </c>
      <c r="T241" s="80">
        <f t="shared" si="202"/>
        <v>0.37218186046751311</v>
      </c>
      <c r="U241" s="80">
        <f t="shared" si="202"/>
        <v>0.43603228605359412</v>
      </c>
      <c r="V241" s="80">
        <f t="shared" si="202"/>
        <v>0.48585608635717453</v>
      </c>
      <c r="W241" s="80">
        <f t="shared" si="202"/>
        <v>0.50366252105259801</v>
      </c>
      <c r="X241" s="80">
        <f t="shared" si="202"/>
        <v>0.50173636713240388</v>
      </c>
      <c r="Y241" s="80">
        <f t="shared" si="202"/>
        <v>0.47862677430495365</v>
      </c>
      <c r="Z241" s="80">
        <f t="shared" si="202"/>
        <v>0.44893466280635441</v>
      </c>
      <c r="AA241" s="80">
        <f t="shared" si="202"/>
        <v>0.35735360395906063</v>
      </c>
      <c r="AB241" s="80">
        <f t="shared" si="202"/>
        <v>0.23077635950679637</v>
      </c>
      <c r="AC241" s="80">
        <f t="shared" si="202"/>
        <v>4.5342637872076173E-2</v>
      </c>
      <c r="AD241" s="80">
        <f t="shared" si="202"/>
        <v>0.20468393396716486</v>
      </c>
      <c r="AE241" s="80">
        <f t="shared" si="202"/>
        <v>0.40655106510118733</v>
      </c>
      <c r="AF241" s="80">
        <f t="shared" si="202"/>
        <v>0.5519531455583333</v>
      </c>
    </row>
    <row r="242" spans="1:34" x14ac:dyDescent="0.25">
      <c r="B242" s="21">
        <f>(B209-B208)^2</f>
        <v>40.344509555915351</v>
      </c>
      <c r="C242" s="21">
        <f t="shared" ref="C242:AF242" si="203">(C209-C208)^2</f>
        <v>40.894201033234737</v>
      </c>
      <c r="D242" s="21">
        <f t="shared" si="203"/>
        <v>39.75268698210494</v>
      </c>
      <c r="E242" s="21">
        <f t="shared" si="203"/>
        <v>32.549043529584871</v>
      </c>
      <c r="F242" s="21">
        <f t="shared" si="203"/>
        <v>2.4359259595674518E-3</v>
      </c>
      <c r="G242" s="21">
        <f t="shared" si="203"/>
        <v>2464.0474453097127</v>
      </c>
      <c r="H242" s="21">
        <f t="shared" si="203"/>
        <v>50380.442599007707</v>
      </c>
      <c r="I242" s="21">
        <f t="shared" si="203"/>
        <v>120461.44608854703</v>
      </c>
      <c r="J242" s="21">
        <f t="shared" si="203"/>
        <v>209939.21017609385</v>
      </c>
      <c r="K242" s="21">
        <f t="shared" si="203"/>
        <v>341279.31731740397</v>
      </c>
      <c r="L242" s="21">
        <f t="shared" si="203"/>
        <v>512417.08588678762</v>
      </c>
      <c r="M242" s="21">
        <f t="shared" si="203"/>
        <v>747434.77462383977</v>
      </c>
      <c r="N242" s="21">
        <f t="shared" si="203"/>
        <v>1046988.4682025143</v>
      </c>
      <c r="O242" s="21">
        <f t="shared" si="203"/>
        <v>1357717.9336631303</v>
      </c>
      <c r="P242" s="21">
        <f t="shared" si="203"/>
        <v>1415434.2288596996</v>
      </c>
      <c r="Q242" s="21">
        <f t="shared" si="203"/>
        <v>1480401.9971955358</v>
      </c>
      <c r="R242" s="21">
        <f t="shared" si="203"/>
        <v>1580150.5608755674</v>
      </c>
      <c r="S242" s="21">
        <f t="shared" si="203"/>
        <v>1751141.5692165929</v>
      </c>
      <c r="T242" s="21">
        <f t="shared" si="203"/>
        <v>2074469.5386699627</v>
      </c>
      <c r="U242" s="21">
        <f t="shared" si="203"/>
        <v>2362774.4794532293</v>
      </c>
      <c r="V242" s="21">
        <f t="shared" si="203"/>
        <v>2416816.0233451407</v>
      </c>
      <c r="W242" s="21">
        <f t="shared" si="203"/>
        <v>2185242.9083198477</v>
      </c>
      <c r="X242" s="21">
        <f t="shared" si="203"/>
        <v>1849097.3707927936</v>
      </c>
      <c r="Y242" s="21">
        <f t="shared" si="203"/>
        <v>1450381.3747699186</v>
      </c>
      <c r="Z242" s="21">
        <f t="shared" si="203"/>
        <v>1085455.3546994734</v>
      </c>
      <c r="AA242" s="21">
        <f t="shared" si="203"/>
        <v>578238.80076737271</v>
      </c>
      <c r="AB242" s="21">
        <f t="shared" si="203"/>
        <v>196798.21287233435</v>
      </c>
      <c r="AC242" s="21">
        <f t="shared" si="203"/>
        <v>5936.368349629729</v>
      </c>
      <c r="AD242" s="21">
        <f t="shared" si="203"/>
        <v>87168.208703753888</v>
      </c>
      <c r="AE242" s="21">
        <f t="shared" si="203"/>
        <v>219605.58494221559</v>
      </c>
      <c r="AF242" s="21">
        <f t="shared" si="203"/>
        <v>223543.15176539318</v>
      </c>
      <c r="AG242" s="3"/>
      <c r="AH242" s="3"/>
    </row>
    <row r="243" spans="1:34" x14ac:dyDescent="0.25">
      <c r="A243" s="71">
        <f>SUM(B243:AF243)</f>
        <v>25351892.002478123</v>
      </c>
      <c r="B243" s="60">
        <f>IF($A$64&lt;=B207,IF($B$64&gt;=B207,ABS(B242),0),0)</f>
        <v>40.344509555915351</v>
      </c>
      <c r="C243" s="60">
        <f t="shared" ref="C243" si="204">IF($A$64&lt;=C207,IF($B$64&gt;=C207,ABS(C242),0),0)</f>
        <v>40.894201033234737</v>
      </c>
      <c r="D243" s="60">
        <f t="shared" ref="D243" si="205">IF($A$64&lt;=D207,IF($B$64&gt;=D207,ABS(D242),0),0)</f>
        <v>39.75268698210494</v>
      </c>
      <c r="E243" s="60">
        <f t="shared" ref="E243" si="206">IF($A$64&lt;=E207,IF($B$64&gt;=E207,ABS(E242),0),0)</f>
        <v>32.549043529584871</v>
      </c>
      <c r="F243" s="60">
        <f t="shared" ref="F243" si="207">IF($A$64&lt;=F207,IF($B$64&gt;=F207,ABS(F242),0),0)</f>
        <v>2.4359259595674518E-3</v>
      </c>
      <c r="G243" s="60">
        <f t="shared" ref="G243" si="208">IF($A$64&lt;=G207,IF($B$64&gt;=G207,ABS(G242),0),0)</f>
        <v>2464.0474453097127</v>
      </c>
      <c r="H243" s="60">
        <f t="shared" ref="H243" si="209">IF($A$64&lt;=H207,IF($B$64&gt;=H207,ABS(H242),0),0)</f>
        <v>50380.442599007707</v>
      </c>
      <c r="I243" s="60">
        <f t="shared" ref="I243" si="210">IF($A$64&lt;=I207,IF($B$64&gt;=I207,ABS(I242),0),0)</f>
        <v>120461.44608854703</v>
      </c>
      <c r="J243" s="60">
        <f t="shared" ref="J243" si="211">IF($A$64&lt;=J207,IF($B$64&gt;=J207,ABS(J242),0),0)</f>
        <v>209939.21017609385</v>
      </c>
      <c r="K243" s="60">
        <f t="shared" ref="K243" si="212">IF($A$64&lt;=K207,IF($B$64&gt;=K207,ABS(K242),0),0)</f>
        <v>341279.31731740397</v>
      </c>
      <c r="L243" s="60">
        <f t="shared" ref="L243" si="213">IF($A$64&lt;=L207,IF($B$64&gt;=L207,ABS(L242),0),0)</f>
        <v>512417.08588678762</v>
      </c>
      <c r="M243" s="60">
        <f t="shared" ref="M243" si="214">IF($A$64&lt;=M207,IF($B$64&gt;=M207,ABS(M242),0),0)</f>
        <v>747434.77462383977</v>
      </c>
      <c r="N243" s="60">
        <f t="shared" ref="N243" si="215">IF($A$64&lt;=N207,IF($B$64&gt;=N207,ABS(N242),0),0)</f>
        <v>1046988.4682025143</v>
      </c>
      <c r="O243" s="60">
        <f t="shared" ref="O243" si="216">IF($A$64&lt;=O207,IF($B$64&gt;=O207,ABS(O242),0),0)</f>
        <v>1357717.9336631303</v>
      </c>
      <c r="P243" s="60">
        <f t="shared" ref="P243" si="217">IF($A$64&lt;=P207,IF($B$64&gt;=P207,ABS(P242),0),0)</f>
        <v>1415434.2288596996</v>
      </c>
      <c r="Q243" s="60">
        <f t="shared" ref="Q243" si="218">IF($A$64&lt;=Q207,IF($B$64&gt;=Q207,ABS(Q242),0),0)</f>
        <v>1480401.9971955358</v>
      </c>
      <c r="R243" s="60">
        <f t="shared" ref="R243" si="219">IF($A$64&lt;=R207,IF($B$64&gt;=R207,ABS(R242),0),0)</f>
        <v>1580150.5608755674</v>
      </c>
      <c r="S243" s="60">
        <f t="shared" ref="S243" si="220">IF($A$64&lt;=S207,IF($B$64&gt;=S207,ABS(S242),0),0)</f>
        <v>1751141.5692165929</v>
      </c>
      <c r="T243" s="60">
        <f t="shared" ref="T243" si="221">IF($A$64&lt;=T207,IF($B$64&gt;=T207,ABS(T242),0),0)</f>
        <v>2074469.5386699627</v>
      </c>
      <c r="U243" s="60">
        <f t="shared" ref="U243" si="222">IF($A$64&lt;=U207,IF($B$64&gt;=U207,ABS(U242),0),0)</f>
        <v>2362774.4794532293</v>
      </c>
      <c r="V243" s="60">
        <f t="shared" ref="V243" si="223">IF($A$64&lt;=V207,IF($B$64&gt;=V207,ABS(V242),0),0)</f>
        <v>2416816.0233451407</v>
      </c>
      <c r="W243" s="60">
        <f t="shared" ref="W243" si="224">IF($A$64&lt;=W207,IF($B$64&gt;=W207,ABS(W242),0),0)</f>
        <v>2185242.9083198477</v>
      </c>
      <c r="X243" s="60">
        <f t="shared" ref="X243" si="225">IF($A$64&lt;=X207,IF($B$64&gt;=X207,ABS(X242),0),0)</f>
        <v>1849097.3707927936</v>
      </c>
      <c r="Y243" s="60">
        <f t="shared" ref="Y243" si="226">IF($A$64&lt;=Y207,IF($B$64&gt;=Y207,ABS(Y242),0),0)</f>
        <v>1450381.3747699186</v>
      </c>
      <c r="Z243" s="60">
        <f t="shared" ref="Z243" si="227">IF($A$64&lt;=Z207,IF($B$64&gt;=Z207,ABS(Z242),0),0)</f>
        <v>1085455.3546994734</v>
      </c>
      <c r="AA243" s="60">
        <f t="shared" ref="AA243" si="228">IF($A$64&lt;=AA207,IF($B$64&gt;=AA207,ABS(AA242),0),0)</f>
        <v>578238.80076737271</v>
      </c>
      <c r="AB243" s="60">
        <f t="shared" ref="AB243" si="229">IF($A$64&lt;=AB207,IF($B$64&gt;=AB207,ABS(AB242),0),0)</f>
        <v>196798.21287233435</v>
      </c>
      <c r="AC243" s="60">
        <f t="shared" ref="AC243" si="230">IF($A$64&lt;=AC207,IF($B$64&gt;=AC207,ABS(AC242),0),0)</f>
        <v>5936.368349629729</v>
      </c>
      <c r="AD243" s="60">
        <f t="shared" ref="AD243" si="231">IF($A$64&lt;=AD207,IF($B$64&gt;=AD207,ABS(AD242),0),0)</f>
        <v>87168.208703753888</v>
      </c>
      <c r="AE243" s="60">
        <f t="shared" ref="AE243" si="232">IF($A$64&lt;=AE207,IF($B$64&gt;=AE207,ABS(AE242),0),0)</f>
        <v>219605.58494221559</v>
      </c>
      <c r="AF243" s="60">
        <f t="shared" ref="AF243" si="233">IF($A$64&lt;=AF207,IF($B$64&gt;=AF207,ABS(AF242),0),0)</f>
        <v>223543.15176539318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6184.5960882906511</v>
      </c>
      <c r="C248" s="27">
        <f t="shared" ref="C248:AF248" si="234">($C$17+SUM(C249:C279))*$B$51</f>
        <v>6184.5960882671779</v>
      </c>
      <c r="D248" s="27">
        <f t="shared" si="234"/>
        <v>6184.5960880324483</v>
      </c>
      <c r="E248" s="27">
        <f t="shared" si="234"/>
        <v>6184.5960856851516</v>
      </c>
      <c r="F248" s="27">
        <f t="shared" si="234"/>
        <v>6184.5960622121902</v>
      </c>
      <c r="G248" s="27">
        <f t="shared" si="234"/>
        <v>6184.5958274829181</v>
      </c>
      <c r="H248" s="27">
        <f t="shared" si="234"/>
        <v>6184.5934802244637</v>
      </c>
      <c r="I248" s="27">
        <f t="shared" si="234"/>
        <v>6184.5700110667731</v>
      </c>
      <c r="J248" s="27">
        <f t="shared" si="234"/>
        <v>6184.3356611991148</v>
      </c>
      <c r="K248" s="27">
        <f t="shared" si="234"/>
        <v>6182.0253849236369</v>
      </c>
      <c r="L248" s="27">
        <f t="shared" si="234"/>
        <v>6161.5075197145943</v>
      </c>
      <c r="M248" s="27">
        <f t="shared" si="234"/>
        <v>6043.6587389165134</v>
      </c>
      <c r="N248" s="27">
        <f t="shared" si="234"/>
        <v>5895.1465437075358</v>
      </c>
      <c r="O248" s="27">
        <f t="shared" si="234"/>
        <v>5735.1533826846235</v>
      </c>
      <c r="P248" s="27">
        <f t="shared" si="234"/>
        <v>5542.765898268417</v>
      </c>
      <c r="Q248" s="27">
        <f t="shared" si="234"/>
        <v>5342.2399740496712</v>
      </c>
      <c r="R248" s="27">
        <f t="shared" si="234"/>
        <v>5103.427853741754</v>
      </c>
      <c r="S248" s="27">
        <f t="shared" si="234"/>
        <v>4801.3809970992297</v>
      </c>
      <c r="T248" s="27">
        <f t="shared" si="234"/>
        <v>4459.9729210995974</v>
      </c>
      <c r="U248" s="27">
        <f t="shared" si="234"/>
        <v>4114.3186084549006</v>
      </c>
      <c r="V248" s="27">
        <f t="shared" si="234"/>
        <v>3766.9948707294479</v>
      </c>
      <c r="W248" s="27">
        <f t="shared" si="234"/>
        <v>3405.8662800652905</v>
      </c>
      <c r="X248" s="27">
        <f t="shared" si="234"/>
        <v>2966.1091688667989</v>
      </c>
      <c r="Y248" s="27">
        <f t="shared" si="234"/>
        <v>2453.6248402547426</v>
      </c>
      <c r="Z248" s="27">
        <f t="shared" si="234"/>
        <v>1873.0764857628258</v>
      </c>
      <c r="AA248" s="27">
        <f t="shared" si="234"/>
        <v>1245.1057562273195</v>
      </c>
      <c r="AB248" s="27">
        <f t="shared" si="234"/>
        <v>743.84562840218018</v>
      </c>
      <c r="AC248" s="27">
        <f t="shared" si="234"/>
        <v>423.60928836187674</v>
      </c>
      <c r="AD248" s="27">
        <f t="shared" si="234"/>
        <v>237.74893881315103</v>
      </c>
      <c r="AE248" s="27">
        <f t="shared" si="234"/>
        <v>164.18624509664153</v>
      </c>
      <c r="AF248" s="27">
        <f t="shared" si="234"/>
        <v>143.35944800242748</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0.14592491306825708</v>
      </c>
      <c r="B280" s="80">
        <f>IF($D$61&lt;=B246,IF($E$61&gt;=B246,ABS((B248-B247)/B247),0),0)</f>
        <v>1.9664476045174102E-3</v>
      </c>
      <c r="C280" s="80">
        <f t="shared" ref="C280:AF280" si="266">IF($D$61&lt;=C246,IF($E$61&gt;=C246,ABS((C248-C247)/C247),0),0)</f>
        <v>2.135350686912734E-3</v>
      </c>
      <c r="D280" s="80">
        <f t="shared" si="266"/>
        <v>3.8457236683800736E-3</v>
      </c>
      <c r="E280" s="80">
        <f t="shared" si="266"/>
        <v>1.7178302360210781E-2</v>
      </c>
      <c r="F280" s="80">
        <f t="shared" si="266"/>
        <v>4.6556313703518128E-2</v>
      </c>
      <c r="G280" s="80">
        <f t="shared" si="266"/>
        <v>6.7441201733070735E-2</v>
      </c>
      <c r="H280" s="80">
        <f t="shared" si="266"/>
        <v>8.8792391715551214E-2</v>
      </c>
      <c r="I280" s="80">
        <f t="shared" si="266"/>
        <v>0.11367731631751289</v>
      </c>
      <c r="J280" s="80">
        <f t="shared" si="266"/>
        <v>0.14135808638552569</v>
      </c>
      <c r="K280" s="80">
        <f t="shared" si="266"/>
        <v>0.17383919668976461</v>
      </c>
      <c r="L280" s="80">
        <f t="shared" si="266"/>
        <v>0.20751600550070576</v>
      </c>
      <c r="M280" s="80">
        <f t="shared" si="266"/>
        <v>0.22460995883891963</v>
      </c>
      <c r="N280" s="80">
        <f t="shared" si="266"/>
        <v>0.23486648616247308</v>
      </c>
      <c r="O280" s="80">
        <f t="shared" si="266"/>
        <v>0.24727588132513997</v>
      </c>
      <c r="P280" s="80">
        <f t="shared" si="266"/>
        <v>0.2643318550737655</v>
      </c>
      <c r="Q280" s="80">
        <f t="shared" si="266"/>
        <v>0.28638385031998048</v>
      </c>
      <c r="R280" s="80">
        <f t="shared" si="266"/>
        <v>0.29614857169369935</v>
      </c>
      <c r="S280" s="80">
        <f t="shared" si="266"/>
        <v>0.30197797395634285</v>
      </c>
      <c r="T280" s="80">
        <f t="shared" si="266"/>
        <v>0.32652768159232964</v>
      </c>
      <c r="U280" s="80">
        <f t="shared" si="266"/>
        <v>0.34814971076471979</v>
      </c>
      <c r="V280" s="80">
        <f t="shared" si="266"/>
        <v>0.35414065336094847</v>
      </c>
      <c r="W280" s="80">
        <f t="shared" si="266"/>
        <v>0.33668208349396367</v>
      </c>
      <c r="X280" s="80">
        <f t="shared" si="266"/>
        <v>0.27591229976792153</v>
      </c>
      <c r="Y280" s="80">
        <f t="shared" si="266"/>
        <v>0.16235896240009526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147.32657200521416</v>
      </c>
      <c r="C281" s="21">
        <f t="shared" ref="C281:AF281" si="267">(C248-C247)^2</f>
        <v>173.66341475781164</v>
      </c>
      <c r="D281" s="21">
        <f t="shared" si="267"/>
        <v>561.36442450530683</v>
      </c>
      <c r="E281" s="21">
        <f t="shared" si="267"/>
        <v>10909.101751842114</v>
      </c>
      <c r="F281" s="21">
        <f t="shared" si="267"/>
        <v>75692.813241563097</v>
      </c>
      <c r="G281" s="21">
        <f t="shared" si="267"/>
        <v>152681.11506674354</v>
      </c>
      <c r="H281" s="21">
        <f t="shared" si="267"/>
        <v>254380.41430797733</v>
      </c>
      <c r="I281" s="21">
        <f t="shared" si="267"/>
        <v>398517.95871818496</v>
      </c>
      <c r="J281" s="21">
        <f t="shared" si="267"/>
        <v>586656.08699347323</v>
      </c>
      <c r="K281" s="21">
        <f t="shared" si="267"/>
        <v>838184.77191982092</v>
      </c>
      <c r="L281" s="21">
        <f t="shared" si="267"/>
        <v>1121221.3832907754</v>
      </c>
      <c r="M281" s="21">
        <f t="shared" si="267"/>
        <v>1228746.5450405653</v>
      </c>
      <c r="N281" s="21">
        <f t="shared" si="267"/>
        <v>1257162.1677638849</v>
      </c>
      <c r="O281" s="21">
        <f t="shared" si="267"/>
        <v>1292791.662455294</v>
      </c>
      <c r="P281" s="21">
        <f t="shared" si="267"/>
        <v>1342857.471589593</v>
      </c>
      <c r="Q281" s="21">
        <f t="shared" si="267"/>
        <v>1414499.0967139609</v>
      </c>
      <c r="R281" s="21">
        <f t="shared" si="267"/>
        <v>1359670.493063123</v>
      </c>
      <c r="S281" s="21">
        <f t="shared" si="267"/>
        <v>1240153.942433079</v>
      </c>
      <c r="T281" s="21">
        <f t="shared" si="267"/>
        <v>1205235.2328935517</v>
      </c>
      <c r="U281" s="21">
        <f t="shared" si="267"/>
        <v>1128890.1186221463</v>
      </c>
      <c r="V281" s="21">
        <f t="shared" si="267"/>
        <v>970541.41678156855</v>
      </c>
      <c r="W281" s="21">
        <f t="shared" si="267"/>
        <v>735934.12919541146</v>
      </c>
      <c r="X281" s="21">
        <f t="shared" si="267"/>
        <v>411409.89880692726</v>
      </c>
      <c r="Y281" s="21">
        <f t="shared" si="267"/>
        <v>117459.54566405548</v>
      </c>
      <c r="Z281" s="21">
        <f t="shared" si="267"/>
        <v>256.83882926858956</v>
      </c>
      <c r="AA281" s="21">
        <f t="shared" si="267"/>
        <v>164846.89875091347</v>
      </c>
      <c r="AB281" s="21">
        <f t="shared" si="267"/>
        <v>405254.28512248554</v>
      </c>
      <c r="AC281" s="21">
        <f t="shared" si="267"/>
        <v>432810.00251866912</v>
      </c>
      <c r="AD281" s="21">
        <f t="shared" si="267"/>
        <v>304711.00865264976</v>
      </c>
      <c r="AE281" s="21">
        <f t="shared" si="267"/>
        <v>154005.27355292824</v>
      </c>
      <c r="AF281" s="21">
        <f t="shared" si="267"/>
        <v>67525.000372293114</v>
      </c>
      <c r="AG281" s="3"/>
      <c r="AH281" s="3"/>
    </row>
    <row r="282" spans="1:34" s="3" customFormat="1" x14ac:dyDescent="0.25">
      <c r="A282" s="71">
        <f>SUM(B282:AF282)</f>
        <v>17144477.72072481</v>
      </c>
      <c r="B282" s="21">
        <f>IF($D$61&lt;=B246,IF($E$61&gt;=B246,ABS(B281),0),0)</f>
        <v>147.32657200521416</v>
      </c>
      <c r="C282" s="21">
        <f t="shared" ref="C282:AF282" si="268">IF($D$61&lt;=C246,IF($E$61&gt;=C246,ABS(C281),0),0)</f>
        <v>173.66341475781164</v>
      </c>
      <c r="D282" s="21">
        <f t="shared" si="268"/>
        <v>561.36442450530683</v>
      </c>
      <c r="E282" s="21">
        <f t="shared" si="268"/>
        <v>10909.101751842114</v>
      </c>
      <c r="F282" s="21">
        <f t="shared" si="268"/>
        <v>75692.813241563097</v>
      </c>
      <c r="G282" s="21">
        <f t="shared" si="268"/>
        <v>152681.11506674354</v>
      </c>
      <c r="H282" s="21">
        <f t="shared" si="268"/>
        <v>254380.41430797733</v>
      </c>
      <c r="I282" s="21">
        <f t="shared" si="268"/>
        <v>398517.95871818496</v>
      </c>
      <c r="J282" s="21">
        <f t="shared" si="268"/>
        <v>586656.08699347323</v>
      </c>
      <c r="K282" s="21">
        <f t="shared" si="268"/>
        <v>838184.77191982092</v>
      </c>
      <c r="L282" s="21">
        <f t="shared" si="268"/>
        <v>1121221.3832907754</v>
      </c>
      <c r="M282" s="21">
        <f t="shared" si="268"/>
        <v>1228746.5450405653</v>
      </c>
      <c r="N282" s="21">
        <f t="shared" si="268"/>
        <v>1257162.1677638849</v>
      </c>
      <c r="O282" s="21">
        <f t="shared" si="268"/>
        <v>1292791.662455294</v>
      </c>
      <c r="P282" s="21">
        <f t="shared" si="268"/>
        <v>1342857.471589593</v>
      </c>
      <c r="Q282" s="21">
        <f t="shared" si="268"/>
        <v>1414499.0967139609</v>
      </c>
      <c r="R282" s="21">
        <f t="shared" si="268"/>
        <v>1359670.493063123</v>
      </c>
      <c r="S282" s="21">
        <f t="shared" si="268"/>
        <v>1240153.942433079</v>
      </c>
      <c r="T282" s="21">
        <f t="shared" si="268"/>
        <v>1205235.2328935517</v>
      </c>
      <c r="U282" s="21">
        <f t="shared" si="268"/>
        <v>1128890.1186221463</v>
      </c>
      <c r="V282" s="21">
        <f t="shared" si="268"/>
        <v>970541.41678156855</v>
      </c>
      <c r="W282" s="21">
        <f t="shared" si="268"/>
        <v>735934.12919541146</v>
      </c>
      <c r="X282" s="21">
        <f t="shared" si="268"/>
        <v>411409.89880692726</v>
      </c>
      <c r="Y282" s="21">
        <f t="shared" si="268"/>
        <v>117459.54566405548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6184.5956358530584</v>
      </c>
      <c r="C287" s="27">
        <f t="shared" ref="C287:AF287" si="269">($C$17+SUM(C288:C318))*$B$51</f>
        <v>6184.5915639954446</v>
      </c>
      <c r="D287" s="27">
        <f t="shared" si="269"/>
        <v>6184.5508557294861</v>
      </c>
      <c r="E287" s="27">
        <f t="shared" si="269"/>
        <v>6184.1447990114575</v>
      </c>
      <c r="F287" s="27">
        <f t="shared" si="269"/>
        <v>6180.1819811835057</v>
      </c>
      <c r="G287" s="27">
        <f t="shared" si="269"/>
        <v>6147.1225882984336</v>
      </c>
      <c r="H287" s="27">
        <f t="shared" si="269"/>
        <v>5998.0334334925401</v>
      </c>
      <c r="I287" s="27">
        <f t="shared" si="269"/>
        <v>5859.253300114071</v>
      </c>
      <c r="J287" s="27">
        <f t="shared" si="269"/>
        <v>5684.0368743941126</v>
      </c>
      <c r="K287" s="27">
        <f t="shared" si="269"/>
        <v>5492.0049505077995</v>
      </c>
      <c r="L287" s="27">
        <f t="shared" si="269"/>
        <v>5287.101918262967</v>
      </c>
      <c r="M287" s="27">
        <f t="shared" si="269"/>
        <v>5032.5757478882515</v>
      </c>
      <c r="N287" s="27">
        <f t="shared" si="269"/>
        <v>4719.9989465829485</v>
      </c>
      <c r="O287" s="27">
        <f t="shared" si="269"/>
        <v>4379.1329831734729</v>
      </c>
      <c r="P287" s="27">
        <f t="shared" si="269"/>
        <v>4037.7125163444121</v>
      </c>
      <c r="Q287" s="27">
        <f t="shared" si="269"/>
        <v>3686.8399534377372</v>
      </c>
      <c r="R287" s="27">
        <f t="shared" si="269"/>
        <v>3331.1907512031294</v>
      </c>
      <c r="S287" s="27">
        <f t="shared" si="269"/>
        <v>2837.7978804826112</v>
      </c>
      <c r="T287" s="27">
        <f t="shared" si="269"/>
        <v>2307.1282366902005</v>
      </c>
      <c r="U287" s="27">
        <f t="shared" si="269"/>
        <v>1711.5205486268201</v>
      </c>
      <c r="V287" s="27">
        <f t="shared" si="269"/>
        <v>1084.2062817584072</v>
      </c>
      <c r="W287" s="27">
        <f t="shared" si="269"/>
        <v>645.3114705874242</v>
      </c>
      <c r="X287" s="27">
        <f t="shared" si="269"/>
        <v>358.50718463874802</v>
      </c>
      <c r="Y287" s="27">
        <f t="shared" si="269"/>
        <v>208.34129824066568</v>
      </c>
      <c r="Z287" s="27">
        <f t="shared" si="269"/>
        <v>156.00616942626593</v>
      </c>
      <c r="AA287" s="27">
        <f t="shared" si="269"/>
        <v>138.86714701461935</v>
      </c>
      <c r="AB287" s="27">
        <f t="shared" si="269"/>
        <v>93.43365522370452</v>
      </c>
      <c r="AC287" s="27">
        <f t="shared" si="269"/>
        <v>81.397692950326956</v>
      </c>
      <c r="AD287" s="27">
        <f t="shared" si="269"/>
        <v>81.397690959470921</v>
      </c>
      <c r="AE287" s="27">
        <f t="shared" si="269"/>
        <v>81.397690959470921</v>
      </c>
      <c r="AF287" s="27">
        <f t="shared" si="269"/>
        <v>81.397690959470921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0.3417040972204255</v>
      </c>
      <c r="B319" s="80">
        <f>IF($A$64&lt;=B285,IF($B$64&gt;=B285,ABS((B287-B286)/B286),0),0)</f>
        <v>1.5912231047664597E-2</v>
      </c>
      <c r="C319" s="80">
        <f t="shared" ref="C319:AF319" si="301">IF($A$64&lt;=C285,IF($B$64&gt;=C285,ABS((C287-C286)/C286),0),0)</f>
        <v>5.1228764195774448E-2</v>
      </c>
      <c r="D319" s="80">
        <f t="shared" si="301"/>
        <v>7.2475612182057614E-2</v>
      </c>
      <c r="E319" s="80">
        <f t="shared" si="301"/>
        <v>9.4104619058495459E-2</v>
      </c>
      <c r="F319" s="80">
        <f t="shared" si="301"/>
        <v>0.11844493652723824</v>
      </c>
      <c r="G319" s="80">
        <f t="shared" si="301"/>
        <v>0.1404018953612321</v>
      </c>
      <c r="H319" s="80">
        <f t="shared" si="301"/>
        <v>0.14502480866527243</v>
      </c>
      <c r="I319" s="80">
        <f t="shared" si="301"/>
        <v>0.15461154822249495</v>
      </c>
      <c r="J319" s="80">
        <f t="shared" si="301"/>
        <v>0.15798528426754729</v>
      </c>
      <c r="K319" s="80">
        <f t="shared" si="301"/>
        <v>0.15670226306591029</v>
      </c>
      <c r="L319" s="80">
        <f t="shared" si="301"/>
        <v>0.15675759654205809</v>
      </c>
      <c r="M319" s="80">
        <f t="shared" si="301"/>
        <v>0.15542328568494743</v>
      </c>
      <c r="N319" s="80">
        <f t="shared" si="301"/>
        <v>0.14329956015082809</v>
      </c>
      <c r="O319" s="80">
        <f t="shared" si="301"/>
        <v>0.11397273164371979</v>
      </c>
      <c r="P319" s="80">
        <f t="shared" si="301"/>
        <v>7.4989067102704171E-2</v>
      </c>
      <c r="Q319" s="80">
        <f t="shared" si="301"/>
        <v>3.1887387122026468E-2</v>
      </c>
      <c r="R319" s="80">
        <f t="shared" si="301"/>
        <v>7.4500153507053917E-3</v>
      </c>
      <c r="S319" s="80">
        <f t="shared" si="301"/>
        <v>7.4510144789333904E-2</v>
      </c>
      <c r="T319" s="80">
        <f t="shared" si="301"/>
        <v>0.16375787745439224</v>
      </c>
      <c r="U319" s="80">
        <f t="shared" si="301"/>
        <v>0.30574661896883576</v>
      </c>
      <c r="V319" s="80">
        <f t="shared" si="301"/>
        <v>0.50653923494647868</v>
      </c>
      <c r="W319" s="80">
        <f t="shared" si="301"/>
        <v>0.66688302089425389</v>
      </c>
      <c r="X319" s="80">
        <f t="shared" si="301"/>
        <v>0.78561829424949658</v>
      </c>
      <c r="Y319" s="80">
        <f t="shared" si="301"/>
        <v>0.84952450206953445</v>
      </c>
      <c r="Z319" s="80">
        <f t="shared" si="301"/>
        <v>0.85493545876894661</v>
      </c>
      <c r="AA319" s="80">
        <f t="shared" si="301"/>
        <v>0.82209969440976527</v>
      </c>
      <c r="AB319" s="80">
        <f t="shared" si="301"/>
        <v>0.82972713886573679</v>
      </c>
      <c r="AC319" s="80">
        <f t="shared" si="301"/>
        <v>0.79585987925627</v>
      </c>
      <c r="AD319" s="80">
        <f t="shared" si="301"/>
        <v>0.74617960824641072</v>
      </c>
      <c r="AE319" s="80">
        <f t="shared" si="301"/>
        <v>0.71107163061402767</v>
      </c>
      <c r="AF319" s="80">
        <f t="shared" si="301"/>
        <v>0.68970230410903099</v>
      </c>
    </row>
    <row r="320" spans="1:34" x14ac:dyDescent="0.25">
      <c r="B320" s="21">
        <f>(B287-B286)^2</f>
        <v>9383.6628102292507</v>
      </c>
      <c r="C320" s="21">
        <f t="shared" ref="C320:AF320" si="302">(C287-C286)^2</f>
        <v>90835.442205156258</v>
      </c>
      <c r="D320" s="21">
        <f t="shared" si="302"/>
        <v>174672.79296786708</v>
      </c>
      <c r="E320" s="21">
        <f t="shared" si="302"/>
        <v>282919.8887266505</v>
      </c>
      <c r="F320" s="21">
        <f t="shared" si="302"/>
        <v>428357.43628132803</v>
      </c>
      <c r="G320" s="21">
        <f t="shared" si="302"/>
        <v>572761.51411820308</v>
      </c>
      <c r="H320" s="21">
        <f t="shared" si="302"/>
        <v>577128.5698919046</v>
      </c>
      <c r="I320" s="21">
        <f t="shared" si="302"/>
        <v>615597.16465214337</v>
      </c>
      <c r="J320" s="21">
        <f t="shared" si="302"/>
        <v>601368.89977158967</v>
      </c>
      <c r="K320" s="21">
        <f t="shared" si="302"/>
        <v>553565.7433512609</v>
      </c>
      <c r="L320" s="21">
        <f t="shared" si="302"/>
        <v>513343.22695567313</v>
      </c>
      <c r="M320" s="21">
        <f t="shared" si="302"/>
        <v>458279.65853407228</v>
      </c>
      <c r="N320" s="21">
        <f t="shared" si="302"/>
        <v>349988.23476346483</v>
      </c>
      <c r="O320" s="21">
        <f t="shared" si="302"/>
        <v>200737.75469964262</v>
      </c>
      <c r="P320" s="21">
        <f t="shared" si="302"/>
        <v>79333.861751201955</v>
      </c>
      <c r="Q320" s="21">
        <f t="shared" si="302"/>
        <v>12980.213349288662</v>
      </c>
      <c r="R320" s="21">
        <f t="shared" si="302"/>
        <v>625.18502283021587</v>
      </c>
      <c r="S320" s="21">
        <f t="shared" si="302"/>
        <v>52197.584917970249</v>
      </c>
      <c r="T320" s="21">
        <f t="shared" si="302"/>
        <v>204119.16861090058</v>
      </c>
      <c r="U320" s="21">
        <f t="shared" si="302"/>
        <v>568135.01303797949</v>
      </c>
      <c r="V320" s="21">
        <f t="shared" si="302"/>
        <v>1238639.036992661</v>
      </c>
      <c r="W320" s="21">
        <f t="shared" si="302"/>
        <v>1668954.7096896544</v>
      </c>
      <c r="X320" s="21">
        <f t="shared" si="302"/>
        <v>1726010.6018364157</v>
      </c>
      <c r="Y320" s="21">
        <f t="shared" si="302"/>
        <v>1383473.9072385842</v>
      </c>
      <c r="Z320" s="21">
        <f t="shared" si="302"/>
        <v>845332.69946518762</v>
      </c>
      <c r="AA320" s="21">
        <f t="shared" si="302"/>
        <v>411807.84109924833</v>
      </c>
      <c r="AB320" s="21">
        <f t="shared" si="302"/>
        <v>207293.84245245409</v>
      </c>
      <c r="AC320" s="21">
        <f t="shared" si="302"/>
        <v>100702.59928858516</v>
      </c>
      <c r="AD320" s="21">
        <f t="shared" si="302"/>
        <v>57260.864841758346</v>
      </c>
      <c r="AE320" s="21">
        <f t="shared" si="302"/>
        <v>40130.123986702332</v>
      </c>
      <c r="AF320" s="21">
        <f t="shared" si="302"/>
        <v>32733.347627812571</v>
      </c>
      <c r="AG320" s="3"/>
      <c r="AH320" s="3"/>
    </row>
    <row r="321" spans="1:34" x14ac:dyDescent="0.25">
      <c r="A321" s="71">
        <f>SUM(B321:AF321)</f>
        <v>14058670.590938419</v>
      </c>
      <c r="B321" s="60">
        <f>IF($A$64&lt;=B285,IF($B$64&gt;=B285,ABS(B320),0),0)</f>
        <v>9383.6628102292507</v>
      </c>
      <c r="C321" s="60">
        <f t="shared" ref="C321" si="303">IF($A$64&lt;=C285,IF($B$64&gt;=C285,ABS(C320),0),0)</f>
        <v>90835.442205156258</v>
      </c>
      <c r="D321" s="60">
        <f t="shared" ref="D321" si="304">IF($A$64&lt;=D285,IF($B$64&gt;=D285,ABS(D320),0),0)</f>
        <v>174672.79296786708</v>
      </c>
      <c r="E321" s="60">
        <f t="shared" ref="E321" si="305">IF($A$64&lt;=E285,IF($B$64&gt;=E285,ABS(E320),0),0)</f>
        <v>282919.8887266505</v>
      </c>
      <c r="F321" s="60">
        <f t="shared" ref="F321" si="306">IF($A$64&lt;=F285,IF($B$64&gt;=F285,ABS(F320),0),0)</f>
        <v>428357.43628132803</v>
      </c>
      <c r="G321" s="60">
        <f t="shared" ref="G321" si="307">IF($A$64&lt;=G285,IF($B$64&gt;=G285,ABS(G320),0),0)</f>
        <v>572761.51411820308</v>
      </c>
      <c r="H321" s="60">
        <f t="shared" ref="H321" si="308">IF($A$64&lt;=H285,IF($B$64&gt;=H285,ABS(H320),0),0)</f>
        <v>577128.5698919046</v>
      </c>
      <c r="I321" s="60">
        <f t="shared" ref="I321" si="309">IF($A$64&lt;=I285,IF($B$64&gt;=I285,ABS(I320),0),0)</f>
        <v>615597.16465214337</v>
      </c>
      <c r="J321" s="60">
        <f t="shared" ref="J321" si="310">IF($A$64&lt;=J285,IF($B$64&gt;=J285,ABS(J320),0),0)</f>
        <v>601368.89977158967</v>
      </c>
      <c r="K321" s="60">
        <f t="shared" ref="K321" si="311">IF($A$64&lt;=K285,IF($B$64&gt;=K285,ABS(K320),0),0)</f>
        <v>553565.7433512609</v>
      </c>
      <c r="L321" s="60">
        <f t="shared" ref="L321" si="312">IF($A$64&lt;=L285,IF($B$64&gt;=L285,ABS(L320),0),0)</f>
        <v>513343.22695567313</v>
      </c>
      <c r="M321" s="60">
        <f t="shared" ref="M321" si="313">IF($A$64&lt;=M285,IF($B$64&gt;=M285,ABS(M320),0),0)</f>
        <v>458279.65853407228</v>
      </c>
      <c r="N321" s="60">
        <f t="shared" ref="N321" si="314">IF($A$64&lt;=N285,IF($B$64&gt;=N285,ABS(N320),0),0)</f>
        <v>349988.23476346483</v>
      </c>
      <c r="O321" s="60">
        <f t="shared" ref="O321" si="315">IF($A$64&lt;=O285,IF($B$64&gt;=O285,ABS(O320),0),0)</f>
        <v>200737.75469964262</v>
      </c>
      <c r="P321" s="60">
        <f t="shared" ref="P321" si="316">IF($A$64&lt;=P285,IF($B$64&gt;=P285,ABS(P320),0),0)</f>
        <v>79333.861751201955</v>
      </c>
      <c r="Q321" s="60">
        <f t="shared" ref="Q321" si="317">IF($A$64&lt;=Q285,IF($B$64&gt;=Q285,ABS(Q320),0),0)</f>
        <v>12980.213349288662</v>
      </c>
      <c r="R321" s="60">
        <f t="shared" ref="R321" si="318">IF($A$64&lt;=R285,IF($B$64&gt;=R285,ABS(R320),0),0)</f>
        <v>625.18502283021587</v>
      </c>
      <c r="S321" s="60">
        <f t="shared" ref="S321" si="319">IF($A$64&lt;=S285,IF($B$64&gt;=S285,ABS(S320),0),0)</f>
        <v>52197.584917970249</v>
      </c>
      <c r="T321" s="60">
        <f t="shared" ref="T321" si="320">IF($A$64&lt;=T285,IF($B$64&gt;=T285,ABS(T320),0),0)</f>
        <v>204119.16861090058</v>
      </c>
      <c r="U321" s="60">
        <f t="shared" ref="U321" si="321">IF($A$64&lt;=U285,IF($B$64&gt;=U285,ABS(U320),0),0)</f>
        <v>568135.01303797949</v>
      </c>
      <c r="V321" s="60">
        <f t="shared" ref="V321" si="322">IF($A$64&lt;=V285,IF($B$64&gt;=V285,ABS(V320),0),0)</f>
        <v>1238639.036992661</v>
      </c>
      <c r="W321" s="60">
        <f t="shared" ref="W321" si="323">IF($A$64&lt;=W285,IF($B$64&gt;=W285,ABS(W320),0),0)</f>
        <v>1668954.7096896544</v>
      </c>
      <c r="X321" s="60">
        <f t="shared" ref="X321" si="324">IF($A$64&lt;=X285,IF($B$64&gt;=X285,ABS(X320),0),0)</f>
        <v>1726010.6018364157</v>
      </c>
      <c r="Y321" s="60">
        <f t="shared" ref="Y321" si="325">IF($A$64&lt;=Y285,IF($B$64&gt;=Y285,ABS(Y320),0),0)</f>
        <v>1383473.9072385842</v>
      </c>
      <c r="Z321" s="60">
        <f t="shared" ref="Z321" si="326">IF($A$64&lt;=Z285,IF($B$64&gt;=Z285,ABS(Z320),0),0)</f>
        <v>845332.69946518762</v>
      </c>
      <c r="AA321" s="60">
        <f t="shared" ref="AA321" si="327">IF($A$64&lt;=AA285,IF($B$64&gt;=AA285,ABS(AA320),0),0)</f>
        <v>411807.84109924833</v>
      </c>
      <c r="AB321" s="60">
        <f t="shared" ref="AB321" si="328">IF($A$64&lt;=AB285,IF($B$64&gt;=AB285,ABS(AB320),0),0)</f>
        <v>207293.84245245409</v>
      </c>
      <c r="AC321" s="60">
        <f t="shared" ref="AC321" si="329">IF($A$64&lt;=AC285,IF($B$64&gt;=AC285,ABS(AC320),0),0)</f>
        <v>100702.59928858516</v>
      </c>
      <c r="AD321" s="60">
        <f t="shared" ref="AD321" si="330">IF($A$64&lt;=AD285,IF($B$64&gt;=AD285,ABS(AD320),0),0)</f>
        <v>57260.864841758346</v>
      </c>
      <c r="AE321" s="60">
        <f t="shared" ref="AE321" si="331">IF($A$64&lt;=AE285,IF($B$64&gt;=AE285,ABS(AE320),0),0)</f>
        <v>40130.123986702332</v>
      </c>
      <c r="AF321" s="60">
        <f t="shared" ref="AF321" si="332">IF($A$64&lt;=AF285,IF($B$64&gt;=AF285,ABS(AF320),0),0)</f>
        <v>32733.347627812571</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5577.5514638725435</v>
      </c>
      <c r="C326" s="27">
        <f t="shared" ref="C326:AF326" si="333">($C$17+SUM(C327:C357))*$B$51</f>
        <v>5379.0434928243976</v>
      </c>
      <c r="D326" s="27">
        <f t="shared" si="333"/>
        <v>5150.3681438956974</v>
      </c>
      <c r="E326" s="27">
        <f t="shared" si="333"/>
        <v>4856.3842149218226</v>
      </c>
      <c r="F326" s="27">
        <f t="shared" si="333"/>
        <v>4516.878746772717</v>
      </c>
      <c r="G326" s="27">
        <f t="shared" si="333"/>
        <v>4170.5197101254262</v>
      </c>
      <c r="H326" s="27">
        <f t="shared" si="333"/>
        <v>3827.0728845951317</v>
      </c>
      <c r="I326" s="27">
        <f t="shared" si="333"/>
        <v>3465.2640298521251</v>
      </c>
      <c r="J326" s="27">
        <f t="shared" si="333"/>
        <v>3069.2760135929307</v>
      </c>
      <c r="K326" s="27">
        <f t="shared" si="333"/>
        <v>2560.1748361623659</v>
      </c>
      <c r="L326" s="27">
        <f t="shared" si="333"/>
        <v>1990.8781691976662</v>
      </c>
      <c r="M326" s="27">
        <f t="shared" si="333"/>
        <v>1368.2873174599117</v>
      </c>
      <c r="N326" s="27">
        <f t="shared" si="333"/>
        <v>819.08692663671718</v>
      </c>
      <c r="O326" s="27">
        <f t="shared" si="333"/>
        <v>474.42454044399057</v>
      </c>
      <c r="P326" s="27">
        <f t="shared" si="333"/>
        <v>261.34311043411793</v>
      </c>
      <c r="Q326" s="27">
        <f t="shared" si="333"/>
        <v>170.88366410098399</v>
      </c>
      <c r="R326" s="27">
        <f t="shared" si="333"/>
        <v>145.73663186498715</v>
      </c>
      <c r="S326" s="27">
        <f t="shared" si="333"/>
        <v>117.14076166637237</v>
      </c>
      <c r="T326" s="27">
        <f t="shared" si="333"/>
        <v>81.503868947378947</v>
      </c>
      <c r="U326" s="27">
        <f t="shared" si="333"/>
        <v>81.397690959470921</v>
      </c>
      <c r="V326" s="27">
        <f t="shared" si="333"/>
        <v>81.397690959470921</v>
      </c>
      <c r="W326" s="27">
        <f t="shared" si="333"/>
        <v>81.397690959470921</v>
      </c>
      <c r="X326" s="27">
        <f t="shared" si="333"/>
        <v>81.397690959470921</v>
      </c>
      <c r="Y326" s="27">
        <f t="shared" si="333"/>
        <v>81.397690959470921</v>
      </c>
      <c r="Z326" s="27">
        <f t="shared" si="333"/>
        <v>81.397690959470921</v>
      </c>
      <c r="AA326" s="27">
        <f t="shared" si="333"/>
        <v>81.397690959470921</v>
      </c>
      <c r="AB326" s="27">
        <f t="shared" si="333"/>
        <v>81.397690959470921</v>
      </c>
      <c r="AC326" s="27">
        <f t="shared" si="333"/>
        <v>81.397690959470921</v>
      </c>
      <c r="AD326" s="27">
        <f t="shared" si="333"/>
        <v>81.397690959470921</v>
      </c>
      <c r="AE326" s="27">
        <f t="shared" si="333"/>
        <v>81.397690959470921</v>
      </c>
      <c r="AF326" s="27">
        <f t="shared" si="333"/>
        <v>81.397690959470921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0.5225099914541711</v>
      </c>
      <c r="B358" s="80">
        <f>IF($A$64&lt;=B324,IF($B$64&gt;=B324,ABS((B326-B325)/B325),0),0)</f>
        <v>0.10292741635131894</v>
      </c>
      <c r="C358" s="80">
        <f t="shared" ref="C358:AF358" si="365">IF($A$64&lt;=C324,IF($B$64&gt;=C324,ABS((C326-C325)/C325),0),0)</f>
        <v>0.10935020069395257</v>
      </c>
      <c r="D358" s="80">
        <f t="shared" si="365"/>
        <v>9.9425631429353595E-2</v>
      </c>
      <c r="E358" s="80">
        <f t="shared" si="365"/>
        <v>7.9635734427432561E-2</v>
      </c>
      <c r="F358" s="80">
        <f t="shared" si="365"/>
        <v>5.5964353531098333E-2</v>
      </c>
      <c r="G358" s="80">
        <f t="shared" si="365"/>
        <v>2.7962019058515725E-2</v>
      </c>
      <c r="H358" s="80">
        <f t="shared" si="365"/>
        <v>1.1403697582108636E-2</v>
      </c>
      <c r="I358" s="80">
        <f t="shared" si="365"/>
        <v>6.2366245003457957E-2</v>
      </c>
      <c r="J358" s="80">
        <f t="shared" si="365"/>
        <v>0.12944628373641073</v>
      </c>
      <c r="K358" s="80">
        <f t="shared" si="365"/>
        <v>0.23739623027417495</v>
      </c>
      <c r="L358" s="80">
        <f t="shared" si="365"/>
        <v>0.3753249213273917</v>
      </c>
      <c r="M358" s="80">
        <f t="shared" si="365"/>
        <v>0.54344257779749794</v>
      </c>
      <c r="N358" s="80">
        <f t="shared" si="365"/>
        <v>0.70590270611247974</v>
      </c>
      <c r="O358" s="80">
        <f t="shared" si="365"/>
        <v>0.81385360802753814</v>
      </c>
      <c r="P358" s="80">
        <f t="shared" si="365"/>
        <v>0.88526367218868152</v>
      </c>
      <c r="Q358" s="80">
        <f t="shared" si="365"/>
        <v>0.91215977178233698</v>
      </c>
      <c r="R358" s="80">
        <f t="shared" si="365"/>
        <v>0.90579736348568973</v>
      </c>
      <c r="S358" s="80">
        <f t="shared" si="365"/>
        <v>0.89766354335121368</v>
      </c>
      <c r="T358" s="80">
        <f t="shared" si="365"/>
        <v>0.89812416775155546</v>
      </c>
      <c r="U358" s="80">
        <f t="shared" si="365"/>
        <v>0.85210461425268125</v>
      </c>
      <c r="V358" s="80">
        <f t="shared" si="365"/>
        <v>0.79670373643703274</v>
      </c>
      <c r="W358" s="80">
        <f t="shared" si="365"/>
        <v>0.74833079107438427</v>
      </c>
      <c r="X358" s="80">
        <f t="shared" si="365"/>
        <v>0.71501494872950422</v>
      </c>
      <c r="Y358" s="80">
        <f t="shared" si="365"/>
        <v>0.69252347830823691</v>
      </c>
      <c r="Z358" s="80">
        <f t="shared" si="365"/>
        <v>0.67623962836437035</v>
      </c>
      <c r="AA358" s="80">
        <f t="shared" si="365"/>
        <v>0.66766697704530742</v>
      </c>
      <c r="AB358" s="80">
        <f t="shared" si="365"/>
        <v>0.65111333794322801</v>
      </c>
      <c r="AC358" s="80">
        <f t="shared" si="365"/>
        <v>0.63813095508819417</v>
      </c>
      <c r="AD358" s="80">
        <f t="shared" si="365"/>
        <v>0.63632910789333574</v>
      </c>
      <c r="AE358" s="80">
        <f t="shared" si="365"/>
        <v>0.63521202458779447</v>
      </c>
      <c r="AF358" s="80">
        <f t="shared" si="365"/>
        <v>0.63502999144302941</v>
      </c>
    </row>
    <row r="359" spans="1:34" x14ac:dyDescent="0.25">
      <c r="B359" s="21">
        <f>(B326-B325)^2</f>
        <v>270928.97270664736</v>
      </c>
      <c r="C359" s="21">
        <f t="shared" ref="C359:AF359" si="366">(C326-C325)^2</f>
        <v>281133.07831469545</v>
      </c>
      <c r="D359" s="21">
        <f t="shared" si="366"/>
        <v>216940.95443862668</v>
      </c>
      <c r="E359" s="21">
        <f t="shared" si="366"/>
        <v>128317.99220334755</v>
      </c>
      <c r="F359" s="21">
        <f t="shared" si="366"/>
        <v>57306.163128389664</v>
      </c>
      <c r="G359" s="21">
        <f t="shared" si="366"/>
        <v>12869.547388534147</v>
      </c>
      <c r="H359" s="21">
        <f t="shared" si="366"/>
        <v>1948.8880207000905</v>
      </c>
      <c r="I359" s="21">
        <f t="shared" si="366"/>
        <v>53125.788230946382</v>
      </c>
      <c r="J359" s="21">
        <f t="shared" si="366"/>
        <v>208285.92188165736</v>
      </c>
      <c r="K359" s="21">
        <f t="shared" si="366"/>
        <v>635168.55612717825</v>
      </c>
      <c r="L359" s="21">
        <f t="shared" si="366"/>
        <v>1430855.6177194833</v>
      </c>
      <c r="M359" s="21">
        <f t="shared" si="366"/>
        <v>2652596.0065830885</v>
      </c>
      <c r="N359" s="21">
        <f t="shared" si="366"/>
        <v>3865161.32478031</v>
      </c>
      <c r="O359" s="21">
        <f t="shared" si="366"/>
        <v>4302467.8311307197</v>
      </c>
      <c r="P359" s="21">
        <f t="shared" si="366"/>
        <v>4065982.4987958372</v>
      </c>
      <c r="Q359" s="21">
        <f t="shared" si="366"/>
        <v>3148879.3028004714</v>
      </c>
      <c r="R359" s="21">
        <f t="shared" si="366"/>
        <v>1963692.3368026507</v>
      </c>
      <c r="S359" s="21">
        <f t="shared" si="366"/>
        <v>1055802.0745611233</v>
      </c>
      <c r="T359" s="21">
        <f t="shared" si="366"/>
        <v>516281.87279545423</v>
      </c>
      <c r="U359" s="21">
        <f t="shared" si="366"/>
        <v>219938.24523267974</v>
      </c>
      <c r="V359" s="21">
        <f t="shared" si="366"/>
        <v>101755.77938041875</v>
      </c>
      <c r="W359" s="21">
        <f t="shared" si="366"/>
        <v>58580.251645859695</v>
      </c>
      <c r="X359" s="21">
        <f t="shared" si="366"/>
        <v>41707.125028644899</v>
      </c>
      <c r="Y359" s="21">
        <f t="shared" si="366"/>
        <v>33610.057454771842</v>
      </c>
      <c r="Z359" s="21">
        <f t="shared" si="366"/>
        <v>28905.336217666434</v>
      </c>
      <c r="AA359" s="21">
        <f t="shared" si="366"/>
        <v>26742.189838937877</v>
      </c>
      <c r="AB359" s="21">
        <f t="shared" si="366"/>
        <v>23076.429895989379</v>
      </c>
      <c r="AC359" s="21">
        <f t="shared" si="366"/>
        <v>20603.496433002962</v>
      </c>
      <c r="AD359" s="21">
        <f t="shared" si="366"/>
        <v>20284.797023124982</v>
      </c>
      <c r="AE359" s="21">
        <f t="shared" si="366"/>
        <v>20090.028999583566</v>
      </c>
      <c r="AF359" s="21">
        <f t="shared" si="366"/>
        <v>20058.492418619324</v>
      </c>
      <c r="AG359" s="3"/>
      <c r="AH359" s="3"/>
    </row>
    <row r="360" spans="1:34" x14ac:dyDescent="0.25">
      <c r="A360" s="71">
        <f>SUM(B360:AF360)</f>
        <v>25483096.957979165</v>
      </c>
      <c r="B360" s="60">
        <f>IF($A$64&lt;=B324,IF($B$64&gt;=B324,ABS(B359),0),0)</f>
        <v>270928.97270664736</v>
      </c>
      <c r="C360" s="60">
        <f t="shared" ref="C360:AF360" si="367">IF($A$64&lt;=C324,IF($B$64&gt;=C324,ABS(C359),0),0)</f>
        <v>281133.07831469545</v>
      </c>
      <c r="D360" s="60">
        <f t="shared" si="367"/>
        <v>216940.95443862668</v>
      </c>
      <c r="E360" s="60">
        <f t="shared" si="367"/>
        <v>128317.99220334755</v>
      </c>
      <c r="F360" s="60">
        <f t="shared" si="367"/>
        <v>57306.163128389664</v>
      </c>
      <c r="G360" s="60">
        <f t="shared" si="367"/>
        <v>12869.547388534147</v>
      </c>
      <c r="H360" s="60">
        <f t="shared" si="367"/>
        <v>1948.8880207000905</v>
      </c>
      <c r="I360" s="60">
        <f t="shared" si="367"/>
        <v>53125.788230946382</v>
      </c>
      <c r="J360" s="60">
        <f t="shared" si="367"/>
        <v>208285.92188165736</v>
      </c>
      <c r="K360" s="60">
        <f t="shared" si="367"/>
        <v>635168.55612717825</v>
      </c>
      <c r="L360" s="60">
        <f t="shared" si="367"/>
        <v>1430855.6177194833</v>
      </c>
      <c r="M360" s="60">
        <f t="shared" si="367"/>
        <v>2652596.0065830885</v>
      </c>
      <c r="N360" s="60">
        <f t="shared" si="367"/>
        <v>3865161.32478031</v>
      </c>
      <c r="O360" s="60">
        <f t="shared" si="367"/>
        <v>4302467.8311307197</v>
      </c>
      <c r="P360" s="60">
        <f t="shared" si="367"/>
        <v>4065982.4987958372</v>
      </c>
      <c r="Q360" s="60">
        <f t="shared" si="367"/>
        <v>3148879.3028004714</v>
      </c>
      <c r="R360" s="60">
        <f t="shared" si="367"/>
        <v>1963692.3368026507</v>
      </c>
      <c r="S360" s="60">
        <f t="shared" si="367"/>
        <v>1055802.0745611233</v>
      </c>
      <c r="T360" s="60">
        <f t="shared" si="367"/>
        <v>516281.87279545423</v>
      </c>
      <c r="U360" s="60">
        <f t="shared" si="367"/>
        <v>219938.24523267974</v>
      </c>
      <c r="V360" s="60">
        <f t="shared" si="367"/>
        <v>101755.77938041875</v>
      </c>
      <c r="W360" s="60">
        <f t="shared" si="367"/>
        <v>58580.251645859695</v>
      </c>
      <c r="X360" s="60">
        <f t="shared" si="367"/>
        <v>41707.125028644899</v>
      </c>
      <c r="Y360" s="60">
        <f t="shared" si="367"/>
        <v>33610.057454771842</v>
      </c>
      <c r="Z360" s="60">
        <f t="shared" si="367"/>
        <v>28905.336217666434</v>
      </c>
      <c r="AA360" s="60">
        <f t="shared" si="367"/>
        <v>26742.189838937877</v>
      </c>
      <c r="AB360" s="60">
        <f t="shared" si="367"/>
        <v>23076.429895989379</v>
      </c>
      <c r="AC360" s="60">
        <f t="shared" si="367"/>
        <v>20603.496433002962</v>
      </c>
      <c r="AD360" s="60">
        <f t="shared" si="367"/>
        <v>20284.797023124982</v>
      </c>
      <c r="AE360" s="60">
        <f t="shared" si="367"/>
        <v>20090.028999583566</v>
      </c>
      <c r="AF360" s="60">
        <f t="shared" si="367"/>
        <v>20058.492418619324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5204.6409918797426</v>
      </c>
      <c r="C365" s="27">
        <f t="shared" ref="C365:AF365" si="368">($C$17+SUM(C366:C396))*$B$51</f>
        <v>4924.7135419047572</v>
      </c>
      <c r="D365" s="27">
        <f t="shared" si="368"/>
        <v>4594.1141745635905</v>
      </c>
      <c r="E365" s="27">
        <f t="shared" si="368"/>
        <v>4250.642108758776</v>
      </c>
      <c r="F365" s="27">
        <f t="shared" si="368"/>
        <v>3911.2721197642663</v>
      </c>
      <c r="G365" s="27">
        <f t="shared" si="368"/>
        <v>3553.7741363719429</v>
      </c>
      <c r="H365" s="27">
        <f t="shared" si="368"/>
        <v>3191.3186355362077</v>
      </c>
      <c r="I365" s="27">
        <f t="shared" si="368"/>
        <v>2674.8150006300498</v>
      </c>
      <c r="J365" s="27">
        <f t="shared" si="368"/>
        <v>2118.8424758743181</v>
      </c>
      <c r="K365" s="27">
        <f t="shared" si="368"/>
        <v>1505.5022766911056</v>
      </c>
      <c r="L365" s="27">
        <f t="shared" si="368"/>
        <v>909.24668132373438</v>
      </c>
      <c r="M365" s="27">
        <f t="shared" si="368"/>
        <v>534.72267616166425</v>
      </c>
      <c r="N365" s="27">
        <f t="shared" si="368"/>
        <v>291.59948428062887</v>
      </c>
      <c r="O365" s="27">
        <f t="shared" si="368"/>
        <v>180.65635622644024</v>
      </c>
      <c r="P365" s="27">
        <f t="shared" si="368"/>
        <v>148.46704121431318</v>
      </c>
      <c r="Q365" s="27">
        <f t="shared" si="368"/>
        <v>128.28789539055253</v>
      </c>
      <c r="R365" s="27">
        <f t="shared" si="368"/>
        <v>82.99625978141556</v>
      </c>
      <c r="S365" s="27">
        <f t="shared" si="368"/>
        <v>81.397690959470921</v>
      </c>
      <c r="T365" s="27">
        <f t="shared" si="368"/>
        <v>81.397690959470921</v>
      </c>
      <c r="U365" s="27">
        <f t="shared" si="368"/>
        <v>81.397690959470921</v>
      </c>
      <c r="V365" s="27">
        <f t="shared" si="368"/>
        <v>81.397690959470921</v>
      </c>
      <c r="W365" s="27">
        <f t="shared" si="368"/>
        <v>81.397690959470921</v>
      </c>
      <c r="X365" s="27">
        <f t="shared" si="368"/>
        <v>81.397690959470921</v>
      </c>
      <c r="Y365" s="27">
        <f t="shared" si="368"/>
        <v>81.397690959470921</v>
      </c>
      <c r="Z365" s="27">
        <f t="shared" si="368"/>
        <v>81.397690959470921</v>
      </c>
      <c r="AA365" s="27">
        <f t="shared" si="368"/>
        <v>81.397690959470921</v>
      </c>
      <c r="AB365" s="27">
        <f t="shared" si="368"/>
        <v>81.397690959470921</v>
      </c>
      <c r="AC365" s="27">
        <f t="shared" si="368"/>
        <v>81.397690959470921</v>
      </c>
      <c r="AD365" s="27">
        <f t="shared" si="368"/>
        <v>81.397690959470921</v>
      </c>
      <c r="AE365" s="27">
        <f t="shared" si="368"/>
        <v>81.397690959470921</v>
      </c>
      <c r="AF365" s="27">
        <f t="shared" si="368"/>
        <v>81.397690959470921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0.50604426377034384</v>
      </c>
      <c r="B397" s="80">
        <f>IF($A$64&lt;=B363,IF($B$64&gt;=B363,ABS((B365-B364)/B364),0),0)</f>
        <v>0.34724338842587704</v>
      </c>
      <c r="C397" s="80">
        <f t="shared" ref="C397:AF397" si="400">IF($A$64&lt;=C363,IF($B$64&gt;=C363,ABS((C365-C364)/C364),0),0)</f>
        <v>0.35324706305084086</v>
      </c>
      <c r="D397" s="80">
        <f t="shared" si="400"/>
        <v>0.32425816244461558</v>
      </c>
      <c r="E397" s="80">
        <f t="shared" si="400"/>
        <v>0.2883429534217255</v>
      </c>
      <c r="F397" s="80">
        <f t="shared" si="400"/>
        <v>0.24997645780277242</v>
      </c>
      <c r="G397" s="80">
        <f t="shared" si="400"/>
        <v>0.21232868069234079</v>
      </c>
      <c r="H397" s="80">
        <f t="shared" si="400"/>
        <v>0.17480368033189142</v>
      </c>
      <c r="I397" s="80">
        <f t="shared" si="400"/>
        <v>8.145893130927942E-2</v>
      </c>
      <c r="J397" s="80">
        <f t="shared" si="400"/>
        <v>3.7094882141669443E-2</v>
      </c>
      <c r="K397" s="80">
        <f t="shared" si="400"/>
        <v>0.19967933416043523</v>
      </c>
      <c r="L397" s="80">
        <f t="shared" si="400"/>
        <v>0.399439444372785</v>
      </c>
      <c r="M397" s="80">
        <f t="shared" si="400"/>
        <v>0.52687416168498613</v>
      </c>
      <c r="N397" s="80">
        <f t="shared" si="400"/>
        <v>0.63431812709260038</v>
      </c>
      <c r="O397" s="80">
        <f t="shared" si="400"/>
        <v>0.67678809503442883</v>
      </c>
      <c r="P397" s="80">
        <f t="shared" si="400"/>
        <v>0.64830423967569673</v>
      </c>
      <c r="Q397" s="80">
        <f t="shared" si="400"/>
        <v>0.63428737276656111</v>
      </c>
      <c r="R397" s="80">
        <f t="shared" si="400"/>
        <v>0.73663135982567651</v>
      </c>
      <c r="S397" s="80">
        <f t="shared" si="400"/>
        <v>0.71982400338343233</v>
      </c>
      <c r="T397" s="80">
        <f t="shared" si="400"/>
        <v>0.70137303061805401</v>
      </c>
      <c r="U397" s="80">
        <f t="shared" si="400"/>
        <v>0.68742558743641158</v>
      </c>
      <c r="V397" s="80">
        <f t="shared" si="400"/>
        <v>0.66257386770641391</v>
      </c>
      <c r="W397" s="80">
        <f t="shared" si="400"/>
        <v>0.64984682708227159</v>
      </c>
      <c r="X397" s="80">
        <f t="shared" si="400"/>
        <v>0.64490462441112029</v>
      </c>
      <c r="Y397" s="80">
        <f t="shared" si="400"/>
        <v>0.6418194286615182</v>
      </c>
      <c r="Z397" s="80">
        <f t="shared" si="400"/>
        <v>0.63951550190363515</v>
      </c>
      <c r="AA397" s="80">
        <f t="shared" si="400"/>
        <v>0.6387628476887609</v>
      </c>
      <c r="AB397" s="80">
        <f t="shared" si="400"/>
        <v>0.63669749058613512</v>
      </c>
      <c r="AC397" s="80">
        <f t="shared" si="400"/>
        <v>0.63648894970189707</v>
      </c>
      <c r="AD397" s="80">
        <f t="shared" si="400"/>
        <v>0.63456064770566034</v>
      </c>
      <c r="AE397" s="80">
        <f t="shared" si="400"/>
        <v>0.63450005061321357</v>
      </c>
      <c r="AF397" s="80">
        <f t="shared" si="400"/>
        <v>0.63400298514795217</v>
      </c>
    </row>
    <row r="398" spans="1:34" x14ac:dyDescent="0.25">
      <c r="B398" s="21">
        <f>(B365-B364)^2</f>
        <v>1799523.012216961</v>
      </c>
      <c r="C398" s="21">
        <f t="shared" ref="C398:AF398" si="401">(C365-C364)^2</f>
        <v>1652589.087181367</v>
      </c>
      <c r="D398" s="21">
        <f t="shared" si="401"/>
        <v>1265435.7101500279</v>
      </c>
      <c r="E398" s="21">
        <f t="shared" si="401"/>
        <v>905033.7867223128</v>
      </c>
      <c r="F398" s="21">
        <f t="shared" si="401"/>
        <v>611829.78720695502</v>
      </c>
      <c r="G398" s="21">
        <f t="shared" si="401"/>
        <v>387396.95962768217</v>
      </c>
      <c r="H398" s="21">
        <f t="shared" si="401"/>
        <v>225481.48371783769</v>
      </c>
      <c r="I398" s="21">
        <f t="shared" si="401"/>
        <v>40592.411560620458</v>
      </c>
      <c r="J398" s="21">
        <f t="shared" si="401"/>
        <v>6662.8240122458492</v>
      </c>
      <c r="K398" s="21">
        <f t="shared" si="401"/>
        <v>141091.55181597741</v>
      </c>
      <c r="L398" s="21">
        <f t="shared" si="401"/>
        <v>365722.54874509788</v>
      </c>
      <c r="M398" s="21">
        <f t="shared" si="401"/>
        <v>354582.80619111611</v>
      </c>
      <c r="N398" s="21">
        <f t="shared" si="401"/>
        <v>255847.32640557879</v>
      </c>
      <c r="O398" s="21">
        <f t="shared" si="401"/>
        <v>143099.20348824779</v>
      </c>
      <c r="P398" s="21">
        <f t="shared" si="401"/>
        <v>74900.301310311406</v>
      </c>
      <c r="Q398" s="21">
        <f t="shared" si="401"/>
        <v>49506.654667426425</v>
      </c>
      <c r="R398" s="21">
        <f t="shared" si="401"/>
        <v>53887.66024213958</v>
      </c>
      <c r="S398" s="21">
        <f t="shared" si="401"/>
        <v>43733.573861558536</v>
      </c>
      <c r="T398" s="21">
        <f t="shared" si="401"/>
        <v>36548.052605658137</v>
      </c>
      <c r="U398" s="21">
        <f t="shared" si="401"/>
        <v>32045.622335229233</v>
      </c>
      <c r="V398" s="21">
        <f t="shared" si="401"/>
        <v>25546.731811610913</v>
      </c>
      <c r="W398" s="21">
        <f t="shared" si="401"/>
        <v>22820.756866501677</v>
      </c>
      <c r="X398" s="21">
        <f t="shared" si="401"/>
        <v>21853.707187169595</v>
      </c>
      <c r="Y398" s="21">
        <f t="shared" si="401"/>
        <v>21273.837616901612</v>
      </c>
      <c r="Z398" s="21">
        <f t="shared" si="401"/>
        <v>20852.260225311278</v>
      </c>
      <c r="AA398" s="21">
        <f t="shared" si="401"/>
        <v>20716.607944768002</v>
      </c>
      <c r="AB398" s="21">
        <f t="shared" si="401"/>
        <v>20349.49572643789</v>
      </c>
      <c r="AC398" s="21">
        <f t="shared" si="401"/>
        <v>20312.841133446047</v>
      </c>
      <c r="AD398" s="21">
        <f t="shared" si="401"/>
        <v>19977.439181035745</v>
      </c>
      <c r="AE398" s="21">
        <f t="shared" si="401"/>
        <v>19967.00149079051</v>
      </c>
      <c r="AF398" s="21">
        <f t="shared" si="401"/>
        <v>19881.616371130098</v>
      </c>
      <c r="AG398" s="3"/>
      <c r="AH398" s="3"/>
    </row>
    <row r="399" spans="1:34" x14ac:dyDescent="0.25">
      <c r="A399" s="71">
        <f>SUM(B399:AF399)</f>
        <v>8679062.6596194543</v>
      </c>
      <c r="B399" s="60">
        <f>IF($A$64&lt;=B363,IF($B$64&gt;=B363,ABS(B398),0),0)</f>
        <v>1799523.012216961</v>
      </c>
      <c r="C399" s="60">
        <f t="shared" ref="C399" si="402">IF($A$64&lt;=C363,IF($B$64&gt;=C363,ABS(C398),0),0)</f>
        <v>1652589.087181367</v>
      </c>
      <c r="D399" s="60">
        <f t="shared" ref="D399" si="403">IF($A$64&lt;=D363,IF($B$64&gt;=D363,ABS(D398),0),0)</f>
        <v>1265435.7101500279</v>
      </c>
      <c r="E399" s="60">
        <f t="shared" ref="E399" si="404">IF($A$64&lt;=E363,IF($B$64&gt;=E363,ABS(E398),0),0)</f>
        <v>905033.7867223128</v>
      </c>
      <c r="F399" s="60">
        <f t="shared" ref="F399" si="405">IF($A$64&lt;=F363,IF($B$64&gt;=F363,ABS(F398),0),0)</f>
        <v>611829.78720695502</v>
      </c>
      <c r="G399" s="60">
        <f t="shared" ref="G399" si="406">IF($A$64&lt;=G363,IF($B$64&gt;=G363,ABS(G398),0),0)</f>
        <v>387396.95962768217</v>
      </c>
      <c r="H399" s="60">
        <f t="shared" ref="H399" si="407">IF($A$64&lt;=H363,IF($B$64&gt;=H363,ABS(H398),0),0)</f>
        <v>225481.48371783769</v>
      </c>
      <c r="I399" s="60">
        <f t="shared" ref="I399" si="408">IF($A$64&lt;=I363,IF($B$64&gt;=I363,ABS(I398),0),0)</f>
        <v>40592.411560620458</v>
      </c>
      <c r="J399" s="60">
        <f t="shared" ref="J399" si="409">IF($A$64&lt;=J363,IF($B$64&gt;=J363,ABS(J398),0),0)</f>
        <v>6662.8240122458492</v>
      </c>
      <c r="K399" s="60">
        <f t="shared" ref="K399" si="410">IF($A$64&lt;=K363,IF($B$64&gt;=K363,ABS(K398),0),0)</f>
        <v>141091.55181597741</v>
      </c>
      <c r="L399" s="60">
        <f t="shared" ref="L399" si="411">IF($A$64&lt;=L363,IF($B$64&gt;=L363,ABS(L398),0),0)</f>
        <v>365722.54874509788</v>
      </c>
      <c r="M399" s="60">
        <f t="shared" ref="M399" si="412">IF($A$64&lt;=M363,IF($B$64&gt;=M363,ABS(M398),0),0)</f>
        <v>354582.80619111611</v>
      </c>
      <c r="N399" s="60">
        <f t="shared" ref="N399" si="413">IF($A$64&lt;=N363,IF($B$64&gt;=N363,ABS(N398),0),0)</f>
        <v>255847.32640557879</v>
      </c>
      <c r="O399" s="60">
        <f t="shared" ref="O399" si="414">IF($A$64&lt;=O363,IF($B$64&gt;=O363,ABS(O398),0),0)</f>
        <v>143099.20348824779</v>
      </c>
      <c r="P399" s="60">
        <f t="shared" ref="P399" si="415">IF($A$64&lt;=P363,IF($B$64&gt;=P363,ABS(P398),0),0)</f>
        <v>74900.301310311406</v>
      </c>
      <c r="Q399" s="60">
        <f t="shared" ref="Q399" si="416">IF($A$64&lt;=Q363,IF($B$64&gt;=Q363,ABS(Q398),0),0)</f>
        <v>49506.654667426425</v>
      </c>
      <c r="R399" s="60">
        <f t="shared" ref="R399" si="417">IF($A$64&lt;=R363,IF($B$64&gt;=R363,ABS(R398),0),0)</f>
        <v>53887.66024213958</v>
      </c>
      <c r="S399" s="60">
        <f t="shared" ref="S399" si="418">IF($A$64&lt;=S363,IF($B$64&gt;=S363,ABS(S398),0),0)</f>
        <v>43733.573861558536</v>
      </c>
      <c r="T399" s="60">
        <f t="shared" ref="T399" si="419">IF($A$64&lt;=T363,IF($B$64&gt;=T363,ABS(T398),0),0)</f>
        <v>36548.052605658137</v>
      </c>
      <c r="U399" s="60">
        <f t="shared" ref="U399" si="420">IF($A$64&lt;=U363,IF($B$64&gt;=U363,ABS(U398),0),0)</f>
        <v>32045.622335229233</v>
      </c>
      <c r="V399" s="60">
        <f t="shared" ref="V399" si="421">IF($A$64&lt;=V363,IF($B$64&gt;=V363,ABS(V398),0),0)</f>
        <v>25546.731811610913</v>
      </c>
      <c r="W399" s="60">
        <f t="shared" ref="W399" si="422">IF($A$64&lt;=W363,IF($B$64&gt;=W363,ABS(W398),0),0)</f>
        <v>22820.756866501677</v>
      </c>
      <c r="X399" s="60">
        <f t="shared" ref="X399" si="423">IF($A$64&lt;=X363,IF($B$64&gt;=X363,ABS(X398),0),0)</f>
        <v>21853.707187169595</v>
      </c>
      <c r="Y399" s="60">
        <f t="shared" ref="Y399" si="424">IF($A$64&lt;=Y363,IF($B$64&gt;=Y363,ABS(Y398),0),0)</f>
        <v>21273.837616901612</v>
      </c>
      <c r="Z399" s="60">
        <f t="shared" ref="Z399" si="425">IF($A$64&lt;=Z363,IF($B$64&gt;=Z363,ABS(Z398),0),0)</f>
        <v>20852.260225311278</v>
      </c>
      <c r="AA399" s="60">
        <f t="shared" ref="AA399" si="426">IF($A$64&lt;=AA363,IF($B$64&gt;=AA363,ABS(AA398),0),0)</f>
        <v>20716.607944768002</v>
      </c>
      <c r="AB399" s="60">
        <f t="shared" ref="AB399" si="427">IF($A$64&lt;=AB363,IF($B$64&gt;=AB363,ABS(AB398),0),0)</f>
        <v>20349.49572643789</v>
      </c>
      <c r="AC399" s="60">
        <f t="shared" ref="AC399" si="428">IF($A$64&lt;=AC363,IF($B$64&gt;=AC363,ABS(AC398),0),0)</f>
        <v>20312.841133446047</v>
      </c>
      <c r="AD399" s="60">
        <f t="shared" ref="AD399" si="429">IF($A$64&lt;=AD363,IF($B$64&gt;=AD363,ABS(AD398),0),0)</f>
        <v>19977.439181035745</v>
      </c>
      <c r="AE399" s="60">
        <f t="shared" ref="AE399" si="430">IF($A$64&lt;=AE363,IF($B$64&gt;=AE363,ABS(AE398),0),0)</f>
        <v>19967.00149079051</v>
      </c>
      <c r="AF399" s="60">
        <f t="shared" ref="AF399" si="431">IF($A$64&lt;=AF363,IF($B$64&gt;=AF363,ABS(AF398),0),0)</f>
        <v>19881.616371130098</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0</v>
      </c>
      <c r="F403" s="107">
        <f t="shared" si="432"/>
        <v>12.063922953615501</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0.52427832349594095</v>
      </c>
      <c r="O1" s="11"/>
      <c r="P1" s="55">
        <v>1</v>
      </c>
      <c r="Q1" s="11">
        <v>2</v>
      </c>
    </row>
    <row r="2" spans="1:17" x14ac:dyDescent="0.25">
      <c r="A2" s="11">
        <f>'Mastercurve bestimmen'!M119</f>
        <v>0</v>
      </c>
      <c r="B2" s="11">
        <f>'Mastercurve bestimmen'!N119</f>
        <v>-10.950515452938541</v>
      </c>
      <c r="M2" s="54">
        <v>2</v>
      </c>
      <c r="N2" s="56">
        <f t="shared" ref="N2:N9" si="0">INDEX($H$217:$P$217,1,Q2)</f>
        <v>-3.5315284282063972E-2</v>
      </c>
      <c r="O2" s="11"/>
      <c r="P2" s="55">
        <v>2</v>
      </c>
      <c r="Q2" s="11">
        <f>Q1+1</f>
        <v>3</v>
      </c>
    </row>
    <row r="3" spans="1:17" x14ac:dyDescent="0.25">
      <c r="A3" s="11">
        <f>'Mastercurve bestimmen'!M120</f>
        <v>25</v>
      </c>
      <c r="B3" s="11">
        <f>'Mastercurve bestimmen'!N120</f>
        <v>-6.5770330385822291</v>
      </c>
      <c r="M3" s="54">
        <v>3</v>
      </c>
      <c r="N3" s="56">
        <f t="shared" si="0"/>
        <v>-1.5218672356373552E-4</v>
      </c>
      <c r="O3" s="11"/>
      <c r="P3" s="55">
        <v>3</v>
      </c>
      <c r="Q3" s="11">
        <f t="shared" ref="Q3:Q8" si="1">Q2+1</f>
        <v>4</v>
      </c>
    </row>
    <row r="4" spans="1:17" x14ac:dyDescent="0.25">
      <c r="A4" s="11">
        <f>'Mastercurve bestimmen'!M121</f>
        <v>50</v>
      </c>
      <c r="B4" s="11">
        <f>'Mastercurve bestimmen'!N121</f>
        <v>0</v>
      </c>
      <c r="M4" s="54">
        <v>4</v>
      </c>
      <c r="N4" s="56">
        <f t="shared" si="0"/>
        <v>1.2965286752905169E-5</v>
      </c>
      <c r="O4" s="11"/>
      <c r="P4" s="55">
        <v>4</v>
      </c>
      <c r="Q4" s="11">
        <f t="shared" si="1"/>
        <v>5</v>
      </c>
    </row>
    <row r="5" spans="1:17" x14ac:dyDescent="0.25">
      <c r="A5" s="11">
        <f>'Mastercurve bestimmen'!M122</f>
        <v>80</v>
      </c>
      <c r="B5" s="11">
        <f>'Mastercurve bestimmen'!N122</f>
        <v>12.063922953615501</v>
      </c>
      <c r="M5" s="54">
        <v>5</v>
      </c>
      <c r="N5" s="56">
        <f t="shared" si="0"/>
        <v>3.2635184253375725E-8</v>
      </c>
      <c r="O5" s="11"/>
      <c r="P5" s="55">
        <v>5</v>
      </c>
      <c r="Q5" s="11">
        <f t="shared" si="1"/>
        <v>6</v>
      </c>
    </row>
    <row r="6" spans="1:17" x14ac:dyDescent="0.25">
      <c r="A6" s="11">
        <f>'Mastercurve bestimmen'!M123</f>
        <v>125</v>
      </c>
      <c r="B6" s="11">
        <f>'Mastercurve bestimmen'!N123</f>
        <v>31.8000897176249</v>
      </c>
      <c r="M6" s="54">
        <v>6</v>
      </c>
      <c r="N6" s="56">
        <f t="shared" si="0"/>
        <v>-1.7212797645557277E-9</v>
      </c>
      <c r="O6" s="11"/>
      <c r="P6" s="55">
        <v>6</v>
      </c>
      <c r="Q6" s="11">
        <f t="shared" si="1"/>
        <v>7</v>
      </c>
    </row>
    <row r="7" spans="1:17" x14ac:dyDescent="0.25">
      <c r="A7" s="11">
        <f>'Mastercurve bestimmen'!M124</f>
        <v>160</v>
      </c>
      <c r="B7" s="11">
        <f>'Mastercurve bestimmen'!N124</f>
        <v>35.861537922668312</v>
      </c>
      <c r="M7" s="54">
        <v>7</v>
      </c>
      <c r="N7" s="56">
        <f t="shared" si="0"/>
        <v>-2.1573002487892906E-12</v>
      </c>
      <c r="O7" s="11"/>
      <c r="P7" s="55">
        <v>7</v>
      </c>
      <c r="Q7" s="11">
        <f t="shared" si="1"/>
        <v>8</v>
      </c>
    </row>
    <row r="8" spans="1:17" x14ac:dyDescent="0.25">
      <c r="A8" s="11"/>
      <c r="B8" s="11"/>
      <c r="M8" s="54">
        <v>8</v>
      </c>
      <c r="N8" s="56">
        <f t="shared" si="0"/>
        <v>7.6314676318104761E-14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-90</v>
      </c>
      <c r="F15" s="11">
        <f>B15</f>
        <v>-45.801625734711926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-45.738092888466561</v>
      </c>
      <c r="E16" s="11">
        <f>A16-'Mastercurve bestimmen'!$B$2</f>
        <v>-89</v>
      </c>
      <c r="F16" s="11">
        <f t="shared" ref="F16:F79" si="4">B16</f>
        <v>-45.738092888466561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-45.67441338219669</v>
      </c>
      <c r="E17" s="11">
        <f>A17-'Mastercurve bestimmen'!$B$2</f>
        <v>-88</v>
      </c>
      <c r="F17" s="11">
        <f t="shared" si="4"/>
        <v>-45.67441338219669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-45.610440555877801</v>
      </c>
      <c r="E18" s="11">
        <f>A18-'Mastercurve bestimmen'!$B$2</f>
        <v>-87</v>
      </c>
      <c r="F18" s="11">
        <f t="shared" si="4"/>
        <v>-45.610440555877801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-45.54602774948539</v>
      </c>
      <c r="E19" s="11">
        <f>A19-'Mastercurve bestimmen'!$B$2</f>
        <v>-86</v>
      </c>
      <c r="F19" s="11">
        <f t="shared" si="4"/>
        <v>-45.54602774948539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-45.481028302994957</v>
      </c>
      <c r="E20" s="11">
        <f>A20-'Mastercurve bestimmen'!$B$2</f>
        <v>-85</v>
      </c>
      <c r="F20" s="11">
        <f t="shared" si="4"/>
        <v>-45.481028302994957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-45.415295556381992</v>
      </c>
      <c r="E21" s="11">
        <f>A21-'Mastercurve bestimmen'!$B$2</f>
        <v>-84</v>
      </c>
      <c r="F21" s="11">
        <f t="shared" si="4"/>
        <v>-45.415295556381992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-45.34868284962198</v>
      </c>
      <c r="E22" s="11">
        <f>A22-'Mastercurve bestimmen'!$B$2</f>
        <v>-83</v>
      </c>
      <c r="F22" s="11">
        <f t="shared" si="4"/>
        <v>-45.34868284962198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-45.281043522690418</v>
      </c>
      <c r="E23" s="11">
        <f>A23-'Mastercurve bestimmen'!$B$2</f>
        <v>-82</v>
      </c>
      <c r="F23" s="11">
        <f t="shared" si="4"/>
        <v>-45.281043522690418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-45.212230915562813</v>
      </c>
      <c r="E24" s="11">
        <f>A24-'Mastercurve bestimmen'!$B$2</f>
        <v>-81</v>
      </c>
      <c r="F24" s="11">
        <f t="shared" si="4"/>
        <v>-45.212230915562813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-45.14209836821464</v>
      </c>
      <c r="E25" s="11">
        <f>A25-'Mastercurve bestimmen'!$B$2</f>
        <v>-80</v>
      </c>
      <c r="F25" s="11">
        <f t="shared" si="4"/>
        <v>-45.14209836821464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-45.0704992206214</v>
      </c>
      <c r="E26" s="11">
        <f>A26-'Mastercurve bestimmen'!$B$2</f>
        <v>-79</v>
      </c>
      <c r="F26" s="11">
        <f t="shared" si="4"/>
        <v>-45.0704992206214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-44.997286812758588</v>
      </c>
      <c r="E27" s="11">
        <f>A27-'Mastercurve bestimmen'!$B$2</f>
        <v>-78</v>
      </c>
      <c r="F27" s="11">
        <f t="shared" si="4"/>
        <v>-44.997286812758588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-44.922314484601692</v>
      </c>
      <c r="E28" s="11">
        <f>A28-'Mastercurve bestimmen'!$B$2</f>
        <v>-77</v>
      </c>
      <c r="F28" s="11">
        <f t="shared" si="4"/>
        <v>-44.922314484601692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-44.845435576126206</v>
      </c>
      <c r="E29" s="11">
        <f>A29-'Mastercurve bestimmen'!$B$2</f>
        <v>-76</v>
      </c>
      <c r="F29" s="11">
        <f t="shared" si="4"/>
        <v>-44.845435576126206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-44.766503427307626</v>
      </c>
      <c r="E30" s="11">
        <f>A30-'Mastercurve bestimmen'!$B$2</f>
        <v>-75</v>
      </c>
      <c r="F30" s="11">
        <f t="shared" si="4"/>
        <v>-44.766503427307626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-44.685371378121459</v>
      </c>
      <c r="E31" s="11">
        <f>A31-'Mastercurve bestimmen'!$B$2</f>
        <v>-74</v>
      </c>
      <c r="F31" s="11">
        <f t="shared" si="4"/>
        <v>-44.685371378121459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-44.601892768543166</v>
      </c>
      <c r="E32" s="11">
        <f>A32-'Mastercurve bestimmen'!$B$2</f>
        <v>-73</v>
      </c>
      <c r="F32" s="11">
        <f t="shared" si="4"/>
        <v>-44.601892768543166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-44.515920938548263</v>
      </c>
      <c r="E33" s="11">
        <f>A33-'Mastercurve bestimmen'!$B$2</f>
        <v>-72</v>
      </c>
      <c r="F33" s="11">
        <f t="shared" si="4"/>
        <v>-44.515920938548263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-44.427309228112236</v>
      </c>
      <c r="E34" s="11">
        <f>A34-'Mastercurve bestimmen'!$B$2</f>
        <v>-71</v>
      </c>
      <c r="F34" s="11">
        <f t="shared" si="4"/>
        <v>-44.427309228112236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-44.335910977210588</v>
      </c>
      <c r="E35" s="11">
        <f>A35-'Mastercurve bestimmen'!$B$2</f>
        <v>-70</v>
      </c>
      <c r="F35" s="11">
        <f t="shared" si="4"/>
        <v>-44.335910977210588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-44.2415795258188</v>
      </c>
      <c r="E36" s="11">
        <f>A36-'Mastercurve bestimmen'!$B$2</f>
        <v>-69</v>
      </c>
      <c r="F36" s="11">
        <f t="shared" si="4"/>
        <v>-44.2415795258188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-44.144168213912366</v>
      </c>
      <c r="E37" s="11">
        <f>A37-'Mastercurve bestimmen'!$B$2</f>
        <v>-68</v>
      </c>
      <c r="F37" s="11">
        <f t="shared" si="4"/>
        <v>-44.144168213912366</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-44.043530381466795</v>
      </c>
      <c r="E38" s="11">
        <f>A38-'Mastercurve bestimmen'!$B$2</f>
        <v>-67</v>
      </c>
      <c r="F38" s="11">
        <f t="shared" si="4"/>
        <v>-44.043530381466795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-43.939519368457553</v>
      </c>
      <c r="E39" s="11">
        <f>A39-'Mastercurve bestimmen'!$B$2</f>
        <v>-66</v>
      </c>
      <c r="F39" s="11">
        <f t="shared" si="4"/>
        <v>-43.939519368457553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-43.831988514860157</v>
      </c>
      <c r="E40" s="11">
        <f>A40-'Mastercurve bestimmen'!$B$2</f>
        <v>-65</v>
      </c>
      <c r="F40" s="11">
        <f t="shared" si="4"/>
        <v>-43.831988514860157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-43.720791160650094</v>
      </c>
      <c r="E41" s="11">
        <f>A41-'Mastercurve bestimmen'!$B$2</f>
        <v>-64</v>
      </c>
      <c r="F41" s="11">
        <f t="shared" si="4"/>
        <v>-43.720791160650094</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-43.605780645802852</v>
      </c>
      <c r="E42" s="11">
        <f>A42-'Mastercurve bestimmen'!$B$2</f>
        <v>-63</v>
      </c>
      <c r="F42" s="11">
        <f t="shared" si="4"/>
        <v>-43.605780645802852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-43.486810310293926</v>
      </c>
      <c r="E43" s="11">
        <f>A43-'Mastercurve bestimmen'!$B$2</f>
        <v>-62</v>
      </c>
      <c r="F43" s="11">
        <f t="shared" si="4"/>
        <v>-43.486810310293926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-43.36373349409881</v>
      </c>
      <c r="E44" s="11">
        <f>A44-'Mastercurve bestimmen'!$B$2</f>
        <v>-61</v>
      </c>
      <c r="F44" s="11">
        <f t="shared" si="4"/>
        <v>-43.36373349409881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-43.236403537192999</v>
      </c>
      <c r="E45" s="11">
        <f>A45-'Mastercurve bestimmen'!$B$2</f>
        <v>-60</v>
      </c>
      <c r="F45" s="11">
        <f t="shared" si="4"/>
        <v>-43.236403537192999</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-43.104673779551987</v>
      </c>
      <c r="E46" s="11">
        <f>A46-'Mastercurve bestimmen'!$B$2</f>
        <v>-59</v>
      </c>
      <c r="F46" s="11">
        <f t="shared" si="4"/>
        <v>-43.104673779551987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-42.968397561151264</v>
      </c>
      <c r="E47" s="11">
        <f>A47-'Mastercurve bestimmen'!$B$2</f>
        <v>-58</v>
      </c>
      <c r="F47" s="11">
        <f t="shared" si="4"/>
        <v>-42.968397561151264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-42.827428221966329</v>
      </c>
      <c r="E48" s="11">
        <f>A48-'Mastercurve bestimmen'!$B$2</f>
        <v>-57</v>
      </c>
      <c r="F48" s="11">
        <f t="shared" si="4"/>
        <v>-42.827428221966329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-42.681619101972665</v>
      </c>
      <c r="E49" s="11">
        <f>A49-'Mastercurve bestimmen'!$B$2</f>
        <v>-56</v>
      </c>
      <c r="F49" s="11">
        <f t="shared" si="4"/>
        <v>-42.681619101972665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-42.530823541145764</v>
      </c>
      <c r="E50" s="11">
        <f>A50-'Mastercurve bestimmen'!$B$2</f>
        <v>-55</v>
      </c>
      <c r="F50" s="11">
        <f t="shared" si="4"/>
        <v>-42.530823541145764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-42.374894879461138</v>
      </c>
      <c r="E51" s="11">
        <f>A51-'Mastercurve bestimmen'!$B$2</f>
        <v>-54</v>
      </c>
      <c r="F51" s="11">
        <f t="shared" si="4"/>
        <v>-42.374894879461138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-42.213686456894266</v>
      </c>
      <c r="E52" s="11">
        <f>A52-'Mastercurve bestimmen'!$B$2</f>
        <v>-53</v>
      </c>
      <c r="F52" s="11">
        <f t="shared" si="4"/>
        <v>-42.213686456894266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-42.047051613420642</v>
      </c>
      <c r="E53" s="11">
        <f>A53-'Mastercurve bestimmen'!$B$2</f>
        <v>-52</v>
      </c>
      <c r="F53" s="11">
        <f t="shared" si="4"/>
        <v>-42.047051613420642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-41.874843689015755</v>
      </c>
      <c r="E54" s="11">
        <f>A54-'Mastercurve bestimmen'!$B$2</f>
        <v>-51</v>
      </c>
      <c r="F54" s="11">
        <f t="shared" si="4"/>
        <v>-41.874843689015755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-41.696916023655113</v>
      </c>
      <c r="E55" s="11">
        <f>A55-'Mastercurve bestimmen'!$B$2</f>
        <v>-50</v>
      </c>
      <c r="F55" s="11">
        <f t="shared" si="4"/>
        <v>-41.696916023655113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-41.565532961159505</v>
      </c>
      <c r="E56" s="11">
        <f>A56-'Mastercurve bestimmen'!$B$2</f>
        <v>-49</v>
      </c>
      <c r="F56" s="11">
        <f t="shared" si="4"/>
        <v>-41.565532961159505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-41.428597079596727</v>
      </c>
      <c r="E57" s="11">
        <f>A57-'Mastercurve bestimmen'!$B$2</f>
        <v>-48</v>
      </c>
      <c r="F57" s="11">
        <f t="shared" si="4"/>
        <v>-41.428597079596727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-41.286421960879899</v>
      </c>
      <c r="E58" s="11">
        <f>A58-'Mastercurve bestimmen'!$B$2</f>
        <v>-47</v>
      </c>
      <c r="F58" s="11">
        <f t="shared" si="4"/>
        <v>-41.286421960879899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-41.139321186922089</v>
      </c>
      <c r="E59" s="11">
        <f>A59-'Mastercurve bestimmen'!$B$2</f>
        <v>-46</v>
      </c>
      <c r="F59" s="11">
        <f t="shared" si="4"/>
        <v>-41.139321186922089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-40.987608339636431</v>
      </c>
      <c r="E60" s="11">
        <f>A60-'Mastercurve bestimmen'!$B$2</f>
        <v>-45</v>
      </c>
      <c r="F60" s="11">
        <f t="shared" si="4"/>
        <v>-40.987608339636431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-40.831597000936014</v>
      </c>
      <c r="E61" s="11">
        <f>A61-'Mastercurve bestimmen'!$B$2</f>
        <v>-44</v>
      </c>
      <c r="F61" s="11">
        <f t="shared" si="4"/>
        <v>-40.831597000936014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-40.671600752733944</v>
      </c>
      <c r="E62" s="11">
        <f>A62-'Mastercurve bestimmen'!$B$2</f>
        <v>-43</v>
      </c>
      <c r="F62" s="11">
        <f t="shared" si="4"/>
        <v>-40.671600752733944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-40.507933176943325</v>
      </c>
      <c r="E63" s="11">
        <f>A63-'Mastercurve bestimmen'!$B$2</f>
        <v>-42</v>
      </c>
      <c r="F63" s="11">
        <f t="shared" si="4"/>
        <v>-40.507933176943325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-40.340907855477255</v>
      </c>
      <c r="E64" s="11">
        <f>A64-'Mastercurve bestimmen'!$B$2</f>
        <v>-41</v>
      </c>
      <c r="F64" s="11">
        <f t="shared" si="4"/>
        <v>-40.340907855477255</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-40.170838370248845</v>
      </c>
      <c r="E65" s="11">
        <f>A65-'Mastercurve bestimmen'!$B$2</f>
        <v>-40</v>
      </c>
      <c r="F65" s="11">
        <f t="shared" si="4"/>
        <v>-40.170838370248845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-39.998038303171192</v>
      </c>
      <c r="E66" s="11">
        <f>A66-'Mastercurve bestimmen'!$B$2</f>
        <v>-39</v>
      </c>
      <c r="F66" s="11">
        <f t="shared" si="4"/>
        <v>-39.998038303171192</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-39.822821236157395</v>
      </c>
      <c r="E67" s="11">
        <f>A67-'Mastercurve bestimmen'!$B$2</f>
        <v>-38</v>
      </c>
      <c r="F67" s="11">
        <f t="shared" si="4"/>
        <v>-39.822821236157395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-39.645500751120565</v>
      </c>
      <c r="E68" s="11">
        <f>A68-'Mastercurve bestimmen'!$B$2</f>
        <v>-37</v>
      </c>
      <c r="F68" s="11">
        <f t="shared" si="4"/>
        <v>-39.645500751120565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-39.466390429973806</v>
      </c>
      <c r="E69" s="11">
        <f>A69-'Mastercurve bestimmen'!$B$2</f>
        <v>-36</v>
      </c>
      <c r="F69" s="11">
        <f t="shared" si="4"/>
        <v>-39.466390429973806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-39.285803854630217</v>
      </c>
      <c r="E70" s="11">
        <f>A70-'Mastercurve bestimmen'!$B$2</f>
        <v>-35</v>
      </c>
      <c r="F70" s="11">
        <f t="shared" si="4"/>
        <v>-39.285803854630217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-39.104054607002894</v>
      </c>
      <c r="E71" s="11">
        <f>A71-'Mastercurve bestimmen'!$B$2</f>
        <v>-34</v>
      </c>
      <c r="F71" s="11">
        <f t="shared" si="4"/>
        <v>-39.104054607002894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-38.921456269004949</v>
      </c>
      <c r="E72" s="11">
        <f>A72-'Mastercurve bestimmen'!$B$2</f>
        <v>-33</v>
      </c>
      <c r="F72" s="11">
        <f t="shared" si="4"/>
        <v>-38.921456269004949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-38.738322422549487</v>
      </c>
      <c r="E73" s="11">
        <f>A73-'Mastercurve bestimmen'!$B$2</f>
        <v>-32</v>
      </c>
      <c r="F73" s="11">
        <f t="shared" si="4"/>
        <v>-38.738322422549487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-38.554966649549606</v>
      </c>
      <c r="E74" s="11">
        <f>A74-'Mastercurve bestimmen'!$B$2</f>
        <v>-31</v>
      </c>
      <c r="F74" s="11">
        <f t="shared" si="4"/>
        <v>-38.554966649549606</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-38.371702531918402</v>
      </c>
      <c r="E75" s="11">
        <f>A75-'Mastercurve bestimmen'!$B$2</f>
        <v>-30</v>
      </c>
      <c r="F75" s="11">
        <f t="shared" si="4"/>
        <v>-38.371702531918402</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-38.188843651568995</v>
      </c>
      <c r="E76" s="11">
        <f>A76-'Mastercurve bestimmen'!$B$2</f>
        <v>-29</v>
      </c>
      <c r="F76" s="11">
        <f t="shared" si="4"/>
        <v>-38.188843651568995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-38.006703590414475</v>
      </c>
      <c r="E77" s="11">
        <f>A77-'Mastercurve bestimmen'!$B$2</f>
        <v>-28</v>
      </c>
      <c r="F77" s="11">
        <f t="shared" si="4"/>
        <v>-38.006703590414475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-37.825595930367939</v>
      </c>
      <c r="E78" s="11">
        <f>A78-'Mastercurve bestimmen'!$B$2</f>
        <v>-27</v>
      </c>
      <c r="F78" s="11">
        <f t="shared" si="4"/>
        <v>-37.825595930367939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-37.645834253342514</v>
      </c>
      <c r="E79" s="11">
        <f>A79-'Mastercurve bestimmen'!$B$2</f>
        <v>-26</v>
      </c>
      <c r="F79" s="11">
        <f t="shared" si="4"/>
        <v>-37.645834253342514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-37.467732141251275</v>
      </c>
      <c r="E80" s="11">
        <f>A80-'Mastercurve bestimmen'!$B$2</f>
        <v>-25</v>
      </c>
      <c r="F80" s="11">
        <f t="shared" ref="F80:F143" si="10">B80</f>
        <v>-37.467732141251275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-37.291414253640276</v>
      </c>
      <c r="E81" s="11">
        <f>A81-'Mastercurve bestimmen'!$B$2</f>
        <v>-24</v>
      </c>
      <c r="F81" s="11">
        <f t="shared" si="10"/>
        <v>-37.291414253640276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-37.116249560587271</v>
      </c>
      <c r="E82" s="11">
        <f>A82-'Mastercurve bestimmen'!$B$2</f>
        <v>-23</v>
      </c>
      <c r="F82" s="11">
        <f t="shared" si="10"/>
        <v>-37.116249560587271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-36.941418109802967</v>
      </c>
      <c r="E83" s="11">
        <f>A83-'Mastercurve bestimmen'!$B$2</f>
        <v>-22</v>
      </c>
      <c r="F83" s="11">
        <f t="shared" si="10"/>
        <v>-36.941418109802967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-36.766099948998033</v>
      </c>
      <c r="E84" s="11">
        <f>A84-'Mastercurve bestimmen'!$B$2</f>
        <v>-21</v>
      </c>
      <c r="F84" s="11">
        <f t="shared" si="10"/>
        <v>-36.766099948998033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-36.589475125883204</v>
      </c>
      <c r="E85" s="11">
        <f>A85-'Mastercurve bestimmen'!$B$2</f>
        <v>-20</v>
      </c>
      <c r="F85" s="11">
        <f t="shared" si="10"/>
        <v>-36.589475125883204</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-36.410723688169142</v>
      </c>
      <c r="E86" s="11">
        <f>A86-'Mastercurve bestimmen'!$B$2</f>
        <v>-19</v>
      </c>
      <c r="F86" s="11">
        <f t="shared" si="10"/>
        <v>-36.410723688169142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-36.229025683566562</v>
      </c>
      <c r="E87" s="11">
        <f>A87-'Mastercurve bestimmen'!$B$2</f>
        <v>-18</v>
      </c>
      <c r="F87" s="11">
        <f t="shared" si="10"/>
        <v>-36.229025683566562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-36.043561159786151</v>
      </c>
      <c r="E88" s="11">
        <f>A88-'Mastercurve bestimmen'!$B$2</f>
        <v>-17</v>
      </c>
      <c r="F88" s="11">
        <f t="shared" si="10"/>
        <v>-36.043561159786151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-35.853510164538605</v>
      </c>
      <c r="E89" s="11">
        <f>A89-'Mastercurve bestimmen'!$B$2</f>
        <v>-16</v>
      </c>
      <c r="F89" s="11">
        <f t="shared" si="10"/>
        <v>-35.853510164538605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-35.658052745534626</v>
      </c>
      <c r="E90" s="11">
        <f>A90-'Mastercurve bestimmen'!$B$2</f>
        <v>-15</v>
      </c>
      <c r="F90" s="11">
        <f t="shared" si="10"/>
        <v>-35.658052745534626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-35.456368950484901</v>
      </c>
      <c r="E91" s="11">
        <f>A91-'Mastercurve bestimmen'!$B$2</f>
        <v>-14</v>
      </c>
      <c r="F91" s="11">
        <f t="shared" si="10"/>
        <v>-35.456368950484901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-35.247638827100133</v>
      </c>
      <c r="E92" s="11">
        <f>A92-'Mastercurve bestimmen'!$B$2</f>
        <v>-13</v>
      </c>
      <c r="F92" s="11">
        <f t="shared" si="10"/>
        <v>-35.247638827100133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-35.031042423091009</v>
      </c>
      <c r="E93" s="11">
        <f>A93-'Mastercurve bestimmen'!$B$2</f>
        <v>-12</v>
      </c>
      <c r="F93" s="11">
        <f t="shared" si="10"/>
        <v>-35.031042423091009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-34.805759786168238</v>
      </c>
      <c r="E94" s="11">
        <f>A94-'Mastercurve bestimmen'!$B$2</f>
        <v>-11</v>
      </c>
      <c r="F94" s="11">
        <f t="shared" si="10"/>
        <v>-34.805759786168238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-34.570970964042495</v>
      </c>
      <c r="E95" s="11">
        <f>A95-'Mastercurve bestimmen'!$B$2</f>
        <v>-10</v>
      </c>
      <c r="F95" s="11">
        <f t="shared" si="10"/>
        <v>-34.570970964042495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-34.325856004424494</v>
      </c>
      <c r="E96" s="11">
        <f>A96-'Mastercurve bestimmen'!$B$2</f>
        <v>-9</v>
      </c>
      <c r="F96" s="11">
        <f t="shared" si="10"/>
        <v>-34.325856004424494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-34.069594955024925</v>
      </c>
      <c r="E97" s="11">
        <f>A97-'Mastercurve bestimmen'!$B$2</f>
        <v>-8</v>
      </c>
      <c r="F97" s="11">
        <f t="shared" si="10"/>
        <v>-34.069594955024925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-33.801367863554489</v>
      </c>
      <c r="E98" s="11">
        <f>A98-'Mastercurve bestimmen'!$B$2</f>
        <v>-7</v>
      </c>
      <c r="F98" s="11">
        <f t="shared" si="10"/>
        <v>-33.801367863554489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-33.520354777723867</v>
      </c>
      <c r="E99" s="11">
        <f>A99-'Mastercurve bestimmen'!$B$2</f>
        <v>-6</v>
      </c>
      <c r="F99" s="11">
        <f t="shared" si="10"/>
        <v>-33.520354777723867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-33.225735745243767</v>
      </c>
      <c r="E100" s="11">
        <f>A100-'Mastercurve bestimmen'!$B$2</f>
        <v>-5</v>
      </c>
      <c r="F100" s="11">
        <f t="shared" si="10"/>
        <v>-33.225735745243767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-32.916690813824886</v>
      </c>
      <c r="E101" s="11">
        <f>A101-'Mastercurve bestimmen'!$B$2</f>
        <v>-4</v>
      </c>
      <c r="F101" s="11">
        <f t="shared" si="10"/>
        <v>-32.916690813824886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-32.592400031177917</v>
      </c>
      <c r="E102" s="11">
        <f>A102-'Mastercurve bestimmen'!$B$2</f>
        <v>-3</v>
      </c>
      <c r="F102" s="11">
        <f t="shared" si="10"/>
        <v>-32.592400031177917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-32.252043445013541</v>
      </c>
      <c r="E103" s="11">
        <f>A103-'Mastercurve bestimmen'!$B$2</f>
        <v>-2</v>
      </c>
      <c r="F103" s="11">
        <f t="shared" si="10"/>
        <v>-32.252043445013541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-31.894801103042475</v>
      </c>
      <c r="E104" s="11">
        <f>A104-'Mastercurve bestimmen'!$B$2</f>
        <v>-1</v>
      </c>
      <c r="F104" s="11">
        <f t="shared" si="10"/>
        <v>-31.894801103042475</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-31.519853052975407</v>
      </c>
      <c r="E105" s="11">
        <f>A105-'Mastercurve bestimmen'!$B$2</f>
        <v>0</v>
      </c>
      <c r="F105" s="11">
        <f t="shared" si="10"/>
        <v>-31.519853052975407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-31.126667810396924</v>
      </c>
      <c r="E106" s="11">
        <f>A106-'Mastercurve bestimmen'!$B$2</f>
        <v>1</v>
      </c>
      <c r="F106" s="11">
        <f t="shared" si="10"/>
        <v>-31.126667810396924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-30.715867762387184</v>
      </c>
      <c r="E107" s="11">
        <f>A107-'Mastercurve bestimmen'!$B$2</f>
        <v>2</v>
      </c>
      <c r="F107" s="11">
        <f t="shared" si="10"/>
        <v>-30.715867762387184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-30.288363763900247</v>
      </c>
      <c r="E108" s="11">
        <f>A108-'Mastercurve bestimmen'!$B$2</f>
        <v>3</v>
      </c>
      <c r="F108" s="11">
        <f t="shared" si="10"/>
        <v>-30.288363763900247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-29.845066669890162</v>
      </c>
      <c r="E109" s="11">
        <f>A109-'Mastercurve bestimmen'!$B$2</f>
        <v>4</v>
      </c>
      <c r="F109" s="11">
        <f t="shared" si="10"/>
        <v>-29.845066669890162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-29.386887335310995</v>
      </c>
      <c r="E110" s="11">
        <f>A110-'Mastercurve bestimmen'!$B$2</f>
        <v>5</v>
      </c>
      <c r="F110" s="11">
        <f t="shared" si="10"/>
        <v>-29.386887335310995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-28.914736615116791</v>
      </c>
      <c r="E111" s="11">
        <f>A111-'Mastercurve bestimmen'!$B$2</f>
        <v>6</v>
      </c>
      <c r="F111" s="11">
        <f t="shared" si="10"/>
        <v>-28.914736615116791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-28.429525364261607</v>
      </c>
      <c r="E112" s="11">
        <f>A112-'Mastercurve bestimmen'!$B$2</f>
        <v>7</v>
      </c>
      <c r="F112" s="11">
        <f t="shared" si="10"/>
        <v>-28.429525364261607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-27.932164437699502</v>
      </c>
      <c r="E113" s="11">
        <f>A113-'Mastercurve bestimmen'!$B$2</f>
        <v>8</v>
      </c>
      <c r="F113" s="11">
        <f t="shared" si="10"/>
        <v>-27.932164437699502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-27.42356469038452</v>
      </c>
      <c r="E114" s="11">
        <f>A114-'Mastercurve bestimmen'!$B$2</f>
        <v>9</v>
      </c>
      <c r="F114" s="11">
        <f t="shared" si="10"/>
        <v>-27.42356469038452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-26.904636977270727</v>
      </c>
      <c r="E115" s="11">
        <f>A115-'Mastercurve bestimmen'!$B$2</f>
        <v>10</v>
      </c>
      <c r="F115" s="11">
        <f t="shared" si="10"/>
        <v>-26.904636977270727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-26.376292153312171</v>
      </c>
      <c r="E116" s="11">
        <f>A116-'Mastercurve bestimmen'!$B$2</f>
        <v>11</v>
      </c>
      <c r="F116" s="11">
        <f t="shared" si="10"/>
        <v>-26.376292153312171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-25.839441073462908</v>
      </c>
      <c r="E117" s="11">
        <f>A117-'Mastercurve bestimmen'!$B$2</f>
        <v>12</v>
      </c>
      <c r="F117" s="11">
        <f t="shared" si="10"/>
        <v>-25.839441073462908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-25.294994592676993</v>
      </c>
      <c r="E118" s="11">
        <f>A118-'Mastercurve bestimmen'!$B$2</f>
        <v>13</v>
      </c>
      <c r="F118" s="11">
        <f t="shared" si="10"/>
        <v>-25.294994592676993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-24.743863565908484</v>
      </c>
      <c r="E119" s="11">
        <f>A119-'Mastercurve bestimmen'!$B$2</f>
        <v>14</v>
      </c>
      <c r="F119" s="11">
        <f t="shared" si="10"/>
        <v>-24.743863565908484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16</v>
      </c>
      <c r="F121" s="11">
        <f t="shared" si="10"/>
        <v>-23.62519129423989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-23.059471759247913</v>
      </c>
      <c r="E122" s="11">
        <f>A122-'Mastercurve bestimmen'!$B$2</f>
        <v>17</v>
      </c>
      <c r="F122" s="11">
        <f t="shared" si="10"/>
        <v>-23.059471759247913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-22.490711098089562</v>
      </c>
      <c r="E123" s="11">
        <f>A123-'Mastercurve bestimmen'!$B$2</f>
        <v>18</v>
      </c>
      <c r="F123" s="11">
        <f t="shared" si="10"/>
        <v>-22.490711098089562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-21.919820165718889</v>
      </c>
      <c r="E124" s="11">
        <f>A124-'Mastercurve bestimmen'!$B$2</f>
        <v>19</v>
      </c>
      <c r="F124" s="11">
        <f t="shared" si="10"/>
        <v>-21.919820165718889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-21.347709817089942</v>
      </c>
      <c r="E125" s="11">
        <f>A125-'Mastercurve bestimmen'!$B$2</f>
        <v>20</v>
      </c>
      <c r="F125" s="11">
        <f t="shared" si="10"/>
        <v>-21.347709817089942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-20.77529090715678</v>
      </c>
      <c r="E126" s="11">
        <f>A126-'Mastercurve bestimmen'!$B$2</f>
        <v>21</v>
      </c>
      <c r="F126" s="11">
        <f t="shared" si="10"/>
        <v>-20.77529090715678</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-20.203474290873459</v>
      </c>
      <c r="E127" s="11">
        <f>A127-'Mastercurve bestimmen'!$B$2</f>
        <v>22</v>
      </c>
      <c r="F127" s="11">
        <f t="shared" si="10"/>
        <v>-20.203474290873459</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-19.633170823194035</v>
      </c>
      <c r="E128" s="11">
        <f>A128-'Mastercurve bestimmen'!$B$2</f>
        <v>23</v>
      </c>
      <c r="F128" s="11">
        <f t="shared" si="10"/>
        <v>-19.633170823194035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-19.06529135907256</v>
      </c>
      <c r="E129" s="11">
        <f>A129-'Mastercurve bestimmen'!$B$2</f>
        <v>24</v>
      </c>
      <c r="F129" s="11">
        <f t="shared" si="10"/>
        <v>-19.06529135907256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-18.500746753463087</v>
      </c>
      <c r="E130" s="11">
        <f>A130-'Mastercurve bestimmen'!$B$2</f>
        <v>25</v>
      </c>
      <c r="F130" s="11">
        <f t="shared" si="10"/>
        <v>-18.500746753463087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-17.940447861319676</v>
      </c>
      <c r="E131" s="11">
        <f>A131-'Mastercurve bestimmen'!$B$2</f>
        <v>26</v>
      </c>
      <c r="F131" s="11">
        <f t="shared" si="10"/>
        <v>-17.940447861319676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-17.385305537596373</v>
      </c>
      <c r="E132" s="11">
        <f>A132-'Mastercurve bestimmen'!$B$2</f>
        <v>27</v>
      </c>
      <c r="F132" s="11">
        <f t="shared" si="10"/>
        <v>-17.385305537596373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-16.836230637247244</v>
      </c>
      <c r="E133" s="11">
        <f>A133-'Mastercurve bestimmen'!$B$2</f>
        <v>28</v>
      </c>
      <c r="F133" s="11">
        <f t="shared" si="10"/>
        <v>-16.836230637247244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-16.294134015226334</v>
      </c>
      <c r="E134" s="11">
        <f>A134-'Mastercurve bestimmen'!$B$2</f>
        <v>29</v>
      </c>
      <c r="F134" s="11">
        <f t="shared" si="10"/>
        <v>-16.294134015226334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-15.759926526487703</v>
      </c>
      <c r="E135" s="11">
        <f>A135-'Mastercurve bestimmen'!$B$2</f>
        <v>30</v>
      </c>
      <c r="F135" s="11">
        <f t="shared" si="10"/>
        <v>-15.759926526487703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-15.234358199038235</v>
      </c>
      <c r="E136" s="11">
        <f>A136-'Mastercurve bestimmen'!$B$2</f>
        <v>31</v>
      </c>
      <c r="F136" s="11">
        <f t="shared" si="10"/>
        <v>-15.234358199038235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-14.717535753096168</v>
      </c>
      <c r="E137" s="11">
        <f>A137-'Mastercurve bestimmen'!$B$2</f>
        <v>32</v>
      </c>
      <c r="F137" s="11">
        <f t="shared" si="10"/>
        <v>-14.717535753096168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-14.209405081932562</v>
      </c>
      <c r="E138" s="11">
        <f>A138-'Mastercurve bestimmen'!$B$2</f>
        <v>33</v>
      </c>
      <c r="F138" s="11">
        <f t="shared" si="10"/>
        <v>-14.209405081932562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-13.709912078818485</v>
      </c>
      <c r="E139" s="11">
        <f>A139-'Mastercurve bestimmen'!$B$2</f>
        <v>34</v>
      </c>
      <c r="F139" s="11">
        <f t="shared" si="10"/>
        <v>-13.709912078818485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-13.219002637025</v>
      </c>
      <c r="E140" s="11">
        <f>A140-'Mastercurve bestimmen'!$B$2</f>
        <v>35</v>
      </c>
      <c r="F140" s="11">
        <f t="shared" si="10"/>
        <v>-13.219002637025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-12.736622649823172</v>
      </c>
      <c r="E141" s="11">
        <f>A141-'Mastercurve bestimmen'!$B$2</f>
        <v>36</v>
      </c>
      <c r="F141" s="11">
        <f t="shared" si="10"/>
        <v>-12.736622649823172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-12.262718010484072</v>
      </c>
      <c r="E142" s="11">
        <f>A142-'Mastercurve bestimmen'!$B$2</f>
        <v>37</v>
      </c>
      <c r="F142" s="11">
        <f t="shared" si="10"/>
        <v>-12.262718010484072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-11.797234612278755</v>
      </c>
      <c r="E143" s="11">
        <f>A143-'Mastercurve bestimmen'!$B$2</f>
        <v>38</v>
      </c>
      <c r="F143" s="11">
        <f t="shared" si="10"/>
        <v>-11.797234612278755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-11.340118348478292</v>
      </c>
      <c r="E144" s="11">
        <f>A144-'Mastercurve bestimmen'!$B$2</f>
        <v>39</v>
      </c>
      <c r="F144" s="11">
        <f t="shared" ref="F144:F207" si="15">B144</f>
        <v>-11.340118348478292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-10.891315112353752</v>
      </c>
      <c r="E145" s="11">
        <f>A145-'Mastercurve bestimmen'!$B$2</f>
        <v>40</v>
      </c>
      <c r="F145" s="11">
        <f t="shared" si="15"/>
        <v>-10.891315112353752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-10.450770797176192</v>
      </c>
      <c r="E146" s="11">
        <f>A146-'Mastercurve bestimmen'!$B$2</f>
        <v>41</v>
      </c>
      <c r="F146" s="11">
        <f t="shared" si="15"/>
        <v>-10.450770797176192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-10.018431296216681</v>
      </c>
      <c r="E147" s="11">
        <f>A147-'Mastercurve bestimmen'!$B$2</f>
        <v>42</v>
      </c>
      <c r="F147" s="11">
        <f t="shared" si="15"/>
        <v>-10.018431296216681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-9.594242502746285</v>
      </c>
      <c r="E148" s="11">
        <f>A148-'Mastercurve bestimmen'!$B$2</f>
        <v>43</v>
      </c>
      <c r="F148" s="11">
        <f t="shared" si="15"/>
        <v>-9.594242502746285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-9.1781503100360666</v>
      </c>
      <c r="E149" s="11">
        <f>A149-'Mastercurve bestimmen'!$B$2</f>
        <v>44</v>
      </c>
      <c r="F149" s="11">
        <f t="shared" si="15"/>
        <v>-9.1781503100360666</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-8.7701006113570976</v>
      </c>
      <c r="E150" s="11">
        <f>A150-'Mastercurve bestimmen'!$B$2</f>
        <v>45</v>
      </c>
      <c r="F150" s="11">
        <f t="shared" si="15"/>
        <v>-8.7701006113570976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-8.3700392999804354</v>
      </c>
      <c r="E151" s="11">
        <f>A151-'Mastercurve bestimmen'!$B$2</f>
        <v>46</v>
      </c>
      <c r="F151" s="11">
        <f t="shared" si="15"/>
        <v>-8.3700392999804354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-7.977912269177148</v>
      </c>
      <c r="E152" s="11">
        <f>A152-'Mastercurve bestimmen'!$B$2</f>
        <v>47</v>
      </c>
      <c r="F152" s="11">
        <f t="shared" si="15"/>
        <v>-7.977912269177148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-7.5936654122183009</v>
      </c>
      <c r="E153" s="11">
        <f>A153-'Mastercurve bestimmen'!$B$2</f>
        <v>48</v>
      </c>
      <c r="F153" s="11">
        <f t="shared" si="15"/>
        <v>-7.5936654122183009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-7.2172446223749596</v>
      </c>
      <c r="E154" s="11">
        <f>A154-'Mastercurve bestimmen'!$B$2</f>
        <v>49</v>
      </c>
      <c r="F154" s="11">
        <f t="shared" si="15"/>
        <v>-7.2172446223749596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-6.8485957929181875</v>
      </c>
      <c r="E155" s="11">
        <f>A155-'Mastercurve bestimmen'!$B$2</f>
        <v>50</v>
      </c>
      <c r="F155" s="11">
        <f t="shared" si="15"/>
        <v>-6.8485957929181875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-6.4876648171190521</v>
      </c>
      <c r="E156" s="11">
        <f>A156-'Mastercurve bestimmen'!$B$2</f>
        <v>51</v>
      </c>
      <c r="F156" s="11">
        <f t="shared" si="15"/>
        <v>-6.4876648171190521</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-6.1343975882486186</v>
      </c>
      <c r="E157" s="11">
        <f>A157-'Mastercurve bestimmen'!$B$2</f>
        <v>52</v>
      </c>
      <c r="F157" s="11">
        <f t="shared" si="15"/>
        <v>-6.1343975882486186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-5.7887399995779507</v>
      </c>
      <c r="E158" s="11">
        <f>A158-'Mastercurve bestimmen'!$B$2</f>
        <v>53</v>
      </c>
      <c r="F158" s="11">
        <f t="shared" si="15"/>
        <v>-5.7887399995779507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-5.4506379443781121</v>
      </c>
      <c r="E159" s="11">
        <f>A159-'Mastercurve bestimmen'!$B$2</f>
        <v>54</v>
      </c>
      <c r="F159" s="11">
        <f t="shared" si="15"/>
        <v>-5.4506379443781121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-5.1200373159201717</v>
      </c>
      <c r="E160" s="11">
        <f>A160-'Mastercurve bestimmen'!$B$2</f>
        <v>55</v>
      </c>
      <c r="F160" s="11">
        <f t="shared" si="15"/>
        <v>-5.1200373159201717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-4.7968840074751924</v>
      </c>
      <c r="E161" s="11">
        <f>A161-'Mastercurve bestimmen'!$B$2</f>
        <v>56</v>
      </c>
      <c r="F161" s="11">
        <f t="shared" si="15"/>
        <v>-4.7968840074751924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-4.4811239123142403</v>
      </c>
      <c r="E162" s="11">
        <f>A162-'Mastercurve bestimmen'!$B$2</f>
        <v>57</v>
      </c>
      <c r="F162" s="11">
        <f t="shared" si="15"/>
        <v>-4.4811239123142403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-4.1727029237083801</v>
      </c>
      <c r="E163" s="11">
        <f>A163-'Mastercurve bestimmen'!$B$2</f>
        <v>58</v>
      </c>
      <c r="F163" s="11">
        <f t="shared" si="15"/>
        <v>-4.1727029237083801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-3.8715669349286768</v>
      </c>
      <c r="E164" s="11">
        <f>A164-'Mastercurve bestimmen'!$B$2</f>
        <v>59</v>
      </c>
      <c r="F164" s="11">
        <f t="shared" si="15"/>
        <v>-3.8715669349286768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-3.577661839246197</v>
      </c>
      <c r="E165" s="11">
        <f>A165-'Mastercurve bestimmen'!$B$2</f>
        <v>60</v>
      </c>
      <c r="F165" s="11">
        <f t="shared" si="15"/>
        <v>-3.577661839246197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-3.2909335299320035</v>
      </c>
      <c r="E166" s="11">
        <f>A166-'Mastercurve bestimmen'!$B$2</f>
        <v>61</v>
      </c>
      <c r="F166" s="11">
        <f t="shared" si="15"/>
        <v>-3.2909335299320035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-3.0113279002571627</v>
      </c>
      <c r="E167" s="11">
        <f>A167-'Mastercurve bestimmen'!$B$2</f>
        <v>62</v>
      </c>
      <c r="F167" s="11">
        <f t="shared" si="15"/>
        <v>-3.0113279002571627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-2.7387908434927408</v>
      </c>
      <c r="E168" s="11">
        <f>A168-'Mastercurve bestimmen'!$B$2</f>
        <v>63</v>
      </c>
      <c r="F168" s="11">
        <f t="shared" si="15"/>
        <v>-2.7387908434927408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-2.4732682529098016</v>
      </c>
      <c r="E169" s="11">
        <f>A169-'Mastercurve bestimmen'!$B$2</f>
        <v>64</v>
      </c>
      <c r="F169" s="11">
        <f t="shared" si="15"/>
        <v>-2.4732682529098016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-2.2147060217794103</v>
      </c>
      <c r="E170" s="11">
        <f>A170-'Mastercurve bestimmen'!$B$2</f>
        <v>65</v>
      </c>
      <c r="F170" s="11">
        <f t="shared" si="15"/>
        <v>-2.2147060217794103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-1.963050043372633</v>
      </c>
      <c r="E171" s="11">
        <f>A171-'Mastercurve bestimmen'!$B$2</f>
        <v>66</v>
      </c>
      <c r="F171" s="11">
        <f t="shared" si="15"/>
        <v>-1.963050043372633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-1.7182462109605345</v>
      </c>
      <c r="E172" s="11">
        <f>A172-'Mastercurve bestimmen'!$B$2</f>
        <v>67</v>
      </c>
      <c r="F172" s="11">
        <f t="shared" si="15"/>
        <v>-1.7182462109605345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-1.4802404178141799</v>
      </c>
      <c r="E173" s="11">
        <f>A173-'Mastercurve bestimmen'!$B$2</f>
        <v>68</v>
      </c>
      <c r="F173" s="11">
        <f t="shared" si="15"/>
        <v>-1.4802404178141799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-1.2489785572046341</v>
      </c>
      <c r="E174" s="11">
        <f>A174-'Mastercurve bestimmen'!$B$2</f>
        <v>69</v>
      </c>
      <c r="F174" s="11">
        <f t="shared" si="15"/>
        <v>-1.2489785572046341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-1.0244065224029626</v>
      </c>
      <c r="E175" s="11">
        <f>A175-'Mastercurve bestimmen'!$B$2</f>
        <v>70</v>
      </c>
      <c r="F175" s="11">
        <f t="shared" si="15"/>
        <v>-1.0244065224029626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-0.80647020668023028</v>
      </c>
      <c r="E176" s="11">
        <f>A176-'Mastercurve bestimmen'!$B$2</f>
        <v>71</v>
      </c>
      <c r="F176" s="11">
        <f t="shared" si="15"/>
        <v>-0.80647020668023028</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-0.59511550330750262</v>
      </c>
      <c r="E177" s="11">
        <f>A177-'Mastercurve bestimmen'!$B$2</f>
        <v>72</v>
      </c>
      <c r="F177" s="11">
        <f t="shared" si="15"/>
        <v>-0.59511550330750262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-0.39028830555584504</v>
      </c>
      <c r="E178" s="11">
        <f>A178-'Mastercurve bestimmen'!$B$2</f>
        <v>73</v>
      </c>
      <c r="F178" s="11">
        <f t="shared" si="15"/>
        <v>-0.39028830555584504</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-0.19193450669632295</v>
      </c>
      <c r="E179" s="11">
        <f>A179-'Mastercurve bestimmen'!$B$2</f>
        <v>74</v>
      </c>
      <c r="F179" s="11">
        <f t="shared" si="15"/>
        <v>-0.19193450669632295</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0</v>
      </c>
      <c r="E180" s="11">
        <f>A180-'Mastercurve bestimmen'!$B$2</f>
        <v>75</v>
      </c>
      <c r="F180" s="11">
        <f t="shared" si="15"/>
        <v>0</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0.1855906138807312</v>
      </c>
      <c r="E181" s="11">
        <f>A181-'Mastercurve bestimmen'!$B$2</f>
        <v>76</v>
      </c>
      <c r="F181" s="11">
        <f t="shared" si="15"/>
        <v>0.1855906138807312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0.36499790476817601</v>
      </c>
      <c r="E182" s="11">
        <f>A182-'Mastercurve bestimmen'!$B$2</f>
        <v>77</v>
      </c>
      <c r="F182" s="11">
        <f t="shared" si="15"/>
        <v>0.36499790476817601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0.53840373510331363</v>
      </c>
      <c r="E183" s="11">
        <f>A183-'Mastercurve bestimmen'!$B$2</f>
        <v>78</v>
      </c>
      <c r="F183" s="11">
        <f t="shared" si="15"/>
        <v>0.53840373510331363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0.70598996732712282</v>
      </c>
      <c r="E184" s="11">
        <f>A184-'Mastercurve bestimmen'!$B$2</f>
        <v>79</v>
      </c>
      <c r="F184" s="11">
        <f t="shared" si="15"/>
        <v>0.70598996732712282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0.8679384638805826</v>
      </c>
      <c r="E185" s="11">
        <f>A185-'Mastercurve bestimmen'!$B$2</f>
        <v>80</v>
      </c>
      <c r="F185" s="11">
        <f t="shared" si="15"/>
        <v>0.8679384638805826</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1.0244310872046722</v>
      </c>
      <c r="E186" s="11">
        <f>A186-'Mastercurve bestimmen'!$B$2</f>
        <v>81</v>
      </c>
      <c r="F186" s="11">
        <f t="shared" si="15"/>
        <v>1.0244310872046722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1.1756496997403705</v>
      </c>
      <c r="E187" s="11">
        <f>A187-'Mastercurve bestimmen'!$B$2</f>
        <v>82</v>
      </c>
      <c r="F187" s="11">
        <f t="shared" si="15"/>
        <v>1.1756496997403705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1.3217761639286563</v>
      </c>
      <c r="E188" s="11">
        <f>A188-'Mastercurve bestimmen'!$B$2</f>
        <v>83</v>
      </c>
      <c r="F188" s="11">
        <f t="shared" si="15"/>
        <v>1.3217761639286563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1.4629923422105091</v>
      </c>
      <c r="E189" s="11">
        <f>A189-'Mastercurve bestimmen'!$B$2</f>
        <v>84</v>
      </c>
      <c r="F189" s="11">
        <f t="shared" si="15"/>
        <v>1.4629923422105091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1.5994800970269076</v>
      </c>
      <c r="E190" s="11">
        <f>A190-'Mastercurve bestimmen'!$B$2</f>
        <v>85</v>
      </c>
      <c r="F190" s="11">
        <f t="shared" si="15"/>
        <v>1.5994800970269076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1.7314212908188309</v>
      </c>
      <c r="E191" s="11">
        <f>A191-'Mastercurve bestimmen'!$B$2</f>
        <v>86</v>
      </c>
      <c r="F191" s="11">
        <f t="shared" si="15"/>
        <v>1.7314212908188309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1.8589977860272577</v>
      </c>
      <c r="E192" s="11">
        <f>A192-'Mastercurve bestimmen'!$B$2</f>
        <v>87</v>
      </c>
      <c r="F192" s="11">
        <f t="shared" si="15"/>
        <v>1.8589977860272577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1.9823914450931674</v>
      </c>
      <c r="E193" s="11">
        <f>A193-'Mastercurve bestimmen'!$B$2</f>
        <v>88</v>
      </c>
      <c r="F193" s="11">
        <f t="shared" si="15"/>
        <v>1.9823914450931674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2.1017841304575389</v>
      </c>
      <c r="E194" s="11">
        <f>A194-'Mastercurve bestimmen'!$B$2</f>
        <v>89</v>
      </c>
      <c r="F194" s="11">
        <f t="shared" si="15"/>
        <v>2.1017841304575389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2.2173577045613508</v>
      </c>
      <c r="E195" s="11">
        <f>A195-'Mastercurve bestimmen'!$B$2</f>
        <v>90</v>
      </c>
      <c r="F195" s="11">
        <f t="shared" si="15"/>
        <v>2.2173577045613508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2.3292940298455829</v>
      </c>
      <c r="E196" s="11">
        <f>A196-'Mastercurve bestimmen'!$B$2</f>
        <v>91</v>
      </c>
      <c r="F196" s="11">
        <f t="shared" si="15"/>
        <v>2.3292940298455829</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2.437774968751214</v>
      </c>
      <c r="E197" s="11">
        <f>A197-'Mastercurve bestimmen'!$B$2</f>
        <v>92</v>
      </c>
      <c r="F197" s="11">
        <f t="shared" si="15"/>
        <v>2.437774968751214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2.5429823837192229</v>
      </c>
      <c r="E198" s="11">
        <f>A198-'Mastercurve bestimmen'!$B$2</f>
        <v>93</v>
      </c>
      <c r="F198" s="11">
        <f t="shared" si="15"/>
        <v>2.5429823837192229</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2.6450981371905882</v>
      </c>
      <c r="E199" s="11">
        <f>A199-'Mastercurve bestimmen'!$B$2</f>
        <v>94</v>
      </c>
      <c r="F199" s="11">
        <f t="shared" si="15"/>
        <v>2.6450981371905882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2.7443040916062893</v>
      </c>
      <c r="E200" s="11">
        <f>A200-'Mastercurve bestimmen'!$B$2</f>
        <v>95</v>
      </c>
      <c r="F200" s="11">
        <f t="shared" si="15"/>
        <v>2.7443040916062893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2.8407821094073058</v>
      </c>
      <c r="E201" s="11">
        <f>A201-'Mastercurve bestimmen'!$B$2</f>
        <v>96</v>
      </c>
      <c r="F201" s="11">
        <f t="shared" si="15"/>
        <v>2.8407821094073058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2.9347140530346154</v>
      </c>
      <c r="E202" s="11">
        <f>A202-'Mastercurve bestimmen'!$B$2</f>
        <v>97</v>
      </c>
      <c r="F202" s="11">
        <f t="shared" si="15"/>
        <v>2.9347140530346154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3.0262817849291981</v>
      </c>
      <c r="E203" s="11">
        <f>A203-'Mastercurve bestimmen'!$B$2</f>
        <v>98</v>
      </c>
      <c r="F203" s="11">
        <f t="shared" si="15"/>
        <v>3.0262817849291981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3.1156671675320333</v>
      </c>
      <c r="E204" s="11">
        <f>A204-'Mastercurve bestimmen'!$B$2</f>
        <v>99</v>
      </c>
      <c r="F204" s="11">
        <f t="shared" si="15"/>
        <v>3.1156671675320333</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3.2030520632840989</v>
      </c>
      <c r="E205" s="11">
        <f>A205-'Mastercurve bestimmen'!$B$2</f>
        <v>100</v>
      </c>
      <c r="F205" s="11">
        <f t="shared" si="15"/>
        <v>3.2030520632840989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3.2886183346263742</v>
      </c>
      <c r="E206" s="11">
        <f>A206-'Mastercurve bestimmen'!$B$2</f>
        <v>101</v>
      </c>
      <c r="F206" s="11">
        <f t="shared" si="15"/>
        <v>3.2886183346263742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3.3725478439998384</v>
      </c>
      <c r="E207" s="11">
        <f>A207-'Mastercurve bestimmen'!$B$2</f>
        <v>102</v>
      </c>
      <c r="F207" s="11">
        <f t="shared" si="15"/>
        <v>3.3725478439998384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3.455022453845471</v>
      </c>
      <c r="E208" s="11">
        <f>A208-'Mastercurve bestimmen'!$B$2</f>
        <v>103</v>
      </c>
      <c r="F208" s="11">
        <f t="shared" ref="F208:F215" si="21">B208</f>
        <v>3.455022453845471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3.5362240266042502</v>
      </c>
      <c r="E209" s="11">
        <f>A209-'Mastercurve bestimmen'!$B$2</f>
        <v>104</v>
      </c>
      <c r="F209" s="11">
        <f t="shared" si="21"/>
        <v>3.5362240266042502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3.6163344247171554</v>
      </c>
      <c r="E210" s="11">
        <f>A210-'Mastercurve bestimmen'!$B$2</f>
        <v>105</v>
      </c>
      <c r="F210" s="11">
        <f t="shared" si="21"/>
        <v>3.6163344247171554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3.6955355106251657</v>
      </c>
      <c r="E211" s="11">
        <f>A211-'Mastercurve bestimmen'!$B$2</f>
        <v>106</v>
      </c>
      <c r="F211" s="11">
        <f t="shared" si="21"/>
        <v>3.6955355106251657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3.7740091467692598</v>
      </c>
      <c r="E212" s="11">
        <f>A212-'Mastercurve bestimmen'!$B$2</f>
        <v>107</v>
      </c>
      <c r="F212" s="11">
        <f t="shared" si="21"/>
        <v>3.7740091467692598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3.8519371955904167</v>
      </c>
      <c r="E213" s="11">
        <f>A213-'Mastercurve bestimmen'!$B$2</f>
        <v>108</v>
      </c>
      <c r="F213" s="11">
        <f t="shared" si="21"/>
        <v>3.8519371955904167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3.9295015195296163</v>
      </c>
      <c r="E214" s="11">
        <f>A214-'Mastercurve bestimmen'!$B$2</f>
        <v>109</v>
      </c>
      <c r="F214" s="11">
        <f t="shared" si="21"/>
        <v>3.9295015195296163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4.0068839810278361</v>
      </c>
      <c r="E215" s="11">
        <f>A215-'Mastercurve bestimmen'!$B$2</f>
        <v>110</v>
      </c>
      <c r="F215" s="11">
        <f t="shared" si="21"/>
        <v>4.0068839810278361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0.52427832349594095</v>
      </c>
      <c r="J217" s="98">
        <v>-3.5315284282063972E-2</v>
      </c>
      <c r="K217" s="98">
        <v>-1.5218672356373552E-4</v>
      </c>
      <c r="L217" s="98">
        <v>1.2965286752905169E-5</v>
      </c>
      <c r="M217" s="98">
        <v>3.2635184253375725E-8</v>
      </c>
      <c r="N217" s="98">
        <v>-1.7212797645557277E-9</v>
      </c>
      <c r="O217" s="98">
        <v>-2.1573002487892906E-12</v>
      </c>
      <c r="P217" s="98">
        <v>7.6314676318104761E-14</v>
      </c>
    </row>
    <row r="218" spans="1:16" x14ac:dyDescent="0.25">
      <c r="G218" s="11"/>
      <c r="H218" s="11">
        <v>0</v>
      </c>
      <c r="I218" s="11">
        <v>0.11883437827828065</v>
      </c>
      <c r="J218" s="11">
        <v>2.6690301459261689E-3</v>
      </c>
      <c r="K218" s="3">
        <v>9.981444187013635E-5</v>
      </c>
      <c r="L218" s="3">
        <v>1.4984858230152606E-6</v>
      </c>
      <c r="M218" s="3">
        <v>2.4370629390323229E-8</v>
      </c>
      <c r="N218" s="3">
        <v>2.8176428127932897E-10</v>
      </c>
      <c r="O218" s="11">
        <v>1.7648779090405688E-12</v>
      </c>
      <c r="P218" s="11">
        <v>1.7814190606788563E-14</v>
      </c>
    </row>
    <row r="219" spans="1:16" x14ac:dyDescent="0.25">
      <c r="G219" s="11"/>
      <c r="H219" s="11">
        <v>0.79979045971086982</v>
      </c>
      <c r="I219" s="11">
        <v>13.317739258598893</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-47.415745212709396</v>
      </c>
      <c r="G222">
        <f>F15</f>
        <v>-45.801625734711926</v>
      </c>
    </row>
    <row r="223" spans="1:16" x14ac:dyDescent="0.25">
      <c r="E223" s="11">
        <f t="shared" ref="E223:E286" si="25">E16</f>
        <v>-89</v>
      </c>
      <c r="F223" s="11">
        <f t="shared" ref="F223:F286" si="26">$H$217*0+E223*$I$217+E223^2*$J$217+E223^3*$K$217+E223^4*$L$217+E223^5*$M$217+E223^6*$N$217+E223^7*$O$217+E223^8*$P$217</f>
        <v>-47.475947395315245</v>
      </c>
      <c r="G223" s="11">
        <f t="shared" ref="G223:G286" si="27">F16</f>
        <v>-45.738092888466561</v>
      </c>
    </row>
    <row r="224" spans="1:16" x14ac:dyDescent="0.25">
      <c r="E224" s="11">
        <f t="shared" si="25"/>
        <v>-88</v>
      </c>
      <c r="F224" s="11">
        <f t="shared" si="26"/>
        <v>-47.362952852895148</v>
      </c>
      <c r="G224" s="11">
        <f t="shared" si="27"/>
        <v>-45.67441338219669</v>
      </c>
    </row>
    <row r="225" spans="5:7" x14ac:dyDescent="0.25">
      <c r="E225" s="11">
        <f t="shared" si="25"/>
        <v>-87</v>
      </c>
      <c r="F225" s="11">
        <f t="shared" si="26"/>
        <v>-47.113737422063565</v>
      </c>
      <c r="G225" s="11">
        <f t="shared" si="27"/>
        <v>-45.610440555877801</v>
      </c>
    </row>
    <row r="226" spans="5:7" x14ac:dyDescent="0.25">
      <c r="E226" s="11">
        <f t="shared" si="25"/>
        <v>-86</v>
      </c>
      <c r="F226" s="11">
        <f t="shared" si="26"/>
        <v>-46.761183583043703</v>
      </c>
      <c r="G226" s="11">
        <f t="shared" si="27"/>
        <v>-45.54602774948539</v>
      </c>
    </row>
    <row r="227" spans="5:7" x14ac:dyDescent="0.25">
      <c r="E227" s="11">
        <f t="shared" si="25"/>
        <v>-85</v>
      </c>
      <c r="F227" s="11">
        <f t="shared" si="26"/>
        <v>-46.334353342722551</v>
      </c>
      <c r="G227" s="11">
        <f t="shared" si="27"/>
        <v>-45.481028302994957</v>
      </c>
    </row>
    <row r="228" spans="5:7" x14ac:dyDescent="0.25">
      <c r="E228" s="11">
        <f t="shared" si="25"/>
        <v>-84</v>
      </c>
      <c r="F228" s="11">
        <f t="shared" si="26"/>
        <v>-45.858749765387756</v>
      </c>
      <c r="G228" s="11">
        <f t="shared" si="27"/>
        <v>-45.415295556381992</v>
      </c>
    </row>
    <row r="229" spans="5:7" x14ac:dyDescent="0.25">
      <c r="E229" s="11">
        <f t="shared" si="25"/>
        <v>-83</v>
      </c>
      <c r="F229" s="11">
        <f t="shared" si="26"/>
        <v>-45.356567428183752</v>
      </c>
      <c r="G229" s="11">
        <f t="shared" si="27"/>
        <v>-45.34868284962198</v>
      </c>
    </row>
    <row r="230" spans="5:7" x14ac:dyDescent="0.25">
      <c r="E230" s="11">
        <f t="shared" si="25"/>
        <v>-82</v>
      </c>
      <c r="F230" s="11">
        <f t="shared" si="26"/>
        <v>-44.846932075239607</v>
      </c>
      <c r="G230" s="11">
        <f t="shared" si="27"/>
        <v>-45.281043522690418</v>
      </c>
    </row>
    <row r="231" spans="5:7" x14ac:dyDescent="0.25">
      <c r="E231" s="11">
        <f t="shared" si="25"/>
        <v>-81</v>
      </c>
      <c r="F231" s="11">
        <f t="shared" si="26"/>
        <v>-44.346129741353366</v>
      </c>
      <c r="G231" s="11">
        <f t="shared" si="27"/>
        <v>-45.212230915562813</v>
      </c>
    </row>
    <row r="232" spans="5:7" x14ac:dyDescent="0.25">
      <c r="E232" s="11">
        <f t="shared" si="25"/>
        <v>-80</v>
      </c>
      <c r="F232" s="11">
        <f t="shared" si="26"/>
        <v>-43.867825613032181</v>
      </c>
      <c r="G232" s="11">
        <f t="shared" si="27"/>
        <v>-45.14209836821464</v>
      </c>
    </row>
    <row r="233" spans="5:7" x14ac:dyDescent="0.25">
      <c r="E233" s="11">
        <f t="shared" si="25"/>
        <v>-79</v>
      </c>
      <c r="F233" s="11">
        <f t="shared" si="26"/>
        <v>-43.423272891616307</v>
      </c>
      <c r="G233" s="11">
        <f t="shared" si="27"/>
        <v>-45.0704992206214</v>
      </c>
    </row>
    <row r="234" spans="5:7" x14ac:dyDescent="0.25">
      <c r="E234" s="11">
        <f t="shared" si="25"/>
        <v>-78</v>
      </c>
      <c r="F234" s="11">
        <f t="shared" si="26"/>
        <v>-43.021511920134046</v>
      </c>
      <c r="G234" s="11">
        <f t="shared" si="27"/>
        <v>-44.997286812758588</v>
      </c>
    </row>
    <row r="235" spans="5:7" x14ac:dyDescent="0.25">
      <c r="E235" s="11">
        <f t="shared" si="25"/>
        <v>-77</v>
      </c>
      <c r="F235" s="11">
        <f t="shared" si="26"/>
        <v>-42.669559832462085</v>
      </c>
      <c r="G235" s="11">
        <f t="shared" si="27"/>
        <v>-44.922314484601692</v>
      </c>
    </row>
    <row r="236" spans="5:7" x14ac:dyDescent="0.25">
      <c r="E236" s="11">
        <f t="shared" si="25"/>
        <v>-76</v>
      </c>
      <c r="F236" s="11">
        <f t="shared" si="26"/>
        <v>-42.372590980283519</v>
      </c>
      <c r="G236" s="11">
        <f t="shared" si="27"/>
        <v>-44.845435576126206</v>
      </c>
    </row>
    <row r="237" spans="5:7" x14ac:dyDescent="0.25">
      <c r="E237" s="11">
        <f t="shared" si="25"/>
        <v>-75</v>
      </c>
      <c r="F237" s="11">
        <f t="shared" si="26"/>
        <v>-42.134108390262938</v>
      </c>
      <c r="G237" s="11">
        <f t="shared" si="27"/>
        <v>-44.766503427307626</v>
      </c>
    </row>
    <row r="238" spans="5:7" x14ac:dyDescent="0.25">
      <c r="E238" s="11">
        <f t="shared" si="25"/>
        <v>-74</v>
      </c>
      <c r="F238" s="11">
        <f t="shared" si="26"/>
        <v>-41.956106500779029</v>
      </c>
      <c r="G238" s="11">
        <f t="shared" si="27"/>
        <v>-44.685371378121459</v>
      </c>
    </row>
    <row r="239" spans="5:7" x14ac:dyDescent="0.25">
      <c r="E239" s="11">
        <f t="shared" si="25"/>
        <v>-73</v>
      </c>
      <c r="F239" s="11">
        <f t="shared" si="26"/>
        <v>-41.839225424479444</v>
      </c>
      <c r="G239" s="11">
        <f t="shared" si="27"/>
        <v>-44.601892768543166</v>
      </c>
    </row>
    <row r="240" spans="5:7" x14ac:dyDescent="0.25">
      <c r="E240" s="11">
        <f t="shared" si="25"/>
        <v>-72</v>
      </c>
      <c r="F240" s="11">
        <f t="shared" si="26"/>
        <v>-41.78289697984281</v>
      </c>
      <c r="G240" s="11">
        <f t="shared" si="27"/>
        <v>-44.515920938548263</v>
      </c>
    </row>
    <row r="241" spans="5:7" x14ac:dyDescent="0.25">
      <c r="E241" s="11">
        <f t="shared" si="25"/>
        <v>-71</v>
      </c>
      <c r="F241" s="11">
        <f t="shared" si="26"/>
        <v>-41.785482731859574</v>
      </c>
      <c r="G241" s="11">
        <f t="shared" si="27"/>
        <v>-44.427309228112236</v>
      </c>
    </row>
    <row r="242" spans="5:7" x14ac:dyDescent="0.25">
      <c r="E242" s="11">
        <f t="shared" si="25"/>
        <v>-70</v>
      </c>
      <c r="F242" s="11">
        <f t="shared" si="26"/>
        <v>-41.844404278864836</v>
      </c>
      <c r="G242" s="11">
        <f t="shared" si="27"/>
        <v>-44.335910977210588</v>
      </c>
    </row>
    <row r="243" spans="5:7" x14ac:dyDescent="0.25">
      <c r="E243" s="11">
        <f t="shared" si="25"/>
        <v>-69</v>
      </c>
      <c r="F243" s="11">
        <f t="shared" si="26"/>
        <v>-41.956266019476502</v>
      </c>
      <c r="G243" s="11">
        <f t="shared" si="27"/>
        <v>-44.2415795258188</v>
      </c>
    </row>
    <row r="244" spans="5:7" x14ac:dyDescent="0.25">
      <c r="E244" s="11">
        <f t="shared" si="25"/>
        <v>-68</v>
      </c>
      <c r="F244" s="11">
        <f t="shared" si="26"/>
        <v>-42.116970630520505</v>
      </c>
      <c r="G244" s="11">
        <f t="shared" si="27"/>
        <v>-44.144168213912366</v>
      </c>
    </row>
    <row r="245" spans="5:7" x14ac:dyDescent="0.25">
      <c r="E245" s="11">
        <f t="shared" si="25"/>
        <v>-67</v>
      </c>
      <c r="F245" s="11">
        <f t="shared" si="26"/>
        <v>-42.32182748374322</v>
      </c>
      <c r="G245" s="11">
        <f t="shared" si="27"/>
        <v>-44.043530381466795</v>
      </c>
    </row>
    <row r="246" spans="5:7" x14ac:dyDescent="0.25">
      <c r="E246" s="11">
        <f t="shared" si="25"/>
        <v>-66</v>
      </c>
      <c r="F246" s="11">
        <f t="shared" si="26"/>
        <v>-42.565654226036578</v>
      </c>
      <c r="G246" s="11">
        <f t="shared" si="27"/>
        <v>-43.939519368457553</v>
      </c>
    </row>
    <row r="247" spans="5:7" x14ac:dyDescent="0.25">
      <c r="E247" s="11">
        <f t="shared" si="25"/>
        <v>-65</v>
      </c>
      <c r="F247" s="11">
        <f t="shared" si="26"/>
        <v>-42.842871744823206</v>
      </c>
      <c r="G247" s="11">
        <f t="shared" si="27"/>
        <v>-43.831988514860157</v>
      </c>
    </row>
    <row r="248" spans="5:7" x14ac:dyDescent="0.25">
      <c r="E248" s="11">
        <f t="shared" si="25"/>
        <v>-64</v>
      </c>
      <c r="F248" s="11">
        <f t="shared" si="26"/>
        <v>-43.147592737173014</v>
      </c>
      <c r="G248" s="11">
        <f t="shared" si="27"/>
        <v>-43.720791160650094</v>
      </c>
    </row>
    <row r="249" spans="5:7" x14ac:dyDescent="0.25">
      <c r="E249" s="11">
        <f t="shared" si="25"/>
        <v>-63</v>
      </c>
      <c r="F249" s="11">
        <f t="shared" si="26"/>
        <v>-43.473704098144609</v>
      </c>
      <c r="G249" s="11">
        <f t="shared" si="27"/>
        <v>-43.605780645802852</v>
      </c>
    </row>
    <row r="250" spans="5:7" x14ac:dyDescent="0.25">
      <c r="E250" s="11">
        <f t="shared" si="25"/>
        <v>-62</v>
      </c>
      <c r="F250" s="11">
        <f t="shared" si="26"/>
        <v>-43.814943340768146</v>
      </c>
      <c r="G250" s="11">
        <f t="shared" si="27"/>
        <v>-43.486810310293926</v>
      </c>
    </row>
    <row r="251" spans="5:7" x14ac:dyDescent="0.25">
      <c r="E251" s="11">
        <f t="shared" si="25"/>
        <v>-61</v>
      </c>
      <c r="F251" s="11">
        <f t="shared" si="26"/>
        <v>-44.164969257010583</v>
      </c>
      <c r="G251" s="11">
        <f t="shared" si="27"/>
        <v>-43.36373349409881</v>
      </c>
    </row>
    <row r="252" spans="5:7" x14ac:dyDescent="0.25">
      <c r="E252" s="11">
        <f t="shared" si="25"/>
        <v>-60</v>
      </c>
      <c r="F252" s="11">
        <f t="shared" si="26"/>
        <v>-44.517427025984112</v>
      </c>
      <c r="G252" s="11">
        <f t="shared" si="27"/>
        <v>-43.236403537192999</v>
      </c>
    </row>
    <row r="253" spans="5:7" x14ac:dyDescent="0.25">
      <c r="E253" s="11">
        <f t="shared" si="25"/>
        <v>-59</v>
      </c>
      <c r="F253" s="11">
        <f t="shared" si="26"/>
        <v>-44.866007972585635</v>
      </c>
      <c r="G253" s="11">
        <f t="shared" si="27"/>
        <v>-43.104673779551987</v>
      </c>
    </row>
    <row r="254" spans="5:7" x14ac:dyDescent="0.25">
      <c r="E254" s="11">
        <f t="shared" si="25"/>
        <v>-58</v>
      </c>
      <c r="F254" s="11">
        <f t="shared" si="26"/>
        <v>-45.204504176674618</v>
      </c>
      <c r="G254" s="11">
        <f t="shared" si="27"/>
        <v>-42.968397561151264</v>
      </c>
    </row>
    <row r="255" spans="5:7" x14ac:dyDescent="0.25">
      <c r="E255" s="11">
        <f t="shared" si="25"/>
        <v>-57</v>
      </c>
      <c r="F255" s="11">
        <f t="shared" si="26"/>
        <v>-45.526858129821797</v>
      </c>
      <c r="G255" s="11">
        <f t="shared" si="27"/>
        <v>-42.827428221966329</v>
      </c>
    </row>
    <row r="256" spans="5:7" x14ac:dyDescent="0.25">
      <c r="E256" s="11">
        <f t="shared" si="25"/>
        <v>-56</v>
      </c>
      <c r="F256" s="11">
        <f t="shared" si="26"/>
        <v>-45.827207633582987</v>
      </c>
      <c r="G256" s="11">
        <f t="shared" si="27"/>
        <v>-42.681619101972665</v>
      </c>
    </row>
    <row r="257" spans="5:7" x14ac:dyDescent="0.25">
      <c r="E257" s="11">
        <f t="shared" si="25"/>
        <v>-55</v>
      </c>
      <c r="F257" s="11">
        <f t="shared" si="26"/>
        <v>-46.099926130176542</v>
      </c>
      <c r="G257" s="11">
        <f t="shared" si="27"/>
        <v>-42.530823541145764</v>
      </c>
    </row>
    <row r="258" spans="5:7" x14ac:dyDescent="0.25">
      <c r="E258" s="11">
        <f t="shared" si="25"/>
        <v>-54</v>
      </c>
      <c r="F258" s="11">
        <f t="shared" si="26"/>
        <v>-46.339658653364175</v>
      </c>
      <c r="G258" s="11">
        <f t="shared" si="27"/>
        <v>-42.374894879461138</v>
      </c>
    </row>
    <row r="259" spans="5:7" x14ac:dyDescent="0.25">
      <c r="E259" s="11">
        <f t="shared" si="25"/>
        <v>-53</v>
      </c>
      <c r="F259" s="11">
        <f t="shared" si="26"/>
        <v>-46.541353584259596</v>
      </c>
      <c r="G259" s="11">
        <f t="shared" si="27"/>
        <v>-42.213686456894266</v>
      </c>
    </row>
    <row r="260" spans="5:7" x14ac:dyDescent="0.25">
      <c r="E260" s="11">
        <f t="shared" si="25"/>
        <v>-52</v>
      </c>
      <c r="F260" s="11">
        <f t="shared" si="26"/>
        <v>-46.700290393711498</v>
      </c>
      <c r="G260" s="11">
        <f t="shared" si="27"/>
        <v>-42.047051613420642</v>
      </c>
    </row>
    <row r="261" spans="5:7" x14ac:dyDescent="0.25">
      <c r="E261" s="11">
        <f t="shared" si="25"/>
        <v>-51</v>
      </c>
      <c r="F261" s="11">
        <f t="shared" si="26"/>
        <v>-46.81210354983056</v>
      </c>
      <c r="G261" s="11">
        <f t="shared" si="27"/>
        <v>-41.874843689015755</v>
      </c>
    </row>
    <row r="262" spans="5:7" x14ac:dyDescent="0.25">
      <c r="E262" s="11">
        <f t="shared" si="25"/>
        <v>-50</v>
      </c>
      <c r="F262" s="11">
        <f t="shared" si="26"/>
        <v>-46.872802766153285</v>
      </c>
      <c r="G262" s="11">
        <f t="shared" si="27"/>
        <v>-41.696916023655113</v>
      </c>
    </row>
    <row r="263" spans="5:7" x14ac:dyDescent="0.25">
      <c r="E263" s="11">
        <f t="shared" si="25"/>
        <v>-49</v>
      </c>
      <c r="F263" s="11">
        <f t="shared" si="26"/>
        <v>-46.878789762858041</v>
      </c>
      <c r="G263" s="11">
        <f t="shared" si="27"/>
        <v>-41.565532961159505</v>
      </c>
    </row>
    <row r="264" spans="5:7" x14ac:dyDescent="0.25">
      <c r="E264" s="11">
        <f t="shared" si="25"/>
        <v>-48</v>
      </c>
      <c r="F264" s="11">
        <f t="shared" si="26"/>
        <v>-46.826871710372565</v>
      </c>
      <c r="G264" s="11">
        <f t="shared" si="27"/>
        <v>-41.428597079596727</v>
      </c>
    </row>
    <row r="265" spans="5:7" x14ac:dyDescent="0.25">
      <c r="E265" s="11">
        <f t="shared" si="25"/>
        <v>-47</v>
      </c>
      <c r="F265" s="11">
        <f t="shared" si="26"/>
        <v>-46.714271521633989</v>
      </c>
      <c r="G265" s="11">
        <f t="shared" si="27"/>
        <v>-41.286421960879899</v>
      </c>
    </row>
    <row r="266" spans="5:7" x14ac:dyDescent="0.25">
      <c r="E266" s="11">
        <f t="shared" si="25"/>
        <v>-46</v>
      </c>
      <c r="F266" s="11">
        <f t="shared" si="26"/>
        <v>-46.538635156186757</v>
      </c>
      <c r="G266" s="11">
        <f t="shared" si="27"/>
        <v>-41.139321186922089</v>
      </c>
    </row>
    <row r="267" spans="5:7" x14ac:dyDescent="0.25">
      <c r="E267" s="11">
        <f t="shared" si="25"/>
        <v>-45</v>
      </c>
      <c r="F267" s="11">
        <f t="shared" si="26"/>
        <v>-46.298036096225204</v>
      </c>
      <c r="G267" s="11">
        <f t="shared" si="27"/>
        <v>-40.987608339636431</v>
      </c>
    </row>
    <row r="268" spans="5:7" x14ac:dyDescent="0.25">
      <c r="E268" s="11">
        <f t="shared" si="25"/>
        <v>-44</v>
      </c>
      <c r="F268" s="11">
        <f t="shared" si="26"/>
        <v>-45.990977151612526</v>
      </c>
      <c r="G268" s="11">
        <f t="shared" si="27"/>
        <v>-40.831597000936014</v>
      </c>
    </row>
    <row r="269" spans="5:7" x14ac:dyDescent="0.25">
      <c r="E269" s="11">
        <f t="shared" si="25"/>
        <v>-43</v>
      </c>
      <c r="F269" s="11">
        <f t="shared" si="26"/>
        <v>-45.616389747828755</v>
      </c>
      <c r="G269" s="11">
        <f t="shared" si="27"/>
        <v>-40.671600752733944</v>
      </c>
    </row>
    <row r="270" spans="5:7" x14ac:dyDescent="0.25">
      <c r="E270" s="11">
        <f t="shared" si="25"/>
        <v>-42</v>
      </c>
      <c r="F270" s="11">
        <f t="shared" si="26"/>
        <v>-45.173630847725271</v>
      </c>
      <c r="G270" s="11">
        <f t="shared" si="27"/>
        <v>-40.507933176943325</v>
      </c>
    </row>
    <row r="271" spans="5:7" x14ac:dyDescent="0.25">
      <c r="E271" s="11">
        <f t="shared" si="25"/>
        <v>-41</v>
      </c>
      <c r="F271" s="11">
        <f t="shared" si="26"/>
        <v>-44.662477654884718</v>
      </c>
      <c r="G271" s="11">
        <f t="shared" si="27"/>
        <v>-40.340907855477255</v>
      </c>
    </row>
    <row r="272" spans="5:7" x14ac:dyDescent="0.25">
      <c r="E272" s="11">
        <f t="shared" si="25"/>
        <v>-40</v>
      </c>
      <c r="F272" s="11">
        <f t="shared" si="26"/>
        <v>-44.083120243309644</v>
      </c>
      <c r="G272" s="11">
        <f t="shared" si="27"/>
        <v>-40.170838370248845</v>
      </c>
    </row>
    <row r="273" spans="5:7" x14ac:dyDescent="0.25">
      <c r="E273" s="11">
        <f t="shared" si="25"/>
        <v>-39</v>
      </c>
      <c r="F273" s="11">
        <f t="shared" si="26"/>
        <v>-43.436152255085027</v>
      </c>
      <c r="G273" s="11">
        <f t="shared" si="27"/>
        <v>-39.998038303171192</v>
      </c>
    </row>
    <row r="274" spans="5:7" x14ac:dyDescent="0.25">
      <c r="E274" s="11">
        <f t="shared" si="25"/>
        <v>-38</v>
      </c>
      <c r="F274" s="11">
        <f t="shared" si="26"/>
        <v>-42.722559804583319</v>
      </c>
      <c r="G274" s="11">
        <f t="shared" si="27"/>
        <v>-39.822821236157395</v>
      </c>
    </row>
    <row r="275" spans="5:7" x14ac:dyDescent="0.25">
      <c r="E275" s="11">
        <f t="shared" si="25"/>
        <v>-37</v>
      </c>
      <c r="F275" s="11">
        <f t="shared" si="26"/>
        <v>-41.943708724704052</v>
      </c>
      <c r="G275" s="11">
        <f t="shared" si="27"/>
        <v>-39.645500751120565</v>
      </c>
    </row>
    <row r="276" spans="5:7" x14ac:dyDescent="0.25">
      <c r="E276" s="11">
        <f t="shared" si="25"/>
        <v>-36</v>
      </c>
      <c r="F276" s="11">
        <f t="shared" si="26"/>
        <v>-41.101330287561986</v>
      </c>
      <c r="G276" s="11">
        <f t="shared" si="27"/>
        <v>-39.466390429973806</v>
      </c>
    </row>
    <row r="277" spans="5:7" x14ac:dyDescent="0.25">
      <c r="E277" s="11">
        <f t="shared" si="25"/>
        <v>-35</v>
      </c>
      <c r="F277" s="11">
        <f t="shared" si="26"/>
        <v>-40.197505528961855</v>
      </c>
      <c r="G277" s="11">
        <f t="shared" si="27"/>
        <v>-39.285803854630217</v>
      </c>
    </row>
    <row r="278" spans="5:7" x14ac:dyDescent="0.25">
      <c r="E278" s="11">
        <f t="shared" si="25"/>
        <v>-34</v>
      </c>
      <c r="F278" s="11">
        <f t="shared" si="26"/>
        <v>-39.234648302920093</v>
      </c>
      <c r="G278" s="11">
        <f t="shared" si="27"/>
        <v>-39.104054607002894</v>
      </c>
    </row>
    <row r="279" spans="5:7" x14ac:dyDescent="0.25">
      <c r="E279" s="11">
        <f t="shared" si="25"/>
        <v>-33</v>
      </c>
      <c r="F279" s="11">
        <f t="shared" si="26"/>
        <v>-38.215487189417203</v>
      </c>
      <c r="G279" s="11">
        <f t="shared" si="27"/>
        <v>-38.921456269004949</v>
      </c>
    </row>
    <row r="280" spans="5:7" x14ac:dyDescent="0.25">
      <c r="E280" s="11">
        <f t="shared" si="25"/>
        <v>-32</v>
      </c>
      <c r="F280" s="11">
        <f t="shared" si="26"/>
        <v>-37.143046375487224</v>
      </c>
      <c r="G280" s="11">
        <f t="shared" si="27"/>
        <v>-38.738322422549487</v>
      </c>
    </row>
    <row r="281" spans="5:7" x14ac:dyDescent="0.25">
      <c r="E281" s="11">
        <f t="shared" si="25"/>
        <v>-31</v>
      </c>
      <c r="F281" s="11">
        <f t="shared" si="26"/>
        <v>-36.020625626673976</v>
      </c>
      <c r="G281" s="11">
        <f t="shared" si="27"/>
        <v>-38.554966649549606</v>
      </c>
    </row>
    <row r="282" spans="5:7" x14ac:dyDescent="0.25">
      <c r="E282" s="11">
        <f t="shared" si="25"/>
        <v>-30</v>
      </c>
      <c r="F282" s="11">
        <f t="shared" si="26"/>
        <v>-34.851779462806583</v>
      </c>
      <c r="G282" s="11">
        <f t="shared" si="27"/>
        <v>-38.371702531918402</v>
      </c>
    </row>
    <row r="283" spans="5:7" x14ac:dyDescent="0.25">
      <c r="E283" s="11">
        <f t="shared" si="25"/>
        <v>-29</v>
      </c>
      <c r="F283" s="11">
        <f t="shared" si="26"/>
        <v>-33.640295648969804</v>
      </c>
      <c r="G283" s="11">
        <f t="shared" si="27"/>
        <v>-38.188843651568995</v>
      </c>
    </row>
    <row r="284" spans="5:7" x14ac:dyDescent="0.25">
      <c r="E284" s="11">
        <f t="shared" si="25"/>
        <v>-28</v>
      </c>
      <c r="F284" s="11">
        <f t="shared" si="26"/>
        <v>-32.390173109467725</v>
      </c>
      <c r="G284" s="11">
        <f t="shared" si="27"/>
        <v>-38.006703590414475</v>
      </c>
    </row>
    <row r="285" spans="5:7" x14ac:dyDescent="0.25">
      <c r="E285" s="11">
        <f t="shared" si="25"/>
        <v>-27</v>
      </c>
      <c r="F285" s="11">
        <f t="shared" si="26"/>
        <v>-31.105599369502425</v>
      </c>
      <c r="G285" s="11">
        <f t="shared" si="27"/>
        <v>-37.825595930367939</v>
      </c>
    </row>
    <row r="286" spans="5:7" x14ac:dyDescent="0.25">
      <c r="E286" s="11">
        <f t="shared" si="25"/>
        <v>-26</v>
      </c>
      <c r="F286" s="11">
        <f t="shared" si="26"/>
        <v>-29.790927626211872</v>
      </c>
      <c r="G286" s="11">
        <f t="shared" si="27"/>
        <v>-37.645834253342514</v>
      </c>
    </row>
    <row r="287" spans="5:7" x14ac:dyDescent="0.25">
      <c r="E287" s="11">
        <f t="shared" ref="E287:E350" si="28">E80</f>
        <v>-25</v>
      </c>
      <c r="F287" s="11">
        <f t="shared" ref="F287:F350" si="29">$H$217*0+E287*$I$217+E287^2*$J$217+E287^3*$K$217+E287^4*$L$217+E287^5*$M$217+E287^6*$N$217+E287^7*$O$217+E287^8*$P$217</f>
        <v>-28.45065354763501</v>
      </c>
      <c r="G287" s="11">
        <f t="shared" ref="G287:G350" si="30">F80</f>
        <v>-37.467732141251275</v>
      </c>
    </row>
    <row r="288" spans="5:7" x14ac:dyDescent="0.25">
      <c r="E288" s="11">
        <f t="shared" si="28"/>
        <v>-24</v>
      </c>
      <c r="F288" s="11">
        <f t="shared" si="29"/>
        <v>-27.089391895094</v>
      </c>
      <c r="G288" s="11">
        <f t="shared" si="30"/>
        <v>-37.291414253640276</v>
      </c>
    </row>
    <row r="289" spans="5:7" x14ac:dyDescent="0.25">
      <c r="E289" s="11">
        <f t="shared" si="28"/>
        <v>-23</v>
      </c>
      <c r="F289" s="11">
        <f t="shared" si="29"/>
        <v>-25.711853061407652</v>
      </c>
      <c r="G289" s="11">
        <f t="shared" si="30"/>
        <v>-37.116249560587271</v>
      </c>
    </row>
    <row r="290" spans="5:7" x14ac:dyDescent="0.25">
      <c r="E290" s="11">
        <f t="shared" si="28"/>
        <v>-22</v>
      </c>
      <c r="F290" s="11">
        <f t="shared" si="29"/>
        <v>-24.322819614272092</v>
      </c>
      <c r="G290" s="11">
        <f t="shared" si="30"/>
        <v>-36.941418109802967</v>
      </c>
    </row>
    <row r="291" spans="5:7" x14ac:dyDescent="0.25">
      <c r="E291" s="11">
        <f t="shared" si="28"/>
        <v>-21</v>
      </c>
      <c r="F291" s="11">
        <f t="shared" si="29"/>
        <v>-22.927122931068453</v>
      </c>
      <c r="G291" s="11">
        <f t="shared" si="30"/>
        <v>-36.766099948998033</v>
      </c>
    </row>
    <row r="292" spans="5:7" x14ac:dyDescent="0.25">
      <c r="E292" s="11">
        <f t="shared" si="28"/>
        <v>-20</v>
      </c>
      <c r="F292" s="11">
        <f t="shared" si="29"/>
        <v>-21.529620008279867</v>
      </c>
      <c r="G292" s="11">
        <f t="shared" si="30"/>
        <v>-36.589475125883204</v>
      </c>
    </row>
    <row r="293" spans="5:7" x14ac:dyDescent="0.25">
      <c r="E293" s="11">
        <f t="shared" si="28"/>
        <v>-19</v>
      </c>
      <c r="F293" s="11">
        <f t="shared" si="29"/>
        <v>-20.135170525623419</v>
      </c>
      <c r="G293" s="11">
        <f t="shared" si="30"/>
        <v>-36.410723688169142</v>
      </c>
    </row>
    <row r="294" spans="5:7" x14ac:dyDescent="0.25">
      <c r="E294" s="11">
        <f t="shared" si="28"/>
        <v>-18</v>
      </c>
      <c r="F294" s="11">
        <f t="shared" si="29"/>
        <v>-18.748614241925264</v>
      </c>
      <c r="G294" s="11">
        <f t="shared" si="30"/>
        <v>-36.229025683566562</v>
      </c>
    </row>
    <row r="295" spans="5:7" x14ac:dyDescent="0.25">
      <c r="E295" s="11">
        <f t="shared" si="28"/>
        <v>-17</v>
      </c>
      <c r="F295" s="11">
        <f t="shared" si="29"/>
        <v>-17.374748796690639</v>
      </c>
      <c r="G295" s="11">
        <f t="shared" si="30"/>
        <v>-36.043561159786151</v>
      </c>
    </row>
    <row r="296" spans="5:7" x14ac:dyDescent="0.25">
      <c r="E296" s="11">
        <f t="shared" si="28"/>
        <v>-16</v>
      </c>
      <c r="F296" s="11">
        <f t="shared" si="29"/>
        <v>-16.018307988243023</v>
      </c>
      <c r="G296" s="11">
        <f t="shared" si="30"/>
        <v>-35.853510164538605</v>
      </c>
    </row>
    <row r="297" spans="5:7" x14ac:dyDescent="0.25">
      <c r="E297" s="11">
        <f t="shared" si="28"/>
        <v>-15</v>
      </c>
      <c r="F297" s="11">
        <f t="shared" si="29"/>
        <v>-14.683940596229945</v>
      </c>
      <c r="G297" s="11">
        <f t="shared" si="30"/>
        <v>-35.658052745534626</v>
      </c>
    </row>
    <row r="298" spans="5:7" x14ac:dyDescent="0.25">
      <c r="E298" s="11">
        <f t="shared" si="28"/>
        <v>-14</v>
      </c>
      <c r="F298" s="11">
        <f t="shared" si="29"/>
        <v>-13.376189813215868</v>
      </c>
      <c r="G298" s="11">
        <f t="shared" si="30"/>
        <v>-35.456368950484901</v>
      </c>
    </row>
    <row r="299" spans="5:7" x14ac:dyDescent="0.25">
      <c r="E299" s="11">
        <f t="shared" si="28"/>
        <v>-13</v>
      </c>
      <c r="F299" s="11">
        <f t="shared" si="29"/>
        <v>-12.099473347005583</v>
      </c>
      <c r="G299" s="11">
        <f t="shared" si="30"/>
        <v>-35.247638827100133</v>
      </c>
    </row>
    <row r="300" spans="5:7" x14ac:dyDescent="0.25">
      <c r="E300" s="11">
        <f t="shared" si="28"/>
        <v>-12</v>
      </c>
      <c r="F300" s="11">
        <f t="shared" si="29"/>
        <v>-10.858064252264485</v>
      </c>
      <c r="G300" s="11">
        <f t="shared" si="30"/>
        <v>-35.031042423091009</v>
      </c>
    </row>
    <row r="301" spans="5:7" x14ac:dyDescent="0.25">
      <c r="E301" s="11">
        <f t="shared" si="28"/>
        <v>-11</v>
      </c>
      <c r="F301" s="11">
        <f t="shared" si="29"/>
        <v>-9.6560725469251789</v>
      </c>
      <c r="G301" s="11">
        <f t="shared" si="30"/>
        <v>-34.805759786168238</v>
      </c>
    </row>
    <row r="302" spans="5:7" x14ac:dyDescent="0.25">
      <c r="E302" s="11">
        <f t="shared" si="28"/>
        <v>-10</v>
      </c>
      <c r="F302" s="11">
        <f t="shared" si="29"/>
        <v>-8.4974276657927934</v>
      </c>
      <c r="G302" s="11">
        <f t="shared" si="30"/>
        <v>-34.570970964042495</v>
      </c>
    </row>
    <row r="303" spans="5:7" x14ac:dyDescent="0.25">
      <c r="E303" s="11">
        <f t="shared" si="28"/>
        <v>-9</v>
      </c>
      <c r="F303" s="11">
        <f t="shared" si="29"/>
        <v>-7.3858618006844159</v>
      </c>
      <c r="G303" s="11">
        <f t="shared" si="30"/>
        <v>-34.325856004424494</v>
      </c>
    </row>
    <row r="304" spans="5:7" x14ac:dyDescent="0.25">
      <c r="E304" s="11">
        <f t="shared" si="28"/>
        <v>-8</v>
      </c>
      <c r="F304" s="11">
        <f t="shared" si="29"/>
        <v>-6.3248941733609643</v>
      </c>
      <c r="G304" s="11">
        <f t="shared" si="30"/>
        <v>-34.069594955024925</v>
      </c>
    </row>
    <row r="305" spans="5:7" x14ac:dyDescent="0.25">
      <c r="E305" s="11">
        <f t="shared" si="28"/>
        <v>-7</v>
      </c>
      <c r="F305" s="11">
        <f t="shared" si="29"/>
        <v>-5.3178162844329604</v>
      </c>
      <c r="G305" s="11">
        <f t="shared" si="30"/>
        <v>-33.801367863554489</v>
      </c>
    </row>
    <row r="306" spans="5:7" x14ac:dyDescent="0.25">
      <c r="E306" s="11">
        <f t="shared" si="28"/>
        <v>-6</v>
      </c>
      <c r="F306" s="11">
        <f t="shared" si="29"/>
        <v>-4.3676781783445122</v>
      </c>
      <c r="G306" s="11">
        <f t="shared" si="30"/>
        <v>-33.520354777723867</v>
      </c>
    </row>
    <row r="307" spans="5:7" x14ac:dyDescent="0.25">
      <c r="E307" s="11">
        <f t="shared" si="28"/>
        <v>-5</v>
      </c>
      <c r="F307" s="11">
        <f t="shared" si="29"/>
        <v>-3.4772757614628818</v>
      </c>
      <c r="G307" s="11">
        <f t="shared" si="30"/>
        <v>-33.225735745243767</v>
      </c>
    </row>
    <row r="308" spans="5:7" x14ac:dyDescent="0.25">
      <c r="E308" s="11">
        <f t="shared" si="28"/>
        <v>-4</v>
      </c>
      <c r="F308" s="11">
        <f t="shared" si="29"/>
        <v>-2.6491392072239903</v>
      </c>
      <c r="G308" s="11">
        <f t="shared" si="30"/>
        <v>-32.916690813824886</v>
      </c>
    </row>
    <row r="309" spans="5:7" x14ac:dyDescent="0.25">
      <c r="E309" s="11">
        <f t="shared" si="28"/>
        <v>-3</v>
      </c>
      <c r="F309" s="11">
        <f t="shared" si="29"/>
        <v>-1.8855224792071983</v>
      </c>
      <c r="G309" s="11">
        <f t="shared" si="30"/>
        <v>-32.592400031177917</v>
      </c>
    </row>
    <row r="310" spans="5:7" x14ac:dyDescent="0.25">
      <c r="E310" s="11">
        <f t="shared" si="28"/>
        <v>-2</v>
      </c>
      <c r="F310" s="11">
        <f t="shared" si="29"/>
        <v>-1.1883939999357116</v>
      </c>
      <c r="G310" s="11">
        <f t="shared" si="30"/>
        <v>-32.252043445013541</v>
      </c>
    </row>
    <row r="311" spans="5:7" x14ac:dyDescent="0.25">
      <c r="E311" s="11">
        <f t="shared" si="28"/>
        <v>-1</v>
      </c>
      <c r="F311" s="11">
        <f t="shared" si="29"/>
        <v>-0.55942849012191875</v>
      </c>
      <c r="G311" s="11">
        <f t="shared" si="30"/>
        <v>-31.894801103042475</v>
      </c>
    </row>
    <row r="312" spans="5:7" x14ac:dyDescent="0.25">
      <c r="E312" s="11">
        <f t="shared" si="28"/>
        <v>0</v>
      </c>
      <c r="F312" s="11">
        <f t="shared" si="29"/>
        <v>0</v>
      </c>
      <c r="G312" s="11">
        <f t="shared" si="30"/>
        <v>-31.519853052975407</v>
      </c>
    </row>
    <row r="313" spans="5:7" x14ac:dyDescent="0.25">
      <c r="E313" s="11">
        <f t="shared" si="28"/>
        <v>1</v>
      </c>
      <c r="F313" s="11">
        <f t="shared" si="29"/>
        <v>0.48882384868888967</v>
      </c>
      <c r="G313" s="11">
        <f t="shared" si="30"/>
        <v>-31.126667810396924</v>
      </c>
    </row>
    <row r="314" spans="5:7" x14ac:dyDescent="0.25">
      <c r="E314" s="11">
        <f t="shared" si="28"/>
        <v>2</v>
      </c>
      <c r="F314" s="11">
        <f t="shared" si="29"/>
        <v>0.90628639457055582</v>
      </c>
      <c r="G314" s="11">
        <f t="shared" si="30"/>
        <v>-30.715867762387184</v>
      </c>
    </row>
    <row r="315" spans="5:7" x14ac:dyDescent="0.25">
      <c r="E315" s="11">
        <f t="shared" si="28"/>
        <v>3</v>
      </c>
      <c r="F315" s="11">
        <f t="shared" si="29"/>
        <v>1.2519452299595217</v>
      </c>
      <c r="G315" s="11">
        <f t="shared" si="30"/>
        <v>-30.288363763900247</v>
      </c>
    </row>
    <row r="316" spans="5:7" x14ac:dyDescent="0.25">
      <c r="E316" s="11">
        <f t="shared" si="28"/>
        <v>4</v>
      </c>
      <c r="F316" s="11">
        <f t="shared" si="29"/>
        <v>1.5256742462943162</v>
      </c>
      <c r="G316" s="11">
        <f t="shared" si="30"/>
        <v>-29.845066669890162</v>
      </c>
    </row>
    <row r="317" spans="5:7" x14ac:dyDescent="0.25">
      <c r="E317" s="11">
        <f t="shared" si="28"/>
        <v>5</v>
      </c>
      <c r="F317" s="11">
        <f t="shared" si="29"/>
        <v>1.7276644254290132</v>
      </c>
      <c r="G317" s="11">
        <f t="shared" si="30"/>
        <v>-29.386887335310995</v>
      </c>
    </row>
    <row r="318" spans="5:7" x14ac:dyDescent="0.25">
      <c r="E318" s="11">
        <f t="shared" si="28"/>
        <v>6</v>
      </c>
      <c r="F318" s="11">
        <f t="shared" si="29"/>
        <v>1.8584233736007487</v>
      </c>
      <c r="G318" s="11">
        <f t="shared" si="30"/>
        <v>-28.914736615116791</v>
      </c>
    </row>
    <row r="319" spans="5:7" x14ac:dyDescent="0.25">
      <c r="E319" s="11">
        <f t="shared" si="28"/>
        <v>7</v>
      </c>
      <c r="F319" s="11">
        <f t="shared" si="29"/>
        <v>1.9187735979699458</v>
      </c>
      <c r="G319" s="11">
        <f t="shared" si="30"/>
        <v>-28.429525364261607</v>
      </c>
    </row>
    <row r="320" spans="5:7" x14ac:dyDescent="0.25">
      <c r="E320" s="11">
        <f t="shared" si="28"/>
        <v>8</v>
      </c>
      <c r="F320" s="11">
        <f t="shared" si="29"/>
        <v>1.9098495287069925</v>
      </c>
      <c r="G320" s="11">
        <f t="shared" si="30"/>
        <v>-27.932164437699502</v>
      </c>
    </row>
    <row r="321" spans="5:7" x14ac:dyDescent="0.25">
      <c r="E321" s="11">
        <f t="shared" si="28"/>
        <v>9</v>
      </c>
      <c r="F321" s="11">
        <f t="shared" si="29"/>
        <v>1.8330932926761228</v>
      </c>
      <c r="G321" s="11">
        <f t="shared" si="30"/>
        <v>-27.42356469038452</v>
      </c>
    </row>
    <row r="322" spans="5:7" x14ac:dyDescent="0.25">
      <c r="E322" s="11">
        <f t="shared" si="28"/>
        <v>10</v>
      </c>
      <c r="F322" s="11">
        <f t="shared" si="29"/>
        <v>1.6902492478442541</v>
      </c>
      <c r="G322" s="11">
        <f t="shared" si="30"/>
        <v>-26.904636977270727</v>
      </c>
    </row>
    <row r="323" spans="5:7" x14ac:dyDescent="0.25">
      <c r="E323" s="11">
        <f t="shared" si="28"/>
        <v>11</v>
      </c>
      <c r="F323" s="11">
        <f t="shared" si="29"/>
        <v>1.4833572906195498</v>
      </c>
      <c r="G323" s="11">
        <f t="shared" si="30"/>
        <v>-26.376292153312171</v>
      </c>
    </row>
    <row r="324" spans="5:7" x14ac:dyDescent="0.25">
      <c r="E324" s="11">
        <f t="shared" si="28"/>
        <v>12</v>
      </c>
      <c r="F324" s="11">
        <f t="shared" si="29"/>
        <v>1.2147449514014743</v>
      </c>
      <c r="G324" s="11">
        <f t="shared" si="30"/>
        <v>-25.839441073462908</v>
      </c>
    </row>
    <row r="325" spans="5:7" x14ac:dyDescent="0.25">
      <c r="E325" s="11">
        <f t="shared" si="28"/>
        <v>13</v>
      </c>
      <c r="F325" s="11">
        <f t="shared" si="29"/>
        <v>0.8870182967011323</v>
      </c>
      <c r="G325" s="11">
        <f t="shared" si="30"/>
        <v>-25.294994592676993</v>
      </c>
    </row>
    <row r="326" spans="5:7" x14ac:dyDescent="0.25">
      <c r="E326" s="11">
        <f t="shared" si="28"/>
        <v>14</v>
      </c>
      <c r="F326" s="11">
        <f t="shared" si="29"/>
        <v>0.50305165926766104</v>
      </c>
      <c r="G326" s="11">
        <f t="shared" si="30"/>
        <v>-24.743863565908484</v>
      </c>
    </row>
    <row r="327" spans="5:7" x14ac:dyDescent="0.25">
      <c r="E327" s="11">
        <f t="shared" si="28"/>
        <v>15</v>
      </c>
      <c r="F327" s="11">
        <f t="shared" si="29"/>
        <v>6.5976220733492144E-2</v>
      </c>
      <c r="G327" s="11">
        <f t="shared" si="30"/>
        <v>-24.186958848111431</v>
      </c>
    </row>
    <row r="328" spans="5:7" x14ac:dyDescent="0.25">
      <c r="E328" s="11">
        <f t="shared" si="28"/>
        <v>16</v>
      </c>
      <c r="F328" s="11">
        <f t="shared" si="29"/>
        <v>-0.42083252563172369</v>
      </c>
      <c r="G328" s="11">
        <f t="shared" si="30"/>
        <v>-23.62519129423989</v>
      </c>
    </row>
    <row r="329" spans="5:7" x14ac:dyDescent="0.25">
      <c r="E329" s="11">
        <f t="shared" si="28"/>
        <v>17</v>
      </c>
      <c r="F329" s="11">
        <f t="shared" si="29"/>
        <v>-0.95376840139172059</v>
      </c>
      <c r="G329" s="11">
        <f t="shared" si="30"/>
        <v>-23.059471759247913</v>
      </c>
    </row>
    <row r="330" spans="5:7" x14ac:dyDescent="0.25">
      <c r="E330" s="11">
        <f t="shared" si="28"/>
        <v>18</v>
      </c>
      <c r="F330" s="11">
        <f t="shared" si="29"/>
        <v>-1.5290092248949285</v>
      </c>
      <c r="G330" s="11">
        <f t="shared" si="30"/>
        <v>-22.490711098089562</v>
      </c>
    </row>
    <row r="331" spans="5:7" x14ac:dyDescent="0.25">
      <c r="E331" s="11">
        <f t="shared" si="28"/>
        <v>19</v>
      </c>
      <c r="F331" s="11">
        <f t="shared" si="29"/>
        <v>-2.14253251188565</v>
      </c>
      <c r="G331" s="11">
        <f t="shared" si="30"/>
        <v>-21.919820165718889</v>
      </c>
    </row>
    <row r="332" spans="5:7" x14ac:dyDescent="0.25">
      <c r="E332" s="11">
        <f t="shared" si="28"/>
        <v>20</v>
      </c>
      <c r="F332" s="11">
        <f t="shared" si="29"/>
        <v>-2.7901321548772979</v>
      </c>
      <c r="G332" s="11">
        <f t="shared" si="30"/>
        <v>-21.347709817089942</v>
      </c>
    </row>
    <row r="333" spans="5:7" x14ac:dyDescent="0.25">
      <c r="E333" s="11">
        <f t="shared" si="28"/>
        <v>21</v>
      </c>
      <c r="F333" s="11">
        <f t="shared" si="29"/>
        <v>-3.4674360383128278</v>
      </c>
      <c r="G333" s="11">
        <f t="shared" si="30"/>
        <v>-20.77529090715678</v>
      </c>
    </row>
    <row r="334" spans="5:7" x14ac:dyDescent="0.25">
      <c r="E334" s="11">
        <f t="shared" si="28"/>
        <v>22</v>
      </c>
      <c r="F334" s="11">
        <f t="shared" si="29"/>
        <v>-4.1699245434605219</v>
      </c>
      <c r="G334" s="11">
        <f t="shared" si="30"/>
        <v>-20.203474290873459</v>
      </c>
    </row>
    <row r="335" spans="5:7" x14ac:dyDescent="0.25">
      <c r="E335" s="11">
        <f t="shared" si="28"/>
        <v>23</v>
      </c>
      <c r="F335" s="11">
        <f t="shared" si="29"/>
        <v>-4.8929498939162546</v>
      </c>
      <c r="G335" s="11">
        <f t="shared" si="30"/>
        <v>-19.633170823194035</v>
      </c>
    </row>
    <row r="336" spans="5:7" x14ac:dyDescent="0.25">
      <c r="E336" s="11">
        <f t="shared" si="28"/>
        <v>24</v>
      </c>
      <c r="F336" s="11">
        <f t="shared" si="29"/>
        <v>-5.6317562895064128</v>
      </c>
      <c r="G336" s="11">
        <f t="shared" si="30"/>
        <v>-19.06529135907256</v>
      </c>
    </row>
    <row r="337" spans="5:7" x14ac:dyDescent="0.25">
      <c r="E337" s="11">
        <f t="shared" si="28"/>
        <v>25</v>
      </c>
      <c r="F337" s="11">
        <f t="shared" si="29"/>
        <v>-6.3815007733085523</v>
      </c>
      <c r="G337" s="11">
        <f t="shared" si="30"/>
        <v>-18.500746753463087</v>
      </c>
    </row>
    <row r="338" spans="5:7" x14ac:dyDescent="0.25">
      <c r="E338" s="11">
        <f t="shared" si="28"/>
        <v>26</v>
      </c>
      <c r="F338" s="11">
        <f t="shared" si="29"/>
        <v>-7.137274773429934</v>
      </c>
      <c r="G338" s="11">
        <f t="shared" si="30"/>
        <v>-17.940447861319676</v>
      </c>
    </row>
    <row r="339" spans="5:7" x14ac:dyDescent="0.25">
      <c r="E339" s="11">
        <f t="shared" si="28"/>
        <v>27</v>
      </c>
      <c r="F339" s="11">
        <f t="shared" si="29"/>
        <v>-7.8941262581070299</v>
      </c>
      <c r="G339" s="11">
        <f t="shared" si="30"/>
        <v>-17.385305537596373</v>
      </c>
    </row>
    <row r="340" spans="5:7" x14ac:dyDescent="0.25">
      <c r="E340" s="11">
        <f t="shared" si="28"/>
        <v>28</v>
      </c>
      <c r="F340" s="11">
        <f t="shared" si="29"/>
        <v>-8.6470824396121451</v>
      </c>
      <c r="G340" s="11">
        <f t="shared" si="30"/>
        <v>-16.836230637247244</v>
      </c>
    </row>
    <row r="341" spans="5:7" x14ac:dyDescent="0.25">
      <c r="E341" s="11">
        <f t="shared" si="28"/>
        <v>29</v>
      </c>
      <c r="F341" s="11">
        <f t="shared" si="29"/>
        <v>-9.3911729593762097</v>
      </c>
      <c r="G341" s="11">
        <f t="shared" si="30"/>
        <v>-16.294134015226334</v>
      </c>
    </row>
    <row r="342" spans="5:7" x14ac:dyDescent="0.25">
      <c r="E342" s="11">
        <f t="shared" si="28"/>
        <v>30</v>
      </c>
      <c r="F342" s="11">
        <f t="shared" si="29"/>
        <v>-10.121453483659824</v>
      </c>
      <c r="G342" s="11">
        <f t="shared" si="30"/>
        <v>-15.759926526487703</v>
      </c>
    </row>
    <row r="343" spans="5:7" x14ac:dyDescent="0.25">
      <c r="E343" s="11">
        <f t="shared" si="28"/>
        <v>31</v>
      </c>
      <c r="F343" s="11">
        <f t="shared" si="29"/>
        <v>-10.833029636027705</v>
      </c>
      <c r="G343" s="11">
        <f t="shared" si="30"/>
        <v>-15.234358199038235</v>
      </c>
    </row>
    <row r="344" spans="5:7" x14ac:dyDescent="0.25">
      <c r="E344" s="11">
        <f t="shared" si="28"/>
        <v>32</v>
      </c>
      <c r="F344" s="11">
        <f t="shared" si="29"/>
        <v>-11.521081189804487</v>
      </c>
      <c r="G344" s="11">
        <f t="shared" si="30"/>
        <v>-14.717535753096168</v>
      </c>
    </row>
    <row r="345" spans="5:7" x14ac:dyDescent="0.25">
      <c r="E345" s="11">
        <f t="shared" si="28"/>
        <v>33</v>
      </c>
      <c r="F345" s="11">
        <f t="shared" si="29"/>
        <v>-12.180886440613079</v>
      </c>
      <c r="G345" s="11">
        <f t="shared" si="30"/>
        <v>-14.209405081932562</v>
      </c>
    </row>
    <row r="346" spans="5:7" x14ac:dyDescent="0.25">
      <c r="E346" s="11">
        <f t="shared" si="28"/>
        <v>34</v>
      </c>
      <c r="F346" s="11">
        <f t="shared" si="29"/>
        <v>-12.807846676019533</v>
      </c>
      <c r="G346" s="11">
        <f t="shared" si="30"/>
        <v>-13.709912078818485</v>
      </c>
    </row>
    <row r="347" spans="5:7" x14ac:dyDescent="0.25">
      <c r="E347" s="11">
        <f t="shared" si="28"/>
        <v>35</v>
      </c>
      <c r="F347" s="11">
        <f t="shared" si="29"/>
        <v>-13.397510656231505</v>
      </c>
      <c r="G347" s="11">
        <f t="shared" si="30"/>
        <v>-13.219002637025</v>
      </c>
    </row>
    <row r="348" spans="5:7" x14ac:dyDescent="0.25">
      <c r="E348" s="11">
        <f t="shared" si="28"/>
        <v>36</v>
      </c>
      <c r="F348" s="11">
        <f t="shared" si="29"/>
        <v>-13.945599016720379</v>
      </c>
      <c r="G348" s="11">
        <f t="shared" si="30"/>
        <v>-12.736622649823172</v>
      </c>
    </row>
    <row r="349" spans="5:7" x14ac:dyDescent="0.25">
      <c r="E349" s="11">
        <f t="shared" si="28"/>
        <v>37</v>
      </c>
      <c r="F349" s="11">
        <f t="shared" si="29"/>
        <v>-14.448028500559998</v>
      </c>
      <c r="G349" s="11">
        <f t="shared" si="30"/>
        <v>-12.262718010484072</v>
      </c>
    </row>
    <row r="350" spans="5:7" x14ac:dyDescent="0.25">
      <c r="E350" s="11">
        <f t="shared" si="28"/>
        <v>38</v>
      </c>
      <c r="F350" s="11">
        <f t="shared" si="29"/>
        <v>-14.900935925198233</v>
      </c>
      <c r="G350" s="11">
        <f t="shared" si="30"/>
        <v>-11.797234612278755</v>
      </c>
    </row>
    <row r="351" spans="5:7" x14ac:dyDescent="0.25">
      <c r="E351" s="11">
        <f t="shared" ref="E351:E414" si="31">E144</f>
        <v>39</v>
      </c>
      <c r="F351" s="11">
        <f t="shared" ref="F351:F414" si="32">$H$217*0+E351*$I$217+E351^2*$J$217+E351^3*$K$217+E351^4*$L$217+E351^5*$M$217+E351^6*$N$217+E351^7*$O$217+E351^8*$P$217</f>
        <v>-15.30070178530003</v>
      </c>
      <c r="G351" s="11">
        <f t="shared" ref="G351:G414" si="33">F144</f>
        <v>-11.340118348478292</v>
      </c>
    </row>
    <row r="352" spans="5:7" x14ac:dyDescent="0.25">
      <c r="E352" s="11">
        <f t="shared" si="31"/>
        <v>40</v>
      </c>
      <c r="F352" s="11">
        <f t="shared" si="32"/>
        <v>-15.643973390224449</v>
      </c>
      <c r="G352" s="11">
        <f t="shared" si="33"/>
        <v>-10.891315112353752</v>
      </c>
    </row>
    <row r="353" spans="5:7" x14ac:dyDescent="0.25">
      <c r="E353" s="11">
        <f t="shared" si="31"/>
        <v>41</v>
      </c>
      <c r="F353" s="11">
        <f t="shared" si="32"/>
        <v>-15.927687431620239</v>
      </c>
      <c r="G353" s="11">
        <f t="shared" si="33"/>
        <v>-10.450770797176192</v>
      </c>
    </row>
    <row r="354" spans="5:7" x14ac:dyDescent="0.25">
      <c r="E354" s="11">
        <f t="shared" si="31"/>
        <v>42</v>
      </c>
      <c r="F354" s="11">
        <f t="shared" si="32"/>
        <v>-16.149091873548201</v>
      </c>
      <c r="G354" s="11">
        <f t="shared" si="33"/>
        <v>-10.018431296216681</v>
      </c>
    </row>
    <row r="355" spans="5:7" x14ac:dyDescent="0.25">
      <c r="E355" s="11">
        <f t="shared" si="31"/>
        <v>43</v>
      </c>
      <c r="F355" s="11">
        <f t="shared" si="32"/>
        <v>-16.305767054461292</v>
      </c>
      <c r="G355" s="11">
        <f t="shared" si="33"/>
        <v>-9.594242502746285</v>
      </c>
    </row>
    <row r="356" spans="5:7" x14ac:dyDescent="0.25">
      <c r="E356" s="11">
        <f t="shared" si="31"/>
        <v>44</v>
      </c>
      <c r="F356" s="11">
        <f t="shared" si="32"/>
        <v>-16.395645887296343</v>
      </c>
      <c r="G356" s="11">
        <f t="shared" si="33"/>
        <v>-9.1781503100360666</v>
      </c>
    </row>
    <row r="357" spans="5:7" x14ac:dyDescent="0.25">
      <c r="E357" s="11">
        <f t="shared" si="31"/>
        <v>45</v>
      </c>
      <c r="F357" s="11">
        <f t="shared" si="32"/>
        <v>-16.417033040854463</v>
      </c>
      <c r="G357" s="11">
        <f t="shared" si="33"/>
        <v>-8.7701006113570976</v>
      </c>
    </row>
    <row r="358" spans="5:7" x14ac:dyDescent="0.25">
      <c r="E358" s="11">
        <f t="shared" si="31"/>
        <v>46</v>
      </c>
      <c r="F358" s="11">
        <f t="shared" si="32"/>
        <v>-16.368622982570191</v>
      </c>
      <c r="G358" s="11">
        <f t="shared" si="33"/>
        <v>-8.3700392999804354</v>
      </c>
    </row>
    <row r="359" spans="5:7" x14ac:dyDescent="0.25">
      <c r="E359" s="11">
        <f t="shared" si="31"/>
        <v>47</v>
      </c>
      <c r="F359" s="11">
        <f t="shared" si="32"/>
        <v>-16.249516759691964</v>
      </c>
      <c r="G359" s="11">
        <f t="shared" si="33"/>
        <v>-7.977912269177148</v>
      </c>
    </row>
    <row r="360" spans="5:7" x14ac:dyDescent="0.25">
      <c r="E360" s="11">
        <f t="shared" si="31"/>
        <v>48</v>
      </c>
      <c r="F360" s="11">
        <f t="shared" si="32"/>
        <v>-16.059237392820414</v>
      </c>
      <c r="G360" s="11">
        <f t="shared" si="33"/>
        <v>-7.5936654122183009</v>
      </c>
    </row>
    <row r="361" spans="5:7" x14ac:dyDescent="0.25">
      <c r="E361" s="11">
        <f t="shared" si="31"/>
        <v>49</v>
      </c>
      <c r="F361" s="11">
        <f t="shared" si="32"/>
        <v>-15.797743752672861</v>
      </c>
      <c r="G361" s="11">
        <f t="shared" si="33"/>
        <v>-7.2172446223749596</v>
      </c>
    </row>
    <row r="362" spans="5:7" x14ac:dyDescent="0.25">
      <c r="E362" s="11">
        <f t="shared" si="31"/>
        <v>50</v>
      </c>
      <c r="F362" s="11">
        <f t="shared" si="32"/>
        <v>-15.465442787866511</v>
      </c>
      <c r="G362" s="11">
        <f t="shared" si="33"/>
        <v>-6.8485957929181875</v>
      </c>
    </row>
    <row r="363" spans="5:7" x14ac:dyDescent="0.25">
      <c r="E363" s="11">
        <f t="shared" si="31"/>
        <v>51</v>
      </c>
      <c r="F363" s="11">
        <f t="shared" si="32"/>
        <v>-15.063199968434597</v>
      </c>
      <c r="G363" s="11">
        <f t="shared" si="33"/>
        <v>-6.4876648171190521</v>
      </c>
    </row>
    <row r="364" spans="5:7" x14ac:dyDescent="0.25">
      <c r="E364" s="11">
        <f t="shared" si="31"/>
        <v>52</v>
      </c>
      <c r="F364" s="11">
        <f t="shared" si="32"/>
        <v>-14.59234780671412</v>
      </c>
      <c r="G364" s="11">
        <f t="shared" si="33"/>
        <v>-6.1343975882486186</v>
      </c>
    </row>
    <row r="365" spans="5:7" x14ac:dyDescent="0.25">
      <c r="E365" s="11">
        <f t="shared" si="31"/>
        <v>53</v>
      </c>
      <c r="F365" s="11">
        <f t="shared" si="32"/>
        <v>-14.05469231416558</v>
      </c>
      <c r="G365" s="11">
        <f t="shared" si="33"/>
        <v>-5.7887399995779507</v>
      </c>
    </row>
    <row r="366" spans="5:7" x14ac:dyDescent="0.25">
      <c r="E366" s="11">
        <f t="shared" si="31"/>
        <v>54</v>
      </c>
      <c r="F366" s="11">
        <f t="shared" si="32"/>
        <v>-13.45251724960878</v>
      </c>
      <c r="G366" s="11">
        <f t="shared" si="33"/>
        <v>-5.4506379443781121</v>
      </c>
    </row>
    <row r="367" spans="5:7" x14ac:dyDescent="0.25">
      <c r="E367" s="11">
        <f t="shared" si="31"/>
        <v>55</v>
      </c>
      <c r="F367" s="11">
        <f t="shared" si="32"/>
        <v>-12.788586011281492</v>
      </c>
      <c r="G367" s="11">
        <f t="shared" si="33"/>
        <v>-5.1200373159201717</v>
      </c>
    </row>
    <row r="368" spans="5:7" x14ac:dyDescent="0.25">
      <c r="E368" s="11">
        <f t="shared" si="31"/>
        <v>56</v>
      </c>
      <c r="F368" s="11">
        <f t="shared" si="32"/>
        <v>-12.066141022051283</v>
      </c>
      <c r="G368" s="11">
        <f t="shared" si="33"/>
        <v>-4.7968840074751924</v>
      </c>
    </row>
    <row r="369" spans="5:7" x14ac:dyDescent="0.25">
      <c r="E369" s="11">
        <f t="shared" si="31"/>
        <v>57</v>
      </c>
      <c r="F369" s="11">
        <f t="shared" si="32"/>
        <v>-11.288900454032595</v>
      </c>
      <c r="G369" s="11">
        <f t="shared" si="33"/>
        <v>-4.4811239123142403</v>
      </c>
    </row>
    <row r="370" spans="5:7" x14ac:dyDescent="0.25">
      <c r="E370" s="11">
        <f t="shared" si="31"/>
        <v>58</v>
      </c>
      <c r="F370" s="11">
        <f t="shared" si="32"/>
        <v>-10.461052135785714</v>
      </c>
      <c r="G370" s="11">
        <f t="shared" si="33"/>
        <v>-4.1727029237083801</v>
      </c>
    </row>
    <row r="371" spans="5:7" x14ac:dyDescent="0.25">
      <c r="E371" s="11">
        <f t="shared" si="31"/>
        <v>59</v>
      </c>
      <c r="F371" s="11">
        <f t="shared" si="32"/>
        <v>-9.5872444821962706</v>
      </c>
      <c r="G371" s="11">
        <f t="shared" si="33"/>
        <v>-3.8715669349286768</v>
      </c>
    </row>
    <row r="372" spans="5:7" x14ac:dyDescent="0.25">
      <c r="E372" s="11">
        <f t="shared" si="31"/>
        <v>60</v>
      </c>
      <c r="F372" s="11">
        <f t="shared" si="32"/>
        <v>-8.672574284056596</v>
      </c>
      <c r="G372" s="11">
        <f t="shared" si="33"/>
        <v>-3.577661839246197</v>
      </c>
    </row>
    <row r="373" spans="5:7" x14ac:dyDescent="0.25">
      <c r="E373" s="11">
        <f t="shared" si="31"/>
        <v>61</v>
      </c>
      <c r="F373" s="11">
        <f t="shared" si="32"/>
        <v>-7.7225711912948327</v>
      </c>
      <c r="G373" s="11">
        <f t="shared" si="33"/>
        <v>-3.2909335299320035</v>
      </c>
    </row>
    <row r="374" spans="5:7" x14ac:dyDescent="0.25">
      <c r="E374" s="11">
        <f t="shared" si="31"/>
        <v>62</v>
      </c>
      <c r="F374" s="11">
        <f t="shared" si="32"/>
        <v>-6.7431787207186282</v>
      </c>
      <c r="G374" s="11">
        <f t="shared" si="33"/>
        <v>-3.0113279002571627</v>
      </c>
    </row>
    <row r="375" spans="5:7" x14ac:dyDescent="0.25">
      <c r="E375" s="11">
        <f t="shared" si="31"/>
        <v>63</v>
      </c>
      <c r="F375" s="11">
        <f t="shared" si="32"/>
        <v>-5.7407316160646076</v>
      </c>
      <c r="G375" s="11">
        <f t="shared" si="33"/>
        <v>-2.7387908434927408</v>
      </c>
    </row>
    <row r="376" spans="5:7" x14ac:dyDescent="0.25">
      <c r="E376" s="11">
        <f t="shared" si="31"/>
        <v>64</v>
      </c>
      <c r="F376" s="11">
        <f t="shared" si="32"/>
        <v>-4.7219293850679485</v>
      </c>
      <c r="G376" s="11">
        <f t="shared" si="33"/>
        <v>-2.4732682529098016</v>
      </c>
    </row>
    <row r="377" spans="5:7" x14ac:dyDescent="0.25">
      <c r="E377" s="11">
        <f t="shared" si="31"/>
        <v>65</v>
      </c>
      <c r="F377" s="11">
        <f t="shared" si="32"/>
        <v>-3.6938058351878702</v>
      </c>
      <c r="G377" s="11">
        <f t="shared" si="33"/>
        <v>-2.2147060217794103</v>
      </c>
    </row>
    <row r="378" spans="5:7" x14ac:dyDescent="0.25">
      <c r="E378" s="11">
        <f t="shared" si="31"/>
        <v>66</v>
      </c>
      <c r="F378" s="11">
        <f t="shared" si="32"/>
        <v>-2.6636944265498101</v>
      </c>
      <c r="G378" s="11">
        <f t="shared" si="33"/>
        <v>-1.963050043372633</v>
      </c>
    </row>
    <row r="379" spans="5:7" x14ac:dyDescent="0.25">
      <c r="E379" s="11">
        <f t="shared" si="31"/>
        <v>67</v>
      </c>
      <c r="F379" s="11">
        <f t="shared" si="32"/>
        <v>-1.6391892575863416</v>
      </c>
      <c r="G379" s="11">
        <f t="shared" si="33"/>
        <v>-1.7182462109605345</v>
      </c>
    </row>
    <row r="380" spans="5:7" x14ac:dyDescent="0.25">
      <c r="E380" s="11">
        <f t="shared" si="31"/>
        <v>68</v>
      </c>
      <c r="F380" s="11">
        <f t="shared" si="32"/>
        <v>-0.62810149578346142</v>
      </c>
      <c r="G380" s="11">
        <f t="shared" si="33"/>
        <v>-1.4802404178141799</v>
      </c>
    </row>
    <row r="381" spans="5:7" x14ac:dyDescent="0.25">
      <c r="E381" s="11">
        <f t="shared" si="31"/>
        <v>69</v>
      </c>
      <c r="F381" s="11">
        <f t="shared" si="32"/>
        <v>0.36158893714010532</v>
      </c>
      <c r="G381" s="11">
        <f t="shared" si="33"/>
        <v>-1.2489785572046341</v>
      </c>
    </row>
    <row r="382" spans="5:7" x14ac:dyDescent="0.25">
      <c r="E382" s="11">
        <f t="shared" si="31"/>
        <v>70</v>
      </c>
      <c r="F382" s="11">
        <f t="shared" si="32"/>
        <v>1.3217866193679058</v>
      </c>
      <c r="G382" s="11">
        <f t="shared" si="33"/>
        <v>-1.0244065224029626</v>
      </c>
    </row>
    <row r="383" spans="5:7" x14ac:dyDescent="0.25">
      <c r="E383" s="11">
        <f t="shared" si="31"/>
        <v>71</v>
      </c>
      <c r="F383" s="11">
        <f t="shared" si="32"/>
        <v>2.2443390192599253</v>
      </c>
      <c r="G383" s="11">
        <f t="shared" si="33"/>
        <v>-0.80647020668023028</v>
      </c>
    </row>
    <row r="384" spans="5:7" x14ac:dyDescent="0.25">
      <c r="E384" s="11">
        <f t="shared" si="31"/>
        <v>72</v>
      </c>
      <c r="F384" s="11">
        <f t="shared" si="32"/>
        <v>3.1211002216700976</v>
      </c>
      <c r="G384" s="11">
        <f t="shared" si="33"/>
        <v>-0.59511550330750262</v>
      </c>
    </row>
    <row r="385" spans="5:7" x14ac:dyDescent="0.25">
      <c r="E385" s="11">
        <f t="shared" si="31"/>
        <v>73</v>
      </c>
      <c r="F385" s="11">
        <f t="shared" si="32"/>
        <v>3.9440001932839337</v>
      </c>
      <c r="G385" s="11">
        <f t="shared" si="33"/>
        <v>-0.39028830555584504</v>
      </c>
    </row>
    <row r="386" spans="5:7" x14ac:dyDescent="0.25">
      <c r="E386" s="11">
        <f t="shared" si="31"/>
        <v>74</v>
      </c>
      <c r="F386" s="11">
        <f t="shared" si="32"/>
        <v>4.705119793034207</v>
      </c>
      <c r="G386" s="11">
        <f t="shared" si="33"/>
        <v>-0.19193450669632295</v>
      </c>
    </row>
    <row r="387" spans="5:7" x14ac:dyDescent="0.25">
      <c r="E387" s="11">
        <f t="shared" si="31"/>
        <v>75</v>
      </c>
      <c r="F387" s="11">
        <f t="shared" si="32"/>
        <v>5.396771736727132</v>
      </c>
      <c r="G387" s="11">
        <f t="shared" si="33"/>
        <v>0</v>
      </c>
    </row>
    <row r="388" spans="5:7" x14ac:dyDescent="0.25">
      <c r="E388" s="11">
        <f t="shared" si="31"/>
        <v>76</v>
      </c>
      <c r="F388" s="11">
        <f t="shared" si="32"/>
        <v>6.011587728090376</v>
      </c>
      <c r="G388" s="11">
        <f t="shared" si="33"/>
        <v>0.1855906138807312</v>
      </c>
    </row>
    <row r="389" spans="5:7" x14ac:dyDescent="0.25">
      <c r="E389" s="11">
        <f t="shared" si="31"/>
        <v>77</v>
      </c>
      <c r="F389" s="11">
        <f t="shared" si="32"/>
        <v>6.542611971528288</v>
      </c>
      <c r="G389" s="11">
        <f t="shared" si="33"/>
        <v>0.36499790476817601</v>
      </c>
    </row>
    <row r="390" spans="5:7" x14ac:dyDescent="0.25">
      <c r="E390" s="11">
        <f t="shared" si="31"/>
        <v>78</v>
      </c>
      <c r="F390" s="11">
        <f t="shared" si="32"/>
        <v>6.9834012849501619</v>
      </c>
      <c r="G390" s="11">
        <f t="shared" si="33"/>
        <v>0.53840373510331363</v>
      </c>
    </row>
    <row r="391" spans="5:7" x14ac:dyDescent="0.25">
      <c r="E391" s="11">
        <f t="shared" si="31"/>
        <v>79</v>
      </c>
      <c r="F391" s="11">
        <f t="shared" si="32"/>
        <v>7.3281320341133949</v>
      </c>
      <c r="G391" s="11">
        <f t="shared" si="33"/>
        <v>0.70598996732712282</v>
      </c>
    </row>
    <row r="392" spans="5:7" x14ac:dyDescent="0.25">
      <c r="E392" s="11">
        <f t="shared" si="31"/>
        <v>80</v>
      </c>
      <c r="F392" s="11">
        <f t="shared" si="32"/>
        <v>7.571714112997185</v>
      </c>
      <c r="G392" s="11">
        <f t="shared" si="33"/>
        <v>0.8679384638805826</v>
      </c>
    </row>
    <row r="393" spans="5:7" x14ac:dyDescent="0.25">
      <c r="E393" s="11">
        <f t="shared" si="31"/>
        <v>81</v>
      </c>
      <c r="F393" s="11">
        <f t="shared" si="32"/>
        <v>7.7099121978047265</v>
      </c>
      <c r="G393" s="11">
        <f t="shared" si="33"/>
        <v>1.0244310872046722</v>
      </c>
    </row>
    <row r="394" spans="5:7" x14ac:dyDescent="0.25">
      <c r="E394" s="11">
        <f t="shared" si="31"/>
        <v>82</v>
      </c>
      <c r="F394" s="11">
        <f t="shared" si="32"/>
        <v>7.7394745052654628</v>
      </c>
      <c r="G394" s="11">
        <f t="shared" si="33"/>
        <v>1.1756496997403705</v>
      </c>
    </row>
    <row r="395" spans="5:7" x14ac:dyDescent="0.25">
      <c r="E395" s="11">
        <f t="shared" si="31"/>
        <v>83</v>
      </c>
      <c r="F395" s="11">
        <f t="shared" si="32"/>
        <v>7.6582692889858492</v>
      </c>
      <c r="G395" s="11">
        <f t="shared" si="33"/>
        <v>1.3217761639286563</v>
      </c>
    </row>
    <row r="396" spans="5:7" x14ac:dyDescent="0.25">
      <c r="E396" s="11">
        <f t="shared" si="31"/>
        <v>84</v>
      </c>
      <c r="F396" s="11">
        <f t="shared" si="32"/>
        <v>7.4654293106760861</v>
      </c>
      <c r="G396" s="11">
        <f t="shared" si="33"/>
        <v>1.4629923422105091</v>
      </c>
    </row>
    <row r="397" spans="5:7" x14ac:dyDescent="0.25">
      <c r="E397" s="11">
        <f t="shared" si="31"/>
        <v>85</v>
      </c>
      <c r="F397" s="11">
        <f t="shared" si="32"/>
        <v>7.161504526154971</v>
      </c>
      <c r="G397" s="11">
        <f t="shared" si="33"/>
        <v>1.5994800970269076</v>
      </c>
    </row>
    <row r="398" spans="5:7" x14ac:dyDescent="0.25">
      <c r="E398" s="11">
        <f t="shared" si="31"/>
        <v>86</v>
      </c>
      <c r="F398" s="11">
        <f t="shared" si="32"/>
        <v>6.7486232291150543</v>
      </c>
      <c r="G398" s="11">
        <f t="shared" si="33"/>
        <v>1.7314212908188309</v>
      </c>
    </row>
    <row r="399" spans="5:7" x14ac:dyDescent="0.25">
      <c r="E399" s="11">
        <f t="shared" si="31"/>
        <v>87</v>
      </c>
      <c r="F399" s="11">
        <f t="shared" si="32"/>
        <v>6.230661898703346</v>
      </c>
      <c r="G399" s="11">
        <f t="shared" si="33"/>
        <v>1.8589977860272577</v>
      </c>
    </row>
    <row r="400" spans="5:7" x14ac:dyDescent="0.25">
      <c r="E400" s="11">
        <f t="shared" si="31"/>
        <v>88</v>
      </c>
      <c r="F400" s="11">
        <f t="shared" si="32"/>
        <v>5.6134240000534419</v>
      </c>
      <c r="G400" s="11">
        <f t="shared" si="33"/>
        <v>1.9823914450931674</v>
      </c>
    </row>
    <row r="401" spans="5:7" x14ac:dyDescent="0.25">
      <c r="E401" s="11">
        <f t="shared" si="31"/>
        <v>89</v>
      </c>
      <c r="F401" s="11">
        <f t="shared" si="32"/>
        <v>4.9048279899793101</v>
      </c>
      <c r="G401" s="11">
        <f t="shared" si="33"/>
        <v>2.1017841304575389</v>
      </c>
    </row>
    <row r="402" spans="5:7" x14ac:dyDescent="0.25">
      <c r="E402" s="11">
        <f t="shared" si="31"/>
        <v>90</v>
      </c>
      <c r="F402" s="11">
        <f t="shared" si="32"/>
        <v>4.115104783121069</v>
      </c>
      <c r="G402" s="11">
        <f t="shared" si="33"/>
        <v>2.2173577045613508</v>
      </c>
    </row>
    <row r="403" spans="5:7" x14ac:dyDescent="0.25">
      <c r="E403" s="11">
        <f t="shared" si="31"/>
        <v>91</v>
      </c>
      <c r="F403" s="11">
        <f t="shared" si="32"/>
        <v>3.2570049369044227</v>
      </c>
      <c r="G403" s="11">
        <f t="shared" si="33"/>
        <v>2.3292940298455829</v>
      </c>
    </row>
    <row r="404" spans="5:7" x14ac:dyDescent="0.25">
      <c r="E404" s="11">
        <f t="shared" si="31"/>
        <v>92</v>
      </c>
      <c r="F404" s="11">
        <f t="shared" si="32"/>
        <v>2.3460158167612235</v>
      </c>
      <c r="G404" s="11">
        <f t="shared" si="33"/>
        <v>2.437774968751214</v>
      </c>
    </row>
    <row r="405" spans="5:7" x14ac:dyDescent="0.25">
      <c r="E405" s="11">
        <f t="shared" si="31"/>
        <v>93</v>
      </c>
      <c r="F405" s="11">
        <f t="shared" si="32"/>
        <v>1.4005890061264381</v>
      </c>
      <c r="G405" s="11">
        <f t="shared" si="33"/>
        <v>2.5429823837192229</v>
      </c>
    </row>
    <row r="406" spans="5:7" x14ac:dyDescent="0.25">
      <c r="E406" s="11">
        <f t="shared" si="31"/>
        <v>94</v>
      </c>
      <c r="F406" s="11">
        <f t="shared" si="32"/>
        <v>0.44237822880808153</v>
      </c>
      <c r="G406" s="11">
        <f t="shared" si="33"/>
        <v>2.6450981371905882</v>
      </c>
    </row>
    <row r="407" spans="5:7" x14ac:dyDescent="0.25">
      <c r="E407" s="11">
        <f t="shared" si="31"/>
        <v>95</v>
      </c>
      <c r="F407" s="11">
        <f t="shared" si="32"/>
        <v>-0.5035119455919812</v>
      </c>
      <c r="G407" s="11">
        <f t="shared" si="33"/>
        <v>2.7443040916062893</v>
      </c>
    </row>
    <row r="408" spans="5:7" x14ac:dyDescent="0.25">
      <c r="E408" s="11">
        <f t="shared" si="31"/>
        <v>96</v>
      </c>
      <c r="F408" s="11">
        <f t="shared" si="32"/>
        <v>-1.4082663394622159</v>
      </c>
      <c r="G408" s="11">
        <f t="shared" si="33"/>
        <v>2.8407821094073058</v>
      </c>
    </row>
    <row r="409" spans="5:7" x14ac:dyDescent="0.25">
      <c r="E409" s="11">
        <f t="shared" si="31"/>
        <v>97</v>
      </c>
      <c r="F409" s="11">
        <f t="shared" si="32"/>
        <v>-2.2390880713381875</v>
      </c>
      <c r="G409" s="11">
        <f t="shared" si="33"/>
        <v>2.9347140530346154</v>
      </c>
    </row>
    <row r="410" spans="5:7" x14ac:dyDescent="0.25">
      <c r="E410" s="11">
        <f t="shared" si="31"/>
        <v>98</v>
      </c>
      <c r="F410" s="11">
        <f t="shared" si="32"/>
        <v>-2.9589158465313403</v>
      </c>
      <c r="G410" s="11">
        <f t="shared" si="33"/>
        <v>3.0262817849291981</v>
      </c>
    </row>
    <row r="411" spans="5:7" x14ac:dyDescent="0.25">
      <c r="E411" s="11">
        <f t="shared" si="31"/>
        <v>99</v>
      </c>
      <c r="F411" s="11">
        <f t="shared" si="32"/>
        <v>-3.526129351244208</v>
      </c>
      <c r="G411" s="11">
        <f t="shared" si="33"/>
        <v>3.1156671675320333</v>
      </c>
    </row>
    <row r="412" spans="5:7" x14ac:dyDescent="0.25">
      <c r="E412" s="11">
        <f t="shared" si="31"/>
        <v>100</v>
      </c>
      <c r="F412" s="11">
        <f t="shared" si="32"/>
        <v>-3.8942424641161324</v>
      </c>
      <c r="G412" s="11">
        <f t="shared" si="33"/>
        <v>3.2030520632840989</v>
      </c>
    </row>
    <row r="413" spans="5:7" x14ac:dyDescent="0.25">
      <c r="E413" s="11">
        <f t="shared" si="31"/>
        <v>101</v>
      </c>
      <c r="F413" s="11">
        <f t="shared" si="32"/>
        <v>-4.0115839960662925</v>
      </c>
      <c r="G413" s="11">
        <f t="shared" si="33"/>
        <v>3.2886183346263742</v>
      </c>
    </row>
    <row r="414" spans="5:7" x14ac:dyDescent="0.25">
      <c r="E414" s="11">
        <f t="shared" si="31"/>
        <v>102</v>
      </c>
      <c r="F414" s="11">
        <f t="shared" si="32"/>
        <v>-3.8209656662148745</v>
      </c>
      <c r="G414" s="11">
        <f t="shared" si="33"/>
        <v>3.3725478439998384</v>
      </c>
    </row>
    <row r="415" spans="5:7" x14ac:dyDescent="0.25">
      <c r="E415" s="11">
        <f t="shared" ref="E415:E422" si="34">E208</f>
        <v>103</v>
      </c>
      <c r="F415" s="11">
        <f t="shared" ref="F415:F422" si="35">$H$217*0+E415*$I$217+E415^2*$J$217+E415^3*$K$217+E415^4*$L$217+E415^5*$M$217+E415^6*$N$217+E415^7*$O$217+E415^8*$P$217</f>
        <v>-3.2593370186016273</v>
      </c>
      <c r="G415" s="11">
        <f t="shared" ref="G415:G422" si="36">F208</f>
        <v>3.455022453845471</v>
      </c>
    </row>
    <row r="416" spans="5:7" x14ac:dyDescent="0.25">
      <c r="E416" s="11">
        <f t="shared" si="34"/>
        <v>104</v>
      </c>
      <c r="F416" s="11">
        <f t="shared" si="35"/>
        <v>-2.2574269813246701</v>
      </c>
      <c r="G416" s="11">
        <f t="shared" si="36"/>
        <v>3.5362240266042502</v>
      </c>
    </row>
    <row r="417" spans="5:7" x14ac:dyDescent="0.25">
      <c r="E417" s="11">
        <f t="shared" si="34"/>
        <v>105</v>
      </c>
      <c r="F417" s="11">
        <f t="shared" si="35"/>
        <v>-0.73937176666936466</v>
      </c>
      <c r="G417" s="11">
        <f t="shared" si="36"/>
        <v>3.6163344247171554</v>
      </c>
    </row>
    <row r="418" spans="5:7" x14ac:dyDescent="0.25">
      <c r="E418" s="11">
        <f t="shared" si="34"/>
        <v>106</v>
      </c>
      <c r="F418" s="11">
        <f t="shared" si="35"/>
        <v>1.3776711923060247</v>
      </c>
      <c r="G418" s="11">
        <f t="shared" si="36"/>
        <v>3.6955355106251657</v>
      </c>
    </row>
    <row r="419" spans="5:7" x14ac:dyDescent="0.25">
      <c r="E419" s="11">
        <f t="shared" si="34"/>
        <v>107</v>
      </c>
      <c r="F419" s="11">
        <f t="shared" si="35"/>
        <v>4.1839235763193301</v>
      </c>
      <c r="G419" s="11">
        <f t="shared" si="36"/>
        <v>3.7740091467692598</v>
      </c>
    </row>
    <row r="420" spans="5:7" x14ac:dyDescent="0.25">
      <c r="E420" s="11">
        <f t="shared" si="34"/>
        <v>108</v>
      </c>
      <c r="F420" s="11">
        <f t="shared" si="35"/>
        <v>7.7774010962193643</v>
      </c>
      <c r="G420" s="11">
        <f t="shared" si="36"/>
        <v>3.8519371955904167</v>
      </c>
    </row>
    <row r="421" spans="5:7" x14ac:dyDescent="0.25">
      <c r="E421" s="11">
        <f t="shared" si="34"/>
        <v>109</v>
      </c>
      <c r="F421" s="11">
        <f t="shared" si="35"/>
        <v>12.26434330490747</v>
      </c>
      <c r="G421" s="11">
        <f t="shared" si="36"/>
        <v>3.9295015195296163</v>
      </c>
    </row>
    <row r="422" spans="5:7" x14ac:dyDescent="0.25">
      <c r="E422" s="11">
        <f t="shared" si="34"/>
        <v>110</v>
      </c>
      <c r="F422" s="11">
        <f t="shared" si="35"/>
        <v>17.759658621644348</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2022-01-08T10:02:00Z</dcterms:modified>
</cp:coreProperties>
</file>