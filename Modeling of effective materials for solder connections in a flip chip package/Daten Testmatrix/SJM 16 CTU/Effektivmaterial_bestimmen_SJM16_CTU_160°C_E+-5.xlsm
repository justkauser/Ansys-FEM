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E403" i="43"/>
  <c r="H403" i="43"/>
  <c r="D403" i="43"/>
  <c r="C403" i="43"/>
  <c r="B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11" i="43"/>
  <c r="D416" i="43"/>
  <c r="D423" i="43"/>
  <c r="D428" i="43"/>
  <c r="D404" i="43"/>
  <c r="D431" i="43"/>
  <c r="D415" i="43"/>
  <c r="D424" i="43"/>
  <c r="D433" i="43"/>
  <c r="D409" i="43"/>
  <c r="D421" i="43"/>
  <c r="D434" i="43"/>
  <c r="D410" i="43"/>
  <c r="D420" i="43"/>
  <c r="D405" i="43"/>
  <c r="D413" i="43"/>
  <c r="D407" i="43"/>
  <c r="D414" i="43"/>
  <c r="D418" i="43"/>
  <c r="D425" i="43"/>
  <c r="D427" i="43"/>
  <c r="D429" i="43"/>
  <c r="D432" i="43"/>
  <c r="D412" i="43"/>
  <c r="D422" i="43"/>
  <c r="D408" i="43"/>
  <c r="H434" i="43"/>
  <c r="H418" i="43"/>
  <c r="H415" i="43"/>
  <c r="H410" i="43"/>
  <c r="H424" i="43"/>
  <c r="H405" i="43"/>
  <c r="H413" i="43"/>
  <c r="H409" i="43"/>
  <c r="H421" i="43"/>
  <c r="H433" i="43"/>
  <c r="H408" i="43"/>
  <c r="H420" i="43"/>
  <c r="H417" i="43"/>
  <c r="H414" i="43"/>
  <c r="H430" i="43"/>
  <c r="H423" i="43"/>
  <c r="H416" i="43"/>
  <c r="H404" i="43"/>
  <c r="H427" i="43"/>
  <c r="H422" i="43"/>
  <c r="H428" i="43"/>
  <c r="H426" i="43"/>
  <c r="H432" i="43"/>
  <c r="H412" i="43"/>
  <c r="H425" i="43"/>
  <c r="H407" i="43"/>
  <c r="H419" i="43"/>
  <c r="H431" i="43"/>
  <c r="H411" i="43"/>
  <c r="H429" i="43"/>
  <c r="H406" i="43"/>
  <c r="E405" i="43"/>
  <c r="E408" i="43"/>
  <c r="E413" i="43"/>
  <c r="E415" i="43"/>
  <c r="E424" i="43"/>
  <c r="E433" i="43"/>
  <c r="E427" i="43"/>
  <c r="E410" i="43"/>
  <c r="E406" i="43"/>
  <c r="E417" i="43"/>
  <c r="E419" i="43"/>
  <c r="E426" i="43"/>
  <c r="E430" i="43"/>
  <c r="E411" i="43"/>
  <c r="E416" i="43"/>
  <c r="E423" i="43"/>
  <c r="E404" i="43"/>
  <c r="E429" i="43"/>
  <c r="E420" i="43"/>
  <c r="E431" i="43"/>
  <c r="E434" i="43"/>
  <c r="E418" i="43"/>
  <c r="E425" i="43"/>
  <c r="E422" i="43"/>
  <c r="E412" i="43"/>
  <c r="E421" i="43"/>
  <c r="E409" i="43"/>
  <c r="E432" i="43"/>
  <c r="E407" i="43"/>
  <c r="E428" i="43"/>
  <c r="E414" i="43"/>
  <c r="C406" i="43"/>
  <c r="C423" i="43"/>
  <c r="C428" i="43"/>
  <c r="C404" i="43"/>
  <c r="C419" i="43"/>
  <c r="C409" i="43"/>
  <c r="C421" i="43"/>
  <c r="C434" i="43"/>
  <c r="C407" i="43"/>
  <c r="C414" i="43"/>
  <c r="C418" i="43"/>
  <c r="C425" i="43"/>
  <c r="C427" i="43"/>
  <c r="C429" i="43"/>
  <c r="C432" i="43"/>
  <c r="C415" i="43"/>
  <c r="C424" i="43"/>
  <c r="C426" i="43"/>
  <c r="C410" i="43"/>
  <c r="C412" i="43"/>
  <c r="C420" i="43"/>
  <c r="C422" i="43"/>
  <c r="C431" i="43"/>
  <c r="C405" i="43"/>
  <c r="C408" i="43"/>
  <c r="C433" i="43"/>
  <c r="C417" i="43"/>
  <c r="C430" i="43"/>
  <c r="C413" i="43"/>
  <c r="C411" i="43"/>
  <c r="C416" i="43"/>
  <c r="G410" i="43"/>
  <c r="G413" i="43"/>
  <c r="G431" i="43"/>
  <c r="G416" i="43"/>
  <c r="G434" i="43"/>
  <c r="G428" i="43"/>
  <c r="G429" i="43"/>
  <c r="G411" i="43"/>
  <c r="G427" i="43"/>
  <c r="G409" i="43"/>
  <c r="G405" i="43"/>
  <c r="G421" i="43"/>
  <c r="G404" i="43"/>
  <c r="G422" i="43"/>
  <c r="G426" i="43"/>
  <c r="G408" i="43"/>
  <c r="G424" i="43"/>
  <c r="G406" i="43"/>
  <c r="G419" i="43"/>
  <c r="G423" i="43"/>
  <c r="G407" i="43"/>
  <c r="G420" i="43"/>
  <c r="G418" i="43"/>
  <c r="G430" i="43"/>
  <c r="G417" i="43"/>
  <c r="G433" i="43"/>
  <c r="G415" i="43"/>
  <c r="G425" i="43"/>
  <c r="G432" i="43"/>
  <c r="G414" i="43"/>
  <c r="G412" i="43"/>
  <c r="B405" i="43"/>
  <c r="B424" i="43"/>
  <c r="B425" i="43"/>
  <c r="B413" i="43"/>
  <c r="B414" i="43"/>
  <c r="B408" i="43"/>
  <c r="B407" i="43"/>
  <c r="B427" i="43"/>
  <c r="B415" i="43"/>
  <c r="B417" i="43"/>
  <c r="B409" i="43"/>
  <c r="B406" i="43"/>
  <c r="B429" i="43"/>
  <c r="B411" i="43"/>
  <c r="B416" i="43"/>
  <c r="B432" i="43"/>
  <c r="B404" i="43"/>
  <c r="B428" i="43"/>
  <c r="B410" i="43"/>
  <c r="B431" i="43"/>
  <c r="B420" i="43"/>
  <c r="B434" i="43"/>
  <c r="B430" i="43"/>
  <c r="B423" i="43"/>
  <c r="B418" i="43"/>
  <c r="B419" i="43"/>
  <c r="B433" i="43"/>
  <c r="B426" i="43"/>
  <c r="B421" i="43"/>
  <c r="B422" i="43"/>
  <c r="B412" i="43"/>
  <c r="F415" i="43"/>
  <c r="F410" i="43"/>
  <c r="F420" i="43"/>
  <c r="F431" i="43"/>
  <c r="F434" i="43"/>
  <c r="F427" i="43"/>
  <c r="F424" i="43"/>
  <c r="F419" i="43"/>
  <c r="F430" i="43"/>
  <c r="F416" i="43"/>
  <c r="F423" i="43"/>
  <c r="F404"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<sst xmlns="http://schemas.openxmlformats.org/spreadsheetml/2006/main" count="311" uniqueCount="164">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</sst>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0631392"/>
        <c:axId val="490625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313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5904"/>
        <c:crossesAt val="-8.0000000000000019E-3"/>
        <c:crossBetween val="midCat"/>
      </c:valAx>
      <c:valAx>
        <c:axId val="490625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0626296"/>
        <c:axId val="490631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262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1784"/>
        <c:crosses val="autoZero"/>
        <c:crossBetween val="midCat"/>
      </c:valAx>
      <c:valAx>
        <c:axId val="49063178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62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0628648"/>
        <c:axId val="4906325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0628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2568"/>
        <c:crosses val="autoZero"/>
        <c:crossBetween val="midCat"/>
        <c:majorUnit val="10000"/>
      </c:valAx>
      <c:valAx>
        <c:axId val="4906325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86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0629040"/>
        <c:axId val="490627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290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0627080"/>
        <c:crosses val="autoZero"/>
        <c:crossBetween val="midCat"/>
        <c:majorUnit val="10000"/>
      </c:valAx>
      <c:valAx>
        <c:axId val="4906270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06290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1935088"/>
        <c:axId val="491933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19350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3912"/>
        <c:crosses val="autoZero"/>
        <c:crossBetween val="midCat"/>
        <c:majorUnit val="10000"/>
      </c:valAx>
      <c:valAx>
        <c:axId val="4919339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0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1.6811535584605235E-2</c:v>
                </c:pt>
                <c:pt idx="1">
                  <c:v>2.3082035937746687E-2</c:v>
                </c:pt>
                <c:pt idx="2">
                  <c:v>6.4078332170452454E-3</c:v>
                </c:pt>
                <c:pt idx="3">
                  <c:v>1.0974737347652804E-3</c:v>
                </c:pt>
                <c:pt idx="4">
                  <c:v>1.6072935071196703E-4</c:v>
                </c:pt>
                <c:pt idx="5">
                  <c:v>2.3766557837987756E-5</c:v>
                </c:pt>
                <c:pt idx="6">
                  <c:v>9.5942490266437223E-6</c:v>
                </c:pt>
                <c:pt idx="7">
                  <c:v>1.7845787238125572E-5</c:v>
                </c:pt>
                <c:pt idx="8">
                  <c:v>4.6641280977789757E-5</c:v>
                </c:pt>
                <c:pt idx="9">
                  <c:v>1.1609836505943202E-4</c:v>
                </c:pt>
                <c:pt idx="10">
                  <c:v>2.507385624314299E-4</c:v>
                </c:pt>
                <c:pt idx="11">
                  <c:v>4.8359145845065663E-4</c:v>
                </c:pt>
                <c:pt idx="12">
                  <c:v>8.43610662328905E-4</c:v>
                </c:pt>
                <c:pt idx="13">
                  <c:v>1.2654671221505804E-3</c:v>
                </c:pt>
                <c:pt idx="14">
                  <c:v>1.4926916153197467E-3</c:v>
                </c:pt>
                <c:pt idx="15">
                  <c:v>1.3679604771956247E-3</c:v>
                </c:pt>
                <c:pt idx="16">
                  <c:v>1.0231133977685709E-3</c:v>
                </c:pt>
                <c:pt idx="17">
                  <c:v>6.7681104861514146E-4</c:v>
                </c:pt>
                <c:pt idx="18">
                  <c:v>3.8545310389676799E-4</c:v>
                </c:pt>
                <c:pt idx="19">
                  <c:v>1.8456081743264559E-4</c:v>
                </c:pt>
                <c:pt idx="20">
                  <c:v>1.0386595250049286E-4</c:v>
                </c:pt>
                <c:pt idx="21">
                  <c:v>8.0405323958952085E-5</c:v>
                </c:pt>
                <c:pt idx="22">
                  <c:v>2.7530493558182685E-5</c:v>
                </c:pt>
                <c:pt idx="23">
                  <c:v>5.51636291279385E-5</c:v>
                </c:pt>
                <c:pt idx="24">
                  <c:v>2.9088002504129752E-4</c:v>
                </c:pt>
                <c:pt idx="25">
                  <c:v>5.7321597290113885E-4</c:v>
                </c:pt>
                <c:pt idx="26">
                  <c:v>7.4876824786072058E-4</c:v>
                </c:pt>
                <c:pt idx="27">
                  <c:v>9.4868330647042019E-4</c:v>
                </c:pt>
                <c:pt idx="28">
                  <c:v>1.2123477825527632E-3</c:v>
                </c:pt>
                <c:pt idx="29">
                  <c:v>8.1200816480578569E-4</c:v>
                </c:pt>
                <c:pt idx="30">
                  <c:v>1.3573663252065384E-4</c:v>
                </c:pt>
              </c:numCache>
            </c:numRef>
          </c:yVal>
          <c:smooth val="1"/>
        </c:ser>
        <c:dLbls>
          <c:showLegendKey val="0"/>
          <c:showVal val="0"/>
          <c:showCatName val="0"/>
          <c:showSerName val="0"/>
          <c:showPercent val="0"/>
          <c:showBubbleSize val="0"/>
        </c:dLbls>
        <c:axId val="491935480"/>
        <c:axId val="491929600"/>
      </c:scatterChart>
      <c:valAx>
        <c:axId val="491935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9600"/>
        <c:crossesAt val="-1.5000000000000005E-3"/>
        <c:crossBetween val="midCat"/>
      </c:valAx>
      <c:valAx>
        <c:axId val="49192960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48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3798.2320259285484</c:v>
                </c:pt>
                <c:pt idx="1">
                  <c:v>3723.1826282358766</c:v>
                </c:pt>
                <c:pt idx="2">
                  <c:v>3446.968262386551</c:v>
                </c:pt>
                <c:pt idx="3">
                  <c:v>3302.9303769833218</c:v>
                </c:pt>
                <c:pt idx="4">
                  <c:v>3128.5736936279482</c:v>
                </c:pt>
                <c:pt idx="5">
                  <c:v>2931.4315943766574</c:v>
                </c:pt>
                <c:pt idx="6">
                  <c:v>2716.4436668507292</c:v>
                </c:pt>
                <c:pt idx="7">
                  <c:v>2473.3835537990353</c:v>
                </c:pt>
                <c:pt idx="8">
                  <c:v>2200.3659665445643</c:v>
                </c:pt>
                <c:pt idx="9">
                  <c:v>1881.3422260744874</c:v>
                </c:pt>
                <c:pt idx="10">
                  <c:v>1513.6170526027977</c:v>
                </c:pt>
                <c:pt idx="11">
                  <c:v>1130.7377871937272</c:v>
                </c:pt>
                <c:pt idx="12">
                  <c:v>796.74030744296306</c:v>
                </c:pt>
                <c:pt idx="13">
                  <c:v>559.6482311656199</c:v>
                </c:pt>
                <c:pt idx="14">
                  <c:v>421.5161012178317</c:v>
                </c:pt>
                <c:pt idx="15">
                  <c:v>351.26866997444318</c:v>
                </c:pt>
                <c:pt idx="16">
                  <c:v>314.81100081311718</c:v>
                </c:pt>
                <c:pt idx="17">
                  <c:v>290.72005739133874</c:v>
                </c:pt>
                <c:pt idx="18">
                  <c:v>272.46807659482516</c:v>
                </c:pt>
                <c:pt idx="19">
                  <c:v>260.45866363834045</c:v>
                </c:pt>
                <c:pt idx="20">
                  <c:v>241.2060854846693</c:v>
                </c:pt>
                <c:pt idx="21">
                  <c:v>232.48178815249148</c:v>
                </c:pt>
                <c:pt idx="22">
                  <c:v>229.22137441491736</c:v>
                </c:pt>
                <c:pt idx="23">
                  <c:v>227.2406916524742</c:v>
                </c:pt>
                <c:pt idx="24">
                  <c:v>225.86648899418117</c:v>
                </c:pt>
                <c:pt idx="25">
                  <c:v>225.20117873358797</c:v>
                </c:pt>
                <c:pt idx="26">
                  <c:v>224.21711068644163</c:v>
                </c:pt>
                <c:pt idx="27">
                  <c:v>223.70838592715211</c:v>
                </c:pt>
                <c:pt idx="28">
                  <c:v>223.00929759740291</c:v>
                </c:pt>
                <c:pt idx="29">
                  <c:v>222.5214955741271</c:v>
                </c:pt>
                <c:pt idx="30">
                  <c:v>222.4300644660878</c:v>
                </c:pt>
              </c:numCache>
            </c:numRef>
          </c:yVal>
          <c:smooth val="1"/>
        </c:ser>
        <c:dLbls>
          <c:showLegendKey val="0"/>
          <c:showVal val="0"/>
          <c:showCatName val="0"/>
          <c:showSerName val="0"/>
          <c:showPercent val="0"/>
          <c:showBubbleSize val="0"/>
        </c:dLbls>
        <c:axId val="491934696"/>
        <c:axId val="491930384"/>
      </c:scatterChart>
      <c:valAx>
        <c:axId val="491934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0384"/>
        <c:crosses val="autoZero"/>
        <c:crossBetween val="midCat"/>
      </c:valAx>
      <c:valAx>
        <c:axId val="4919303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4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7.3346726330051661E-3</c:v>
                </c:pt>
                <c:pt idx="11">
                  <c:v>7.3123253345846687E-3</c:v>
                </c:pt>
                <c:pt idx="12">
                  <c:v>7.0904407716456189E-3</c:v>
                </c:pt>
                <c:pt idx="13">
                  <c:v>4.9676185908938937E-3</c:v>
                </c:pt>
                <c:pt idx="14">
                  <c:v>1.0678549040270982E-2</c:v>
                </c:pt>
                <c:pt idx="15">
                  <c:v>3.9120675868912602E-2</c:v>
                </c:pt>
                <c:pt idx="16">
                  <c:v>5.9717701298941203E-2</c:v>
                </c:pt>
                <c:pt idx="17">
                  <c:v>8.110630125734003E-2</c:v>
                </c:pt>
                <c:pt idx="18">
                  <c:v>0.10332612825754423</c:v>
                </c:pt>
                <c:pt idx="19">
                  <c:v>0.10445713181780107</c:v>
                </c:pt>
                <c:pt idx="20">
                  <c:v>5.8735795345835895E-2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2.9956828364755351E-3</c:v>
                </c:pt>
                <c:pt idx="1">
                  <c:v>3.1647591490793223E-3</c:v>
                </c:pt>
                <c:pt idx="2">
                  <c:v>4.8768863505585123E-3</c:v>
                </c:pt>
                <c:pt idx="3">
                  <c:v>1.8223133064943046E-2</c:v>
                </c:pt>
                <c:pt idx="4">
                  <c:v>4.7631039505180058E-2</c:v>
                </c:pt>
                <c:pt idx="5">
                  <c:v>6.8534502715018444E-2</c:v>
                </c:pt>
                <c:pt idx="6">
                  <c:v>8.9878269315290554E-2</c:v>
                </c:pt>
                <c:pt idx="7">
                  <c:v>0.11448851559278321</c:v>
                </c:pt>
                <c:pt idx="8">
                  <c:v>0.13913194198029033</c:v>
                </c:pt>
                <c:pt idx="9">
                  <c:v>0.14129736241507043</c:v>
                </c:pt>
                <c:pt idx="10">
                  <c:v>4.1104214468529188E-2</c:v>
                </c:pt>
                <c:pt idx="11">
                  <c:v>0.228281198941993</c:v>
                </c:pt>
                <c:pt idx="12">
                  <c:v>0.20240634550331119</c:v>
                </c:pt>
                <c:pt idx="13">
                  <c:v>0.17193185505456884</c:v>
                </c:pt>
                <c:pt idx="14">
                  <c:v>0.13162722947363351</c:v>
                </c:pt>
                <c:pt idx="15">
                  <c:v>8.4926205645573197E-2</c:v>
                </c:pt>
                <c:pt idx="16">
                  <c:v>5.0258651380646835E-2</c:v>
                </c:pt>
                <c:pt idx="17">
                  <c:v>5.8297535755531565E-2</c:v>
                </c:pt>
                <c:pt idx="18">
                  <c:v>1.3104732763660367E-2</c:v>
                </c:pt>
                <c:pt idx="19">
                  <c:v>3.1959125339371355E-2</c:v>
                </c:pt>
                <c:pt idx="20">
                  <c:v>6.216686379758124E-2</c:v>
                </c:pt>
                <c:pt idx="21">
                  <c:v>7.6332263676831116E-2</c:v>
                </c:pt>
                <c:pt idx="22">
                  <c:v>7.6838720816365585E-2</c:v>
                </c:pt>
                <c:pt idx="23">
                  <c:v>5.8398412208071827E-2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0.16693470965529228</c:v>
                </c:pt>
                <c:pt idx="11">
                  <c:v>0.12586180048918419</c:v>
                </c:pt>
                <c:pt idx="12">
                  <c:v>7.8283071162998555E-2</c:v>
                </c:pt>
                <c:pt idx="13">
                  <c:v>3.7420301456907258E-2</c:v>
                </c:pt>
                <c:pt idx="14">
                  <c:v>3.4455685918611277E-2</c:v>
                </c:pt>
                <c:pt idx="15">
                  <c:v>5.257527207344509E-2</c:v>
                </c:pt>
                <c:pt idx="16">
                  <c:v>3.3633746646986075E-2</c:v>
                </c:pt>
                <c:pt idx="17">
                  <c:v>3.1465021583735099E-3</c:v>
                </c:pt>
                <c:pt idx="18">
                  <c:v>3.3498774821014418E-2</c:v>
                </c:pt>
                <c:pt idx="19">
                  <c:v>6.4744041259117008E-2</c:v>
                </c:pt>
                <c:pt idx="20">
                  <c:v>7.7444056509778217E-2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2.1890497443931021E-4</c:v>
                </c:pt>
                <c:pt idx="11">
                  <c:v>5.2458815426424752E-4</c:v>
                </c:pt>
                <c:pt idx="12">
                  <c:v>7.9976718536689257E-4</c:v>
                </c:pt>
                <c:pt idx="13">
                  <c:v>1.3025837038765464E-3</c:v>
                </c:pt>
                <c:pt idx="14">
                  <c:v>1.4688773572257997E-3</c:v>
                </c:pt>
                <c:pt idx="15">
                  <c:v>1.3816502118375168E-3</c:v>
                </c:pt>
                <c:pt idx="16">
                  <c:v>1.0147734576898141E-3</c:v>
                </c:pt>
                <c:pt idx="17">
                  <c:v>6.847969596196357E-4</c:v>
                </c:pt>
                <c:pt idx="18">
                  <c:v>3.8217385672202283E-4</c:v>
                </c:pt>
                <c:pt idx="19">
                  <c:v>1.9221794982734292E-4</c:v>
                </c:pt>
                <c:pt idx="20">
                  <c:v>9.9144218741180698E-5</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91935872"/>
        <c:axId val="491929992"/>
      </c:scatterChart>
      <c:valAx>
        <c:axId val="491935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9992"/>
        <c:crossesAt val="1.0000000000000005E-9"/>
        <c:crossBetween val="midCat"/>
      </c:valAx>
      <c:valAx>
        <c:axId val="491929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-57.849695376367158</c:v>
                </c:pt>
                <c:pt idx="1">
                  <c:v>-46.11051752249567</c:v>
                </c:pt>
                <c:pt idx="2">
                  <c:v>-41.17116132313857</c:v>
                </c:pt>
                <c:pt idx="3">
                  <c:v>-34.778704363444611</c:v>
                </c:pt>
                <c:pt idx="4">
                  <c:v>-28.993396251697032</c:v>
                </c:pt>
                <c:pt idx="5">
                  <c:v>-14.135728697584064</c:v>
                </c:pt>
                <c:pt idx="6">
                  <c:v>0</c:v>
                </c:pt>
              </c:numCache>
            </c:numRef>
          </c:yVal>
          <c:smooth val="0"/>
        </c:ser>
        <c:dLbls>
          <c:showLegendKey val="0"/>
          <c:showVal val="0"/>
          <c:showCatName val="0"/>
          <c:showSerName val="0"/>
          <c:showPercent val="0"/>
          <c:showBubbleSize val="0"/>
        </c:dLbls>
        <c:axId val="491936656"/>
        <c:axId val="491931952"/>
      </c:scatterChart>
      <c:valAx>
        <c:axId val="491936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1952"/>
        <c:crossesAt val="-100"/>
        <c:crossBetween val="midCat"/>
      </c:valAx>
      <c:valAx>
        <c:axId val="491931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665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91932344"/>
        <c:axId val="491932736"/>
      </c:scatterChart>
      <c:valAx>
        <c:axId val="4919323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2736"/>
        <c:crosses val="autoZero"/>
        <c:crossBetween val="midCat"/>
      </c:valAx>
      <c:valAx>
        <c:axId val="4919327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234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7.5196308035056324E-41</c:v>
                </c:pt>
                <c:pt idx="1">
                  <c:v>7.5196308035056324E-40</c:v>
                </c:pt>
                <c:pt idx="2">
                  <c:v>7.519630803505632E-39</c:v>
                </c:pt>
                <c:pt idx="3">
                  <c:v>7.5196308035056318E-38</c:v>
                </c:pt>
                <c:pt idx="4">
                  <c:v>7.5196308035056312E-37</c:v>
                </c:pt>
                <c:pt idx="5">
                  <c:v>7.5196308035056325E-36</c:v>
                </c:pt>
                <c:pt idx="6">
                  <c:v>7.5196308035056325E-35</c:v>
                </c:pt>
                <c:pt idx="7">
                  <c:v>7.5196308035056325E-34</c:v>
                </c:pt>
                <c:pt idx="8">
                  <c:v>7.5196308035056318E-33</c:v>
                </c:pt>
                <c:pt idx="9">
                  <c:v>7.5196308035056321E-32</c:v>
                </c:pt>
                <c:pt idx="10">
                  <c:v>7.5196308035056327E-31</c:v>
                </c:pt>
                <c:pt idx="11">
                  <c:v>7.5196308035056317E-30</c:v>
                </c:pt>
                <c:pt idx="12">
                  <c:v>7.5196308035056322E-29</c:v>
                </c:pt>
                <c:pt idx="13">
                  <c:v>7.5196308035056322E-28</c:v>
                </c:pt>
                <c:pt idx="14">
                  <c:v>7.519630803505633E-27</c:v>
                </c:pt>
                <c:pt idx="15">
                  <c:v>7.5196308035056324E-26</c:v>
                </c:pt>
                <c:pt idx="16">
                  <c:v>7.5196308035056317E-25</c:v>
                </c:pt>
                <c:pt idx="17">
                  <c:v>7.5196308035056326E-24</c:v>
                </c:pt>
                <c:pt idx="18">
                  <c:v>7.519630803505632E-23</c:v>
                </c:pt>
                <c:pt idx="19">
                  <c:v>7.5196308035056318E-22</c:v>
                </c:pt>
                <c:pt idx="20">
                  <c:v>7.5196308035056322E-21</c:v>
                </c:pt>
                <c:pt idx="21">
                  <c:v>7.5196308035056316E-20</c:v>
                </c:pt>
                <c:pt idx="22">
                  <c:v>7.5196308035056321E-19</c:v>
                </c:pt>
                <c:pt idx="23">
                  <c:v>7.5196308035056322E-18</c:v>
                </c:pt>
                <c:pt idx="24">
                  <c:v>7.5196308035056316E-17</c:v>
                </c:pt>
                <c:pt idx="25">
                  <c:v>7.5196308035056321E-16</c:v>
                </c:pt>
                <c:pt idx="26">
                  <c:v>7.5196308035056325E-15</c:v>
                </c:pt>
                <c:pt idx="27">
                  <c:v>7.5196308035056316E-14</c:v>
                </c:pt>
                <c:pt idx="28">
                  <c:v>7.5196308035056318E-13</c:v>
                </c:pt>
                <c:pt idx="29">
                  <c:v>7.5196308035056322E-12</c:v>
                </c:pt>
                <c:pt idx="30">
                  <c:v>7.5196308035056325E-11</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9.4288056127567843E-36</c:v>
                </c:pt>
                <c:pt idx="1">
                  <c:v>9.4288056127567838E-35</c:v>
                </c:pt>
                <c:pt idx="2">
                  <c:v>9.4288056127567842E-34</c:v>
                </c:pt>
                <c:pt idx="3">
                  <c:v>9.4288056127567832E-33</c:v>
                </c:pt>
                <c:pt idx="4">
                  <c:v>9.4288056127567835E-32</c:v>
                </c:pt>
                <c:pt idx="5">
                  <c:v>9.4288056127567846E-31</c:v>
                </c:pt>
                <c:pt idx="6">
                  <c:v>9.4288056127567839E-30</c:v>
                </c:pt>
                <c:pt idx="7">
                  <c:v>9.4288056127567844E-29</c:v>
                </c:pt>
                <c:pt idx="8">
                  <c:v>9.428805612756784E-28</c:v>
                </c:pt>
                <c:pt idx="9">
                  <c:v>9.4288056127567829E-27</c:v>
                </c:pt>
                <c:pt idx="10">
                  <c:v>9.4288056127567846E-26</c:v>
                </c:pt>
                <c:pt idx="11">
                  <c:v>9.4288056127567844E-25</c:v>
                </c:pt>
                <c:pt idx="12">
                  <c:v>9.428805612756784E-24</c:v>
                </c:pt>
                <c:pt idx="13">
                  <c:v>9.428805612756784E-23</c:v>
                </c:pt>
                <c:pt idx="14">
                  <c:v>9.4288056127567835E-22</c:v>
                </c:pt>
                <c:pt idx="15">
                  <c:v>9.4288056127567843E-21</c:v>
                </c:pt>
                <c:pt idx="16">
                  <c:v>9.428805612756784E-20</c:v>
                </c:pt>
                <c:pt idx="17">
                  <c:v>9.428805612756784E-19</c:v>
                </c:pt>
                <c:pt idx="18">
                  <c:v>9.428805612756784E-18</c:v>
                </c:pt>
                <c:pt idx="19">
                  <c:v>9.4288056127567843E-17</c:v>
                </c:pt>
                <c:pt idx="20">
                  <c:v>9.4288056127567836E-16</c:v>
                </c:pt>
                <c:pt idx="21">
                  <c:v>9.4288056127567844E-15</c:v>
                </c:pt>
                <c:pt idx="22">
                  <c:v>9.4288056127567837E-14</c:v>
                </c:pt>
                <c:pt idx="23">
                  <c:v>9.4288056127567842E-13</c:v>
                </c:pt>
                <c:pt idx="24">
                  <c:v>9.428805612756783E-12</c:v>
                </c:pt>
                <c:pt idx="25">
                  <c:v>9.428805612756784E-11</c:v>
                </c:pt>
                <c:pt idx="26">
                  <c:v>9.4288056127567832E-10</c:v>
                </c:pt>
                <c:pt idx="27">
                  <c:v>9.4288056127567832E-9</c:v>
                </c:pt>
                <c:pt idx="28">
                  <c:v>9.4288056127567842E-8</c:v>
                </c:pt>
                <c:pt idx="29">
                  <c:v>9.4288056127567842E-7</c:v>
                </c:pt>
                <c:pt idx="30">
                  <c:v>9.428805612756784E-6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1.3170183432946665E-33</c:v>
                </c:pt>
                <c:pt idx="1">
                  <c:v>1.3170183432946663E-32</c:v>
                </c:pt>
                <c:pt idx="2">
                  <c:v>1.3170183432946664E-31</c:v>
                </c:pt>
                <c:pt idx="3">
                  <c:v>1.3170183432946663E-30</c:v>
                </c:pt>
                <c:pt idx="4">
                  <c:v>1.3170183432946661E-29</c:v>
                </c:pt>
                <c:pt idx="5">
                  <c:v>1.3170183432946663E-28</c:v>
                </c:pt>
                <c:pt idx="6">
                  <c:v>1.3170183432946664E-27</c:v>
                </c:pt>
                <c:pt idx="7">
                  <c:v>1.3170183432946663E-26</c:v>
                </c:pt>
                <c:pt idx="8">
                  <c:v>1.3170183432946662E-25</c:v>
                </c:pt>
                <c:pt idx="9">
                  <c:v>1.3170183432946663E-24</c:v>
                </c:pt>
                <c:pt idx="10">
                  <c:v>1.3170183432946663E-23</c:v>
                </c:pt>
                <c:pt idx="11">
                  <c:v>1.3170183432946664E-22</c:v>
                </c:pt>
                <c:pt idx="12">
                  <c:v>1.3170183432946664E-21</c:v>
                </c:pt>
                <c:pt idx="13">
                  <c:v>1.3170183432946663E-20</c:v>
                </c:pt>
                <c:pt idx="14">
                  <c:v>1.3170183432946665E-19</c:v>
                </c:pt>
                <c:pt idx="15">
                  <c:v>1.3170183432946663E-18</c:v>
                </c:pt>
                <c:pt idx="16">
                  <c:v>1.3170183432946663E-17</c:v>
                </c:pt>
                <c:pt idx="17">
                  <c:v>1.3170183432946664E-16</c:v>
                </c:pt>
                <c:pt idx="18">
                  <c:v>1.3170183432946663E-15</c:v>
                </c:pt>
                <c:pt idx="19">
                  <c:v>1.3170183432946663E-14</c:v>
                </c:pt>
                <c:pt idx="20">
                  <c:v>1.3170183432946663E-13</c:v>
                </c:pt>
                <c:pt idx="21">
                  <c:v>1.3170183432946664E-12</c:v>
                </c:pt>
                <c:pt idx="22">
                  <c:v>1.3170183432946663E-11</c:v>
                </c:pt>
                <c:pt idx="23">
                  <c:v>1.3170183432946664E-10</c:v>
                </c:pt>
                <c:pt idx="24">
                  <c:v>1.3170183432946663E-9</c:v>
                </c:pt>
                <c:pt idx="25">
                  <c:v>1.3170183432946664E-8</c:v>
                </c:pt>
                <c:pt idx="26">
                  <c:v>1.3170183432946662E-7</c:v>
                </c:pt>
                <c:pt idx="27">
                  <c:v>1.3170183432946662E-6</c:v>
                </c:pt>
                <c:pt idx="28">
                  <c:v>1.3170183432946662E-5</c:v>
                </c:pt>
                <c:pt idx="29">
                  <c:v>1.3170183432946664E-4</c:v>
                </c:pt>
                <c:pt idx="30">
                  <c:v>1.3170183432946662E-3</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7.8668452506541216E-31</c:v>
                </c:pt>
                <c:pt idx="1">
                  <c:v>7.8668452506541218E-30</c:v>
                </c:pt>
                <c:pt idx="2">
                  <c:v>7.8668452506541221E-29</c:v>
                </c:pt>
                <c:pt idx="3">
                  <c:v>7.8668452506541208E-28</c:v>
                </c:pt>
                <c:pt idx="4">
                  <c:v>7.8668452506541208E-27</c:v>
                </c:pt>
                <c:pt idx="5">
                  <c:v>7.8668452506541222E-26</c:v>
                </c:pt>
                <c:pt idx="6">
                  <c:v>7.8668452506541222E-25</c:v>
                </c:pt>
                <c:pt idx="7">
                  <c:v>7.8668452506541218E-24</c:v>
                </c:pt>
                <c:pt idx="8">
                  <c:v>7.8668452506541207E-23</c:v>
                </c:pt>
                <c:pt idx="9">
                  <c:v>7.8668452506541209E-22</c:v>
                </c:pt>
                <c:pt idx="10">
                  <c:v>7.8668452506541214E-21</c:v>
                </c:pt>
                <c:pt idx="11">
                  <c:v>7.8668452506541218E-20</c:v>
                </c:pt>
                <c:pt idx="12">
                  <c:v>7.8668452506541218E-19</c:v>
                </c:pt>
                <c:pt idx="13">
                  <c:v>7.8668452506541216E-18</c:v>
                </c:pt>
                <c:pt idx="14">
                  <c:v>7.8668452506541222E-17</c:v>
                </c:pt>
                <c:pt idx="15">
                  <c:v>7.8668452506541212E-16</c:v>
                </c:pt>
                <c:pt idx="16">
                  <c:v>7.8668452506541208E-15</c:v>
                </c:pt>
                <c:pt idx="17">
                  <c:v>7.8668452506541214E-14</c:v>
                </c:pt>
                <c:pt idx="18">
                  <c:v>7.8668452506541212E-13</c:v>
                </c:pt>
                <c:pt idx="19">
                  <c:v>7.8668452506541212E-12</c:v>
                </c:pt>
                <c:pt idx="20">
                  <c:v>7.8668452506541208E-11</c:v>
                </c:pt>
                <c:pt idx="21">
                  <c:v>7.8668452506541211E-10</c:v>
                </c:pt>
                <c:pt idx="22">
                  <c:v>7.8668452506541209E-9</c:v>
                </c:pt>
                <c:pt idx="23">
                  <c:v>7.8668452506541212E-8</c:v>
                </c:pt>
                <c:pt idx="24">
                  <c:v>7.8668452506541212E-7</c:v>
                </c:pt>
                <c:pt idx="25">
                  <c:v>7.8668452506541206E-6</c:v>
                </c:pt>
                <c:pt idx="26">
                  <c:v>7.8668452506541216E-5</c:v>
                </c:pt>
                <c:pt idx="27">
                  <c:v>7.8668452506541211E-4</c:v>
                </c:pt>
                <c:pt idx="28">
                  <c:v>7.8668452506541215E-3</c:v>
                </c:pt>
                <c:pt idx="29">
                  <c:v>7.8668452506541212E-2</c:v>
                </c:pt>
                <c:pt idx="30">
                  <c:v>0.78668452506541209</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2.5605189613539007E-28</c:v>
                </c:pt>
                <c:pt idx="1">
                  <c:v>2.5605189613539006E-27</c:v>
                </c:pt>
                <c:pt idx="2">
                  <c:v>2.5605189613539008E-26</c:v>
                </c:pt>
                <c:pt idx="3">
                  <c:v>2.5605189613539007E-25</c:v>
                </c:pt>
                <c:pt idx="4">
                  <c:v>2.5605189613539006E-24</c:v>
                </c:pt>
                <c:pt idx="5">
                  <c:v>2.5605189613539007E-23</c:v>
                </c:pt>
                <c:pt idx="6">
                  <c:v>2.5605189613539008E-22</c:v>
                </c:pt>
                <c:pt idx="7">
                  <c:v>2.5605189613539008E-21</c:v>
                </c:pt>
                <c:pt idx="8">
                  <c:v>2.5605189613539005E-20</c:v>
                </c:pt>
                <c:pt idx="9">
                  <c:v>2.5605189613539005E-19</c:v>
                </c:pt>
                <c:pt idx="10">
                  <c:v>2.560518961353901E-18</c:v>
                </c:pt>
                <c:pt idx="11">
                  <c:v>2.5605189613539007E-17</c:v>
                </c:pt>
                <c:pt idx="12">
                  <c:v>2.5605189613539009E-16</c:v>
                </c:pt>
                <c:pt idx="13">
                  <c:v>2.5605189613539009E-15</c:v>
                </c:pt>
                <c:pt idx="14">
                  <c:v>2.5605189613539007E-14</c:v>
                </c:pt>
                <c:pt idx="15">
                  <c:v>2.5605189613539006E-13</c:v>
                </c:pt>
                <c:pt idx="16">
                  <c:v>2.5605189613539008E-12</c:v>
                </c:pt>
                <c:pt idx="17">
                  <c:v>2.5605189613539006E-11</c:v>
                </c:pt>
                <c:pt idx="18">
                  <c:v>2.5605189613539005E-10</c:v>
                </c:pt>
                <c:pt idx="19">
                  <c:v>2.5605189613539008E-9</c:v>
                </c:pt>
                <c:pt idx="20">
                  <c:v>2.5605189613539005E-8</c:v>
                </c:pt>
                <c:pt idx="21">
                  <c:v>2.5605189613539008E-7</c:v>
                </c:pt>
                <c:pt idx="22">
                  <c:v>2.5605189613539005E-6</c:v>
                </c:pt>
                <c:pt idx="23">
                  <c:v>2.5605189613539008E-5</c:v>
                </c:pt>
                <c:pt idx="24">
                  <c:v>2.5605189613539005E-4</c:v>
                </c:pt>
                <c:pt idx="25">
                  <c:v>2.5605189613539005E-3</c:v>
                </c:pt>
                <c:pt idx="26">
                  <c:v>2.5605189613539008E-2</c:v>
                </c:pt>
                <c:pt idx="27">
                  <c:v>0.25605189613539009</c:v>
                </c:pt>
                <c:pt idx="28">
                  <c:v>2.5605189613539006</c:v>
                </c:pt>
                <c:pt idx="29">
                  <c:v>25.605189613539007</c:v>
                </c:pt>
                <c:pt idx="30">
                  <c:v>256.05189613539005</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7.2599065247443934E-22</c:v>
                </c:pt>
                <c:pt idx="1">
                  <c:v>7.2599065247443936E-21</c:v>
                </c:pt>
                <c:pt idx="2">
                  <c:v>7.2599065247443936E-20</c:v>
                </c:pt>
                <c:pt idx="3">
                  <c:v>7.2599065247443931E-19</c:v>
                </c:pt>
                <c:pt idx="4">
                  <c:v>7.2599065247443927E-18</c:v>
                </c:pt>
                <c:pt idx="5">
                  <c:v>7.259906524744393E-17</c:v>
                </c:pt>
                <c:pt idx="6">
                  <c:v>7.259906524744393E-16</c:v>
                </c:pt>
                <c:pt idx="7">
                  <c:v>7.2599065247443924E-15</c:v>
                </c:pt>
                <c:pt idx="8">
                  <c:v>7.259906524744393E-14</c:v>
                </c:pt>
                <c:pt idx="9">
                  <c:v>7.259906524744392E-13</c:v>
                </c:pt>
                <c:pt idx="10">
                  <c:v>7.2599065247443934E-12</c:v>
                </c:pt>
                <c:pt idx="11">
                  <c:v>7.259906524744393E-11</c:v>
                </c:pt>
                <c:pt idx="12">
                  <c:v>7.2599065247443935E-10</c:v>
                </c:pt>
                <c:pt idx="13">
                  <c:v>7.2599065247443926E-9</c:v>
                </c:pt>
                <c:pt idx="14">
                  <c:v>7.2599065247443931E-8</c:v>
                </c:pt>
                <c:pt idx="15">
                  <c:v>7.2599065247443923E-7</c:v>
                </c:pt>
                <c:pt idx="16">
                  <c:v>7.259906524744393E-6</c:v>
                </c:pt>
                <c:pt idx="17">
                  <c:v>7.2599065247443923E-5</c:v>
                </c:pt>
                <c:pt idx="18">
                  <c:v>7.2599065247443931E-4</c:v>
                </c:pt>
                <c:pt idx="19">
                  <c:v>7.2599065247443929E-3</c:v>
                </c:pt>
                <c:pt idx="20">
                  <c:v>7.2599065247443931E-2</c:v>
                </c:pt>
                <c:pt idx="21">
                  <c:v>0.72599065247443928</c:v>
                </c:pt>
                <c:pt idx="22">
                  <c:v>7.2599065247443928</c:v>
                </c:pt>
                <c:pt idx="23">
                  <c:v>72.599065247443932</c:v>
                </c:pt>
                <c:pt idx="24">
                  <c:v>725.99065247443923</c:v>
                </c:pt>
                <c:pt idx="25">
                  <c:v>7259.9065247443932</c:v>
                </c:pt>
                <c:pt idx="26">
                  <c:v>72599.065247443927</c:v>
                </c:pt>
                <c:pt idx="27">
                  <c:v>725990.65247443924</c:v>
                </c:pt>
                <c:pt idx="28">
                  <c:v>7259906.5247443924</c:v>
                </c:pt>
                <c:pt idx="29">
                  <c:v>72599065.247443929</c:v>
                </c:pt>
                <c:pt idx="30">
                  <c:v>725990652.47443926</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1933520"/>
        <c:axId val="490632960"/>
      </c:scatterChart>
      <c:valAx>
        <c:axId val="491933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2960"/>
        <c:crosses val="autoZero"/>
        <c:crossBetween val="midCat"/>
      </c:valAx>
      <c:valAx>
        <c:axId val="490632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352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7.5196308035056324E-41</c:v>
                </c:pt>
                <c:pt idx="1">
                  <c:v>7.5196308035056324E-40</c:v>
                </c:pt>
                <c:pt idx="2">
                  <c:v>7.519630803505632E-39</c:v>
                </c:pt>
                <c:pt idx="3">
                  <c:v>7.5196308035056318E-38</c:v>
                </c:pt>
                <c:pt idx="4">
                  <c:v>7.5196308035056312E-37</c:v>
                </c:pt>
                <c:pt idx="5">
                  <c:v>7.5196308035056325E-36</c:v>
                </c:pt>
                <c:pt idx="6">
                  <c:v>7.5196308035056325E-35</c:v>
                </c:pt>
                <c:pt idx="7">
                  <c:v>7.5196308035056325E-34</c:v>
                </c:pt>
                <c:pt idx="8">
                  <c:v>7.5196308035056318E-33</c:v>
                </c:pt>
                <c:pt idx="9">
                  <c:v>7.5196308035056321E-32</c:v>
                </c:pt>
                <c:pt idx="10">
                  <c:v>7.5196308035056327E-31</c:v>
                </c:pt>
                <c:pt idx="11">
                  <c:v>7.5196308035056317E-30</c:v>
                </c:pt>
                <c:pt idx="12">
                  <c:v>7.5196308035056322E-29</c:v>
                </c:pt>
                <c:pt idx="13">
                  <c:v>7.5196308035056322E-28</c:v>
                </c:pt>
                <c:pt idx="14">
                  <c:v>7.519630803505633E-27</c:v>
                </c:pt>
                <c:pt idx="15">
                  <c:v>7.5196308035056324E-26</c:v>
                </c:pt>
                <c:pt idx="16">
                  <c:v>7.5196308035056317E-25</c:v>
                </c:pt>
                <c:pt idx="17">
                  <c:v>7.5196308035056326E-24</c:v>
                </c:pt>
                <c:pt idx="18">
                  <c:v>7.519630803505632E-23</c:v>
                </c:pt>
                <c:pt idx="19">
                  <c:v>7.5196308035056318E-22</c:v>
                </c:pt>
                <c:pt idx="20">
                  <c:v>7.5196308035056322E-21</c:v>
                </c:pt>
                <c:pt idx="21">
                  <c:v>7.5196308035056316E-20</c:v>
                </c:pt>
                <c:pt idx="22">
                  <c:v>7.5196308035056321E-19</c:v>
                </c:pt>
                <c:pt idx="23">
                  <c:v>7.5196308035056322E-18</c:v>
                </c:pt>
                <c:pt idx="24">
                  <c:v>7.5196308035056316E-17</c:v>
                </c:pt>
                <c:pt idx="25">
                  <c:v>7.5196308035056321E-16</c:v>
                </c:pt>
                <c:pt idx="26">
                  <c:v>7.5196308035056325E-15</c:v>
                </c:pt>
                <c:pt idx="27">
                  <c:v>7.5196308035056316E-14</c:v>
                </c:pt>
                <c:pt idx="28">
                  <c:v>7.5196308035056318E-13</c:v>
                </c:pt>
                <c:pt idx="29">
                  <c:v>7.5196308035056322E-12</c:v>
                </c:pt>
                <c:pt idx="30">
                  <c:v>7.5196308035056325E-11</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9.4288056127567843E-36</c:v>
                </c:pt>
                <c:pt idx="1">
                  <c:v>9.4288056127567838E-35</c:v>
                </c:pt>
                <c:pt idx="2">
                  <c:v>9.4288056127567842E-34</c:v>
                </c:pt>
                <c:pt idx="3">
                  <c:v>9.4288056127567832E-33</c:v>
                </c:pt>
                <c:pt idx="4">
                  <c:v>9.4288056127567835E-32</c:v>
                </c:pt>
                <c:pt idx="5">
                  <c:v>9.4288056127567846E-31</c:v>
                </c:pt>
                <c:pt idx="6">
                  <c:v>9.4288056127567839E-30</c:v>
                </c:pt>
                <c:pt idx="7">
                  <c:v>9.4288056127567844E-29</c:v>
                </c:pt>
                <c:pt idx="8">
                  <c:v>9.428805612756784E-28</c:v>
                </c:pt>
                <c:pt idx="9">
                  <c:v>9.4288056127567829E-27</c:v>
                </c:pt>
                <c:pt idx="10">
                  <c:v>9.4288056127567846E-26</c:v>
                </c:pt>
                <c:pt idx="11">
                  <c:v>9.4288056127567844E-25</c:v>
                </c:pt>
                <c:pt idx="12">
                  <c:v>9.428805612756784E-24</c:v>
                </c:pt>
                <c:pt idx="13">
                  <c:v>9.428805612756784E-23</c:v>
                </c:pt>
                <c:pt idx="14">
                  <c:v>9.4288056127567835E-22</c:v>
                </c:pt>
                <c:pt idx="15">
                  <c:v>9.4288056127567843E-21</c:v>
                </c:pt>
                <c:pt idx="16">
                  <c:v>9.428805612756784E-20</c:v>
                </c:pt>
                <c:pt idx="17">
                  <c:v>9.428805612756784E-19</c:v>
                </c:pt>
                <c:pt idx="18">
                  <c:v>9.428805612756784E-18</c:v>
                </c:pt>
                <c:pt idx="19">
                  <c:v>9.4288056127567843E-17</c:v>
                </c:pt>
                <c:pt idx="20">
                  <c:v>9.4288056127567836E-16</c:v>
                </c:pt>
                <c:pt idx="21">
                  <c:v>9.4288056127567844E-15</c:v>
                </c:pt>
                <c:pt idx="22">
                  <c:v>9.4288056127567837E-14</c:v>
                </c:pt>
                <c:pt idx="23">
                  <c:v>9.4288056127567842E-13</c:v>
                </c:pt>
                <c:pt idx="24">
                  <c:v>9.428805612756783E-12</c:v>
                </c:pt>
                <c:pt idx="25">
                  <c:v>9.428805612756784E-11</c:v>
                </c:pt>
                <c:pt idx="26">
                  <c:v>9.4288056127567832E-10</c:v>
                </c:pt>
                <c:pt idx="27">
                  <c:v>9.4288056127567832E-9</c:v>
                </c:pt>
                <c:pt idx="28">
                  <c:v>9.4288056127567842E-8</c:v>
                </c:pt>
                <c:pt idx="29">
                  <c:v>9.4288056127567842E-7</c:v>
                </c:pt>
                <c:pt idx="30">
                  <c:v>9.428805612756784E-6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1.3170183432946665E-33</c:v>
                </c:pt>
                <c:pt idx="1">
                  <c:v>1.3170183432946663E-32</c:v>
                </c:pt>
                <c:pt idx="2">
                  <c:v>1.3170183432946664E-31</c:v>
                </c:pt>
                <c:pt idx="3">
                  <c:v>1.3170183432946663E-30</c:v>
                </c:pt>
                <c:pt idx="4">
                  <c:v>1.3170183432946661E-29</c:v>
                </c:pt>
                <c:pt idx="5">
                  <c:v>1.3170183432946663E-28</c:v>
                </c:pt>
                <c:pt idx="6">
                  <c:v>1.3170183432946664E-27</c:v>
                </c:pt>
                <c:pt idx="7">
                  <c:v>1.3170183432946663E-26</c:v>
                </c:pt>
                <c:pt idx="8">
                  <c:v>1.3170183432946662E-25</c:v>
                </c:pt>
                <c:pt idx="9">
                  <c:v>1.3170183432946663E-24</c:v>
                </c:pt>
                <c:pt idx="10">
                  <c:v>1.3170183432946663E-23</c:v>
                </c:pt>
                <c:pt idx="11">
                  <c:v>1.3170183432946664E-22</c:v>
                </c:pt>
                <c:pt idx="12">
                  <c:v>1.3170183432946664E-21</c:v>
                </c:pt>
                <c:pt idx="13">
                  <c:v>1.3170183432946663E-20</c:v>
                </c:pt>
                <c:pt idx="14">
                  <c:v>1.3170183432946665E-19</c:v>
                </c:pt>
                <c:pt idx="15">
                  <c:v>1.3170183432946663E-18</c:v>
                </c:pt>
                <c:pt idx="16">
                  <c:v>1.3170183432946663E-17</c:v>
                </c:pt>
                <c:pt idx="17">
                  <c:v>1.3170183432946664E-16</c:v>
                </c:pt>
                <c:pt idx="18">
                  <c:v>1.3170183432946663E-15</c:v>
                </c:pt>
                <c:pt idx="19">
                  <c:v>1.3170183432946663E-14</c:v>
                </c:pt>
                <c:pt idx="20">
                  <c:v>1.3170183432946663E-13</c:v>
                </c:pt>
                <c:pt idx="21">
                  <c:v>1.3170183432946664E-12</c:v>
                </c:pt>
                <c:pt idx="22">
                  <c:v>1.3170183432946663E-11</c:v>
                </c:pt>
                <c:pt idx="23">
                  <c:v>1.3170183432946664E-10</c:v>
                </c:pt>
                <c:pt idx="24">
                  <c:v>1.3170183432946663E-9</c:v>
                </c:pt>
                <c:pt idx="25">
                  <c:v>1.3170183432946664E-8</c:v>
                </c:pt>
                <c:pt idx="26">
                  <c:v>1.3170183432946662E-7</c:v>
                </c:pt>
                <c:pt idx="27">
                  <c:v>1.3170183432946662E-6</c:v>
                </c:pt>
                <c:pt idx="28">
                  <c:v>1.3170183432946662E-5</c:v>
                </c:pt>
                <c:pt idx="29">
                  <c:v>1.3170183432946664E-4</c:v>
                </c:pt>
                <c:pt idx="30">
                  <c:v>1.3170183432946662E-3</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7.8668452506541216E-31</c:v>
                </c:pt>
                <c:pt idx="1">
                  <c:v>7.8668452506541218E-30</c:v>
                </c:pt>
                <c:pt idx="2">
                  <c:v>7.8668452506541221E-29</c:v>
                </c:pt>
                <c:pt idx="3">
                  <c:v>7.8668452506541208E-28</c:v>
                </c:pt>
                <c:pt idx="4">
                  <c:v>7.8668452506541208E-27</c:v>
                </c:pt>
                <c:pt idx="5">
                  <c:v>7.8668452506541222E-26</c:v>
                </c:pt>
                <c:pt idx="6">
                  <c:v>7.8668452506541222E-25</c:v>
                </c:pt>
                <c:pt idx="7">
                  <c:v>7.8668452506541218E-24</c:v>
                </c:pt>
                <c:pt idx="8">
                  <c:v>7.8668452506541207E-23</c:v>
                </c:pt>
                <c:pt idx="9">
                  <c:v>7.8668452506541209E-22</c:v>
                </c:pt>
                <c:pt idx="10">
                  <c:v>7.8668452506541214E-21</c:v>
                </c:pt>
                <c:pt idx="11">
                  <c:v>7.8668452506541218E-20</c:v>
                </c:pt>
                <c:pt idx="12">
                  <c:v>7.8668452506541218E-19</c:v>
                </c:pt>
                <c:pt idx="13">
                  <c:v>7.8668452506541216E-18</c:v>
                </c:pt>
                <c:pt idx="14">
                  <c:v>7.8668452506541222E-17</c:v>
                </c:pt>
                <c:pt idx="15">
                  <c:v>7.8668452506541212E-16</c:v>
                </c:pt>
                <c:pt idx="16">
                  <c:v>7.8668452506541208E-15</c:v>
                </c:pt>
                <c:pt idx="17">
                  <c:v>7.8668452506541214E-14</c:v>
                </c:pt>
                <c:pt idx="18">
                  <c:v>7.8668452506541212E-13</c:v>
                </c:pt>
                <c:pt idx="19">
                  <c:v>7.8668452506541212E-12</c:v>
                </c:pt>
                <c:pt idx="20">
                  <c:v>7.8668452506541208E-11</c:v>
                </c:pt>
                <c:pt idx="21">
                  <c:v>7.8668452506541211E-10</c:v>
                </c:pt>
                <c:pt idx="22">
                  <c:v>7.8668452506541209E-9</c:v>
                </c:pt>
                <c:pt idx="23">
                  <c:v>7.8668452506541212E-8</c:v>
                </c:pt>
                <c:pt idx="24">
                  <c:v>7.8668452506541212E-7</c:v>
                </c:pt>
                <c:pt idx="25">
                  <c:v>7.8668452506541206E-6</c:v>
                </c:pt>
                <c:pt idx="26">
                  <c:v>7.8668452506541216E-5</c:v>
                </c:pt>
                <c:pt idx="27">
                  <c:v>7.8668452506541211E-4</c:v>
                </c:pt>
                <c:pt idx="28">
                  <c:v>7.8668452506541215E-3</c:v>
                </c:pt>
                <c:pt idx="29">
                  <c:v>7.8668452506541212E-2</c:v>
                </c:pt>
                <c:pt idx="30">
                  <c:v>0.78668452506541209</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2.5605189613539007E-28</c:v>
                </c:pt>
                <c:pt idx="1">
                  <c:v>2.5605189613539006E-27</c:v>
                </c:pt>
                <c:pt idx="2">
                  <c:v>2.5605189613539008E-26</c:v>
                </c:pt>
                <c:pt idx="3">
                  <c:v>2.5605189613539007E-25</c:v>
                </c:pt>
                <c:pt idx="4">
                  <c:v>2.5605189613539006E-24</c:v>
                </c:pt>
                <c:pt idx="5">
                  <c:v>2.5605189613539007E-23</c:v>
                </c:pt>
                <c:pt idx="6">
                  <c:v>2.5605189613539008E-22</c:v>
                </c:pt>
                <c:pt idx="7">
                  <c:v>2.5605189613539008E-21</c:v>
                </c:pt>
                <c:pt idx="8">
                  <c:v>2.5605189613539005E-20</c:v>
                </c:pt>
                <c:pt idx="9">
                  <c:v>2.5605189613539005E-19</c:v>
                </c:pt>
                <c:pt idx="10">
                  <c:v>2.560518961353901E-18</c:v>
                </c:pt>
                <c:pt idx="11">
                  <c:v>2.5605189613539007E-17</c:v>
                </c:pt>
                <c:pt idx="12">
                  <c:v>2.5605189613539009E-16</c:v>
                </c:pt>
                <c:pt idx="13">
                  <c:v>2.5605189613539009E-15</c:v>
                </c:pt>
                <c:pt idx="14">
                  <c:v>2.5605189613539007E-14</c:v>
                </c:pt>
                <c:pt idx="15">
                  <c:v>2.5605189613539006E-13</c:v>
                </c:pt>
                <c:pt idx="16">
                  <c:v>2.5605189613539008E-12</c:v>
                </c:pt>
                <c:pt idx="17">
                  <c:v>2.5605189613539006E-11</c:v>
                </c:pt>
                <c:pt idx="18">
                  <c:v>2.5605189613539005E-10</c:v>
                </c:pt>
                <c:pt idx="19">
                  <c:v>2.5605189613539008E-9</c:v>
                </c:pt>
                <c:pt idx="20">
                  <c:v>2.5605189613539005E-8</c:v>
                </c:pt>
                <c:pt idx="21">
                  <c:v>2.5605189613539008E-7</c:v>
                </c:pt>
                <c:pt idx="22">
                  <c:v>2.5605189613539005E-6</c:v>
                </c:pt>
                <c:pt idx="23">
                  <c:v>2.5605189613539008E-5</c:v>
                </c:pt>
                <c:pt idx="24">
                  <c:v>2.5605189613539005E-4</c:v>
                </c:pt>
                <c:pt idx="25">
                  <c:v>2.5605189613539005E-3</c:v>
                </c:pt>
                <c:pt idx="26">
                  <c:v>2.5605189613539008E-2</c:v>
                </c:pt>
                <c:pt idx="27">
                  <c:v>0.25605189613539009</c:v>
                </c:pt>
                <c:pt idx="28">
                  <c:v>2.5605189613539006</c:v>
                </c:pt>
                <c:pt idx="29">
                  <c:v>25.605189613539007</c:v>
                </c:pt>
                <c:pt idx="30">
                  <c:v>256.05189613539005</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7.2599065247443934E-22</c:v>
                </c:pt>
                <c:pt idx="1">
                  <c:v>7.2599065247443936E-21</c:v>
                </c:pt>
                <c:pt idx="2">
                  <c:v>7.2599065247443936E-20</c:v>
                </c:pt>
                <c:pt idx="3">
                  <c:v>7.2599065247443931E-19</c:v>
                </c:pt>
                <c:pt idx="4">
                  <c:v>7.2599065247443927E-18</c:v>
                </c:pt>
                <c:pt idx="5">
                  <c:v>7.259906524744393E-17</c:v>
                </c:pt>
                <c:pt idx="6">
                  <c:v>7.259906524744393E-16</c:v>
                </c:pt>
                <c:pt idx="7">
                  <c:v>7.2599065247443924E-15</c:v>
                </c:pt>
                <c:pt idx="8">
                  <c:v>7.259906524744393E-14</c:v>
                </c:pt>
                <c:pt idx="9">
                  <c:v>7.259906524744392E-13</c:v>
                </c:pt>
                <c:pt idx="10">
                  <c:v>7.2599065247443934E-12</c:v>
                </c:pt>
                <c:pt idx="11">
                  <c:v>7.259906524744393E-11</c:v>
                </c:pt>
                <c:pt idx="12">
                  <c:v>7.2599065247443935E-10</c:v>
                </c:pt>
                <c:pt idx="13">
                  <c:v>7.2599065247443926E-9</c:v>
                </c:pt>
                <c:pt idx="14">
                  <c:v>7.2599065247443931E-8</c:v>
                </c:pt>
                <c:pt idx="15">
                  <c:v>7.2599065247443923E-7</c:v>
                </c:pt>
                <c:pt idx="16">
                  <c:v>7.259906524744393E-6</c:v>
                </c:pt>
                <c:pt idx="17">
                  <c:v>7.2599065247443923E-5</c:v>
                </c:pt>
                <c:pt idx="18">
                  <c:v>7.2599065247443931E-4</c:v>
                </c:pt>
                <c:pt idx="19">
                  <c:v>7.2599065247443929E-3</c:v>
                </c:pt>
                <c:pt idx="20">
                  <c:v>7.2599065247443931E-2</c:v>
                </c:pt>
                <c:pt idx="21">
                  <c:v>0.72599065247443928</c:v>
                </c:pt>
                <c:pt idx="22">
                  <c:v>7.2599065247443928</c:v>
                </c:pt>
                <c:pt idx="23">
                  <c:v>72.599065247443932</c:v>
                </c:pt>
                <c:pt idx="24">
                  <c:v>725.99065247443923</c:v>
                </c:pt>
                <c:pt idx="25">
                  <c:v>7259.9065247443932</c:v>
                </c:pt>
                <c:pt idx="26">
                  <c:v>72599.065247443927</c:v>
                </c:pt>
                <c:pt idx="27">
                  <c:v>725990.65247443924</c:v>
                </c:pt>
                <c:pt idx="28">
                  <c:v>7259906.5247443924</c:v>
                </c:pt>
                <c:pt idx="29">
                  <c:v>72599065.247443929</c:v>
                </c:pt>
                <c:pt idx="30">
                  <c:v>725990652.47443926</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4021000"/>
        <c:axId val="494022960"/>
      </c:scatterChart>
      <c:valAx>
        <c:axId val="4940210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2960"/>
        <c:crosses val="autoZero"/>
        <c:crossBetween val="midCat"/>
      </c:valAx>
      <c:valAx>
        <c:axId val="494022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10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-57.849695376367158</c:v>
                </c:pt>
                <c:pt idx="1">
                  <c:v>-57.580514650528961</c:v>
                </c:pt>
                <c:pt idx="2">
                  <c:v>-57.311242747503123</c:v>
                </c:pt>
                <c:pt idx="3">
                  <c:v>-57.041788490101979</c:v>
                </c:pt>
                <c:pt idx="4">
                  <c:v>-56.772060701137889</c:v>
                </c:pt>
                <c:pt idx="5">
                  <c:v>-56.501968203423203</c:v>
                </c:pt>
                <c:pt idx="6">
                  <c:v>-56.231419819770267</c:v>
                </c:pt>
                <c:pt idx="7">
                  <c:v>-55.960324372991437</c:v>
                </c:pt>
                <c:pt idx="8">
                  <c:v>-55.688590685899051</c:v>
                </c:pt>
                <c:pt idx="9">
                  <c:v>-55.416127581305474</c:v>
                </c:pt>
                <c:pt idx="10">
                  <c:v>-55.142843882023058</c:v>
                </c:pt>
                <c:pt idx="11">
                  <c:v>-54.868648410864139</c:v>
                </c:pt>
                <c:pt idx="12">
                  <c:v>-54.593449990641084</c:v>
                </c:pt>
                <c:pt idx="13">
                  <c:v>-54.317157444166227</c:v>
                </c:pt>
                <c:pt idx="14">
                  <c:v>-54.039679594251922</c:v>
                </c:pt>
                <c:pt idx="15">
                  <c:v>-53.76092526371054</c:v>
                </c:pt>
                <c:pt idx="16">
                  <c:v>-53.480803275354397</c:v>
                </c:pt>
                <c:pt idx="17">
                  <c:v>-53.199222451995873</c:v>
                </c:pt>
                <c:pt idx="18">
                  <c:v>-52.916091616447304</c:v>
                </c:pt>
                <c:pt idx="19">
                  <c:v>-52.631319591521049</c:v>
                </c:pt>
                <c:pt idx="20">
                  <c:v>-52.344815200029444</c:v>
                </c:pt>
                <c:pt idx="21">
                  <c:v>-52.056487264784856</c:v>
                </c:pt>
                <c:pt idx="22">
                  <c:v>-51.766244608599621</c:v>
                </c:pt>
                <c:pt idx="23">
                  <c:v>-51.473996054286104</c:v>
                </c:pt>
                <c:pt idx="24">
                  <c:v>-51.17965042465665</c:v>
                </c:pt>
                <c:pt idx="25">
                  <c:v>-50.883116542523609</c:v>
                </c:pt>
                <c:pt idx="26">
                  <c:v>-50.584303230699319</c:v>
                </c:pt>
                <c:pt idx="27">
                  <c:v>-50.283119311996145</c:v>
                </c:pt>
                <c:pt idx="28">
                  <c:v>-49.979473609226446</c:v>
                </c:pt>
                <c:pt idx="29">
                  <c:v>-49.67327494520255</c:v>
                </c:pt>
                <c:pt idx="30">
                  <c:v>-49.364432142736817</c:v>
                </c:pt>
                <c:pt idx="31">
                  <c:v>-49.052854024641604</c:v>
                </c:pt>
                <c:pt idx="32">
                  <c:v>-48.738449413729256</c:v>
                </c:pt>
                <c:pt idx="33">
                  <c:v>-48.421127132812124</c:v>
                </c:pt>
                <c:pt idx="34">
                  <c:v>-48.100796004702559</c:v>
                </c:pt>
                <c:pt idx="35">
                  <c:v>-47.777364852212905</c:v>
                </c:pt>
                <c:pt idx="36">
                  <c:v>-47.45074249815552</c:v>
                </c:pt>
                <c:pt idx="37">
                  <c:v>-47.120837765342756</c:v>
                </c:pt>
                <c:pt idx="38">
                  <c:v>-46.787559476586956</c:v>
                </c:pt>
                <c:pt idx="39">
                  <c:v>-46.45081645470048</c:v>
                </c:pt>
                <c:pt idx="40">
                  <c:v>-46.11051752249567</c:v>
                </c:pt>
                <c:pt idx="41">
                  <c:v>-45.958610492032349</c:v>
                </c:pt>
                <c:pt idx="42">
                  <c:v>-45.803038083991503</c:v>
                </c:pt>
                <c:pt idx="43">
                  <c:v>-45.643782008301628</c:v>
                </c:pt>
                <c:pt idx="44">
                  <c:v>-45.48082397489118</c:v>
                </c:pt>
                <c:pt idx="45">
                  <c:v>-45.314145693688616</c:v>
                </c:pt>
                <c:pt idx="46">
                  <c:v>-45.143728874622433</c:v>
                </c:pt>
                <c:pt idx="47">
                  <c:v>-44.969555227621086</c:v>
                </c:pt>
                <c:pt idx="48">
                  <c:v>-44.791606462613032</c:v>
                </c:pt>
                <c:pt idx="49">
                  <c:v>-44.609864289526755</c:v>
                </c:pt>
                <c:pt idx="50">
                  <c:v>-44.424310418290723</c:v>
                </c:pt>
                <c:pt idx="51">
                  <c:v>-44.234926558833408</c:v>
                </c:pt>
                <c:pt idx="52">
                  <c:v>-44.041694421083271</c:v>
                </c:pt>
                <c:pt idx="53">
                  <c:v>-43.84459571496879</c:v>
                </c:pt>
                <c:pt idx="54">
                  <c:v>-43.64361215041842</c:v>
                </c:pt>
                <c:pt idx="55">
                  <c:v>-43.438725437360645</c:v>
                </c:pt>
                <c:pt idx="56">
                  <c:v>-43.229917285723928</c:v>
                </c:pt>
                <c:pt idx="57">
                  <c:v>-43.017169405436739</c:v>
                </c:pt>
                <c:pt idx="58">
                  <c:v>-42.800463506427548</c:v>
                </c:pt>
                <c:pt idx="59">
                  <c:v>-42.57978129862483</c:v>
                </c:pt>
                <c:pt idx="60">
                  <c:v>-42.355104491957036</c:v>
                </c:pt>
                <c:pt idx="61">
                  <c:v>-42.126414796352663</c:v>
                </c:pt>
                <c:pt idx="62">
                  <c:v>-41.893693921740152</c:v>
                </c:pt>
                <c:pt idx="63">
                  <c:v>-41.656923578047994</c:v>
                </c:pt>
                <c:pt idx="64">
                  <c:v>-41.416085475204639</c:v>
                </c:pt>
                <c:pt idx="65">
                  <c:v>-41.17116132313857</c:v>
                </c:pt>
                <c:pt idx="66">
                  <c:v>-40.922204006901367</c:v>
                </c:pt>
                <c:pt idx="67">
                  <c:v>-40.669551112037034</c:v>
                </c:pt>
                <c:pt idx="68">
                  <c:v>-40.413611399212684</c:v>
                </c:pt>
                <c:pt idx="69">
                  <c:v>-40.154793629095451</c:v>
                </c:pt>
                <c:pt idx="70">
                  <c:v>-39.893506562352442</c:v>
                </c:pt>
                <c:pt idx="71">
                  <c:v>-39.630158959650799</c:v>
                </c:pt>
                <c:pt idx="72">
                  <c:v>-39.365159581657608</c:v>
                </c:pt>
                <c:pt idx="73">
                  <c:v>-39.098917189040009</c:v>
                </c:pt>
                <c:pt idx="74">
                  <c:v>-38.831840542465116</c:v>
                </c:pt>
                <c:pt idx="75">
                  <c:v>-38.564338402600058</c:v>
                </c:pt>
                <c:pt idx="76">
                  <c:v>-38.296819530111947</c:v>
                </c:pt>
                <c:pt idx="77">
                  <c:v>-38.029692685667889</c:v>
                </c:pt>
                <c:pt idx="78">
                  <c:v>-37.763366629935021</c:v>
                </c:pt>
                <c:pt idx="79">
                  <c:v>-37.498250123580469</c:v>
                </c:pt>
                <c:pt idx="80">
                  <c:v>-37.234751927271333</c:v>
                </c:pt>
                <c:pt idx="81">
                  <c:v>-36.97328080167474</c:v>
                </c:pt>
                <c:pt idx="82">
                  <c:v>-36.714245507457811</c:v>
                </c:pt>
                <c:pt idx="83">
                  <c:v>-36.458054805287667</c:v>
                </c:pt>
                <c:pt idx="84">
                  <c:v>-36.205117455831427</c:v>
                </c:pt>
                <c:pt idx="85">
                  <c:v>-35.955842219756207</c:v>
                </c:pt>
                <c:pt idx="86">
                  <c:v>-35.710637857729125</c:v>
                </c:pt>
                <c:pt idx="87">
                  <c:v>-35.469913130417304</c:v>
                </c:pt>
                <c:pt idx="88">
                  <c:v>-35.23407679848787</c:v>
                </c:pt>
                <c:pt idx="89">
                  <c:v>-35.003537622607929</c:v>
                </c:pt>
                <c:pt idx="90">
                  <c:v>-34.778704363444611</c:v>
                </c:pt>
                <c:pt idx="91">
                  <c:v>-34.559847966312482</c:v>
                </c:pt>
                <c:pt idx="92">
                  <c:v>-34.34668811511586</c:v>
                </c:pt>
                <c:pt idx="93">
                  <c:v>-34.138806678406581</c:v>
                </c:pt>
                <c:pt idx="94">
                  <c:v>-33.935785524736389</c:v>
                </c:pt>
                <c:pt idx="95">
                  <c:v>-33.737206522657097</c:v>
                </c:pt>
                <c:pt idx="96">
                  <c:v>-33.542651540720485</c:v>
                </c:pt>
                <c:pt idx="97">
                  <c:v>-33.351702447478345</c:v>
                </c:pt>
                <c:pt idx="98">
                  <c:v>-33.163941111482458</c:v>
                </c:pt>
                <c:pt idx="99">
                  <c:v>-32.97894940128463</c:v>
                </c:pt>
                <c:pt idx="100">
                  <c:v>-32.796309185436634</c:v>
                </c:pt>
                <c:pt idx="101">
                  <c:v>-32.615602332490269</c:v>
                </c:pt>
                <c:pt idx="102">
                  <c:v>-32.436410710997308</c:v>
                </c:pt>
                <c:pt idx="103">
                  <c:v>-32.258316189509557</c:v>
                </c:pt>
                <c:pt idx="104">
                  <c:v>-32.080900636578797</c:v>
                </c:pt>
                <c:pt idx="105">
                  <c:v>-31.903745920756812</c:v>
                </c:pt>
                <c:pt idx="106">
                  <c:v>-31.726433910595404</c:v>
                </c:pt>
                <c:pt idx="107">
                  <c:v>-31.548546474646351</c:v>
                </c:pt>
                <c:pt idx="108">
                  <c:v>-31.369665481461439</c:v>
                </c:pt>
                <c:pt idx="109">
                  <c:v>-31.189372799592469</c:v>
                </c:pt>
                <c:pt idx="110">
                  <c:v>-31.00725029759122</c:v>
                </c:pt>
                <c:pt idx="111">
                  <c:v>-30.822879844009478</c:v>
                </c:pt>
                <c:pt idx="112">
                  <c:v>-30.635843307399043</c:v>
                </c:pt>
                <c:pt idx="113">
                  <c:v>-30.445722556311697</c:v>
                </c:pt>
                <c:pt idx="114">
                  <c:v>-30.252099459299227</c:v>
                </c:pt>
                <c:pt idx="115">
                  <c:v>-30.05455588491343</c:v>
                </c:pt>
                <c:pt idx="116">
                  <c:v>-29.852673701706081</c:v>
                </c:pt>
                <c:pt idx="117">
                  <c:v>-29.64603477822898</c:v>
                </c:pt>
                <c:pt idx="118">
                  <c:v>-29.434220983033917</c:v>
                </c:pt>
                <c:pt idx="119">
                  <c:v>-29.216814184672668</c:v>
                </c:pt>
                <c:pt idx="120">
                  <c:v>-28.993396251697032</c:v>
                </c:pt>
                <c:pt idx="121">
                  <c:v>-28.763639013319299</c:v>
                </c:pt>
                <c:pt idx="122">
                  <c:v>-28.527574141393778</c:v>
                </c:pt>
                <c:pt idx="123">
                  <c:v>-28.285323268435281</c:v>
                </c:pt>
                <c:pt idx="124">
                  <c:v>-28.037008026958624</c:v>
                </c:pt>
                <c:pt idx="125">
                  <c:v>-27.782750049478622</c:v>
                </c:pt>
                <c:pt idx="126">
                  <c:v>-27.522670968510077</c:v>
                </c:pt>
                <c:pt idx="127">
                  <c:v>-27.256892416567808</c:v>
                </c:pt>
                <c:pt idx="128">
                  <c:v>-26.985536026166635</c:v>
                </c:pt>
                <c:pt idx="129">
                  <c:v>-26.708723429821358</c:v>
                </c:pt>
                <c:pt idx="130">
                  <c:v>-26.426576260046801</c:v>
                </c:pt>
                <c:pt idx="131">
                  <c:v>-26.139216149357768</c:v>
                </c:pt>
                <c:pt idx="132">
                  <c:v>-25.846764730269079</c:v>
                </c:pt>
                <c:pt idx="133">
                  <c:v>-25.549343635295546</c:v>
                </c:pt>
                <c:pt idx="134">
                  <c:v>-25.247074496951974</c:v>
                </c:pt>
                <c:pt idx="135">
                  <c:v>-24.940078947753186</c:v>
                </c:pt>
                <c:pt idx="136">
                  <c:v>-24.62847862021399</c:v>
                </c:pt>
                <c:pt idx="137">
                  <c:v>-24.312395146849198</c:v>
                </c:pt>
                <c:pt idx="138">
                  <c:v>-23.991950160173623</c:v>
                </c:pt>
                <c:pt idx="139">
                  <c:v>-23.667265292702083</c:v>
                </c:pt>
                <c:pt idx="140">
                  <c:v>-23.338462176949385</c:v>
                </c:pt>
                <c:pt idx="141">
                  <c:v>-23.005662445430346</c:v>
                </c:pt>
                <c:pt idx="142">
                  <c:v>-22.668987730659776</c:v>
                </c:pt>
                <c:pt idx="143">
                  <c:v>-22.32855966515249</c:v>
                </c:pt>
                <c:pt idx="144">
                  <c:v>-21.984499881423297</c:v>
                </c:pt>
                <c:pt idx="145">
                  <c:v>-21.636930011987015</c:v>
                </c:pt>
                <c:pt idx="146">
                  <c:v>-21.285971689358455</c:v>
                </c:pt>
                <c:pt idx="147">
                  <c:v>-20.931746546052427</c:v>
                </c:pt>
                <c:pt idx="148">
                  <c:v>-20.574376214583751</c:v>
                </c:pt>
                <c:pt idx="149">
                  <c:v>-20.213982327467232</c:v>
                </c:pt>
                <c:pt idx="150">
                  <c:v>-19.850686517217689</c:v>
                </c:pt>
                <c:pt idx="151">
                  <c:v>-19.484610416349927</c:v>
                </c:pt>
                <c:pt idx="152">
                  <c:v>-19.115875657378766</c:v>
                </c:pt>
                <c:pt idx="153">
                  <c:v>-18.74460387281902</c:v>
                </c:pt>
                <c:pt idx="154">
                  <c:v>-18.370916695185493</c:v>
                </c:pt>
                <c:pt idx="155">
                  <c:v>-17.994935756993009</c:v>
                </c:pt>
                <c:pt idx="156">
                  <c:v>-17.616782690756374</c:v>
                </c:pt>
                <c:pt idx="157">
                  <c:v>-17.236579128990403</c:v>
                </c:pt>
                <c:pt idx="158">
                  <c:v>-16.854446704209906</c:v>
                </c:pt>
                <c:pt idx="159">
                  <c:v>-16.470507048929701</c:v>
                </c:pt>
                <c:pt idx="160">
                  <c:v>-16.084881795664597</c:v>
                </c:pt>
                <c:pt idx="161">
                  <c:v>-15.697692576929409</c:v>
                </c:pt>
                <c:pt idx="162">
                  <c:v>-15.309061025238949</c:v>
                </c:pt>
                <c:pt idx="163">
                  <c:v>-14.919108773108029</c:v>
                </c:pt>
                <c:pt idx="164">
                  <c:v>-14.527957453051464</c:v>
                </c:pt>
                <c:pt idx="165">
                  <c:v>-14.135728697584064</c:v>
                </c:pt>
                <c:pt idx="166">
                  <c:v>-13.742528418577203</c:v>
                </c:pt>
                <c:pt idx="167">
                  <c:v>-13.348399645328495</c:v>
                </c:pt>
                <c:pt idx="168">
                  <c:v>-12.953369686492112</c:v>
                </c:pt>
                <c:pt idx="169">
                  <c:v>-12.557465850722222</c:v>
                </c:pt>
                <c:pt idx="170">
                  <c:v>-12.160715446673002</c:v>
                </c:pt>
                <c:pt idx="171">
                  <c:v>-11.76314578299862</c:v>
                </c:pt>
                <c:pt idx="172">
                  <c:v>-11.364784168353252</c:v>
                </c:pt>
                <c:pt idx="173">
                  <c:v>-10.965657911391064</c:v>
                </c:pt>
                <c:pt idx="174">
                  <c:v>-10.565794320766235</c:v>
                </c:pt>
                <c:pt idx="175">
                  <c:v>-10.165220705132931</c:v>
                </c:pt>
                <c:pt idx="176">
                  <c:v>-9.7639643731453294</c:v>
                </c:pt>
                <c:pt idx="177">
                  <c:v>-9.362052633457596</c:v>
                </c:pt>
                <c:pt idx="178">
                  <c:v>-8.9595127947239082</c:v>
                </c:pt>
                <c:pt idx="179">
                  <c:v>-8.5563721655984359</c:v>
                </c:pt>
                <c:pt idx="180">
                  <c:v>-8.1526580547353529</c:v>
                </c:pt>
                <c:pt idx="181">
                  <c:v>-7.748397770788829</c:v>
                </c:pt>
                <c:pt idx="182">
                  <c:v>-7.343618622413036</c:v>
                </c:pt>
                <c:pt idx="183">
                  <c:v>-6.9383479182621475</c:v>
                </c:pt>
                <c:pt idx="184">
                  <c:v>-6.5326129669903352</c:v>
                </c:pt>
                <c:pt idx="185">
                  <c:v>-6.1264410772517701</c:v>
                </c:pt>
                <c:pt idx="186">
                  <c:v>-5.7198595577006248</c:v>
                </c:pt>
                <c:pt idx="187">
                  <c:v>-5.312895716991072</c:v>
                </c:pt>
                <c:pt idx="188">
                  <c:v>-4.9055768637772825</c:v>
                </c:pt>
                <c:pt idx="189">
                  <c:v>-4.4979303067134282</c:v>
                </c:pt>
                <c:pt idx="190">
                  <c:v>-4.0899833544536817</c:v>
                </c:pt>
                <c:pt idx="191">
                  <c:v>-3.6817633156522165</c:v>
                </c:pt>
                <c:pt idx="192">
                  <c:v>-3.2732974989632022</c:v>
                </c:pt>
                <c:pt idx="193">
                  <c:v>-2.8646132130408124</c:v>
                </c:pt>
                <c:pt idx="194">
                  <c:v>-2.4557377665392184</c:v>
                </c:pt>
                <c:pt idx="195">
                  <c:v>-2.0466984681125919</c:v>
                </c:pt>
                <c:pt idx="196">
                  <c:v>-1.6375226264151055</c:v>
                </c:pt>
                <c:pt idx="197">
                  <c:v>-1.2282375501009313</c:v>
                </c:pt>
                <c:pt idx="198">
                  <c:v>-0.81887054782424085</c:v>
                </c:pt>
                <c:pt idx="199">
                  <c:v>-0.40944892823920642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-57.849695376367158</c:v>
                </c:pt>
                <c:pt idx="1">
                  <c:v>-46.11051752249567</c:v>
                </c:pt>
                <c:pt idx="2">
                  <c:v>-41.17116132313857</c:v>
                </c:pt>
                <c:pt idx="3">
                  <c:v>-34.778704363444611</c:v>
                </c:pt>
                <c:pt idx="4">
                  <c:v>-28.993396251697032</c:v>
                </c:pt>
                <c:pt idx="5">
                  <c:v>-14.135728697584064</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-57.611009960872252</c:v>
                </c:pt>
                <c:pt idx="1">
                  <c:v>-57.468064198694265</c:v>
                </c:pt>
                <c:pt idx="2">
                  <c:v>-57.296510632239915</c:v>
                </c:pt>
                <c:pt idx="3">
                  <c:v>-57.09981298862931</c:v>
                </c:pt>
                <c:pt idx="4">
                  <c:v>-56.881160765999994</c:v>
                </c:pt>
                <c:pt idx="5">
                  <c:v>-56.64348427414825</c:v>
                </c:pt>
                <c:pt idx="6">
                  <c:v>-56.389469120380454</c:v>
                </c:pt>
                <c:pt idx="7">
                  <c:v>-56.121570153007269</c:v>
                </c:pt>
                <c:pt idx="8">
                  <c:v>-55.84202487479979</c:v>
                </c:pt>
                <c:pt idx="9">
                  <c:v>-55.552866338737658</c:v>
                </c:pt>
                <c:pt idx="10">
                  <c:v>-55.255935538004451</c:v>
                </c:pt>
                <c:pt idx="11">
                  <c:v>-54.952893302286611</c:v>
                </c:pt>
                <c:pt idx="12">
                  <c:v>-54.645231712108398</c:v>
                </c:pt>
                <c:pt idx="13">
                  <c:v>-54.334285042957163</c:v>
                </c:pt>
                <c:pt idx="14">
                  <c:v>-54.021240250756819</c:v>
                </c:pt>
                <c:pt idx="15">
                  <c:v>-53.707147010111839</c:v>
                </c:pt>
                <c:pt idx="16">
                  <c:v>-53.392927316631358</c:v>
                </c:pt>
                <c:pt idx="17">
                  <c:v>-53.079384664453301</c:v>
                </c:pt>
                <c:pt idx="18">
                  <c:v>-52.767212810104866</c:v>
                </c:pt>
                <c:pt idx="19">
                  <c:v>-52.457004133555984</c:v>
                </c:pt>
                <c:pt idx="20">
                  <c:v>-52.149257607214167</c:v>
                </c:pt>
                <c:pt idx="21">
                  <c:v>-51.844386383620986</c:v>
                </c:pt>
                <c:pt idx="22">
                  <c:v>-51.542725012231131</c:v>
                </c:pt>
                <c:pt idx="23">
                  <c:v>-51.244536295772832</c:v>
                </c:pt>
                <c:pt idx="24">
                  <c:v>-50.95001779639324</c:v>
                </c:pt>
                <c:pt idx="25">
                  <c:v>-50.659308001765567</c:v>
                </c:pt>
                <c:pt idx="26">
                  <c:v>-50.372492161096034</c:v>
                </c:pt>
                <c:pt idx="27">
                  <c:v>-50.089607800954582</c:v>
                </c:pt>
                <c:pt idx="28">
                  <c:v>-49.810649930628642</c:v>
                </c:pt>
                <c:pt idx="29">
                  <c:v>-49.535575946650624</c:v>
                </c:pt>
                <c:pt idx="30">
                  <c:v>-49.264310245948764</c:v>
                </c:pt>
                <c:pt idx="31">
                  <c:v>-48.996748556945477</c:v>
                </c:pt>
                <c:pt idx="32">
                  <c:v>-48.732761997906891</c:v>
                </c:pt>
                <c:pt idx="33">
                  <c:v>-48.472200871509358</c:v>
                </c:pt>
                <c:pt idx="34">
                  <c:v>-48.214898204711062</c:v>
                </c:pt>
                <c:pt idx="35">
                  <c:v>-47.960673042629423</c:v>
                </c:pt>
                <c:pt idx="36">
                  <c:v>-47.709333505252289</c:v>
                </c:pt>
                <c:pt idx="37">
                  <c:v>-47.460679615394383</c:v>
                </c:pt>
                <c:pt idx="38">
                  <c:v>-47.214505906509203</c:v>
                </c:pt>
                <c:pt idx="39">
                  <c:v>-46.970603818509744</c:v>
                </c:pt>
                <c:pt idx="40">
                  <c:v>-46.72876388986424</c:v>
                </c:pt>
                <c:pt idx="41">
                  <c:v>-46.48877775398978</c:v>
                </c:pt>
                <c:pt idx="42">
                  <c:v>-46.250439947835048</c:v>
                </c:pt>
                <c:pt idx="43">
                  <c:v>-46.013549540482472</c:v>
                </c:pt>
                <c:pt idx="44">
                  <c:v>-45.777911589377027</c:v>
                </c:pt>
                <c:pt idx="45">
                  <c:v>-45.54333843174004</c:v>
                </c:pt>
                <c:pt idx="46">
                  <c:v>-45.309650818549017</c:v>
                </c:pt>
                <c:pt idx="47">
                  <c:v>-45.076678898346245</c:v>
                </c:pt>
                <c:pt idx="48">
                  <c:v>-44.844263058001616</c:v>
                </c:pt>
                <c:pt idx="49">
                  <c:v>-44.612254627460516</c:v>
                </c:pt>
                <c:pt idx="50">
                  <c:v>-44.3805164553238</c:v>
                </c:pt>
                <c:pt idx="51">
                  <c:v>-44.148923361996822</c:v>
                </c:pt>
                <c:pt idx="52">
                  <c:v>-43.917362477051938</c:v>
                </c:pt>
                <c:pt idx="53">
                  <c:v>-43.6857334672668</c:v>
                </c:pt>
                <c:pt idx="54">
                  <c:v>-43.453948661670893</c:v>
                </c:pt>
                <c:pt idx="55">
                  <c:v>-43.221933079862993</c:v>
                </c:pt>
                <c:pt idx="56">
                  <c:v>-42.989624369654166</c:v>
                </c:pt>
                <c:pt idx="57">
                  <c:v>-42.756972660028055</c:v>
                </c:pt>
                <c:pt idx="58">
                  <c:v>-42.523940335215116</c:v>
                </c:pt>
                <c:pt idx="59">
                  <c:v>-42.290501735612509</c:v>
                </c:pt>
                <c:pt idx="60">
                  <c:v>-42.056642791095157</c:v>
                </c:pt>
                <c:pt idx="61">
                  <c:v>-41.822360592183145</c:v>
                </c:pt>
                <c:pt idx="62">
                  <c:v>-41.587662904342494</c:v>
                </c:pt>
                <c:pt idx="63">
                  <c:v>-41.352567630626879</c:v>
                </c:pt>
                <c:pt idx="64">
                  <c:v>-41.117102227700798</c:v>
                </c:pt>
                <c:pt idx="65">
                  <c:v>-40.881303080153771</c:v>
                </c:pt>
                <c:pt idx="66">
                  <c:v>-40.645214837892638</c:v>
                </c:pt>
                <c:pt idx="67">
                  <c:v>-40.40888972130341</c:v>
                </c:pt>
                <c:pt idx="68">
                  <c:v>-40.172386798649313</c:v>
                </c:pt>
                <c:pt idx="69">
                  <c:v>-39.935771240169572</c:v>
                </c:pt>
                <c:pt idx="70">
                  <c:v>-39.699113553092786</c:v>
                </c:pt>
                <c:pt idx="71">
                  <c:v>-39.46248880172908</c:v>
                </c:pt>
                <c:pt idx="72">
                  <c:v>-39.225975816649537</c:v>
                </c:pt>
                <c:pt idx="73">
                  <c:v>-38.989656396800001</c:v>
                </c:pt>
                <c:pt idx="74">
                  <c:v>-38.753614508339155</c:v>
                </c:pt>
                <c:pt idx="75">
                  <c:v>-38.517935483776711</c:v>
                </c:pt>
                <c:pt idx="76">
                  <c:v>-38.282705224924769</c:v>
                </c:pt>
                <c:pt idx="77">
                  <c:v>-38.048009412995469</c:v>
                </c:pt>
                <c:pt idx="78">
                  <c:v>-37.813932729090311</c:v>
                </c:pt>
                <c:pt idx="79">
                  <c:v>-37.580558088159137</c:v>
                </c:pt>
                <c:pt idx="80">
                  <c:v>-37.347965889401451</c:v>
                </c:pt>
                <c:pt idx="81">
                  <c:v>-37.11623328594456</c:v>
                </c:pt>
                <c:pt idx="82">
                  <c:v>-36.885433476496402</c:v>
                </c:pt>
                <c:pt idx="83">
                  <c:v>-36.655635021550097</c:v>
                </c:pt>
                <c:pt idx="84">
                  <c:v>-36.426901186586065</c:v>
                </c:pt>
                <c:pt idx="85">
                  <c:v>-36.199289314576745</c:v>
                </c:pt>
                <c:pt idx="86">
                  <c:v>-35.972850229985113</c:v>
                </c:pt>
                <c:pt idx="87">
                  <c:v>-35.747627676300851</c:v>
                </c:pt>
                <c:pt idx="88">
                  <c:v>-35.523657789045103</c:v>
                </c:pt>
                <c:pt idx="89">
                  <c:v>-35.300968606025052</c:v>
                </c:pt>
                <c:pt idx="90">
                  <c:v>-35.079579616511438</c:v>
                </c:pt>
                <c:pt idx="91">
                  <c:v>-34.859501350856164</c:v>
                </c:pt>
                <c:pt idx="92">
                  <c:v>-34.640735011966377</c:v>
                </c:pt>
                <c:pt idx="93">
                  <c:v>-34.423272149890494</c:v>
                </c:pt>
                <c:pt idx="94">
                  <c:v>-34.207094380668352</c:v>
                </c:pt>
                <c:pt idx="95">
                  <c:v>-33.992173150448458</c:v>
                </c:pt>
                <c:pt idx="96">
                  <c:v>-33.778469545751499</c:v>
                </c:pt>
                <c:pt idx="97">
                  <c:v>-33.565934150636494</c:v>
                </c:pt>
                <c:pt idx="98">
                  <c:v>-33.354506951379349</c:v>
                </c:pt>
                <c:pt idx="99">
                  <c:v>-33.144117289160839</c:v>
                </c:pt>
                <c:pt idx="100">
                  <c:v>-32.934683861115367</c:v>
                </c:pt>
                <c:pt idx="101">
                  <c:v>-32.726114769973663</c:v>
                </c:pt>
                <c:pt idx="102">
                  <c:v>-32.518307622396819</c:v>
                </c:pt>
                <c:pt idx="103">
                  <c:v>-32.311149675965019</c:v>
                </c:pt>
                <c:pt idx="104">
                  <c:v>-32.104518034664679</c:v>
                </c:pt>
                <c:pt idx="105">
                  <c:v>-31.898279892574667</c:v>
                </c:pt>
                <c:pt idx="106">
                  <c:v>-31.692292825333784</c:v>
                </c:pt>
                <c:pt idx="107">
                  <c:v>-31.486405128831962</c:v>
                </c:pt>
                <c:pt idx="108">
                  <c:v>-31.280456204443208</c:v>
                </c:pt>
                <c:pt idx="109">
                  <c:v>-31.074276989986746</c:v>
                </c:pt>
                <c:pt idx="110">
                  <c:v>-30.867690435469385</c:v>
                </c:pt>
                <c:pt idx="111">
                  <c:v>-30.660512022537315</c:v>
                </c:pt>
                <c:pt idx="112">
                  <c:v>-30.452550326431194</c:v>
                </c:pt>
                <c:pt idx="113">
                  <c:v>-30.243607619108019</c:v>
                </c:pt>
                <c:pt idx="114">
                  <c:v>-30.033480512066191</c:v>
                </c:pt>
                <c:pt idx="115">
                  <c:v>-29.821960637277005</c:v>
                </c:pt>
                <c:pt idx="116">
                  <c:v>-29.608835364496098</c:v>
                </c:pt>
                <c:pt idx="117">
                  <c:v>-29.393888553099572</c:v>
                </c:pt>
                <c:pt idx="118">
                  <c:v>-29.176901336456346</c:v>
                </c:pt>
                <c:pt idx="119">
                  <c:v>-28.957652936721246</c:v>
                </c:pt>
                <c:pt idx="120">
                  <c:v>-28.735921507801198</c:v>
                </c:pt>
                <c:pt idx="121">
                  <c:v>-28.511485004116565</c:v>
                </c:pt>
                <c:pt idx="122">
                  <c:v>-28.284122072649996</c:v>
                </c:pt>
                <c:pt idx="123">
                  <c:v>-28.053612965644042</c:v>
                </c:pt>
                <c:pt idx="124">
                  <c:v>-27.819740471181312</c:v>
                </c:pt>
                <c:pt idx="125">
                  <c:v>-27.582290858744621</c:v>
                </c:pt>
                <c:pt idx="126">
                  <c:v>-27.341054836732258</c:v>
                </c:pt>
                <c:pt idx="127">
                  <c:v>-27.095828518765934</c:v>
                </c:pt>
                <c:pt idx="128">
                  <c:v>-26.846414395503537</c:v>
                </c:pt>
                <c:pt idx="129">
                  <c:v>-26.5926223085362</c:v>
                </c:pt>
                <c:pt idx="130">
                  <c:v>-26.334270422819802</c:v>
                </c:pt>
                <c:pt idx="131">
                  <c:v>-26.071186193959665</c:v>
                </c:pt>
                <c:pt idx="132">
                  <c:v>-25.803207326539312</c:v>
                </c:pt>
                <c:pt idx="133">
                  <c:v>-25.530182719550833</c:v>
                </c:pt>
                <c:pt idx="134">
                  <c:v>-25.251973394855799</c:v>
                </c:pt>
                <c:pt idx="135">
                  <c:v>-24.96845340447549</c:v>
                </c:pt>
                <c:pt idx="136">
                  <c:v>-24.679510712378821</c:v>
                </c:pt>
                <c:pt idx="137">
                  <c:v>-24.385048046304945</c:v>
                </c:pt>
                <c:pt idx="138">
                  <c:v>-24.084983715028777</c:v>
                </c:pt>
                <c:pt idx="139">
                  <c:v>-23.779252386346268</c:v>
                </c:pt>
                <c:pt idx="140">
                  <c:v>-23.467805820926806</c:v>
                </c:pt>
                <c:pt idx="141">
                  <c:v>-23.150613557049066</c:v>
                </c:pt>
                <c:pt idx="142">
                  <c:v>-22.827663541107043</c:v>
                </c:pt>
                <c:pt idx="143">
                  <c:v>-22.498962698641893</c:v>
                </c:pt>
                <c:pt idx="144">
                  <c:v>-22.164537440525997</c:v>
                </c:pt>
                <c:pt idx="145">
                  <c:v>-21.824434098794391</c:v>
                </c:pt>
                <c:pt idx="146">
                  <c:v>-21.478719286488857</c:v>
                </c:pt>
                <c:pt idx="147">
                  <c:v>-21.127480175749767</c:v>
                </c:pt>
                <c:pt idx="148">
                  <c:v>-20.770824688260387</c:v>
                </c:pt>
                <c:pt idx="149">
                  <c:v>-20.408881592017611</c:v>
                </c:pt>
                <c:pt idx="150">
                  <c:v>-20.041800498273936</c:v>
                </c:pt>
                <c:pt idx="151">
                  <c:v>-19.669751752363819</c:v>
                </c:pt>
                <c:pt idx="152">
                  <c:v>-19.292926211998356</c:v>
                </c:pt>
                <c:pt idx="153">
                  <c:v>-18.911534906481396</c:v>
                </c:pt>
                <c:pt idx="154">
                  <c:v>-18.525808570169978</c:v>
                </c:pt>
                <c:pt idx="155">
                  <c:v>-18.135997043371805</c:v>
                </c:pt>
                <c:pt idx="156">
                  <c:v>-17.742368533742329</c:v>
                </c:pt>
                <c:pt idx="157">
                  <c:v>-17.345208731113132</c:v>
                </c:pt>
                <c:pt idx="158">
                  <c:v>-16.944819768553739</c:v>
                </c:pt>
                <c:pt idx="159">
                  <c:v>-16.541519022338331</c:v>
                </c:pt>
                <c:pt idx="160">
                  <c:v>-16.135637743358419</c:v>
                </c:pt>
                <c:pt idx="161">
                  <c:v>-15.727519512392693</c:v>
                </c:pt>
                <c:pt idx="162">
                  <c:v>-15.317518511514354</c:v>
                </c:pt>
                <c:pt idx="163">
                  <c:v>-14.905997603786695</c:v>
                </c:pt>
                <c:pt idx="164">
                  <c:v>-14.493326213266654</c:v>
                </c:pt>
                <c:pt idx="165">
                  <c:v>-14.079877997206436</c:v>
                </c:pt>
                <c:pt idx="166">
                  <c:v>-13.66602830221243</c:v>
                </c:pt>
                <c:pt idx="167">
                  <c:v>-13.252151395990916</c:v>
                </c:pt>
                <c:pt idx="168">
                  <c:v>-12.838617466179262</c:v>
                </c:pt>
                <c:pt idx="169">
                  <c:v>-12.425789377631428</c:v>
                </c:pt>
                <c:pt idx="170">
                  <c:v>-12.014019179396035</c:v>
                </c:pt>
                <c:pt idx="171">
                  <c:v>-11.603644352495124</c:v>
                </c:pt>
                <c:pt idx="172">
                  <c:v>-11.194983789481366</c:v>
                </c:pt>
                <c:pt idx="173">
                  <c:v>-10.788333496621265</c:v>
                </c:pt>
                <c:pt idx="174">
                  <c:v>-10.383962009421449</c:v>
                </c:pt>
                <c:pt idx="175">
                  <c:v>-9.982105512085182</c:v>
                </c:pt>
                <c:pt idx="176">
                  <c:v>-9.58296265135548</c:v>
                </c:pt>
                <c:pt idx="177">
                  <c:v>-9.1866890350714119</c:v>
                </c:pt>
                <c:pt idx="178">
                  <c:v>-8.7933914056335087</c:v>
                </c:pt>
                <c:pt idx="179">
                  <c:v>-8.4031214784440991</c:v>
                </c:pt>
                <c:pt idx="180">
                  <c:v>-8.0158694352580646</c:v>
                </c:pt>
                <c:pt idx="181">
                  <c:v>-7.6315570622492057</c:v>
                </c:pt>
                <c:pt idx="182">
                  <c:v>-7.2500305224671813</c:v>
                </c:pt>
                <c:pt idx="183">
                  <c:v>-6.8710527522295584</c:v>
                </c:pt>
                <c:pt idx="184">
                  <c:v>-6.4942954708633849</c:v>
                </c:pt>
                <c:pt idx="185">
                  <c:v>-6.1193307930803469</c:v>
                </c:pt>
                <c:pt idx="186">
                  <c:v>-5.7456224331392116</c:v>
                </c:pt>
                <c:pt idx="187">
                  <c:v>-5.3725164898191151</c:v>
                </c:pt>
                <c:pt idx="188">
                  <c:v>-4.9992318010968164</c:v>
                </c:pt>
                <c:pt idx="189">
                  <c:v>-4.6248498572908776</c:v>
                </c:pt>
                <c:pt idx="190">
                  <c:v>-4.2483042613053685</c:v>
                </c:pt>
                <c:pt idx="191">
                  <c:v>-3.8683697244754192</c:v>
                </c:pt>
                <c:pt idx="192">
                  <c:v>-3.4836505863866827</c:v>
                </c:pt>
                <c:pt idx="193">
                  <c:v>-3.0925688469104511</c:v>
                </c:pt>
                <c:pt idx="194">
                  <c:v>-2.6933516985659094</c:v>
                </c:pt>
                <c:pt idx="195">
                  <c:v>-2.2840185471907017</c:v>
                </c:pt>
                <c:pt idx="196">
                  <c:v>-1.8623675087707037</c:v>
                </c:pt>
                <c:pt idx="197">
                  <c:v>-1.4259613701496228</c:v>
                </c:pt>
                <c:pt idx="198">
                  <c:v>-0.97211300120874011</c:v>
                </c:pt>
                <c:pt idx="199">
                  <c:v>-0.49787020597682785</c:v>
                </c:pt>
                <c:pt idx="200">
                  <c:v>0</c:v>
                </c:pt>
              </c:numCache>
            </c:numRef>
          </c:yVal>
          <c:smooth val="1"/>
        </c:ser>
        <c:dLbls>
          <c:showLegendKey val="0"/>
          <c:showVal val="0"/>
          <c:showCatName val="0"/>
          <c:showSerName val="0"/>
          <c:showPercent val="0"/>
          <c:showBubbleSize val="0"/>
        </c:dLbls>
        <c:axId val="494024528"/>
        <c:axId val="494024920"/>
      </c:scatterChart>
      <c:valAx>
        <c:axId val="49402452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4920"/>
        <c:crossesAt val="-1000"/>
        <c:crossBetween val="midCat"/>
      </c:valAx>
      <c:valAx>
        <c:axId val="49402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452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0.51083501193027681</v>
      </c>
      <c r="D59" s="55">
        <v>1</v>
      </c>
    </row>
    <row r="60" spans="1:4" s="11" customFormat="1" x14ac:dyDescent="0.25">
      <c r="A60" s="54">
        <v>2</v>
      </c>
      <c r="B60" s="56">
        <f>'Shiftfunktion bestimmen'!N2</f>
        <v>1.3565666233303445E-2</v>
      </c>
      <c r="D60" s="55">
        <v>2</v>
      </c>
    </row>
    <row r="61" spans="1:4" s="11" customFormat="1" x14ac:dyDescent="0.25">
      <c r="A61" s="54">
        <v>3</v>
      </c>
      <c r="B61" s="56">
        <f>'Shiftfunktion bestimmen'!N3</f>
        <v>6.1379704894991326E-4</v>
      </c>
      <c r="D61" s="55">
        <v>3</v>
      </c>
    </row>
    <row r="62" spans="1:4" s="11" customFormat="1" x14ac:dyDescent="0.25">
      <c r="A62" s="54">
        <v>4</v>
      </c>
      <c r="B62" s="56">
        <f>'Shiftfunktion bestimmen'!N4</f>
        <v>1.3079342111006026E-5</v>
      </c>
      <c r="D62" s="55">
        <v>4</v>
      </c>
    </row>
    <row r="63" spans="1:4" s="11" customFormat="1" x14ac:dyDescent="0.25">
      <c r="A63" s="54">
        <v>5</v>
      </c>
      <c r="B63" s="56">
        <f>'Shiftfunktion bestimmen'!N5</f>
        <v>1.4342110879878539E-7</v>
      </c>
      <c r="D63" s="55">
        <v>5</v>
      </c>
    </row>
    <row r="64" spans="1:4" s="11" customFormat="1" x14ac:dyDescent="0.25">
      <c r="A64" s="54">
        <v>6</v>
      </c>
      <c r="B64" s="56">
        <f>'Shiftfunktion bestimmen'!N6</f>
        <v>8.5069441345277894E-10</v>
      </c>
      <c r="D64" s="55">
        <v>6</v>
      </c>
    </row>
    <row r="65" spans="1:5" s="11" customFormat="1" x14ac:dyDescent="0.25">
      <c r="A65" s="54">
        <v>7</v>
      </c>
      <c r="B65" s="56">
        <f>'Shiftfunktion bestimmen'!N7</f>
        <v>2.6044159266875563E-12</v>
      </c>
      <c r="D65" s="55">
        <v>7</v>
      </c>
    </row>
    <row r="66" spans="1:5" x14ac:dyDescent="0.25">
      <c r="A66" s="54">
        <v>8</v>
      </c>
      <c r="B66" s="56">
        <f>'Shiftfunktion bestimmen'!N8</f>
        <v>3.2313260052019152E-15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0.38496487301991561</v>
      </c>
      <c r="D74" s="51">
        <v>1</v>
      </c>
      <c r="E74" s="56">
        <f>'Mastercurve bestimmen'!A18</f>
        <v>1.0000000000000001E-20</v>
      </c>
    </row>
    <row r="75" spans="1:5" x14ac:dyDescent="0.25">
      <c r="A75" s="50">
        <f>A74+1</f>
        <v>2</v>
      </c>
      <c r="B75" s="56">
        <f>'Mastercurve bestimmen'!C19</f>
        <v>5.8157909381167036E-2</v>
      </c>
      <c r="D75" s="51">
        <v>2</v>
      </c>
      <c r="E75" s="56">
        <f>'Mastercurve bestimmen'!A19</f>
        <v>3.9038946506297401E-14</v>
      </c>
    </row>
    <row r="76" spans="1:5" x14ac:dyDescent="0.25">
      <c r="A76" s="50">
        <f t="shared" ref="A76:A104" si="0">A75+1</f>
        <v>3</v>
      </c>
      <c r="B76" s="56">
        <f>'Mastercurve bestimmen'!C20</f>
        <v>1.8919132746280987E-2</v>
      </c>
      <c r="D76" s="51">
        <v>3</v>
      </c>
      <c r="E76" s="56">
        <f>'Mastercurve bestimmen'!A20</f>
        <v>4.3276437088188502E-13</v>
      </c>
    </row>
    <row r="77" spans="1:5" x14ac:dyDescent="0.25">
      <c r="A77" s="50">
        <f t="shared" si="0"/>
        <v>4</v>
      </c>
      <c r="B77" s="56">
        <f>'Mastercurve bestimmen'!C21</f>
        <v>2.9962799778578724E-2</v>
      </c>
      <c r="D77" s="51">
        <v>4</v>
      </c>
      <c r="E77" s="56">
        <f>'Mastercurve bestimmen'!A21</f>
        <v>4.7973886968128502E-12</v>
      </c>
    </row>
    <row r="78" spans="1:5" x14ac:dyDescent="0.25">
      <c r="A78" s="50">
        <f t="shared" si="0"/>
        <v>5</v>
      </c>
      <c r="B78" s="56">
        <f>'Mastercurve bestimmen'!C22</f>
        <v>3.3253137152511318E-2</v>
      </c>
      <c r="D78" s="51">
        <v>5</v>
      </c>
      <c r="E78" s="56">
        <f>'Mastercurve bestimmen'!A22</f>
        <v>5.31812225239524E-11</v>
      </c>
    </row>
    <row r="79" spans="1:5" x14ac:dyDescent="0.25">
      <c r="A79" s="50">
        <f t="shared" si="0"/>
        <v>6</v>
      </c>
      <c r="B79" s="56">
        <f>'Mastercurve bestimmen'!C23</f>
        <v>3.5952334962287925E-2</v>
      </c>
      <c r="D79" s="51">
        <v>6</v>
      </c>
      <c r="E79" s="56">
        <f>'Mastercurve bestimmen'!A23</f>
        <v>5.8953789402578301E-10</v>
      </c>
    </row>
    <row r="80" spans="1:5" x14ac:dyDescent="0.25">
      <c r="A80" s="50">
        <f t="shared" si="0"/>
        <v>7</v>
      </c>
      <c r="B80" s="56">
        <f>'Mastercurve bestimmen'!C24</f>
        <v>4.1559944347360683E-2</v>
      </c>
      <c r="D80" s="51">
        <v>7</v>
      </c>
      <c r="E80" s="56">
        <f>'Mastercurve bestimmen'!A24</f>
        <v>6.5352940755699598E-9</v>
      </c>
    </row>
    <row r="81" spans="1:5" x14ac:dyDescent="0.25">
      <c r="A81" s="50">
        <f t="shared" si="0"/>
        <v>8</v>
      </c>
      <c r="B81" s="56">
        <f>'Mastercurve bestimmen'!C25</f>
        <v>4.609677170559115E-2</v>
      </c>
      <c r="D81" s="51">
        <v>8</v>
      </c>
      <c r="E81" s="56">
        <f>'Mastercurve bestimmen'!A25</f>
        <v>7.2446689325643296E-8</v>
      </c>
    </row>
    <row r="82" spans="1:5" x14ac:dyDescent="0.25">
      <c r="A82" s="50">
        <f t="shared" si="0"/>
        <v>9</v>
      </c>
      <c r="B82" s="56">
        <f>'Mastercurve bestimmen'!C26</f>
        <v>5.5576139774485327E-2</v>
      </c>
      <c r="D82" s="51">
        <f>A82</f>
        <v>9</v>
      </c>
      <c r="E82" s="56">
        <f>'Mastercurve bestimmen'!A26</f>
        <v>8.03104303120212E-7</v>
      </c>
    </row>
    <row r="83" spans="1:5" x14ac:dyDescent="0.25">
      <c r="A83" s="50">
        <f t="shared" si="0"/>
        <v>10</v>
      </c>
      <c r="B83" s="56">
        <f>'Mastercurve bestimmen'!C27</f>
        <v>6.5368051844924516E-2</v>
      </c>
      <c r="C83" s="11"/>
      <c r="D83" s="51">
        <f t="shared" ref="D83:D104" si="1">A83</f>
        <v>10</v>
      </c>
      <c r="E83" s="56">
        <f>'Mastercurve bestimmen'!A27</f>
        <v>8.9027742702096099E-6</v>
      </c>
    </row>
    <row r="84" spans="1:5" x14ac:dyDescent="0.25">
      <c r="A84" s="50">
        <f t="shared" si="0"/>
        <v>11</v>
      </c>
      <c r="B84" s="56">
        <f>'Mastercurve bestimmen'!C28</f>
        <v>6.6907973989911038E-2</v>
      </c>
      <c r="C84" s="11"/>
      <c r="D84" s="51">
        <f t="shared" si="1"/>
        <v>11</v>
      </c>
      <c r="E84" s="56">
        <f>'Mastercurve bestimmen'!A28</f>
        <v>9.86912775817142E-5</v>
      </c>
    </row>
    <row r="85" spans="1:5" x14ac:dyDescent="0.25">
      <c r="A85" s="50">
        <f t="shared" si="0"/>
        <v>12</v>
      </c>
      <c r="B85" s="56">
        <f>'Mastercurve bestimmen'!C29</f>
        <v>5.3174535073566002E-2</v>
      </c>
      <c r="C85" s="11"/>
      <c r="D85" s="51">
        <f t="shared" si="1"/>
        <v>12</v>
      </c>
      <c r="E85" s="56">
        <f>'Mastercurve bestimmen'!A29</f>
        <v>1.0940374286813801E-3</v>
      </c>
    </row>
    <row r="86" spans="1:5" x14ac:dyDescent="0.25">
      <c r="A86" s="50">
        <f t="shared" si="0"/>
        <v>13</v>
      </c>
      <c r="B86" s="56">
        <f>'Mastercurve bestimmen'!C30</f>
        <v>3.2923061735419888E-2</v>
      </c>
      <c r="C86" s="11"/>
      <c r="D86" s="51">
        <f t="shared" si="1"/>
        <v>13</v>
      </c>
      <c r="E86" s="56">
        <f>'Mastercurve bestimmen'!A30</f>
        <v>1.2127899493091E-2</v>
      </c>
    </row>
    <row r="87" spans="1:5" x14ac:dyDescent="0.25">
      <c r="A87" s="50">
        <f t="shared" si="0"/>
        <v>14</v>
      </c>
      <c r="B87" s="56">
        <f>'Mastercurve bestimmen'!C31</f>
        <v>1.6325787748200139E-2</v>
      </c>
      <c r="C87" s="11"/>
      <c r="D87" s="51">
        <f t="shared" si="1"/>
        <v>14</v>
      </c>
      <c r="E87" s="56">
        <f>'Mastercurve bestimmen'!A31</f>
        <v>0.13444324870292301</v>
      </c>
    </row>
    <row r="88" spans="1:5" x14ac:dyDescent="0.25">
      <c r="A88" s="50">
        <f t="shared" si="0"/>
        <v>15</v>
      </c>
      <c r="B88" s="56">
        <f>'Mastercurve bestimmen'!C32</f>
        <v>7.8974635041155969E-3</v>
      </c>
      <c r="C88" s="11"/>
      <c r="D88" s="51">
        <f t="shared" si="1"/>
        <v>15</v>
      </c>
      <c r="E88" s="56">
        <f>'Mastercurve bestimmen'!A32</f>
        <v>1.49036419143257</v>
      </c>
    </row>
    <row r="89" spans="1:5" x14ac:dyDescent="0.25">
      <c r="A89" s="50">
        <f t="shared" si="0"/>
        <v>16</v>
      </c>
      <c r="B89" s="56">
        <f>'Mastercurve bestimmen'!C33</f>
        <v>4.1550471728530186E-3</v>
      </c>
      <c r="C89" s="11"/>
      <c r="D89" s="51">
        <f t="shared" si="1"/>
        <v>16</v>
      </c>
      <c r="E89" s="56">
        <f>'Mastercurve bestimmen'!A33</f>
        <v>16.521360830937301</v>
      </c>
    </row>
    <row r="90" spans="1:5" x14ac:dyDescent="0.25">
      <c r="A90" s="50">
        <f t="shared" si="0"/>
        <v>17</v>
      </c>
      <c r="B90" s="56">
        <f>'Mastercurve bestimmen'!C34</f>
        <v>4.2575321437709054E-3</v>
      </c>
      <c r="C90" s="11"/>
      <c r="D90" s="51">
        <f t="shared" si="1"/>
        <v>17</v>
      </c>
      <c r="E90" s="56">
        <f>'Mastercurve bestimmen'!A34</f>
        <v>183.146753843879</v>
      </c>
    </row>
    <row r="91" spans="1:5" x14ac:dyDescent="0.25">
      <c r="A91" s="50">
        <f t="shared" si="0"/>
        <v>18</v>
      </c>
      <c r="B91" s="56">
        <f>'Mastercurve bestimmen'!C35</f>
        <v>9.5394971617709327E-4</v>
      </c>
      <c r="C91" s="11"/>
      <c r="D91" s="51">
        <f t="shared" si="1"/>
        <v>18</v>
      </c>
      <c r="E91" s="56">
        <f>'Mastercurve bestimmen'!A35</f>
        <v>2030.26456396616</v>
      </c>
    </row>
    <row r="92" spans="1:5" x14ac:dyDescent="0.25">
      <c r="A92" s="50">
        <f t="shared" si="0"/>
        <v>19</v>
      </c>
      <c r="B92" s="56">
        <f>'Mastercurve bestimmen'!C36</f>
        <v>4.0589760414466262E-3</v>
      </c>
      <c r="C92" s="11"/>
      <c r="D92" s="51">
        <f t="shared" si="1"/>
        <v>19</v>
      </c>
      <c r="E92" s="56">
        <f>'Mastercurve bestimmen'!A36</f>
        <v>22506.400540467101</v>
      </c>
    </row>
    <row r="93" spans="1:5" x14ac:dyDescent="0.25">
      <c r="A93" s="50">
        <f t="shared" si="0"/>
        <v>20</v>
      </c>
      <c r="B93" s="56">
        <f>'Mastercurve bestimmen'!C37</f>
        <v>1.8079022275700322E-3</v>
      </c>
      <c r="C93" s="11"/>
      <c r="D93" s="51">
        <f t="shared" si="1"/>
        <v>20</v>
      </c>
      <c r="E93" s="56">
        <f>'Mastercurve bestimmen'!A37</f>
        <v>249493.62476110301</v>
      </c>
    </row>
    <row r="94" spans="1:5" x14ac:dyDescent="0.25">
      <c r="A94" s="50">
        <f t="shared" si="0"/>
        <v>21</v>
      </c>
      <c r="B94" s="56">
        <f>'Mastercurve bestimmen'!C38</f>
        <v>6.6593482592524332E-4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5.5929921649114952E-4</v>
      </c>
      <c r="C96" s="11"/>
      <c r="D96" s="51">
        <f t="shared" si="1"/>
        <v>23</v>
      </c>
      <c r="E96" s="56">
        <f>'Mastercurve bestimmen'!A40</f>
        <v>100000000</v>
      </c>
    </row>
    <row r="97" spans="1:5" x14ac:dyDescent="0.25">
      <c r="A97" s="50">
        <f t="shared" si="0"/>
        <v>24</v>
      </c>
      <c r="B97" s="56">
        <f>'Mastercurve bestimmen'!C41</f>
        <v>0</v>
      </c>
      <c r="C97" s="11"/>
      <c r="D97" s="51">
        <f t="shared" si="1"/>
        <v>24</v>
      </c>
      <c r="E97" s="56">
        <f>'Mastercurve bestimmen'!A41</f>
        <v>1000000000</v>
      </c>
    </row>
    <row r="98" spans="1:5" x14ac:dyDescent="0.25">
      <c r="A98" s="50">
        <f t="shared" si="0"/>
        <v>25</v>
      </c>
      <c r="B98" s="56">
        <f>'Mastercurve bestimmen'!C42</f>
        <v>1.7201579278298637E-4</v>
      </c>
      <c r="C98" s="11"/>
      <c r="D98" s="51">
        <f t="shared" si="1"/>
        <v>25</v>
      </c>
      <c r="E98" s="56">
        <f>'Mastercurve bestimmen'!A42</f>
        <v>10000000000</v>
      </c>
    </row>
    <row r="99" spans="1:5" x14ac:dyDescent="0.25">
      <c r="A99" s="50">
        <f t="shared" si="0"/>
        <v>26</v>
      </c>
      <c r="B99" s="56">
        <f>'Mastercurve bestimmen'!C43</f>
        <v>1.7468461922378131E-4</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2.0999278642033111E-4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1.7320221207897527E-4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B69" sqref="B6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3863.1779800091354</v>
      </c>
      <c r="G16" s="26">
        <f>INDEX(Comparison!$AM$3:$AS$33,G14,$B$3)</f>
        <v>3639.1828782559405</v>
      </c>
      <c r="H16" s="26">
        <f>INDEX(Comparison!$AM$3:$AS$33,H14,$B$3)</f>
        <v>3469.1983065316617</v>
      </c>
      <c r="I16" s="26">
        <f>INDEX(Comparison!$AM$3:$AS$33,I14,$B$3)</f>
        <v>3299.3094714954932</v>
      </c>
      <c r="J16" s="26">
        <f>INDEX(Comparison!$AM$3:$AS$33,J14,$B$3)</f>
        <v>3129.0766280827079</v>
      </c>
      <c r="K16" s="26">
        <f>INDEX(Comparison!$AM$3:$AS$33,K14,$B$3)</f>
        <v>2931.3619259938991</v>
      </c>
      <c r="L16" s="26">
        <f>INDEX(Comparison!$AM$3:$AS$33,L14,$B$3)</f>
        <v>2716.4697293377858</v>
      </c>
      <c r="M16" s="26">
        <f>INDEX(Comparison!$AM$3:$AS$33,M14,$B$3)</f>
        <v>2473.3394151100656</v>
      </c>
      <c r="N16" s="26">
        <f>INDEX(Comparison!$AM$3:$AS$33,N14,$B$3)</f>
        <v>2200.4685992187833</v>
      </c>
      <c r="O16" s="26">
        <f>INDEX(Comparison!$AM$3:$AS$33,O14,$B$3)</f>
        <v>1881.1238306732719</v>
      </c>
      <c r="P16" s="26">
        <f>INDEX(Comparison!$AM$3:$AS$33,P14,$B$3)</f>
        <v>1513.9966699513473</v>
      </c>
      <c r="Q16" s="26">
        <f>INDEX(Comparison!$AM$3:$AS$33,Q14,$B$3)</f>
        <v>1130.1912363654051</v>
      </c>
      <c r="R16" s="26">
        <f>INDEX(Comparison!$AM$3:$AS$33,R14,$B$3)</f>
        <v>797.41301356348504</v>
      </c>
      <c r="S16" s="26">
        <f>INDEX(Comparison!$AM$3:$AS$33,S14,$B$3)</f>
        <v>558.94090982101648</v>
      </c>
      <c r="T16" s="26">
        <f>INDEX(Comparison!$AM$3:$AS$33,T14,$B$3)</f>
        <v>422.14623536379804</v>
      </c>
      <c r="U16" s="26">
        <f>INDEX(Comparison!$AM$3:$AS$33,U14,$B$3)</f>
        <v>350.78880475369743</v>
      </c>
      <c r="V16" s="26">
        <f>INDEX(Comparison!$AM$3:$AS$33,V14,$B$3)</f>
        <v>315.13341803519359</v>
      </c>
      <c r="W16" s="26">
        <f>INDEX(Comparison!$AM$3:$AS$33,W14,$B$3)</f>
        <v>290.52342792543726</v>
      </c>
      <c r="X16" s="26">
        <f>INDEX(Comparison!$AM$3:$AS$33,X14,$B$3)</f>
        <v>272.57314075796921</v>
      </c>
      <c r="Y16" s="26">
        <f>INDEX(Comparison!$AM$3:$AS$33,Y14,$B$3)</f>
        <v>260.41060204475895</v>
      </c>
      <c r="Z16" s="26">
        <f>INDEX(Comparison!$AM$3:$AS$33,Z14,$B$3)</f>
        <v>241.23114118692146</v>
      </c>
      <c r="AA16" s="26">
        <f>INDEX(Comparison!$AM$3:$AS$33,AA14,$B$3)</f>
        <v>232.46309688187819</v>
      </c>
      <c r="AB16" s="26">
        <f>INDEX(Comparison!$AM$3:$AS$33,AB14,$B$3)</f>
        <v>229.22768516622719</v>
      </c>
      <c r="AC16" s="26">
        <f>INDEX(Comparison!$AM$3:$AS$33,AC14,$B$3)</f>
        <v>227.25322776524877</v>
      </c>
      <c r="AD16" s="26">
        <f>INDEX(Comparison!$AM$3:$AS$33,AD14,$B$3)</f>
        <v>225.80080804948139</v>
      </c>
      <c r="AE16" s="26">
        <f>INDEX(Comparison!$AM$3:$AS$33,AE14,$B$3)</f>
        <v>225.33034168462086</v>
      </c>
      <c r="AF16" s="26">
        <f>INDEX(Comparison!$AM$3:$AS$33,AF14,$B$3)</f>
        <v>224.04934964747176</v>
      </c>
      <c r="AG16" s="26">
        <f>INDEX(Comparison!$AM$3:$AS$33,AG14,$B$3)</f>
        <v>223.9208158671365</v>
      </c>
      <c r="AH16" s="26">
        <f>INDEX(Comparison!$AM$3:$AS$33,AH14,$B$3)</f>
        <v>222.73926014927349</v>
      </c>
      <c r="AI16" s="26">
        <f>INDEX(Comparison!$AM$3:$AS$33,AI14,$B$3)</f>
        <v>222.70233168577724</v>
      </c>
      <c r="AJ16" s="26">
        <f>INDEX(Comparison!$AM$3:$AS$33,AJ14,$B$3)</f>
        <v>222.39987665575754</v>
      </c>
    </row>
    <row r="17" spans="1:36" x14ac:dyDescent="0.25">
      <c r="A17" s="14" t="s">
        <v>20</v>
      </c>
      <c r="B17" s="105">
        <v>2.013312181953596E-2</v>
      </c>
      <c r="C17" s="18">
        <f t="shared" ref="C17:C48" si="3">ABS(B17/$B$49)</f>
        <v>3.5771546480943731E-2</v>
      </c>
      <c r="D17" s="66"/>
      <c r="E17" s="65" t="s">
        <v>22</v>
      </c>
      <c r="F17" s="27">
        <f>($C$17+SUM(F18:F48))*$B$51</f>
        <v>3798.2320259285484</v>
      </c>
      <c r="G17" s="27">
        <f t="shared" ref="G17:M17" si="4">($C$17+SUM(G18:G48))*$B$51</f>
        <v>3723.1826282358766</v>
      </c>
      <c r="H17" s="27">
        <f t="shared" si="4"/>
        <v>3446.968262386551</v>
      </c>
      <c r="I17" s="27">
        <f t="shared" si="4"/>
        <v>3302.9303769833218</v>
      </c>
      <c r="J17" s="27">
        <f t="shared" si="4"/>
        <v>3128.5736936279482</v>
      </c>
      <c r="K17" s="27">
        <f t="shared" si="4"/>
        <v>2931.4315943766574</v>
      </c>
      <c r="L17" s="27">
        <f t="shared" si="4"/>
        <v>2716.4436668507292</v>
      </c>
      <c r="M17" s="27">
        <f t="shared" si="4"/>
        <v>2473.3835537990353</v>
      </c>
      <c r="N17" s="27">
        <f t="shared" ref="N17" si="5">($C$17+SUM(N18:N48))*$B$51</f>
        <v>2200.3659665445643</v>
      </c>
      <c r="O17" s="27">
        <f t="shared" ref="O17" si="6">($C$17+SUM(O18:O48))*$B$51</f>
        <v>1881.3422260744874</v>
      </c>
      <c r="P17" s="27">
        <f t="shared" ref="P17" si="7">($C$17+SUM(P18:P48))*$B$51</f>
        <v>1513.6170526027977</v>
      </c>
      <c r="Q17" s="27">
        <f t="shared" ref="Q17" si="8">($C$17+SUM(Q18:Q48))*$B$51</f>
        <v>1130.7377871937272</v>
      </c>
      <c r="R17" s="27">
        <f t="shared" ref="R17" si="9">($C$17+SUM(R18:R48))*$B$51</f>
        <v>796.74030744296306</v>
      </c>
      <c r="S17" s="27">
        <f t="shared" ref="S17:T17" si="10">($C$17+SUM(S18:S48))*$B$51</f>
        <v>559.6482311656199</v>
      </c>
      <c r="T17" s="27">
        <f t="shared" si="10"/>
        <v>421.5161012178317</v>
      </c>
      <c r="U17" s="27">
        <f t="shared" ref="U17" si="11">($C$17+SUM(U18:U48))*$B$51</f>
        <v>351.26866997444318</v>
      </c>
      <c r="V17" s="27">
        <f t="shared" ref="V17" si="12">($C$17+SUM(V18:V48))*$B$51</f>
        <v>314.81100081311718</v>
      </c>
      <c r="W17" s="27">
        <f t="shared" ref="W17" si="13">($C$17+SUM(W18:W48))*$B$51</f>
        <v>290.72005739133874</v>
      </c>
      <c r="X17" s="27">
        <f t="shared" ref="X17" si="14">($C$17+SUM(X18:X48))*$B$51</f>
        <v>272.46807659482516</v>
      </c>
      <c r="Y17" s="27">
        <f t="shared" ref="Y17" si="15">($C$17+SUM(Y18:Y48))*$B$51</f>
        <v>260.45866363834045</v>
      </c>
      <c r="Z17" s="27">
        <f t="shared" ref="Z17:AA17" si="16">($C$17+SUM(Z18:Z48))*$B$51</f>
        <v>241.2060854846693</v>
      </c>
      <c r="AA17" s="27">
        <f t="shared" si="16"/>
        <v>232.48178815249148</v>
      </c>
      <c r="AB17" s="27">
        <f t="shared" ref="AB17" si="17">($C$17+SUM(AB18:AB48))*$B$51</f>
        <v>229.22137441491736</v>
      </c>
      <c r="AC17" s="27">
        <f t="shared" ref="AC17" si="18">($C$17+SUM(AC18:AC48))*$B$51</f>
        <v>227.2406916524742</v>
      </c>
      <c r="AD17" s="27">
        <f t="shared" ref="AD17" si="19">($C$17+SUM(AD18:AD48))*$B$51</f>
        <v>225.86648899418117</v>
      </c>
      <c r="AE17" s="27">
        <f t="shared" ref="AE17" si="20">($C$17+SUM(AE18:AE48))*$B$51</f>
        <v>225.20117873358797</v>
      </c>
      <c r="AF17" s="27">
        <f t="shared" ref="AF17" si="21">($C$17+SUM(AF18:AF48))*$B$51</f>
        <v>224.21711068644163</v>
      </c>
      <c r="AG17" s="27">
        <f t="shared" ref="AG17:AH17" si="22">($C$17+SUM(AG18:AG48))*$B$51</f>
        <v>223.70838592715211</v>
      </c>
      <c r="AH17" s="27">
        <f t="shared" si="22"/>
        <v>223.00929759740291</v>
      </c>
      <c r="AI17" s="27">
        <f t="shared" ref="AI17" si="23">($C$17+SUM(AI18:AI48))*$B$51</f>
        <v>222.5214955741271</v>
      </c>
      <c r="AJ17" s="27">
        <f t="shared" ref="AJ17" si="24">($C$17+SUM(AJ18:AJ48))*$B$51</f>
        <v>222.4300644660878</v>
      </c>
    </row>
    <row r="18" spans="1:36" x14ac:dyDescent="0.25">
      <c r="A18" s="3">
        <f>0.000000000000001/10^5</f>
        <v>1.0000000000000001E-20</v>
      </c>
      <c r="B18" s="106">
        <v>0.21666786726374926</v>
      </c>
      <c r="C18" s="18">
        <f t="shared" si="3"/>
        <v>0.38496487301991561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3.2732727251932839E-2</v>
      </c>
      <c r="C19" s="18">
        <f t="shared" si="3"/>
        <v>5.8157909381167036E-2</v>
      </c>
      <c r="D19" s="17"/>
      <c r="F19" s="3">
        <f t="shared" si="25"/>
        <v>5.6687086941358503E-2</v>
      </c>
      <c r="G19" s="3">
        <f t="shared" si="25"/>
        <v>4.5015525135487539E-2</v>
      </c>
      <c r="H19" s="3">
        <f t="shared" si="25"/>
        <v>4.4889434107609517E-3</v>
      </c>
      <c r="I19" s="3">
        <f t="shared" si="25"/>
        <v>4.364778685015847E-13</v>
      </c>
      <c r="J19" s="3">
        <f t="shared" si="25"/>
        <v>3.2971841257453052E-113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1.0648161507464074E-2</v>
      </c>
      <c r="C20" s="18">
        <f t="shared" si="3"/>
        <v>1.8919132746280987E-2</v>
      </c>
      <c r="D20" s="17"/>
      <c r="F20" s="3">
        <f t="shared" si="25"/>
        <v>1.8875466279316869E-2</v>
      </c>
      <c r="G20" s="3">
        <f t="shared" si="25"/>
        <v>1.848697558941835E-2</v>
      </c>
      <c r="H20" s="3">
        <f t="shared" si="25"/>
        <v>1.5015771735619712E-2</v>
      </c>
      <c r="I20" s="3">
        <f t="shared" si="25"/>
        <v>1.8765734030599132E-3</v>
      </c>
      <c r="J20" s="3">
        <f t="shared" si="25"/>
        <v>1.7439922357991684E-12</v>
      </c>
      <c r="K20" s="3">
        <f t="shared" si="25"/>
        <v>8.381745140426823E-103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1.68638137665603E-2</v>
      </c>
      <c r="C21" s="18">
        <f t="shared" si="3"/>
        <v>2.9962799778578724E-2</v>
      </c>
      <c r="D21" s="17"/>
      <c r="F21" s="3">
        <f t="shared" si="25"/>
        <v>2.9956554781755431E-2</v>
      </c>
      <c r="G21" s="3">
        <f t="shared" si="25"/>
        <v>2.9900408350411481E-2</v>
      </c>
      <c r="H21" s="3">
        <f t="shared" si="25"/>
        <v>2.9344699436613577E-2</v>
      </c>
      <c r="I21" s="3">
        <f t="shared" si="25"/>
        <v>2.4325127558859641E-2</v>
      </c>
      <c r="J21" s="3">
        <f t="shared" si="25"/>
        <v>3.7265738641584605E-3</v>
      </c>
      <c r="K21" s="3">
        <f t="shared" si="25"/>
        <v>2.6537243411449179E-11</v>
      </c>
      <c r="L21" s="3">
        <f t="shared" si="25"/>
        <v>8.8984947859160635E-93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1.8715698006791483E-2</v>
      </c>
      <c r="C22" s="18">
        <f t="shared" si="3"/>
        <v>3.3253137152511318E-2</v>
      </c>
      <c r="D22" s="17"/>
      <c r="F22" s="3">
        <f t="shared" si="25"/>
        <v>3.3252511878722253E-2</v>
      </c>
      <c r="G22" s="3">
        <f t="shared" si="25"/>
        <v>3.3246884943672915E-2</v>
      </c>
      <c r="H22" s="3">
        <f t="shared" si="25"/>
        <v>3.3190667936537896E-2</v>
      </c>
      <c r="I22" s="3">
        <f t="shared" si="25"/>
        <v>3.2633699573498702E-2</v>
      </c>
      <c r="J22" s="3">
        <f t="shared" si="25"/>
        <v>2.7553038474854762E-2</v>
      </c>
      <c r="K22" s="3">
        <f t="shared" si="25"/>
        <v>5.0722584493332265E-3</v>
      </c>
      <c r="L22" s="3">
        <f t="shared" si="25"/>
        <v>2.2673581709117223E-10</v>
      </c>
      <c r="M22" s="3">
        <f t="shared" si="25"/>
        <v>7.2228349552071489E-84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2.0234874102468724E-2</v>
      </c>
      <c r="C23" s="18">
        <f t="shared" si="3"/>
        <v>3.5952334962287925E-2</v>
      </c>
      <c r="D23" s="17"/>
      <c r="F23" s="3">
        <f t="shared" si="25"/>
        <v>3.5952273978414225E-2</v>
      </c>
      <c r="G23" s="3">
        <f t="shared" si="25"/>
        <v>3.5951725128205866E-2</v>
      </c>
      <c r="H23" s="3">
        <f t="shared" si="25"/>
        <v>3.5946237086934583E-2</v>
      </c>
      <c r="I23" s="3">
        <f t="shared" si="25"/>
        <v>3.5891402729437603E-2</v>
      </c>
      <c r="J23" s="3">
        <f t="shared" si="25"/>
        <v>3.5347638767688705E-2</v>
      </c>
      <c r="K23" s="3">
        <f t="shared" si="25"/>
        <v>3.0343115410572368E-2</v>
      </c>
      <c r="L23" s="3">
        <f t="shared" si="25"/>
        <v>6.5926159566639603E-3</v>
      </c>
      <c r="M23" s="3">
        <f t="shared" si="25"/>
        <v>1.5453749232664632E-9</v>
      </c>
      <c r="N23" s="3">
        <f t="shared" si="25"/>
        <v>7.7409577082580044E-76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2.3390977038252797E-2</v>
      </c>
      <c r="C24" s="18">
        <f t="shared" si="3"/>
        <v>4.1559944347360683E-2</v>
      </c>
      <c r="D24" s="17"/>
      <c r="F24" s="3">
        <f t="shared" si="25"/>
        <v>4.1559937988053713E-2</v>
      </c>
      <c r="G24" s="3">
        <f t="shared" si="25"/>
        <v>4.1559880754334769E-2</v>
      </c>
      <c r="H24" s="3">
        <f t="shared" si="25"/>
        <v>4.1559308421480333E-2</v>
      </c>
      <c r="I24" s="3">
        <f t="shared" si="25"/>
        <v>4.1553585526414714E-2</v>
      </c>
      <c r="J24" s="3">
        <f t="shared" si="25"/>
        <v>4.1496399901553772E-2</v>
      </c>
      <c r="K24" s="3">
        <f t="shared" si="25"/>
        <v>4.0928854237287864E-2</v>
      </c>
      <c r="L24" s="3">
        <f t="shared" si="25"/>
        <v>3.5663277739267606E-2</v>
      </c>
      <c r="M24" s="3">
        <f t="shared" si="25"/>
        <v>8.9978332826990068E-3</v>
      </c>
      <c r="N24" s="3">
        <f t="shared" si="25"/>
        <v>9.4038307567181781E-9</v>
      </c>
      <c r="O24" s="3">
        <f t="shared" si="25"/>
        <v>1.4620877154546245E-68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2.5944417044714823E-2</v>
      </c>
      <c r="C25" s="18">
        <f t="shared" si="3"/>
        <v>4.609677170559115E-2</v>
      </c>
      <c r="D25" s="17"/>
      <c r="F25" s="3">
        <f t="shared" si="25"/>
        <v>4.6096771069305736E-2</v>
      </c>
      <c r="G25" s="3">
        <f t="shared" si="25"/>
        <v>4.6096765342737447E-2</v>
      </c>
      <c r="H25" s="3">
        <f t="shared" si="25"/>
        <v>4.6096708077093672E-2</v>
      </c>
      <c r="I25" s="3">
        <f t="shared" si="25"/>
        <v>4.6096135424568599E-2</v>
      </c>
      <c r="J25" s="3">
        <f t="shared" si="25"/>
        <v>4.6090409290572058E-2</v>
      </c>
      <c r="K25" s="3">
        <f t="shared" si="25"/>
        <v>4.6033187058043212E-2</v>
      </c>
      <c r="L25" s="3">
        <f t="shared" si="25"/>
        <v>4.5464857560323514E-2</v>
      </c>
      <c r="M25" s="3">
        <f t="shared" si="25"/>
        <v>4.0153531209810078E-2</v>
      </c>
      <c r="N25" s="3">
        <f t="shared" si="25"/>
        <v>1.1593186957488694E-2</v>
      </c>
      <c r="O25" s="3">
        <f t="shared" si="25"/>
        <v>4.6665270977171964E-8</v>
      </c>
      <c r="P25" s="3">
        <f t="shared" si="25"/>
        <v>5.2107869497436035E-62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3.1279642688507865E-2</v>
      </c>
      <c r="C26" s="18">
        <f t="shared" si="3"/>
        <v>5.5576139774485327E-2</v>
      </c>
      <c r="D26" s="17"/>
      <c r="F26" s="3">
        <f t="shared" si="25"/>
        <v>5.5576139705283682E-2</v>
      </c>
      <c r="G26" s="3">
        <f t="shared" si="25"/>
        <v>5.5576139082468869E-2</v>
      </c>
      <c r="H26" s="3">
        <f t="shared" si="25"/>
        <v>5.5576132854321149E-2</v>
      </c>
      <c r="I26" s="3">
        <f t="shared" si="25"/>
        <v>5.5576070572882295E-2</v>
      </c>
      <c r="J26" s="3">
        <f t="shared" si="25"/>
        <v>5.5575447762332586E-2</v>
      </c>
      <c r="K26" s="3">
        <f t="shared" si="25"/>
        <v>5.5569220040694846E-2</v>
      </c>
      <c r="L26" s="3">
        <f t="shared" si="25"/>
        <v>5.5506981194345169E-2</v>
      </c>
      <c r="M26" s="3">
        <f t="shared" si="25"/>
        <v>5.4888413871409691E-2</v>
      </c>
      <c r="N26" s="3">
        <f t="shared" si="25"/>
        <v>4.906947450095122E-2</v>
      </c>
      <c r="O26" s="3">
        <f t="shared" si="25"/>
        <v>1.5999951533922831E-2</v>
      </c>
      <c r="P26" s="3">
        <f t="shared" si="25"/>
        <v>2.1736582712502992E-7</v>
      </c>
      <c r="Q26" s="3">
        <f t="shared" si="25"/>
        <v>4.6549741956948846E-56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3.6790775920205257E-2</v>
      </c>
      <c r="C27" s="18">
        <f t="shared" si="3"/>
        <v>6.5368051844924516E-2</v>
      </c>
      <c r="D27" s="17"/>
      <c r="F27" s="3">
        <f t="shared" si="25"/>
        <v>6.5368051837582083E-2</v>
      </c>
      <c r="G27" s="3">
        <f t="shared" si="25"/>
        <v>6.5368051771500152E-2</v>
      </c>
      <c r="H27" s="3">
        <f t="shared" si="25"/>
        <v>6.5368051110680905E-2</v>
      </c>
      <c r="I27" s="3">
        <f t="shared" si="25"/>
        <v>6.5368044502488759E-2</v>
      </c>
      <c r="J27" s="3">
        <f t="shared" si="25"/>
        <v>6.5367978420604017E-2</v>
      </c>
      <c r="K27" s="3">
        <f t="shared" si="25"/>
        <v>6.5367317605430839E-2</v>
      </c>
      <c r="L27" s="3">
        <f t="shared" si="25"/>
        <v>6.5360709821103577E-2</v>
      </c>
      <c r="M27" s="3">
        <f t="shared" si="25"/>
        <v>6.5294668704542744E-2</v>
      </c>
      <c r="N27" s="3">
        <f t="shared" si="25"/>
        <v>6.463791650989667E-2</v>
      </c>
      <c r="O27" s="3">
        <f t="shared" si="25"/>
        <v>5.842296787053064E-2</v>
      </c>
      <c r="P27" s="3">
        <f t="shared" si="25"/>
        <v>2.1259168536644758E-2</v>
      </c>
      <c r="Q27" s="3">
        <f t="shared" si="25"/>
        <v>8.6531228921478098E-7</v>
      </c>
      <c r="R27" s="3">
        <f t="shared" si="25"/>
        <v>1.0800375099114612E-50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3.7657482651884608E-2</v>
      </c>
      <c r="C28" s="18">
        <f t="shared" si="3"/>
        <v>6.6907973989911038E-2</v>
      </c>
      <c r="D28" s="17"/>
      <c r="F28" s="3">
        <f t="shared" si="25"/>
        <v>6.6907973989233094E-2</v>
      </c>
      <c r="G28" s="3">
        <f t="shared" si="25"/>
        <v>6.6907973983131516E-2</v>
      </c>
      <c r="H28" s="3">
        <f t="shared" si="25"/>
        <v>6.690797392211581E-2</v>
      </c>
      <c r="I28" s="3">
        <f t="shared" si="25"/>
        <v>6.6907973311958788E-2</v>
      </c>
      <c r="J28" s="3">
        <f t="shared" si="25"/>
        <v>6.6907967210388844E-2</v>
      </c>
      <c r="K28" s="3">
        <f t="shared" si="25"/>
        <v>6.690790619472009E-2</v>
      </c>
      <c r="L28" s="3">
        <f t="shared" si="25"/>
        <v>6.6907296041092718E-2</v>
      </c>
      <c r="M28" s="3">
        <f t="shared" si="25"/>
        <v>6.6901194810840448E-2</v>
      </c>
      <c r="N28" s="3">
        <f t="shared" si="25"/>
        <v>6.6840213100132273E-2</v>
      </c>
      <c r="O28" s="3">
        <f t="shared" si="25"/>
        <v>6.6233444877467726E-2</v>
      </c>
      <c r="P28" s="3">
        <f t="shared" si="25"/>
        <v>6.0460609818832299E-2</v>
      </c>
      <c r="Q28" s="3">
        <f t="shared" si="25"/>
        <v>2.4289821197778848E-2</v>
      </c>
      <c r="R28" s="3">
        <f t="shared" si="25"/>
        <v>2.6603713625967509E-6</v>
      </c>
      <c r="S28" s="3">
        <f t="shared" si="25"/>
        <v>6.6087865893318682E-46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2.9927959444068404E-2</v>
      </c>
      <c r="C29" s="18">
        <f t="shared" si="3"/>
        <v>5.3174535073566002E-2</v>
      </c>
      <c r="D29" s="17"/>
      <c r="F29" s="3">
        <f t="shared" si="25"/>
        <v>5.3174535073517396E-2</v>
      </c>
      <c r="G29" s="3">
        <f t="shared" si="25"/>
        <v>5.3174535073079961E-2</v>
      </c>
      <c r="H29" s="3">
        <f t="shared" si="25"/>
        <v>5.3174535068705606E-2</v>
      </c>
      <c r="I29" s="3">
        <f t="shared" si="25"/>
        <v>5.3174535024962055E-2</v>
      </c>
      <c r="J29" s="3">
        <f t="shared" si="25"/>
        <v>5.3174534587526558E-2</v>
      </c>
      <c r="K29" s="3">
        <f t="shared" si="25"/>
        <v>5.3174530213171721E-2</v>
      </c>
      <c r="L29" s="3">
        <f t="shared" si="25"/>
        <v>5.3174486469643158E-2</v>
      </c>
      <c r="M29" s="3">
        <f t="shared" si="25"/>
        <v>5.317404903633674E-2</v>
      </c>
      <c r="N29" s="3">
        <f t="shared" si="25"/>
        <v>5.3169674901184655E-2</v>
      </c>
      <c r="O29" s="3">
        <f t="shared" si="25"/>
        <v>5.3125953334851837E-2</v>
      </c>
      <c r="P29" s="3">
        <f t="shared" si="25"/>
        <v>5.269071018139436E-2</v>
      </c>
      <c r="Q29" s="3">
        <f t="shared" si="25"/>
        <v>4.8529655596140427E-2</v>
      </c>
      <c r="R29" s="3">
        <f t="shared" si="25"/>
        <v>2.1317623121524232E-2</v>
      </c>
      <c r="S29" s="3">
        <f t="shared" si="25"/>
        <v>5.7023581040273061E-6</v>
      </c>
      <c r="T29" s="3">
        <f t="shared" si="25"/>
        <v>1.0695757793557672E-41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1.8529923299358129E-2</v>
      </c>
      <c r="C30" s="18">
        <f t="shared" si="3"/>
        <v>3.2923061735419888E-2</v>
      </c>
      <c r="D30" s="17"/>
      <c r="F30" s="3">
        <f t="shared" si="25"/>
        <v>3.2923061735417175E-2</v>
      </c>
      <c r="G30" s="3">
        <f t="shared" si="25"/>
        <v>3.2923061735392743E-2</v>
      </c>
      <c r="H30" s="3">
        <f t="shared" si="25"/>
        <v>3.2923061735148425E-2</v>
      </c>
      <c r="I30" s="3">
        <f t="shared" si="25"/>
        <v>3.2923061732705233E-2</v>
      </c>
      <c r="J30" s="3">
        <f t="shared" si="25"/>
        <v>3.2923061708273339E-2</v>
      </c>
      <c r="K30" s="3">
        <f t="shared" si="25"/>
        <v>3.2923061463954399E-2</v>
      </c>
      <c r="L30" s="3">
        <f t="shared" si="25"/>
        <v>3.2923059020765102E-2</v>
      </c>
      <c r="M30" s="3">
        <f t="shared" si="25"/>
        <v>3.292303458888212E-2</v>
      </c>
      <c r="N30" s="3">
        <f t="shared" si="25"/>
        <v>3.2922790271049475E-2</v>
      </c>
      <c r="O30" s="3">
        <f t="shared" si="25"/>
        <v>3.292034719243872E-2</v>
      </c>
      <c r="P30" s="3">
        <f t="shared" si="25"/>
        <v>3.2895926375162733E-2</v>
      </c>
      <c r="Q30" s="3">
        <f t="shared" si="25"/>
        <v>3.2652712353807761E-2</v>
      </c>
      <c r="R30" s="3">
        <f t="shared" si="25"/>
        <v>3.0317310943424221E-2</v>
      </c>
      <c r="S30" s="3">
        <f t="shared" si="25"/>
        <v>1.4434602638353479E-2</v>
      </c>
      <c r="T30" s="3">
        <f t="shared" si="25"/>
        <v>8.6406493696314636E-6</v>
      </c>
      <c r="U30" s="3">
        <f t="shared" si="25"/>
        <v>5.1046018621643512E-38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9.1885620239958252E-3</v>
      </c>
      <c r="C31" s="18">
        <f t="shared" si="3"/>
        <v>1.6325787748200139E-2</v>
      </c>
      <c r="D31" s="17"/>
      <c r="F31" s="3">
        <f t="shared" si="25"/>
        <v>1.6325787748200017E-2</v>
      </c>
      <c r="G31" s="3">
        <f t="shared" si="25"/>
        <v>1.6325787748198924E-2</v>
      </c>
      <c r="H31" s="3">
        <f t="shared" si="25"/>
        <v>1.6325787748187996E-2</v>
      </c>
      <c r="I31" s="3">
        <f t="shared" si="25"/>
        <v>1.6325787748078708E-2</v>
      </c>
      <c r="J31" s="3">
        <f t="shared" si="25"/>
        <v>1.6325787746985811E-2</v>
      </c>
      <c r="K31" s="3">
        <f t="shared" si="25"/>
        <v>1.6325787736056883E-2</v>
      </c>
      <c r="L31" s="3">
        <f t="shared" si="25"/>
        <v>1.632578762676758E-2</v>
      </c>
      <c r="M31" s="3">
        <f t="shared" si="25"/>
        <v>1.6325786533874592E-2</v>
      </c>
      <c r="N31" s="3">
        <f t="shared" si="25"/>
        <v>1.6325775604948741E-2</v>
      </c>
      <c r="O31" s="3">
        <f t="shared" si="25"/>
        <v>1.6325666316092616E-2</v>
      </c>
      <c r="P31" s="3">
        <f t="shared" si="25"/>
        <v>1.6324573467768957E-2</v>
      </c>
      <c r="Q31" s="3">
        <f t="shared" si="25"/>
        <v>1.6313649007294376E-2</v>
      </c>
      <c r="R31" s="3">
        <f t="shared" si="25"/>
        <v>1.6204805684142527E-2</v>
      </c>
      <c r="S31" s="3">
        <f t="shared" si="25"/>
        <v>1.5155524232055198E-2</v>
      </c>
      <c r="T31" s="3">
        <f t="shared" si="25"/>
        <v>7.7596533345681059E-3</v>
      </c>
      <c r="U31" s="3">
        <f t="shared" si="25"/>
        <v>9.6062941499591332E-6</v>
      </c>
      <c r="V31" s="3">
        <f t="shared" si="26"/>
        <v>8.122533197486744E-35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4.4448901553194422E-3</v>
      </c>
      <c r="C32" s="18">
        <f t="shared" si="3"/>
        <v>7.8974635041155969E-3</v>
      </c>
      <c r="D32" s="17"/>
      <c r="F32" s="3">
        <f t="shared" si="25"/>
        <v>7.8974635041155917E-3</v>
      </c>
      <c r="G32" s="3">
        <f t="shared" si="25"/>
        <v>7.8974635041155448E-3</v>
      </c>
      <c r="H32" s="3">
        <f t="shared" si="25"/>
        <v>7.8974635041150678E-3</v>
      </c>
      <c r="I32" s="3">
        <f t="shared" si="25"/>
        <v>7.8974635041102973E-3</v>
      </c>
      <c r="J32" s="3">
        <f t="shared" si="25"/>
        <v>7.8974635040626063E-3</v>
      </c>
      <c r="K32" s="3">
        <f t="shared" si="25"/>
        <v>7.8974635035856961E-3</v>
      </c>
      <c r="L32" s="3">
        <f t="shared" si="25"/>
        <v>7.8974634988165805E-3</v>
      </c>
      <c r="M32" s="3">
        <f t="shared" si="25"/>
        <v>7.8974634511254395E-3</v>
      </c>
      <c r="N32" s="3">
        <f t="shared" si="25"/>
        <v>7.8974629742140281E-3</v>
      </c>
      <c r="O32" s="3">
        <f t="shared" si="25"/>
        <v>7.8974582051015031E-3</v>
      </c>
      <c r="P32" s="3">
        <f t="shared" si="25"/>
        <v>7.8974105141346607E-3</v>
      </c>
      <c r="Q32" s="3">
        <f t="shared" si="25"/>
        <v>7.8969336203056767E-3</v>
      </c>
      <c r="R32" s="3">
        <f t="shared" si="25"/>
        <v>7.8921662656056737E-3</v>
      </c>
      <c r="S32" s="3">
        <f t="shared" si="25"/>
        <v>7.8446507243308886E-3</v>
      </c>
      <c r="T32" s="3">
        <f t="shared" si="25"/>
        <v>7.384948473688333E-3</v>
      </c>
      <c r="U32" s="3">
        <f t="shared" si="25"/>
        <v>4.0372537485231057E-3</v>
      </c>
      <c r="V32" s="3">
        <f t="shared" si="26"/>
        <v>9.6265753806443925E-6</v>
      </c>
      <c r="W32" s="3">
        <f t="shared" si="26"/>
        <v>5.7191239697534322E-32</v>
      </c>
      <c r="X32" s="3">
        <f t="shared" si="26"/>
        <v>3.1326109175981866E-294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2.338564561124933E-3</v>
      </c>
      <c r="C33" s="18">
        <f t="shared" si="3"/>
        <v>4.1550471728530186E-3</v>
      </c>
      <c r="D33" s="17"/>
      <c r="F33" s="3">
        <f t="shared" si="25"/>
        <v>4.1550471728530177E-3</v>
      </c>
      <c r="G33" s="3">
        <f t="shared" si="25"/>
        <v>4.155047172853016E-3</v>
      </c>
      <c r="H33" s="3">
        <f t="shared" si="25"/>
        <v>4.1550471728529935E-3</v>
      </c>
      <c r="I33" s="3">
        <f t="shared" si="25"/>
        <v>4.1550471728527671E-3</v>
      </c>
      <c r="J33" s="3">
        <f t="shared" si="25"/>
        <v>4.1550471728505033E-3</v>
      </c>
      <c r="K33" s="3">
        <f t="shared" si="25"/>
        <v>4.1550471728278686E-3</v>
      </c>
      <c r="L33" s="3">
        <f t="shared" si="25"/>
        <v>4.1550471726015236E-3</v>
      </c>
      <c r="M33" s="3">
        <f t="shared" si="25"/>
        <v>4.1550471703380642E-3</v>
      </c>
      <c r="N33" s="3">
        <f t="shared" si="25"/>
        <v>4.155047147703473E-3</v>
      </c>
      <c r="O33" s="3">
        <f t="shared" si="25"/>
        <v>4.1550469213575709E-3</v>
      </c>
      <c r="P33" s="3">
        <f t="shared" si="25"/>
        <v>4.1550446578992213E-3</v>
      </c>
      <c r="Q33" s="3">
        <f t="shared" si="25"/>
        <v>4.155022023383549E-3</v>
      </c>
      <c r="R33" s="3">
        <f t="shared" si="25"/>
        <v>4.1547956850082716E-3</v>
      </c>
      <c r="S33" s="3">
        <f t="shared" si="25"/>
        <v>4.1525329792634295E-3</v>
      </c>
      <c r="T33" s="3">
        <f t="shared" si="25"/>
        <v>4.129973586150055E-3</v>
      </c>
      <c r="U33" s="3">
        <f t="shared" ref="P33:AE48" si="27">$C33*EXP(-U$15/$A33)</f>
        <v>3.9110116706240101E-3</v>
      </c>
      <c r="V33" s="3">
        <f t="shared" si="27"/>
        <v>2.2683365478217117E-3</v>
      </c>
      <c r="W33" s="3">
        <f t="shared" si="27"/>
        <v>9.7699259902375139E-6</v>
      </c>
      <c r="X33" s="3">
        <f t="shared" si="27"/>
        <v>2.1464911862524945E-29</v>
      </c>
      <c r="Y33" s="3">
        <f t="shared" si="27"/>
        <v>5.6248049450459262E-266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2.3962456682378331E-3</v>
      </c>
      <c r="C34" s="18">
        <f t="shared" si="3"/>
        <v>4.2575321437709054E-3</v>
      </c>
      <c r="D34" s="17"/>
      <c r="F34" s="3">
        <f t="shared" ref="F34:O48" si="28">$C34*EXP(-F$15/$A34)</f>
        <v>4.2575321437709054E-3</v>
      </c>
      <c r="G34" s="3">
        <f t="shared" si="28"/>
        <v>4.2575321437709054E-3</v>
      </c>
      <c r="H34" s="3">
        <f t="shared" si="28"/>
        <v>4.2575321437709028E-3</v>
      </c>
      <c r="I34" s="3">
        <f t="shared" si="28"/>
        <v>4.257532143770882E-3</v>
      </c>
      <c r="J34" s="3">
        <f t="shared" si="28"/>
        <v>4.257532143770673E-3</v>
      </c>
      <c r="K34" s="3">
        <f t="shared" si="28"/>
        <v>4.2575321437685809E-3</v>
      </c>
      <c r="L34" s="3">
        <f t="shared" si="28"/>
        <v>4.2575321437476592E-3</v>
      </c>
      <c r="M34" s="3">
        <f t="shared" si="28"/>
        <v>4.2575321435384403E-3</v>
      </c>
      <c r="N34" s="3">
        <f t="shared" si="28"/>
        <v>4.2575321414462493E-3</v>
      </c>
      <c r="O34" s="3">
        <f t="shared" si="28"/>
        <v>4.2575321205243445E-3</v>
      </c>
      <c r="P34" s="3">
        <f t="shared" si="27"/>
        <v>4.257531911305304E-3</v>
      </c>
      <c r="Q34" s="3">
        <f t="shared" si="27"/>
        <v>4.2575298191154624E-3</v>
      </c>
      <c r="R34" s="3">
        <f t="shared" si="27"/>
        <v>4.2575088972735958E-3</v>
      </c>
      <c r="S34" s="3">
        <f t="shared" si="27"/>
        <v>4.2572996845094812E-3</v>
      </c>
      <c r="T34" s="3">
        <f t="shared" si="27"/>
        <v>4.2552081222210179E-3</v>
      </c>
      <c r="U34" s="3">
        <f t="shared" si="27"/>
        <v>4.2343489319465535E-3</v>
      </c>
      <c r="V34" s="3">
        <f t="shared" si="27"/>
        <v>4.0312990184068389E-3</v>
      </c>
      <c r="W34" s="3">
        <f t="shared" si="27"/>
        <v>2.4662023564220223E-3</v>
      </c>
      <c r="X34" s="3">
        <f t="shared" si="27"/>
        <v>1.8107798963010647E-5</v>
      </c>
      <c r="Y34" s="3">
        <f t="shared" si="27"/>
        <v>8.2458460551705875E-27</v>
      </c>
      <c r="Z34" s="3">
        <f t="shared" si="27"/>
        <v>3.1617738682900796E-240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5.3690678024604309E-4</v>
      </c>
      <c r="C35" s="18">
        <f t="shared" si="3"/>
        <v>9.5394971617709327E-4</v>
      </c>
      <c r="D35" s="17"/>
      <c r="F35" s="3">
        <f t="shared" si="28"/>
        <v>9.5394971617709327E-4</v>
      </c>
      <c r="G35" s="3">
        <f t="shared" si="28"/>
        <v>9.5394971617709327E-4</v>
      </c>
      <c r="H35" s="3">
        <f t="shared" si="28"/>
        <v>9.5394971617709327E-4</v>
      </c>
      <c r="I35" s="3">
        <f t="shared" si="28"/>
        <v>9.5394971617709283E-4</v>
      </c>
      <c r="J35" s="3">
        <f t="shared" si="28"/>
        <v>9.539497161770886E-4</v>
      </c>
      <c r="K35" s="3">
        <f t="shared" si="28"/>
        <v>9.5394971617704621E-4</v>
      </c>
      <c r="L35" s="3">
        <f t="shared" si="28"/>
        <v>9.5394971617662348E-4</v>
      </c>
      <c r="M35" s="3">
        <f t="shared" si="28"/>
        <v>9.5394971617239455E-4</v>
      </c>
      <c r="N35" s="3">
        <f t="shared" si="28"/>
        <v>9.5394971613010676E-4</v>
      </c>
      <c r="O35" s="3">
        <f t="shared" si="28"/>
        <v>9.5394971570722856E-4</v>
      </c>
      <c r="P35" s="3">
        <f t="shared" si="27"/>
        <v>9.5394971147844587E-4</v>
      </c>
      <c r="Q35" s="3">
        <f t="shared" si="27"/>
        <v>9.5394966919062115E-4</v>
      </c>
      <c r="R35" s="3">
        <f t="shared" si="27"/>
        <v>9.5394924631247643E-4</v>
      </c>
      <c r="S35" s="3">
        <f t="shared" si="27"/>
        <v>9.5394501754134011E-4</v>
      </c>
      <c r="T35" s="3">
        <f t="shared" si="27"/>
        <v>9.5390273086097945E-4</v>
      </c>
      <c r="U35" s="3">
        <f t="shared" si="27"/>
        <v>9.5347996714078306E-4</v>
      </c>
      <c r="V35" s="3">
        <f t="shared" si="27"/>
        <v>9.4926262139234999E-4</v>
      </c>
      <c r="W35" s="3">
        <f t="shared" si="27"/>
        <v>9.0810162770371087E-4</v>
      </c>
      <c r="X35" s="3">
        <f t="shared" si="27"/>
        <v>5.8292837120518294E-4</v>
      </c>
      <c r="Y35" s="3">
        <f t="shared" si="27"/>
        <v>6.9250447137408477E-6</v>
      </c>
      <c r="Z35" s="3">
        <f t="shared" si="27"/>
        <v>3.8770059801140474E-25</v>
      </c>
      <c r="AA35" s="3">
        <f t="shared" si="27"/>
        <v>1.1728307950214152E-217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2.2844933234451208E-3</v>
      </c>
      <c r="C36" s="18">
        <f t="shared" si="3"/>
        <v>4.0589760414466262E-3</v>
      </c>
      <c r="D36" s="17"/>
      <c r="F36" s="3">
        <f t="shared" si="28"/>
        <v>4.0589760414466262E-3</v>
      </c>
      <c r="G36" s="3">
        <f t="shared" si="28"/>
        <v>4.0589760414466262E-3</v>
      </c>
      <c r="H36" s="3">
        <f t="shared" si="28"/>
        <v>4.0589760414466262E-3</v>
      </c>
      <c r="I36" s="3">
        <f t="shared" si="28"/>
        <v>4.0589760414466262E-3</v>
      </c>
      <c r="J36" s="3">
        <f t="shared" si="28"/>
        <v>4.0589760414466245E-3</v>
      </c>
      <c r="K36" s="3">
        <f t="shared" si="28"/>
        <v>4.058976041446608E-3</v>
      </c>
      <c r="L36" s="3">
        <f t="shared" si="28"/>
        <v>4.0589760414464458E-3</v>
      </c>
      <c r="M36" s="3">
        <f t="shared" si="28"/>
        <v>4.058976041444823E-3</v>
      </c>
      <c r="N36" s="3">
        <f t="shared" si="28"/>
        <v>4.0589760414285912E-3</v>
      </c>
      <c r="O36" s="3">
        <f t="shared" si="28"/>
        <v>4.0589760412662783E-3</v>
      </c>
      <c r="P36" s="3">
        <f t="shared" si="27"/>
        <v>4.0589760396431496E-3</v>
      </c>
      <c r="Q36" s="3">
        <f t="shared" si="27"/>
        <v>4.0589760234118633E-3</v>
      </c>
      <c r="R36" s="3">
        <f t="shared" si="27"/>
        <v>4.0589758610989979E-3</v>
      </c>
      <c r="S36" s="3">
        <f t="shared" si="27"/>
        <v>4.0589742379707073E-3</v>
      </c>
      <c r="T36" s="3">
        <f t="shared" si="27"/>
        <v>4.0589580067234964E-3</v>
      </c>
      <c r="U36" s="3">
        <f t="shared" si="27"/>
        <v>4.058795697821191E-3</v>
      </c>
      <c r="V36" s="3">
        <f t="shared" si="27"/>
        <v>4.0571729657262199E-3</v>
      </c>
      <c r="W36" s="3">
        <f t="shared" si="27"/>
        <v>4.0409812848304829E-3</v>
      </c>
      <c r="X36" s="3">
        <f t="shared" si="27"/>
        <v>3.8825763082831395E-3</v>
      </c>
      <c r="Y36" s="3">
        <f t="shared" si="27"/>
        <v>2.6028648018192246E-3</v>
      </c>
      <c r="Z36" s="3">
        <f t="shared" si="27"/>
        <v>4.7727393226656239E-5</v>
      </c>
      <c r="AA36" s="3">
        <f t="shared" si="27"/>
        <v>2.0508257257098727E-22</v>
      </c>
      <c r="AB36" s="3">
        <f t="shared" si="27"/>
        <v>4.4008764418076365E-196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1.0175326304348697E-3</v>
      </c>
      <c r="C37" s="18">
        <f t="shared" si="3"/>
        <v>1.8079022275700322E-3</v>
      </c>
      <c r="D37" s="17"/>
      <c r="F37" s="3">
        <f t="shared" si="28"/>
        <v>1.8079022275700322E-3</v>
      </c>
      <c r="G37" s="3">
        <f t="shared" si="28"/>
        <v>1.8079022275700322E-3</v>
      </c>
      <c r="H37" s="3">
        <f t="shared" si="28"/>
        <v>1.8079022275700322E-3</v>
      </c>
      <c r="I37" s="3">
        <f t="shared" si="28"/>
        <v>1.8079022275700322E-3</v>
      </c>
      <c r="J37" s="3">
        <f t="shared" si="28"/>
        <v>1.8079022275700322E-3</v>
      </c>
      <c r="K37" s="3">
        <f t="shared" si="28"/>
        <v>1.8079022275700313E-3</v>
      </c>
      <c r="L37" s="3">
        <f t="shared" si="28"/>
        <v>1.807902227570025E-3</v>
      </c>
      <c r="M37" s="3">
        <f t="shared" si="28"/>
        <v>1.8079022275699597E-3</v>
      </c>
      <c r="N37" s="3">
        <f t="shared" si="28"/>
        <v>1.8079022275693075E-3</v>
      </c>
      <c r="O37" s="3">
        <f t="shared" si="28"/>
        <v>1.8079022275627858E-3</v>
      </c>
      <c r="P37" s="3">
        <f t="shared" si="27"/>
        <v>1.8079022274975693E-3</v>
      </c>
      <c r="Q37" s="3">
        <f t="shared" si="27"/>
        <v>1.8079022268454035E-3</v>
      </c>
      <c r="R37" s="3">
        <f t="shared" si="27"/>
        <v>1.8079022203237459E-3</v>
      </c>
      <c r="S37" s="3">
        <f t="shared" si="27"/>
        <v>1.8079021551071709E-3</v>
      </c>
      <c r="T37" s="3">
        <f t="shared" si="27"/>
        <v>1.8079015029415504E-3</v>
      </c>
      <c r="U37" s="3">
        <f t="shared" si="27"/>
        <v>1.8078949812982842E-3</v>
      </c>
      <c r="V37" s="3">
        <f t="shared" si="27"/>
        <v>1.807829766159511E-3</v>
      </c>
      <c r="W37" s="3">
        <f t="shared" si="27"/>
        <v>1.807177744143496E-3</v>
      </c>
      <c r="X37" s="3">
        <f t="shared" si="27"/>
        <v>1.800670443904304E-3</v>
      </c>
      <c r="Y37" s="3">
        <f t="shared" si="27"/>
        <v>1.7368723544707865E-3</v>
      </c>
      <c r="Z37" s="3">
        <f t="shared" si="27"/>
        <v>1.2108896508252244E-3</v>
      </c>
      <c r="AA37" s="3">
        <f t="shared" si="27"/>
        <v>3.2845147399756044E-5</v>
      </c>
      <c r="AB37" s="3">
        <f t="shared" si="27"/>
        <v>7.0817027433906078E-21</v>
      </c>
      <c r="AC37" s="3">
        <f t="shared" si="27"/>
        <v>1.5374552109708048E-177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3.7480479020851891E-4</v>
      </c>
      <c r="C38" s="18">
        <f t="shared" si="3"/>
        <v>6.6593482592524332E-4</v>
      </c>
      <c r="D38" s="17"/>
      <c r="F38" s="3">
        <f t="shared" si="28"/>
        <v>6.6593482592524332E-4</v>
      </c>
      <c r="G38" s="3">
        <f t="shared" si="28"/>
        <v>6.6593482592524332E-4</v>
      </c>
      <c r="H38" s="3">
        <f t="shared" si="28"/>
        <v>6.6593482592524332E-4</v>
      </c>
      <c r="I38" s="3">
        <f t="shared" si="28"/>
        <v>6.6593482592524332E-4</v>
      </c>
      <c r="J38" s="3">
        <f t="shared" si="28"/>
        <v>6.6593482592524332E-4</v>
      </c>
      <c r="K38" s="3">
        <f t="shared" si="28"/>
        <v>6.6593482592524332E-4</v>
      </c>
      <c r="L38" s="3">
        <f t="shared" si="28"/>
        <v>6.659348259252431E-4</v>
      </c>
      <c r="M38" s="3">
        <f t="shared" si="28"/>
        <v>6.6593482592524082E-4</v>
      </c>
      <c r="N38" s="3">
        <f t="shared" si="28"/>
        <v>6.6593482592521925E-4</v>
      </c>
      <c r="O38" s="3">
        <f t="shared" si="28"/>
        <v>6.6593482592500251E-4</v>
      </c>
      <c r="P38" s="3">
        <f t="shared" si="27"/>
        <v>6.6593482592283552E-4</v>
      </c>
      <c r="Q38" s="3">
        <f t="shared" si="27"/>
        <v>6.6593482590116546E-4</v>
      </c>
      <c r="R38" s="3">
        <f t="shared" si="27"/>
        <v>6.6593482568446413E-4</v>
      </c>
      <c r="S38" s="3">
        <f t="shared" si="27"/>
        <v>6.6593482351745179E-4</v>
      </c>
      <c r="T38" s="3">
        <f t="shared" si="27"/>
        <v>6.6593480184732939E-4</v>
      </c>
      <c r="U38" s="3">
        <f t="shared" si="27"/>
        <v>6.659345851461431E-4</v>
      </c>
      <c r="V38" s="3">
        <f t="shared" si="27"/>
        <v>6.6593241813815859E-4</v>
      </c>
      <c r="W38" s="3">
        <f t="shared" si="27"/>
        <v>6.6591074844614981E-4</v>
      </c>
      <c r="X38" s="3">
        <f t="shared" si="27"/>
        <v>6.656940903049729E-4</v>
      </c>
      <c r="Y38" s="3">
        <f t="shared" si="27"/>
        <v>6.6353138211937865E-4</v>
      </c>
      <c r="Z38" s="3">
        <f t="shared" si="27"/>
        <v>6.4228699977725593E-4</v>
      </c>
      <c r="AA38" s="3">
        <f t="shared" si="27"/>
        <v>4.6388013005906395E-4</v>
      </c>
      <c r="AB38" s="3">
        <f t="shared" si="27"/>
        <v>1.7913157945829592E-5</v>
      </c>
      <c r="AC38" s="3">
        <f t="shared" si="27"/>
        <v>1.3207967905516274E-19</v>
      </c>
      <c r="AD38" s="3">
        <f t="shared" si="27"/>
        <v>6.2729886561790207E-161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3.1478759983681457E-4</v>
      </c>
      <c r="C40" s="18">
        <f t="shared" si="3"/>
        <v>5.5929921649114952E-4</v>
      </c>
      <c r="D40" s="17"/>
      <c r="F40" s="3">
        <f t="shared" si="28"/>
        <v>5.5929921649114952E-4</v>
      </c>
      <c r="G40" s="3">
        <f t="shared" si="28"/>
        <v>5.5929921649114952E-4</v>
      </c>
      <c r="H40" s="3">
        <f t="shared" si="28"/>
        <v>5.5929921649114952E-4</v>
      </c>
      <c r="I40" s="3">
        <f t="shared" si="28"/>
        <v>5.5929921649114952E-4</v>
      </c>
      <c r="J40" s="3">
        <f t="shared" si="28"/>
        <v>5.5929921649114952E-4</v>
      </c>
      <c r="K40" s="3">
        <f t="shared" si="28"/>
        <v>5.5929921649114952E-4</v>
      </c>
      <c r="L40" s="3">
        <f t="shared" si="28"/>
        <v>5.5929921649114952E-4</v>
      </c>
      <c r="M40" s="3">
        <f t="shared" si="28"/>
        <v>5.5929921649114942E-4</v>
      </c>
      <c r="N40" s="3">
        <f t="shared" si="28"/>
        <v>5.5929921649114898E-4</v>
      </c>
      <c r="O40" s="3">
        <f t="shared" si="28"/>
        <v>5.5929921649114389E-4</v>
      </c>
      <c r="P40" s="3">
        <f t="shared" si="27"/>
        <v>5.5929921649109358E-4</v>
      </c>
      <c r="Q40" s="3">
        <f t="shared" si="27"/>
        <v>5.5929921649059018E-4</v>
      </c>
      <c r="R40" s="3">
        <f t="shared" si="27"/>
        <v>5.5929921648555656E-4</v>
      </c>
      <c r="S40" s="3">
        <f t="shared" si="27"/>
        <v>5.5929921643521955E-4</v>
      </c>
      <c r="T40" s="3">
        <f t="shared" si="27"/>
        <v>5.5929921593185028E-4</v>
      </c>
      <c r="U40" s="3">
        <f t="shared" si="27"/>
        <v>5.5929921089815742E-4</v>
      </c>
      <c r="V40" s="3">
        <f t="shared" si="27"/>
        <v>5.5929916056123073E-4</v>
      </c>
      <c r="W40" s="3">
        <f t="shared" si="27"/>
        <v>5.5929865719221272E-4</v>
      </c>
      <c r="X40" s="3">
        <f t="shared" si="27"/>
        <v>5.5929362352694946E-4</v>
      </c>
      <c r="Y40" s="3">
        <f t="shared" si="27"/>
        <v>5.5924328936590327E-4</v>
      </c>
      <c r="Z40" s="3">
        <f t="shared" si="27"/>
        <v>5.5874019683107342E-4</v>
      </c>
      <c r="AA40" s="3">
        <f t="shared" si="27"/>
        <v>5.537340963031026E-4</v>
      </c>
      <c r="AB40" s="3">
        <f t="shared" si="27"/>
        <v>5.0607485895938693E-4</v>
      </c>
      <c r="AC40" s="3">
        <f t="shared" si="27"/>
        <v>2.0575468321038963E-4</v>
      </c>
      <c r="AD40" s="3">
        <f t="shared" si="27"/>
        <v>2.5392145144910999E-8</v>
      </c>
      <c r="AE40" s="3">
        <f t="shared" si="27"/>
        <v>2.080635578676002E-47</v>
      </c>
      <c r="AF40" s="3">
        <f t="shared" si="29"/>
        <v>0</v>
      </c>
      <c r="AG40" s="3">
        <f t="shared" si="29"/>
        <v>0</v>
      </c>
      <c r="AH40" s="3">
        <f t="shared" si="29"/>
        <v>0</v>
      </c>
      <c r="AI40" s="3">
        <f t="shared" si="29"/>
        <v>0</v>
      </c>
      <c r="AJ40" s="3">
        <f t="shared" si="29"/>
        <v>0</v>
      </c>
    </row>
    <row r="41" spans="1:36" x14ac:dyDescent="0.25">
      <c r="A41" s="3">
        <f t="shared" si="30"/>
        <v>1000000000</v>
      </c>
      <c r="B41" s="106">
        <v>0</v>
      </c>
      <c r="C41" s="18">
        <f t="shared" si="3"/>
        <v>0</v>
      </c>
      <c r="D41" s="17"/>
      <c r="F41" s="3">
        <f t="shared" si="28"/>
        <v>0</v>
      </c>
      <c r="G41" s="3">
        <f t="shared" si="28"/>
        <v>0</v>
      </c>
      <c r="H41" s="3">
        <f t="shared" si="28"/>
        <v>0</v>
      </c>
      <c r="I41" s="3">
        <f t="shared" si="28"/>
        <v>0</v>
      </c>
      <c r="J41" s="3">
        <f t="shared" si="28"/>
        <v>0</v>
      </c>
      <c r="K41" s="3">
        <f t="shared" si="28"/>
        <v>0</v>
      </c>
      <c r="L41" s="3">
        <f t="shared" si="28"/>
        <v>0</v>
      </c>
      <c r="M41" s="3">
        <f t="shared" si="28"/>
        <v>0</v>
      </c>
      <c r="N41" s="3">
        <f t="shared" si="28"/>
        <v>0</v>
      </c>
      <c r="O41" s="3">
        <f t="shared" si="28"/>
        <v>0</v>
      </c>
      <c r="P41" s="3">
        <f t="shared" si="27"/>
        <v>0</v>
      </c>
      <c r="Q41" s="3">
        <f t="shared" si="27"/>
        <v>0</v>
      </c>
      <c r="R41" s="3">
        <f t="shared" si="27"/>
        <v>0</v>
      </c>
      <c r="S41" s="3">
        <f t="shared" si="27"/>
        <v>0</v>
      </c>
      <c r="T41" s="3">
        <f t="shared" si="27"/>
        <v>0</v>
      </c>
      <c r="U41" s="3">
        <f t="shared" si="27"/>
        <v>0</v>
      </c>
      <c r="V41" s="3">
        <f t="shared" si="27"/>
        <v>0</v>
      </c>
      <c r="W41" s="3">
        <f t="shared" si="27"/>
        <v>0</v>
      </c>
      <c r="X41" s="3">
        <f t="shared" si="27"/>
        <v>0</v>
      </c>
      <c r="Y41" s="3">
        <f t="shared" si="27"/>
        <v>0</v>
      </c>
      <c r="Z41" s="3">
        <f t="shared" si="27"/>
        <v>0</v>
      </c>
      <c r="AA41" s="3">
        <f t="shared" si="27"/>
        <v>0</v>
      </c>
      <c r="AB41" s="3">
        <f t="shared" si="27"/>
        <v>0</v>
      </c>
      <c r="AC41" s="3">
        <f t="shared" si="27"/>
        <v>0</v>
      </c>
      <c r="AD41" s="3">
        <f t="shared" si="27"/>
        <v>0</v>
      </c>
      <c r="AE41" s="3">
        <f t="shared" si="27"/>
        <v>0</v>
      </c>
      <c r="AF41" s="3">
        <f t="shared" si="29"/>
        <v>0</v>
      </c>
      <c r="AG41" s="3">
        <f t="shared" si="29"/>
        <v>0</v>
      </c>
      <c r="AH41" s="3">
        <f t="shared" si="29"/>
        <v>0</v>
      </c>
      <c r="AI41" s="3">
        <f t="shared" si="29"/>
        <v>0</v>
      </c>
      <c r="AJ41" s="3">
        <f t="shared" si="29"/>
        <v>0</v>
      </c>
    </row>
    <row r="42" spans="1:36" x14ac:dyDescent="0.25">
      <c r="A42" s="3">
        <f t="shared" si="30"/>
        <v>10000000000</v>
      </c>
      <c r="B42" s="106">
        <v>9.6814794206027629E-5</v>
      </c>
      <c r="C42" s="18">
        <f t="shared" si="3"/>
        <v>1.7201579278298637E-4</v>
      </c>
      <c r="D42" s="17"/>
      <c r="F42" s="3">
        <f t="shared" si="28"/>
        <v>1.7201579278298637E-4</v>
      </c>
      <c r="G42" s="3">
        <f t="shared" si="28"/>
        <v>1.7201579278298637E-4</v>
      </c>
      <c r="H42" s="3">
        <f t="shared" si="28"/>
        <v>1.7201579278298637E-4</v>
      </c>
      <c r="I42" s="3">
        <f t="shared" si="28"/>
        <v>1.7201579278298637E-4</v>
      </c>
      <c r="J42" s="3">
        <f t="shared" si="28"/>
        <v>1.7201579278298637E-4</v>
      </c>
      <c r="K42" s="3">
        <f t="shared" si="28"/>
        <v>1.7201579278298637E-4</v>
      </c>
      <c r="L42" s="3">
        <f t="shared" si="28"/>
        <v>1.7201579278298637E-4</v>
      </c>
      <c r="M42" s="3">
        <f t="shared" si="28"/>
        <v>1.7201579278298637E-4</v>
      </c>
      <c r="N42" s="3">
        <f t="shared" si="28"/>
        <v>1.7201579278298637E-4</v>
      </c>
      <c r="O42" s="3">
        <f t="shared" si="28"/>
        <v>1.7201579278298634E-4</v>
      </c>
      <c r="P42" s="3">
        <f t="shared" si="27"/>
        <v>1.720157927829862E-4</v>
      </c>
      <c r="Q42" s="3">
        <f t="shared" si="27"/>
        <v>1.7201579278298466E-4</v>
      </c>
      <c r="R42" s="3">
        <f t="shared" si="27"/>
        <v>1.7201579278296915E-4</v>
      </c>
      <c r="S42" s="3">
        <f t="shared" si="27"/>
        <v>1.7201579278281436E-4</v>
      </c>
      <c r="T42" s="3">
        <f t="shared" si="27"/>
        <v>1.720157927812662E-4</v>
      </c>
      <c r="U42" s="3">
        <f t="shared" si="27"/>
        <v>1.7201579276578479E-4</v>
      </c>
      <c r="V42" s="3">
        <f t="shared" si="27"/>
        <v>1.7201579261097059E-4</v>
      </c>
      <c r="W42" s="3">
        <f t="shared" si="27"/>
        <v>1.7201579106282844E-4</v>
      </c>
      <c r="X42" s="3">
        <f t="shared" si="27"/>
        <v>1.7201577558140796E-4</v>
      </c>
      <c r="Y42" s="3">
        <f t="shared" si="27"/>
        <v>1.7201562076727959E-4</v>
      </c>
      <c r="Z42" s="3">
        <f t="shared" si="27"/>
        <v>1.720140726336593E-4</v>
      </c>
      <c r="AA42" s="3">
        <f t="shared" si="27"/>
        <v>1.7199859206375837E-4</v>
      </c>
      <c r="AB42" s="3">
        <f t="shared" si="27"/>
        <v>1.7184386296943764E-4</v>
      </c>
      <c r="AC42" s="3">
        <f t="shared" si="27"/>
        <v>1.7030420704702701E-4</v>
      </c>
      <c r="AD42" s="3">
        <f t="shared" si="27"/>
        <v>1.5564632580316603E-4</v>
      </c>
      <c r="AE42" s="3">
        <f t="shared" si="27"/>
        <v>6.3281073721667652E-5</v>
      </c>
      <c r="AF42" s="3">
        <f t="shared" si="29"/>
        <v>7.8095049103857302E-9</v>
      </c>
      <c r="AG42" s="3">
        <f t="shared" si="29"/>
        <v>6.399118182281659E-48</v>
      </c>
      <c r="AH42" s="3">
        <f t="shared" si="29"/>
        <v>0</v>
      </c>
      <c r="AI42" s="3">
        <f t="shared" si="29"/>
        <v>0</v>
      </c>
      <c r="AJ42" s="3">
        <f t="shared" si="29"/>
        <v>0</v>
      </c>
    </row>
    <row r="43" spans="1:36" x14ac:dyDescent="0.25">
      <c r="A43" s="3">
        <f t="shared" si="30"/>
        <v>100000000000</v>
      </c>
      <c r="B43" s="106">
        <v>9.8316876534963195E-5</v>
      </c>
      <c r="C43" s="18">
        <f t="shared" si="3"/>
        <v>1.7468461922378131E-4</v>
      </c>
      <c r="D43" s="17"/>
      <c r="F43" s="3">
        <f t="shared" si="28"/>
        <v>1.7468461922378131E-4</v>
      </c>
      <c r="G43" s="3">
        <f t="shared" si="28"/>
        <v>1.7468461922378131E-4</v>
      </c>
      <c r="H43" s="3">
        <f t="shared" si="28"/>
        <v>1.7468461922378131E-4</v>
      </c>
      <c r="I43" s="3">
        <f t="shared" si="28"/>
        <v>1.7468461922378131E-4</v>
      </c>
      <c r="J43" s="3">
        <f t="shared" si="28"/>
        <v>1.7468461922378131E-4</v>
      </c>
      <c r="K43" s="3">
        <f t="shared" si="28"/>
        <v>1.7468461922378131E-4</v>
      </c>
      <c r="L43" s="3">
        <f t="shared" si="28"/>
        <v>1.7468461922378131E-4</v>
      </c>
      <c r="M43" s="3">
        <f t="shared" si="28"/>
        <v>1.7468461922378131E-4</v>
      </c>
      <c r="N43" s="3">
        <f t="shared" si="28"/>
        <v>1.7468461922378131E-4</v>
      </c>
      <c r="O43" s="3">
        <f t="shared" si="28"/>
        <v>1.7468461922378131E-4</v>
      </c>
      <c r="P43" s="3">
        <f t="shared" si="27"/>
        <v>1.7468461922378128E-4</v>
      </c>
      <c r="Q43" s="3">
        <f t="shared" si="27"/>
        <v>1.7468461922378115E-4</v>
      </c>
      <c r="R43" s="3">
        <f t="shared" si="27"/>
        <v>1.7468461922377958E-4</v>
      </c>
      <c r="S43" s="3">
        <f t="shared" si="27"/>
        <v>1.7468461922376383E-4</v>
      </c>
      <c r="T43" s="3">
        <f t="shared" si="27"/>
        <v>1.7468461922360662E-4</v>
      </c>
      <c r="U43" s="3">
        <f t="shared" si="27"/>
        <v>1.7468461922203447E-4</v>
      </c>
      <c r="V43" s="3">
        <f t="shared" si="27"/>
        <v>1.7468461920631283E-4</v>
      </c>
      <c r="W43" s="3">
        <f t="shared" si="27"/>
        <v>1.7468461904909669E-4</v>
      </c>
      <c r="X43" s="3">
        <f t="shared" si="27"/>
        <v>1.7468461747693513E-4</v>
      </c>
      <c r="Y43" s="3">
        <f t="shared" si="27"/>
        <v>1.7468460175532028E-4</v>
      </c>
      <c r="Z43" s="3">
        <f t="shared" si="27"/>
        <v>1.7468444453924944E-4</v>
      </c>
      <c r="AA43" s="3">
        <f t="shared" si="27"/>
        <v>1.7468287238632326E-4</v>
      </c>
      <c r="AB43" s="3">
        <f t="shared" si="27"/>
        <v>1.7466715163525292E-4</v>
      </c>
      <c r="AC43" s="3">
        <f t="shared" si="27"/>
        <v>1.7451002191776031E-4</v>
      </c>
      <c r="AD43" s="3">
        <f t="shared" si="27"/>
        <v>1.7294647822104143E-4</v>
      </c>
      <c r="AE43" s="3">
        <f t="shared" si="27"/>
        <v>1.5806117982904101E-4</v>
      </c>
      <c r="AF43" s="3">
        <f t="shared" si="29"/>
        <v>6.4262880101290866E-5</v>
      </c>
      <c r="AG43" s="3">
        <f t="shared" si="29"/>
        <v>7.9306694433460827E-9</v>
      </c>
      <c r="AH43" s="3">
        <f t="shared" si="29"/>
        <v>6.4984005535473643E-48</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1.1818919689358602E-4</v>
      </c>
      <c r="C45" s="18">
        <f t="shared" si="3"/>
        <v>2.0999278642033111E-4</v>
      </c>
      <c r="D45" s="17"/>
      <c r="F45" s="3">
        <f t="shared" si="28"/>
        <v>2.0999278642033111E-4</v>
      </c>
      <c r="G45" s="3">
        <f t="shared" si="28"/>
        <v>2.0999278642033111E-4</v>
      </c>
      <c r="H45" s="3">
        <f t="shared" si="28"/>
        <v>2.0999278642033111E-4</v>
      </c>
      <c r="I45" s="3">
        <f t="shared" si="28"/>
        <v>2.0999278642033111E-4</v>
      </c>
      <c r="J45" s="3">
        <f t="shared" si="28"/>
        <v>2.0999278642033111E-4</v>
      </c>
      <c r="K45" s="3">
        <f t="shared" si="28"/>
        <v>2.0999278642033111E-4</v>
      </c>
      <c r="L45" s="3">
        <f t="shared" si="28"/>
        <v>2.0999278642033111E-4</v>
      </c>
      <c r="M45" s="3">
        <f t="shared" si="28"/>
        <v>2.0999278642033111E-4</v>
      </c>
      <c r="N45" s="3">
        <f t="shared" si="28"/>
        <v>2.0999278642033111E-4</v>
      </c>
      <c r="O45" s="3">
        <f t="shared" si="28"/>
        <v>2.0999278642033111E-4</v>
      </c>
      <c r="P45" s="3">
        <f t="shared" si="27"/>
        <v>2.0999278642033111E-4</v>
      </c>
      <c r="Q45" s="3">
        <f t="shared" si="27"/>
        <v>2.0999278642033111E-4</v>
      </c>
      <c r="R45" s="3">
        <f t="shared" si="27"/>
        <v>2.0999278642033108E-4</v>
      </c>
      <c r="S45" s="3">
        <f t="shared" si="27"/>
        <v>2.0999278642033089E-4</v>
      </c>
      <c r="T45" s="3">
        <f t="shared" si="27"/>
        <v>2.0999278642032902E-4</v>
      </c>
      <c r="U45" s="3">
        <f t="shared" si="27"/>
        <v>2.099927864203101E-4</v>
      </c>
      <c r="V45" s="3">
        <f t="shared" si="27"/>
        <v>2.0999278642012113E-4</v>
      </c>
      <c r="W45" s="3">
        <f t="shared" si="27"/>
        <v>2.0999278641823117E-4</v>
      </c>
      <c r="X45" s="3">
        <f t="shared" si="27"/>
        <v>2.0999278639933182E-4</v>
      </c>
      <c r="Y45" s="3">
        <f t="shared" si="27"/>
        <v>2.0999278621033833E-4</v>
      </c>
      <c r="Z45" s="3">
        <f t="shared" si="27"/>
        <v>2.0999278432040327E-4</v>
      </c>
      <c r="AA45" s="3">
        <f t="shared" si="27"/>
        <v>2.0999276542105352E-4</v>
      </c>
      <c r="AB45" s="3">
        <f t="shared" si="27"/>
        <v>2.0999257642764969E-4</v>
      </c>
      <c r="AC45" s="3">
        <f t="shared" si="27"/>
        <v>2.0999068650296652E-4</v>
      </c>
      <c r="AD45" s="3">
        <f t="shared" si="27"/>
        <v>2.09971788191618E-4</v>
      </c>
      <c r="AE45" s="3">
        <f t="shared" si="27"/>
        <v>2.0978289859531395E-4</v>
      </c>
      <c r="AF45" s="3">
        <f t="shared" si="29"/>
        <v>2.0790332328397338E-4</v>
      </c>
      <c r="AG45" s="3">
        <f t="shared" si="29"/>
        <v>1.900093306707491E-4</v>
      </c>
      <c r="AH45" s="3">
        <f t="shared" si="29"/>
        <v>7.7252028918345459E-5</v>
      </c>
      <c r="AI45" s="3">
        <f t="shared" si="29"/>
        <v>9.5336577541115149E-9</v>
      </c>
      <c r="AJ45" s="3">
        <f t="shared" si="29"/>
        <v>7.8118911989994819E-48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9.7482540685143846E-5</v>
      </c>
      <c r="C48" s="18">
        <f t="shared" si="3"/>
        <v>1.7320221207897527E-4</v>
      </c>
      <c r="D48" s="17"/>
      <c r="F48" s="3">
        <f t="shared" si="28"/>
        <v>1.7320221207897527E-4</v>
      </c>
      <c r="G48" s="3">
        <f t="shared" si="28"/>
        <v>1.7320221207897527E-4</v>
      </c>
      <c r="H48" s="3">
        <f t="shared" si="28"/>
        <v>1.7320221207897527E-4</v>
      </c>
      <c r="I48" s="3">
        <f t="shared" si="28"/>
        <v>1.7320221207897527E-4</v>
      </c>
      <c r="J48" s="3">
        <f t="shared" si="28"/>
        <v>1.7320221207897527E-4</v>
      </c>
      <c r="K48" s="3">
        <f t="shared" si="28"/>
        <v>1.7320221207897527E-4</v>
      </c>
      <c r="L48" s="3">
        <f t="shared" si="28"/>
        <v>1.7320221207897527E-4</v>
      </c>
      <c r="M48" s="3">
        <f t="shared" si="28"/>
        <v>1.7320221207897527E-4</v>
      </c>
      <c r="N48" s="3">
        <f t="shared" si="28"/>
        <v>1.7320221207897527E-4</v>
      </c>
      <c r="O48" s="3">
        <f t="shared" si="28"/>
        <v>1.7320221207897527E-4</v>
      </c>
      <c r="P48" s="3">
        <f t="shared" si="27"/>
        <v>1.7320221207897527E-4</v>
      </c>
      <c r="Q48" s="3">
        <f t="shared" si="27"/>
        <v>1.7320221207897527E-4</v>
      </c>
      <c r="R48" s="3">
        <f t="shared" si="27"/>
        <v>1.7320221207897527E-4</v>
      </c>
      <c r="S48" s="3">
        <f t="shared" si="27"/>
        <v>1.7320221207897527E-4</v>
      </c>
      <c r="T48" s="3">
        <f t="shared" si="27"/>
        <v>1.7320221207897527E-4</v>
      </c>
      <c r="U48" s="3">
        <f t="shared" si="27"/>
        <v>1.7320221207897524E-4</v>
      </c>
      <c r="V48" s="3">
        <f t="shared" si="27"/>
        <v>1.7320221207897511E-4</v>
      </c>
      <c r="W48" s="3">
        <f t="shared" si="27"/>
        <v>1.7320221207897354E-4</v>
      </c>
      <c r="X48" s="3">
        <f t="shared" si="27"/>
        <v>1.7320221207895795E-4</v>
      </c>
      <c r="Y48" s="3">
        <f t="shared" si="27"/>
        <v>1.7320221207880207E-4</v>
      </c>
      <c r="Z48" s="3">
        <f t="shared" si="27"/>
        <v>1.7320221207724326E-4</v>
      </c>
      <c r="AA48" s="3">
        <f t="shared" si="27"/>
        <v>1.7320221206165506E-4</v>
      </c>
      <c r="AB48" s="3">
        <f t="shared" si="27"/>
        <v>1.7320221190577305E-4</v>
      </c>
      <c r="AC48" s="3">
        <f t="shared" si="27"/>
        <v>1.7320221034695317E-4</v>
      </c>
      <c r="AD48" s="3">
        <f t="shared" si="27"/>
        <v>1.7320219475875493E-4</v>
      </c>
      <c r="AE48" s="3">
        <f t="shared" si="27"/>
        <v>1.732020388768498E-4</v>
      </c>
      <c r="AF48" s="3">
        <f t="shared" si="29"/>
        <v>1.7320048006551456E-4</v>
      </c>
      <c r="AG48" s="3">
        <f t="shared" si="29"/>
        <v>1.7318489272374958E-4</v>
      </c>
      <c r="AH48" s="3">
        <f t="shared" si="29"/>
        <v>1.7302909643914253E-4</v>
      </c>
      <c r="AI48" s="3">
        <f t="shared" si="29"/>
        <v>1.7147882127377764E-4</v>
      </c>
      <c r="AJ48" s="3">
        <f t="shared" si="29"/>
        <v>1.5671984237565666E-4</v>
      </c>
    </row>
    <row r="49" spans="1:36" x14ac:dyDescent="0.25">
      <c r="B49" s="16">
        <f>SUM(B17:B48)</f>
        <v>0.56282503274666373</v>
      </c>
      <c r="C49" s="18">
        <f>SUM(C17:C48)</f>
        <v>0.99999999999999956</v>
      </c>
      <c r="F49" s="3">
        <f t="shared" ref="F49:AJ49" si="31">F16-F17</f>
        <v>64.945954080586944</v>
      </c>
      <c r="G49" s="3">
        <f t="shared" si="31"/>
        <v>-83.999749979936041</v>
      </c>
      <c r="H49" s="3">
        <f t="shared" si="31"/>
        <v>22.230044145110696</v>
      </c>
      <c r="I49" s="3">
        <f t="shared" si="31"/>
        <v>-3.6209054878286224</v>
      </c>
      <c r="J49" s="3">
        <f t="shared" si="31"/>
        <v>0.50293445475972476</v>
      </c>
      <c r="K49" s="3">
        <f t="shared" si="31"/>
        <v>-6.9668382758209191E-2</v>
      </c>
      <c r="L49" s="3">
        <f t="shared" si="31"/>
        <v>2.6062487056606187E-2</v>
      </c>
      <c r="M49" s="3">
        <f t="shared" si="31"/>
        <v>-4.4138688969724171E-2</v>
      </c>
      <c r="N49" s="3">
        <f t="shared" si="31"/>
        <v>0.10263267421896671</v>
      </c>
      <c r="O49" s="3">
        <f t="shared" si="31"/>
        <v>-0.21839540121550272</v>
      </c>
      <c r="P49" s="3">
        <f t="shared" si="31"/>
        <v>0.37961734854957285</v>
      </c>
      <c r="Q49" s="3">
        <f t="shared" si="31"/>
        <v>-0.546550828322097</v>
      </c>
      <c r="R49" s="3">
        <f t="shared" si="31"/>
        <v>0.67270612052197976</v>
      </c>
      <c r="S49" s="3">
        <f t="shared" si="31"/>
        <v>-0.70732134460342877</v>
      </c>
      <c r="T49" s="3">
        <f t="shared" si="31"/>
        <v>0.63013414596633766</v>
      </c>
      <c r="U49" s="3">
        <f t="shared" si="31"/>
        <v>-0.47986522074575078</v>
      </c>
      <c r="V49" s="3">
        <f t="shared" si="31"/>
        <v>0.32241722207641033</v>
      </c>
      <c r="W49" s="3">
        <f t="shared" si="31"/>
        <v>-0.19662946590148067</v>
      </c>
      <c r="X49" s="3">
        <f t="shared" si="31"/>
        <v>0.10506416314404987</v>
      </c>
      <c r="Y49" s="3">
        <f t="shared" si="31"/>
        <v>-4.8061593581508077E-2</v>
      </c>
      <c r="Z49" s="3">
        <f t="shared" si="31"/>
        <v>2.5055702252160472E-2</v>
      </c>
      <c r="AA49" s="3">
        <f t="shared" si="31"/>
        <v>-1.869127061328868E-2</v>
      </c>
      <c r="AB49" s="3">
        <f t="shared" si="31"/>
        <v>6.310751309825946E-3</v>
      </c>
      <c r="AC49" s="3">
        <f t="shared" si="31"/>
        <v>1.2536112774569119E-2</v>
      </c>
      <c r="AD49" s="3">
        <f t="shared" si="31"/>
        <v>-6.5680944699778365E-2</v>
      </c>
      <c r="AE49" s="3">
        <f t="shared" si="31"/>
        <v>0.12916295103289599</v>
      </c>
      <c r="AF49" s="3">
        <f t="shared" si="31"/>
        <v>-0.16776103896987138</v>
      </c>
      <c r="AG49" s="3">
        <f t="shared" si="31"/>
        <v>0.21242993998438919</v>
      </c>
      <c r="AH49" s="3">
        <f t="shared" si="31"/>
        <v>-0.27003744812941477</v>
      </c>
      <c r="AI49" s="3">
        <f t="shared" si="31"/>
        <v>0.18083611165013735</v>
      </c>
      <c r="AJ49" s="3">
        <f t="shared" si="31"/>
        <v>-3.01878103302613E-2</v>
      </c>
    </row>
    <row r="50" spans="1:36" x14ac:dyDescent="0.25">
      <c r="F50" s="57">
        <f t="shared" ref="F50:AJ50" si="32">F49/F17</f>
        <v>1.7098995963710169E-2</v>
      </c>
      <c r="G50" s="57">
        <f t="shared" si="32"/>
        <v>-2.256127575985627E-2</v>
      </c>
      <c r="H50" s="57">
        <f t="shared" si="32"/>
        <v>6.4491583481303804E-3</v>
      </c>
      <c r="I50" s="57">
        <f t="shared" si="32"/>
        <v>-1.0962706065683764E-3</v>
      </c>
      <c r="J50" s="57">
        <f t="shared" si="32"/>
        <v>1.6075518878908468E-4</v>
      </c>
      <c r="K50" s="57">
        <f t="shared" si="32"/>
        <v>-2.3765993002140493E-5</v>
      </c>
      <c r="L50" s="57">
        <f t="shared" si="32"/>
        <v>9.5943410771412635E-6</v>
      </c>
      <c r="M50" s="57">
        <f t="shared" si="32"/>
        <v>-1.7845468771686707E-5</v>
      </c>
      <c r="N50" s="57">
        <f t="shared" si="32"/>
        <v>4.6643456488349603E-5</v>
      </c>
      <c r="O50" s="57">
        <f t="shared" si="32"/>
        <v>-1.1608488779375107E-4</v>
      </c>
      <c r="P50" s="57">
        <f t="shared" si="32"/>
        <v>2.5080144802596365E-4</v>
      </c>
      <c r="Q50" s="57">
        <f t="shared" si="32"/>
        <v>-4.8335771079034213E-4</v>
      </c>
      <c r="R50" s="57">
        <f t="shared" si="32"/>
        <v>8.4432294216536471E-4</v>
      </c>
      <c r="S50" s="57">
        <f t="shared" si="32"/>
        <v>-1.2638677390800278E-3</v>
      </c>
      <c r="T50" s="57">
        <f t="shared" si="32"/>
        <v>1.4949230744585389E-3</v>
      </c>
      <c r="U50" s="57">
        <f t="shared" si="32"/>
        <v>-1.3660917177175627E-3</v>
      </c>
      <c r="V50" s="57">
        <f t="shared" si="32"/>
        <v>1.0241612308453238E-3</v>
      </c>
      <c r="W50" s="57">
        <f t="shared" si="32"/>
        <v>-6.7635328523892458E-4</v>
      </c>
      <c r="X50" s="57">
        <f t="shared" si="32"/>
        <v>3.8560173528250059E-4</v>
      </c>
      <c r="Y50" s="57">
        <f t="shared" si="32"/>
        <v>-1.84526761022793E-4</v>
      </c>
      <c r="Z50" s="57">
        <f t="shared" si="32"/>
        <v>1.0387674175721813E-4</v>
      </c>
      <c r="AA50" s="57">
        <f t="shared" si="32"/>
        <v>-8.0398859462611064E-5</v>
      </c>
      <c r="AB50" s="57">
        <f t="shared" si="32"/>
        <v>2.7531251507124949E-5</v>
      </c>
      <c r="AC50" s="57">
        <f t="shared" si="32"/>
        <v>5.5166672321790681E-5</v>
      </c>
      <c r="AD50" s="57">
        <f t="shared" si="32"/>
        <v>-2.907954384568773E-4</v>
      </c>
      <c r="AE50" s="57">
        <f t="shared" si="32"/>
        <v>5.7354473790608004E-4</v>
      </c>
      <c r="AF50" s="57">
        <f t="shared" si="32"/>
        <v>-7.4820801345744869E-4</v>
      </c>
      <c r="AG50" s="57">
        <f t="shared" si="32"/>
        <v>9.4958416111215601E-4</v>
      </c>
      <c r="AH50" s="57">
        <f t="shared" si="32"/>
        <v>-1.2108797751424314E-3</v>
      </c>
      <c r="AI50" s="57">
        <f t="shared" si="32"/>
        <v>8.1266805790408062E-4</v>
      </c>
      <c r="AJ50" s="57">
        <f t="shared" si="32"/>
        <v>-1.3571821058777693E-4</v>
      </c>
    </row>
    <row r="51" spans="1:36" x14ac:dyDescent="0.25">
      <c r="A51" s="13" t="s">
        <v>21</v>
      </c>
      <c r="B51" s="3">
        <f>STUTT!D8</f>
        <v>6190.9489999999996</v>
      </c>
      <c r="E51" s="11" t="s">
        <v>24</v>
      </c>
      <c r="F51" s="20">
        <f t="shared" ref="F51:AJ51" si="33">(F16-F17)^2</f>
        <v>4217.9769514377076</v>
      </c>
      <c r="G51" s="20">
        <f t="shared" si="33"/>
        <v>7055.9579966917654</v>
      </c>
      <c r="H51" s="20">
        <f t="shared" si="33"/>
        <v>494.17486269357033</v>
      </c>
      <c r="I51" s="20">
        <f t="shared" si="33"/>
        <v>13.110956551787433</v>
      </c>
      <c r="J51" s="20">
        <f t="shared" si="33"/>
        <v>0.25294306578446163</v>
      </c>
      <c r="K51" s="20">
        <f t="shared" si="33"/>
        <v>4.8536835561443399E-3</v>
      </c>
      <c r="L51" s="20">
        <f t="shared" si="33"/>
        <v>6.7925323157576507E-4</v>
      </c>
      <c r="M51" s="20">
        <f t="shared" si="33"/>
        <v>1.9482238639660502E-3</v>
      </c>
      <c r="N51" s="20">
        <f t="shared" si="33"/>
        <v>1.0533465817336555E-2</v>
      </c>
      <c r="O51" s="20">
        <f t="shared" si="33"/>
        <v>4.7696551272080404E-2</v>
      </c>
      <c r="P51" s="20">
        <f t="shared" si="33"/>
        <v>0.14410933131980788</v>
      </c>
      <c r="Q51" s="20">
        <f t="shared" si="33"/>
        <v>0.29871780793957037</v>
      </c>
      <c r="R51" s="20">
        <f t="shared" si="33"/>
        <v>0.45253352458773233</v>
      </c>
      <c r="S51" s="20">
        <f t="shared" si="33"/>
        <v>0.50030348453160245</v>
      </c>
      <c r="T51" s="20">
        <f t="shared" si="33"/>
        <v>0.39706904191272574</v>
      </c>
      <c r="U51" s="20">
        <f t="shared" si="33"/>
        <v>0.23027063008136811</v>
      </c>
      <c r="V51" s="20">
        <f t="shared" si="33"/>
        <v>0.1039528650914693</v>
      </c>
      <c r="W51" s="20">
        <f t="shared" si="33"/>
        <v>3.8663146860701547E-2</v>
      </c>
      <c r="X51" s="20">
        <f t="shared" si="33"/>
        <v>1.1038478377159527E-2</v>
      </c>
      <c r="Y51" s="20">
        <f t="shared" si="33"/>
        <v>2.3099167775940586E-3</v>
      </c>
      <c r="Z51" s="20">
        <f t="shared" si="33"/>
        <v>6.2778821534891936E-4</v>
      </c>
      <c r="AA51" s="20">
        <f t="shared" si="33"/>
        <v>3.4936359713918895E-4</v>
      </c>
      <c r="AB51" s="20">
        <f t="shared" si="33"/>
        <v>3.9825582094469894E-5</v>
      </c>
      <c r="AC51" s="20">
        <f t="shared" si="33"/>
        <v>1.5715412349671506E-4</v>
      </c>
      <c r="AD51" s="20">
        <f t="shared" si="33"/>
        <v>4.3139864966553441E-3</v>
      </c>
      <c r="AE51" s="20">
        <f t="shared" si="33"/>
        <v>1.6683067919526288E-2</v>
      </c>
      <c r="AF51" s="20">
        <f t="shared" si="33"/>
        <v>2.8143766196250704E-2</v>
      </c>
      <c r="AG51" s="20">
        <f t="shared" si="33"/>
        <v>4.5126479401771197E-2</v>
      </c>
      <c r="AH51" s="20">
        <f t="shared" si="33"/>
        <v>7.2920223392246367E-2</v>
      </c>
      <c r="AI51" s="20">
        <f t="shared" si="33"/>
        <v>3.2701699276740943E-2</v>
      </c>
      <c r="AJ51" s="20">
        <f t="shared" si="33"/>
        <v>9.1130389253583086E-4</v>
      </c>
    </row>
    <row r="52" spans="1:36" x14ac:dyDescent="0.25">
      <c r="A52" s="13"/>
    </row>
    <row r="53" spans="1:36" x14ac:dyDescent="0.25">
      <c r="E53" s="119" t="s">
        <v>25</v>
      </c>
      <c r="F53" s="119"/>
      <c r="G53" s="104">
        <f>SUM(F51:AJ51)</f>
        <v>11783.920364503927</v>
      </c>
      <c r="I53" s="3">
        <f>G53+C123</f>
        <v>11783.920364503927</v>
      </c>
      <c r="K53" s="3">
        <f>SUM(Z51:AJ51)</f>
        <v>0.20197465809380596</v>
      </c>
    </row>
    <row r="55" spans="1:36" x14ac:dyDescent="0.25">
      <c r="E55" s="30" t="s">
        <v>30</v>
      </c>
      <c r="F55" s="31">
        <f t="shared" ref="F55:AJ55" si="34">ABS(F17-F16)/F16</f>
        <v>1.6811535584605235E-2</v>
      </c>
      <c r="G55" s="31">
        <f t="shared" si="34"/>
        <v>2.3082035937746687E-2</v>
      </c>
      <c r="H55" s="31">
        <f t="shared" si="34"/>
        <v>6.4078332170452454E-3</v>
      </c>
      <c r="I55" s="31">
        <f t="shared" si="34"/>
        <v>1.0974737347652804E-3</v>
      </c>
      <c r="J55" s="31">
        <f t="shared" si="34"/>
        <v>1.6072935071196703E-4</v>
      </c>
      <c r="K55" s="31">
        <f t="shared" si="34"/>
        <v>2.3766557837987756E-5</v>
      </c>
      <c r="L55" s="31">
        <f t="shared" si="34"/>
        <v>9.5942490266437223E-6</v>
      </c>
      <c r="M55" s="31">
        <f t="shared" si="34"/>
        <v>1.7845787238125572E-5</v>
      </c>
      <c r="N55" s="31">
        <f t="shared" si="34"/>
        <v>4.6641280977789757E-5</v>
      </c>
      <c r="O55" s="31">
        <f t="shared" si="34"/>
        <v>1.1609836505943202E-4</v>
      </c>
      <c r="P55" s="31">
        <f t="shared" si="34"/>
        <v>2.507385624314299E-4</v>
      </c>
      <c r="Q55" s="31">
        <f t="shared" si="34"/>
        <v>4.8359145845065663E-4</v>
      </c>
      <c r="R55" s="31">
        <f t="shared" si="34"/>
        <v>8.43610662328905E-4</v>
      </c>
      <c r="S55" s="31">
        <f t="shared" si="34"/>
        <v>1.2654671221505804E-3</v>
      </c>
      <c r="T55" s="31">
        <f t="shared" si="34"/>
        <v>1.4926916153197467E-3</v>
      </c>
      <c r="U55" s="31">
        <f t="shared" si="34"/>
        <v>1.3679604771956247E-3</v>
      </c>
      <c r="V55" s="31">
        <f t="shared" si="34"/>
        <v>1.0231133977685709E-3</v>
      </c>
      <c r="W55" s="31">
        <f t="shared" si="34"/>
        <v>6.7681104861514146E-4</v>
      </c>
      <c r="X55" s="31">
        <f t="shared" si="34"/>
        <v>3.8545310389676799E-4</v>
      </c>
      <c r="Y55" s="31">
        <f t="shared" si="34"/>
        <v>1.8456081743264559E-4</v>
      </c>
      <c r="Z55" s="31">
        <f t="shared" si="34"/>
        <v>1.0386595250049286E-4</v>
      </c>
      <c r="AA55" s="31">
        <f t="shared" si="34"/>
        <v>8.0405323958952085E-5</v>
      </c>
      <c r="AB55" s="31">
        <f t="shared" si="34"/>
        <v>2.7530493558182685E-5</v>
      </c>
      <c r="AC55" s="31">
        <f t="shared" si="34"/>
        <v>5.51636291279385E-5</v>
      </c>
      <c r="AD55" s="31">
        <f t="shared" si="34"/>
        <v>2.9088002504129752E-4</v>
      </c>
      <c r="AE55" s="31">
        <f t="shared" si="34"/>
        <v>5.7321597290113885E-4</v>
      </c>
      <c r="AF55" s="31">
        <f t="shared" si="34"/>
        <v>7.4876824786072058E-4</v>
      </c>
      <c r="AG55" s="31">
        <f t="shared" si="34"/>
        <v>9.4868330647042019E-4</v>
      </c>
      <c r="AH55" s="31">
        <f t="shared" si="34"/>
        <v>1.2123477825527632E-3</v>
      </c>
      <c r="AI55" s="31">
        <f t="shared" si="34"/>
        <v>8.1200816480578569E-4</v>
      </c>
      <c r="AJ55" s="31">
        <f t="shared" si="34"/>
        <v>1.3573663252065384E-4</v>
      </c>
    </row>
    <row r="56" spans="1:36" x14ac:dyDescent="0.25">
      <c r="E56" s="13" t="s">
        <v>31</v>
      </c>
      <c r="F56" s="32">
        <f>AVERAGE(F55:AJ55)</f>
        <v>1.9592308987710573E-3</v>
      </c>
    </row>
    <row r="57" spans="1:36" x14ac:dyDescent="0.25">
      <c r="A57" s="42"/>
      <c r="B57" s="15"/>
      <c r="C57" s="15"/>
      <c r="D57" s="15"/>
      <c r="F57" s="60">
        <f>AVERAGE(S55:X55)</f>
        <v>1.0352494608244053E-3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-57.849695376367158</v>
      </c>
    </row>
    <row r="119" spans="1:14" x14ac:dyDescent="0.25">
      <c r="L119" s="11">
        <f>L118+1</f>
        <v>2</v>
      </c>
      <c r="M119" s="11">
        <f t="shared" ref="M119:M124" si="35">INDEX($B$125:$K$126,1,L119)</f>
        <v>0</v>
      </c>
      <c r="N119" s="11">
        <f t="shared" ref="N119:N124" si="36">IF(L119=$B$3,0,INDEX($B$125:$K$126,2,L119))</f>
        <v>-46.11051752249567</v>
      </c>
    </row>
    <row r="120" spans="1:14" x14ac:dyDescent="0.25">
      <c r="L120" s="11">
        <f t="shared" ref="L120:L124" si="37">L119+1</f>
        <v>3</v>
      </c>
      <c r="M120" s="11">
        <f t="shared" si="35"/>
        <v>25</v>
      </c>
      <c r="N120" s="11">
        <f t="shared" si="36"/>
        <v>-41.17116132313857</v>
      </c>
    </row>
    <row r="121" spans="1:14" x14ac:dyDescent="0.25">
      <c r="A121" s="103">
        <f>(A165+A204+A243+A282+A321+A360+A399)*10^9</f>
        <v>1.7324689383398992E+16</v>
      </c>
      <c r="L121" s="11">
        <f t="shared" si="37"/>
        <v>4</v>
      </c>
      <c r="M121" s="11">
        <f t="shared" si="35"/>
        <v>50</v>
      </c>
      <c r="N121" s="11">
        <f t="shared" si="36"/>
        <v>-34.778704363444611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-28.993396251697032</v>
      </c>
    </row>
    <row r="123" spans="1:14" x14ac:dyDescent="0.25">
      <c r="A123" s="119"/>
      <c r="B123" s="119"/>
      <c r="C123" s="3"/>
      <c r="D123" s="3"/>
      <c r="E123" s="3"/>
      <c r="F123" s="3"/>
      <c r="G123" s="3"/>
      <c r="H123" s="3"/>
      <c r="I123" s="3"/>
      <c r="J123" s="3"/>
      <c r="K123" s="3"/>
      <c r="L123" s="11">
        <f t="shared" si="37"/>
        <v>6</v>
      </c>
      <c r="M123" s="11">
        <f t="shared" si="35"/>
        <v>125</v>
      </c>
      <c r="N123" s="11">
        <f t="shared" si="36"/>
        <v>-14.135728697584064</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-57.849695376367158</v>
      </c>
      <c r="C126" s="107">
        <v>-46.11051752249567</v>
      </c>
      <c r="D126" s="107">
        <v>-41.17116132313857</v>
      </c>
      <c r="E126" s="107">
        <v>-34.778704363444611</v>
      </c>
      <c r="F126" s="107">
        <v>-28.993396251697032</v>
      </c>
      <c r="G126" s="107">
        <v>-14.135728697584064</v>
      </c>
      <c r="H126" s="107">
        <v>-2.5509364850355068E-4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6190.9489999999969</v>
      </c>
      <c r="C131" s="27">
        <f t="shared" ref="C131:AF131" si="40">($C$17+SUM(C132:C162))*$B$51</f>
        <v>6190.9489999999969</v>
      </c>
      <c r="D131" s="27">
        <f t="shared" si="40"/>
        <v>6190.9489999999969</v>
      </c>
      <c r="E131" s="27">
        <f t="shared" si="40"/>
        <v>6190.9489999999969</v>
      </c>
      <c r="F131" s="27">
        <f t="shared" si="40"/>
        <v>6190.9489999999969</v>
      </c>
      <c r="G131" s="27">
        <f t="shared" si="40"/>
        <v>6190.9489999999951</v>
      </c>
      <c r="H131" s="27">
        <f t="shared" si="40"/>
        <v>6190.9489999999787</v>
      </c>
      <c r="I131" s="27">
        <f t="shared" si="40"/>
        <v>6190.9489999998177</v>
      </c>
      <c r="J131" s="27">
        <f t="shared" si="40"/>
        <v>6190.9489999982052</v>
      </c>
      <c r="K131" s="27">
        <f t="shared" si="40"/>
        <v>6190.9489999820753</v>
      </c>
      <c r="L131" s="27">
        <f t="shared" si="40"/>
        <v>6190.9489998207819</v>
      </c>
      <c r="M131" s="27">
        <f t="shared" si="40"/>
        <v>6190.9489982078449</v>
      </c>
      <c r="N131" s="27">
        <f t="shared" si="40"/>
        <v>6190.9489820784756</v>
      </c>
      <c r="O131" s="27">
        <f t="shared" si="40"/>
        <v>6190.9488207847935</v>
      </c>
      <c r="P131" s="27">
        <f t="shared" si="40"/>
        <v>6190.9472078485724</v>
      </c>
      <c r="Q131" s="27">
        <f t="shared" si="40"/>
        <v>6190.9310785463913</v>
      </c>
      <c r="R131" s="27">
        <f t="shared" si="40"/>
        <v>6190.769791528116</v>
      </c>
      <c r="S131" s="27">
        <f t="shared" si="40"/>
        <v>6189.1575215484909</v>
      </c>
      <c r="T131" s="27">
        <f t="shared" si="40"/>
        <v>6173.094692042795</v>
      </c>
      <c r="U131" s="27">
        <f t="shared" si="40"/>
        <v>6018.3061838932754</v>
      </c>
      <c r="V131" s="27">
        <f t="shared" si="40"/>
        <v>4931.2333949169679</v>
      </c>
      <c r="W131" s="27">
        <f t="shared" si="40"/>
        <v>3808.9429277487034</v>
      </c>
      <c r="X131" s="27">
        <f t="shared" si="40"/>
        <v>3807.6439333003314</v>
      </c>
      <c r="Y131" s="27">
        <f t="shared" si="40"/>
        <v>3807.5793999503867</v>
      </c>
      <c r="Z131" s="27">
        <f t="shared" si="40"/>
        <v>3806.9346627510704</v>
      </c>
      <c r="AA131" s="27">
        <f t="shared" si="40"/>
        <v>3800.5465409875624</v>
      </c>
      <c r="AB131" s="27">
        <f t="shared" si="40"/>
        <v>3742.2281806929727</v>
      </c>
      <c r="AC131" s="27">
        <f t="shared" si="40"/>
        <v>3478.1698344606548</v>
      </c>
      <c r="AD131" s="27">
        <f t="shared" si="40"/>
        <v>3320.9604630647941</v>
      </c>
      <c r="AE131" s="27">
        <f t="shared" si="40"/>
        <v>3153.3688841436165</v>
      </c>
      <c r="AF131" s="27">
        <f t="shared" si="40"/>
        <v>2959.2372616880957</v>
      </c>
    </row>
    <row r="132" spans="1:33" x14ac:dyDescent="0.25">
      <c r="B132" s="3">
        <f t="shared" ref="B132:Z133" si="41">$C18*EXP(-B$129/$A18/EXP(-$B$126))</f>
        <v>0.38496487301991561</v>
      </c>
      <c r="C132" s="3">
        <f t="shared" ref="C132:AF132" si="42">$C18*EXP(-C$129/$A18/EXP(-$B$126))</f>
        <v>0.38496487301991561</v>
      </c>
      <c r="D132" s="3">
        <f t="shared" si="42"/>
        <v>0.38496487301991561</v>
      </c>
      <c r="E132" s="3">
        <f t="shared" si="42"/>
        <v>0.38496487301991561</v>
      </c>
      <c r="F132" s="3">
        <f t="shared" si="42"/>
        <v>0.38496487301991555</v>
      </c>
      <c r="G132" s="3">
        <f t="shared" si="42"/>
        <v>0.38496487301991533</v>
      </c>
      <c r="H132" s="3">
        <f t="shared" si="42"/>
        <v>0.38496487301991272</v>
      </c>
      <c r="I132" s="3">
        <f t="shared" si="42"/>
        <v>0.38496487301988669</v>
      </c>
      <c r="J132" s="3">
        <f t="shared" si="42"/>
        <v>0.38496487301962612</v>
      </c>
      <c r="K132" s="3">
        <f t="shared" si="42"/>
        <v>0.38496487301702081</v>
      </c>
      <c r="L132" s="3">
        <f t="shared" si="42"/>
        <v>0.38496487299096765</v>
      </c>
      <c r="M132" s="3">
        <f t="shared" si="42"/>
        <v>0.38496487273043623</v>
      </c>
      <c r="N132" s="3">
        <f t="shared" si="42"/>
        <v>0.38496487012512187</v>
      </c>
      <c r="O132" s="3">
        <f t="shared" si="42"/>
        <v>0.38496484407197951</v>
      </c>
      <c r="P132" s="3">
        <f t="shared" si="42"/>
        <v>0.38496458354065272</v>
      </c>
      <c r="Q132" s="3">
        <f t="shared" si="42"/>
        <v>0.384961978237082</v>
      </c>
      <c r="R132" s="3">
        <f t="shared" si="42"/>
        <v>0.384935926171103</v>
      </c>
      <c r="S132" s="3">
        <f t="shared" si="42"/>
        <v>0.38467550245979704</v>
      </c>
      <c r="T132" s="3">
        <f t="shared" si="42"/>
        <v>0.38208093596275489</v>
      </c>
      <c r="U132" s="3">
        <f t="shared" si="42"/>
        <v>0.35707854914039211</v>
      </c>
      <c r="V132" s="3">
        <f t="shared" si="42"/>
        <v>0.1814879047276638</v>
      </c>
      <c r="W132" s="3">
        <f t="shared" si="42"/>
        <v>2.087790606408283E-4</v>
      </c>
      <c r="X132" s="3">
        <f t="shared" si="42"/>
        <v>8.4738244779126968E-34</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5.8157909381167036E-2</v>
      </c>
      <c r="C133" s="3">
        <f t="shared" si="41"/>
        <v>5.8157909381167036E-2</v>
      </c>
      <c r="D133" s="3">
        <f t="shared" si="41"/>
        <v>5.8157909381167036E-2</v>
      </c>
      <c r="E133" s="3">
        <f t="shared" si="41"/>
        <v>5.8157909381167036E-2</v>
      </c>
      <c r="F133" s="3">
        <f t="shared" si="41"/>
        <v>5.8157909381167036E-2</v>
      </c>
      <c r="G133" s="3">
        <f t="shared" si="41"/>
        <v>5.8157909381167036E-2</v>
      </c>
      <c r="H133" s="3">
        <f t="shared" si="41"/>
        <v>5.8157909381167036E-2</v>
      </c>
      <c r="I133" s="3">
        <f t="shared" si="41"/>
        <v>5.8157909381167036E-2</v>
      </c>
      <c r="J133" s="3">
        <f t="shared" si="41"/>
        <v>5.8157909381167036E-2</v>
      </c>
      <c r="K133" s="3">
        <f t="shared" si="41"/>
        <v>5.8157909381167036E-2</v>
      </c>
      <c r="L133" s="3">
        <f t="shared" si="41"/>
        <v>5.8157909381167036E-2</v>
      </c>
      <c r="M133" s="3">
        <f t="shared" si="41"/>
        <v>5.8157909381167022E-2</v>
      </c>
      <c r="N133" s="3">
        <f t="shared" si="41"/>
        <v>5.8157909381166925E-2</v>
      </c>
      <c r="O133" s="3">
        <f t="shared" si="41"/>
        <v>5.8157909381165919E-2</v>
      </c>
      <c r="P133" s="3">
        <f t="shared" si="41"/>
        <v>5.8157909381155837E-2</v>
      </c>
      <c r="Q133" s="3">
        <f t="shared" si="41"/>
        <v>5.8157909381055008E-2</v>
      </c>
      <c r="R133" s="3">
        <f t="shared" si="41"/>
        <v>5.8157909380046807E-2</v>
      </c>
      <c r="S133" s="3">
        <f t="shared" si="41"/>
        <v>5.8157909369964733E-2</v>
      </c>
      <c r="T133" s="3">
        <f t="shared" si="41"/>
        <v>5.8157909269144034E-2</v>
      </c>
      <c r="U133" s="3">
        <f t="shared" si="41"/>
        <v>5.8157908260937002E-2</v>
      </c>
      <c r="V133" s="3">
        <f t="shared" si="41"/>
        <v>5.8157898178867691E-2</v>
      </c>
      <c r="W133" s="3">
        <f t="shared" si="41"/>
        <v>5.8157797358270723E-2</v>
      </c>
      <c r="X133" s="3">
        <f t="shared" si="41"/>
        <v>5.8156789161913809E-2</v>
      </c>
      <c r="Y133" s="3">
        <f t="shared" si="41"/>
        <v>5.814670815956384E-2</v>
      </c>
      <c r="Z133" s="3">
        <f t="shared" si="41"/>
        <v>5.8045994196350141E-2</v>
      </c>
      <c r="AA133" s="3">
        <f t="shared" ref="AA133:AF133" si="43">$C19*EXP(-AA$129/$A19/EXP(-$B$126))</f>
        <v>5.704839926248341E-2</v>
      </c>
      <c r="AB133" s="3">
        <f t="shared" si="43"/>
        <v>4.7968435211506115E-2</v>
      </c>
      <c r="AC133" s="3">
        <f t="shared" si="43"/>
        <v>8.4737654161642327E-3</v>
      </c>
      <c r="AD133" s="3">
        <f t="shared" si="43"/>
        <v>2.5077560821638288E-10</v>
      </c>
      <c r="AE133" s="3">
        <f t="shared" si="43"/>
        <v>1.2923312499234646E-85</v>
      </c>
      <c r="AF133" s="3">
        <f t="shared" si="43"/>
        <v>0</v>
      </c>
    </row>
    <row r="134" spans="1:33" x14ac:dyDescent="0.25">
      <c r="B134" s="3">
        <f t="shared" ref="B134:Z134" si="44">$C20*EXP(-B$129/$A20/EXP(-$B$126))</f>
        <v>1.8919132746280987E-2</v>
      </c>
      <c r="C134" s="3">
        <f t="shared" si="44"/>
        <v>1.8919132746280987E-2</v>
      </c>
      <c r="D134" s="3">
        <f t="shared" si="44"/>
        <v>1.8919132746280987E-2</v>
      </c>
      <c r="E134" s="3">
        <f t="shared" si="44"/>
        <v>1.8919132746280987E-2</v>
      </c>
      <c r="F134" s="3">
        <f t="shared" si="44"/>
        <v>1.8919132746280987E-2</v>
      </c>
      <c r="G134" s="3">
        <f t="shared" si="44"/>
        <v>1.8919132746280987E-2</v>
      </c>
      <c r="H134" s="3">
        <f t="shared" si="44"/>
        <v>1.8919132746280987E-2</v>
      </c>
      <c r="I134" s="3">
        <f t="shared" si="44"/>
        <v>1.8919132746280987E-2</v>
      </c>
      <c r="J134" s="3">
        <f t="shared" si="44"/>
        <v>1.8919132746280987E-2</v>
      </c>
      <c r="K134" s="3">
        <f t="shared" si="44"/>
        <v>1.8919132746280987E-2</v>
      </c>
      <c r="L134" s="3">
        <f t="shared" si="44"/>
        <v>1.8919132746280987E-2</v>
      </c>
      <c r="M134" s="3">
        <f t="shared" si="44"/>
        <v>1.8919132746280987E-2</v>
      </c>
      <c r="N134" s="3">
        <f t="shared" si="44"/>
        <v>1.8919132746280983E-2</v>
      </c>
      <c r="O134" s="3">
        <f t="shared" si="44"/>
        <v>1.8919132746280952E-2</v>
      </c>
      <c r="P134" s="3">
        <f t="shared" si="44"/>
        <v>1.8919132746280657E-2</v>
      </c>
      <c r="Q134" s="3">
        <f t="shared" si="44"/>
        <v>1.8919132746277701E-2</v>
      </c>
      <c r="R134" s="3">
        <f t="shared" si="44"/>
        <v>1.8919132746248114E-2</v>
      </c>
      <c r="S134" s="3">
        <f t="shared" si="44"/>
        <v>1.8919132745952253E-2</v>
      </c>
      <c r="T134" s="3">
        <f t="shared" si="44"/>
        <v>1.8919132742993634E-2</v>
      </c>
      <c r="U134" s="3">
        <f t="shared" si="44"/>
        <v>1.8919132713407463E-2</v>
      </c>
      <c r="V134" s="3">
        <f t="shared" si="44"/>
        <v>1.8919132417545764E-2</v>
      </c>
      <c r="W134" s="3">
        <f t="shared" si="44"/>
        <v>1.8919129458929009E-2</v>
      </c>
      <c r="X134" s="3">
        <f t="shared" si="44"/>
        <v>1.8919099872786924E-2</v>
      </c>
      <c r="Y134" s="3">
        <f t="shared" si="44"/>
        <v>1.8918804013910741E-2</v>
      </c>
      <c r="Z134" s="3">
        <f t="shared" si="44"/>
        <v>1.8915845679603967E-2</v>
      </c>
      <c r="AA134" s="3">
        <f t="shared" ref="AA134" si="45">$C20*EXP(-AA$129/$A20/EXP(-$B$126))</f>
        <v>1.8886287767322919E-2</v>
      </c>
      <c r="AB134" s="3">
        <f t="shared" ref="AB134:AF143" si="46">$C20*EXP(-AB$129/$A20/EXP(-$B$126))</f>
        <v>1.8593237069911003E-2</v>
      </c>
      <c r="AC134" s="3">
        <f t="shared" si="46"/>
        <v>1.5901534918870301E-2</v>
      </c>
      <c r="AD134" s="3">
        <f t="shared" si="46"/>
        <v>3.3287367634334715E-3</v>
      </c>
      <c r="AE134" s="3">
        <f t="shared" si="46"/>
        <v>5.3787765767084202E-10</v>
      </c>
      <c r="AF134" s="3">
        <f t="shared" si="46"/>
        <v>6.5271565566695698E-78</v>
      </c>
    </row>
    <row r="135" spans="1:33" x14ac:dyDescent="0.25">
      <c r="B135" s="3">
        <f t="shared" ref="B135:Z135" si="47">$C21*EXP(-B$129/$A21/EXP(-$B$126))</f>
        <v>2.9962799778578724E-2</v>
      </c>
      <c r="C135" s="3">
        <f t="shared" si="47"/>
        <v>2.9962799778578724E-2</v>
      </c>
      <c r="D135" s="3">
        <f t="shared" si="47"/>
        <v>2.9962799778578724E-2</v>
      </c>
      <c r="E135" s="3">
        <f t="shared" si="47"/>
        <v>2.9962799778578724E-2</v>
      </c>
      <c r="F135" s="3">
        <f t="shared" si="47"/>
        <v>2.9962799778578724E-2</v>
      </c>
      <c r="G135" s="3">
        <f t="shared" si="47"/>
        <v>2.9962799778578724E-2</v>
      </c>
      <c r="H135" s="3">
        <f t="shared" si="47"/>
        <v>2.9962799778578724E-2</v>
      </c>
      <c r="I135" s="3">
        <f t="shared" si="47"/>
        <v>2.9962799778578724E-2</v>
      </c>
      <c r="J135" s="3">
        <f t="shared" si="47"/>
        <v>2.9962799778578724E-2</v>
      </c>
      <c r="K135" s="3">
        <f t="shared" si="47"/>
        <v>2.9962799778578724E-2</v>
      </c>
      <c r="L135" s="3">
        <f t="shared" si="47"/>
        <v>2.9962799778578724E-2</v>
      </c>
      <c r="M135" s="3">
        <f t="shared" si="47"/>
        <v>2.9962799778578724E-2</v>
      </c>
      <c r="N135" s="3">
        <f t="shared" si="47"/>
        <v>2.9962799778578724E-2</v>
      </c>
      <c r="O135" s="3">
        <f t="shared" si="47"/>
        <v>2.9962799778578721E-2</v>
      </c>
      <c r="P135" s="3">
        <f t="shared" si="47"/>
        <v>2.9962799778578679E-2</v>
      </c>
      <c r="Q135" s="3">
        <f t="shared" si="47"/>
        <v>2.9962799778578256E-2</v>
      </c>
      <c r="R135" s="3">
        <f t="shared" si="47"/>
        <v>2.9962799778574026E-2</v>
      </c>
      <c r="S135" s="3">
        <f t="shared" si="47"/>
        <v>2.9962799778531762E-2</v>
      </c>
      <c r="T135" s="3">
        <f t="shared" si="47"/>
        <v>2.9962799778109072E-2</v>
      </c>
      <c r="U135" s="3">
        <f t="shared" si="47"/>
        <v>2.9962799773882227E-2</v>
      </c>
      <c r="V135" s="3">
        <f t="shared" si="47"/>
        <v>2.9962799731613757E-2</v>
      </c>
      <c r="W135" s="3">
        <f t="shared" si="47"/>
        <v>2.9962799308929075E-2</v>
      </c>
      <c r="X135" s="3">
        <f t="shared" si="47"/>
        <v>2.9962795082082595E-2</v>
      </c>
      <c r="Y135" s="3">
        <f t="shared" si="47"/>
        <v>2.9962752813650545E-2</v>
      </c>
      <c r="Z135" s="3">
        <f t="shared" si="47"/>
        <v>2.9962330132609578E-2</v>
      </c>
      <c r="AA135" s="3">
        <f t="shared" ref="AA135" si="48">$C21*EXP(-AA$129/$A21/EXP(-$B$126))</f>
        <v>2.9958103650135209E-2</v>
      </c>
      <c r="AB135" s="3">
        <f t="shared" si="46"/>
        <v>2.9915871601808631E-2</v>
      </c>
      <c r="AC135" s="3">
        <f t="shared" si="46"/>
        <v>2.9496811716695374E-2</v>
      </c>
      <c r="AD135" s="3">
        <f t="shared" si="46"/>
        <v>2.561587707599234E-2</v>
      </c>
      <c r="AE135" s="3">
        <f t="shared" si="46"/>
        <v>6.2495791888940635E-3</v>
      </c>
      <c r="AF135" s="3">
        <f t="shared" si="46"/>
        <v>4.6694553220519633E-9</v>
      </c>
    </row>
    <row r="136" spans="1:33" x14ac:dyDescent="0.25">
      <c r="B136" s="3">
        <f t="shared" ref="B136:Z136" si="49">$C22*EXP(-B$129/$A22/EXP(-$B$126))</f>
        <v>3.3253137152511318E-2</v>
      </c>
      <c r="C136" s="3">
        <f t="shared" si="49"/>
        <v>3.3253137152511318E-2</v>
      </c>
      <c r="D136" s="3">
        <f t="shared" si="49"/>
        <v>3.3253137152511318E-2</v>
      </c>
      <c r="E136" s="3">
        <f t="shared" si="49"/>
        <v>3.3253137152511318E-2</v>
      </c>
      <c r="F136" s="3">
        <f t="shared" si="49"/>
        <v>3.3253137152511318E-2</v>
      </c>
      <c r="G136" s="3">
        <f t="shared" si="49"/>
        <v>3.3253137152511318E-2</v>
      </c>
      <c r="H136" s="3">
        <f t="shared" si="49"/>
        <v>3.3253137152511318E-2</v>
      </c>
      <c r="I136" s="3">
        <f t="shared" si="49"/>
        <v>3.3253137152511318E-2</v>
      </c>
      <c r="J136" s="3">
        <f t="shared" si="49"/>
        <v>3.3253137152511318E-2</v>
      </c>
      <c r="K136" s="3">
        <f t="shared" si="49"/>
        <v>3.3253137152511318E-2</v>
      </c>
      <c r="L136" s="3">
        <f t="shared" si="49"/>
        <v>3.3253137152511318E-2</v>
      </c>
      <c r="M136" s="3">
        <f t="shared" si="49"/>
        <v>3.3253137152511318E-2</v>
      </c>
      <c r="N136" s="3">
        <f t="shared" si="49"/>
        <v>3.3253137152511318E-2</v>
      </c>
      <c r="O136" s="3">
        <f t="shared" si="49"/>
        <v>3.3253137152511318E-2</v>
      </c>
      <c r="P136" s="3">
        <f t="shared" si="49"/>
        <v>3.3253137152511311E-2</v>
      </c>
      <c r="Q136" s="3">
        <f t="shared" si="49"/>
        <v>3.325313715251127E-2</v>
      </c>
      <c r="R136" s="3">
        <f t="shared" si="49"/>
        <v>3.3253137152510846E-2</v>
      </c>
      <c r="S136" s="3">
        <f t="shared" si="49"/>
        <v>3.3253137152506614E-2</v>
      </c>
      <c r="T136" s="3">
        <f t="shared" si="49"/>
        <v>3.32531371524643E-2</v>
      </c>
      <c r="U136" s="3">
        <f t="shared" si="49"/>
        <v>3.3253137152041132E-2</v>
      </c>
      <c r="V136" s="3">
        <f t="shared" si="49"/>
        <v>3.3253137147809447E-2</v>
      </c>
      <c r="W136" s="3">
        <f t="shared" si="49"/>
        <v>3.3253137105492596E-2</v>
      </c>
      <c r="X136" s="3">
        <f t="shared" si="49"/>
        <v>3.3253136682324096E-2</v>
      </c>
      <c r="Y136" s="3">
        <f t="shared" si="49"/>
        <v>3.3253132450639399E-2</v>
      </c>
      <c r="Z136" s="3">
        <f t="shared" si="49"/>
        <v>3.325309013382205E-2</v>
      </c>
      <c r="AA136" s="3">
        <f t="shared" ref="AA136" si="50">$C22*EXP(-AA$129/$A22/EXP(-$B$126))</f>
        <v>3.3252666968610366E-2</v>
      </c>
      <c r="AB136" s="3">
        <f t="shared" si="46"/>
        <v>3.3248435612658715E-2</v>
      </c>
      <c r="AC136" s="3">
        <f t="shared" si="46"/>
        <v>3.320615165572114E-2</v>
      </c>
      <c r="AD136" s="3">
        <f t="shared" si="46"/>
        <v>3.2786258453193495E-2</v>
      </c>
      <c r="AE136" s="3">
        <f t="shared" si="46"/>
        <v>2.8868549852614396E-2</v>
      </c>
      <c r="AF136" s="3">
        <f t="shared" si="46"/>
        <v>8.0864158936231872E-3</v>
      </c>
    </row>
    <row r="137" spans="1:33" x14ac:dyDescent="0.25">
      <c r="B137" s="3">
        <f t="shared" ref="B137:Z137" si="51">$C23*EXP(-B$129/$A23/EXP(-$B$126))</f>
        <v>3.5952334962287925E-2</v>
      </c>
      <c r="C137" s="3">
        <f t="shared" si="51"/>
        <v>3.5952334962287925E-2</v>
      </c>
      <c r="D137" s="3">
        <f t="shared" si="51"/>
        <v>3.5952334962287925E-2</v>
      </c>
      <c r="E137" s="3">
        <f t="shared" si="51"/>
        <v>3.5952334962287925E-2</v>
      </c>
      <c r="F137" s="3">
        <f t="shared" si="51"/>
        <v>3.5952334962287925E-2</v>
      </c>
      <c r="G137" s="3">
        <f t="shared" si="51"/>
        <v>3.5952334962287925E-2</v>
      </c>
      <c r="H137" s="3">
        <f t="shared" si="51"/>
        <v>3.5952334962287925E-2</v>
      </c>
      <c r="I137" s="3">
        <f t="shared" si="51"/>
        <v>3.5952334962287925E-2</v>
      </c>
      <c r="J137" s="3">
        <f t="shared" si="51"/>
        <v>3.5952334962287925E-2</v>
      </c>
      <c r="K137" s="3">
        <f t="shared" si="51"/>
        <v>3.5952334962287925E-2</v>
      </c>
      <c r="L137" s="3">
        <f t="shared" si="51"/>
        <v>3.5952334962287925E-2</v>
      </c>
      <c r="M137" s="3">
        <f t="shared" si="51"/>
        <v>3.5952334962287925E-2</v>
      </c>
      <c r="N137" s="3">
        <f t="shared" si="51"/>
        <v>3.5952334962287925E-2</v>
      </c>
      <c r="O137" s="3">
        <f t="shared" si="51"/>
        <v>3.5952334962287925E-2</v>
      </c>
      <c r="P137" s="3">
        <f t="shared" si="51"/>
        <v>3.5952334962287925E-2</v>
      </c>
      <c r="Q137" s="3">
        <f t="shared" si="51"/>
        <v>3.5952334962287918E-2</v>
      </c>
      <c r="R137" s="3">
        <f t="shared" si="51"/>
        <v>3.5952334962287884E-2</v>
      </c>
      <c r="S137" s="3">
        <f t="shared" si="51"/>
        <v>3.5952334962287467E-2</v>
      </c>
      <c r="T137" s="3">
        <f t="shared" si="51"/>
        <v>3.5952334962283339E-2</v>
      </c>
      <c r="U137" s="3">
        <f t="shared" si="51"/>
        <v>3.5952334962242066E-2</v>
      </c>
      <c r="V137" s="3">
        <f t="shared" si="51"/>
        <v>3.5952334961829348E-2</v>
      </c>
      <c r="W137" s="3">
        <f t="shared" si="51"/>
        <v>3.5952334957702156E-2</v>
      </c>
      <c r="X137" s="3">
        <f t="shared" si="51"/>
        <v>3.5952334916430267E-2</v>
      </c>
      <c r="Y137" s="3">
        <f t="shared" si="51"/>
        <v>3.5952334503711325E-2</v>
      </c>
      <c r="Z137" s="3">
        <f t="shared" si="51"/>
        <v>3.5952330376522179E-2</v>
      </c>
      <c r="AA137" s="3">
        <f t="shared" ref="AA137" si="52">$C23*EXP(-AA$129/$A23/EXP(-$B$126))</f>
        <v>3.5952289104656761E-2</v>
      </c>
      <c r="AB137" s="3">
        <f t="shared" si="46"/>
        <v>3.5951876388608396E-2</v>
      </c>
      <c r="AC137" s="3">
        <f t="shared" si="46"/>
        <v>3.5947749488694475E-2</v>
      </c>
      <c r="AD137" s="3">
        <f t="shared" si="46"/>
        <v>3.5906506535460167E-2</v>
      </c>
      <c r="AE137" s="3">
        <f t="shared" si="46"/>
        <v>3.5496670564615938E-2</v>
      </c>
      <c r="AF137" s="3">
        <f t="shared" si="46"/>
        <v>3.1646981118446105E-2</v>
      </c>
    </row>
    <row r="138" spans="1:33" x14ac:dyDescent="0.25">
      <c r="B138" s="3">
        <f t="shared" ref="B138:Z138" si="53">$C24*EXP(-B$129/$A24/EXP(-$B$126))</f>
        <v>4.1559944347360683E-2</v>
      </c>
      <c r="C138" s="3">
        <f t="shared" si="53"/>
        <v>4.1559944347360683E-2</v>
      </c>
      <c r="D138" s="3">
        <f t="shared" si="53"/>
        <v>4.1559944347360683E-2</v>
      </c>
      <c r="E138" s="3">
        <f t="shared" si="53"/>
        <v>4.1559944347360683E-2</v>
      </c>
      <c r="F138" s="3">
        <f t="shared" si="53"/>
        <v>4.1559944347360683E-2</v>
      </c>
      <c r="G138" s="3">
        <f t="shared" si="53"/>
        <v>4.1559944347360683E-2</v>
      </c>
      <c r="H138" s="3">
        <f t="shared" si="53"/>
        <v>4.1559944347360683E-2</v>
      </c>
      <c r="I138" s="3">
        <f t="shared" si="53"/>
        <v>4.1559944347360683E-2</v>
      </c>
      <c r="J138" s="3">
        <f t="shared" si="53"/>
        <v>4.1559944347360683E-2</v>
      </c>
      <c r="K138" s="3">
        <f t="shared" si="53"/>
        <v>4.1559944347360683E-2</v>
      </c>
      <c r="L138" s="3">
        <f t="shared" si="53"/>
        <v>4.1559944347360683E-2</v>
      </c>
      <c r="M138" s="3">
        <f t="shared" si="53"/>
        <v>4.1559944347360683E-2</v>
      </c>
      <c r="N138" s="3">
        <f t="shared" si="53"/>
        <v>4.1559944347360683E-2</v>
      </c>
      <c r="O138" s="3">
        <f t="shared" si="53"/>
        <v>4.1559944347360683E-2</v>
      </c>
      <c r="P138" s="3">
        <f t="shared" si="53"/>
        <v>4.1559944347360683E-2</v>
      </c>
      <c r="Q138" s="3">
        <f t="shared" si="53"/>
        <v>4.1559944347360683E-2</v>
      </c>
      <c r="R138" s="3">
        <f t="shared" si="53"/>
        <v>4.1559944347360676E-2</v>
      </c>
      <c r="S138" s="3">
        <f t="shared" si="53"/>
        <v>4.1559944347360635E-2</v>
      </c>
      <c r="T138" s="3">
        <f t="shared" si="53"/>
        <v>4.1559944347360205E-2</v>
      </c>
      <c r="U138" s="3">
        <f t="shared" si="53"/>
        <v>4.1559944347355902E-2</v>
      </c>
      <c r="V138" s="3">
        <f t="shared" si="53"/>
        <v>4.155994434731286E-2</v>
      </c>
      <c r="W138" s="3">
        <f t="shared" si="53"/>
        <v>4.1559944346882483E-2</v>
      </c>
      <c r="X138" s="3">
        <f t="shared" si="53"/>
        <v>4.1559944342578717E-2</v>
      </c>
      <c r="Y138" s="3">
        <f t="shared" si="53"/>
        <v>4.1559944299541039E-2</v>
      </c>
      <c r="Z138" s="3">
        <f t="shared" si="53"/>
        <v>4.1559943869164243E-2</v>
      </c>
      <c r="AA138" s="3">
        <f t="shared" ref="AA138" si="54">$C24*EXP(-AA$129/$A24/EXP(-$B$126))</f>
        <v>4.1559939565396532E-2</v>
      </c>
      <c r="AB138" s="3">
        <f t="shared" si="46"/>
        <v>4.1559896527743952E-2</v>
      </c>
      <c r="AC138" s="3">
        <f t="shared" si="46"/>
        <v>4.1559466153669372E-2</v>
      </c>
      <c r="AD138" s="3">
        <f t="shared" si="46"/>
        <v>4.1555162658036854E-2</v>
      </c>
      <c r="AE138" s="3">
        <f t="shared" si="46"/>
        <v>4.1512152203656401E-2</v>
      </c>
      <c r="AF138" s="3">
        <f t="shared" si="46"/>
        <v>4.108448849220369E-2</v>
      </c>
    </row>
    <row r="139" spans="1:33" x14ac:dyDescent="0.25">
      <c r="B139" s="3">
        <f t="shared" ref="B139:Z139" si="55">$C25*EXP(-B$129/$A25/EXP(-$B$126))</f>
        <v>4.609677170559115E-2</v>
      </c>
      <c r="C139" s="3">
        <f t="shared" si="55"/>
        <v>4.609677170559115E-2</v>
      </c>
      <c r="D139" s="3">
        <f t="shared" si="55"/>
        <v>4.609677170559115E-2</v>
      </c>
      <c r="E139" s="3">
        <f t="shared" si="55"/>
        <v>4.609677170559115E-2</v>
      </c>
      <c r="F139" s="3">
        <f t="shared" si="55"/>
        <v>4.609677170559115E-2</v>
      </c>
      <c r="G139" s="3">
        <f t="shared" si="55"/>
        <v>4.609677170559115E-2</v>
      </c>
      <c r="H139" s="3">
        <f t="shared" si="55"/>
        <v>4.609677170559115E-2</v>
      </c>
      <c r="I139" s="3">
        <f t="shared" si="55"/>
        <v>4.609677170559115E-2</v>
      </c>
      <c r="J139" s="3">
        <f t="shared" si="55"/>
        <v>4.609677170559115E-2</v>
      </c>
      <c r="K139" s="3">
        <f t="shared" si="55"/>
        <v>4.609677170559115E-2</v>
      </c>
      <c r="L139" s="3">
        <f t="shared" si="55"/>
        <v>4.609677170559115E-2</v>
      </c>
      <c r="M139" s="3">
        <f t="shared" si="55"/>
        <v>4.609677170559115E-2</v>
      </c>
      <c r="N139" s="3">
        <f t="shared" si="55"/>
        <v>4.609677170559115E-2</v>
      </c>
      <c r="O139" s="3">
        <f t="shared" si="55"/>
        <v>4.609677170559115E-2</v>
      </c>
      <c r="P139" s="3">
        <f t="shared" si="55"/>
        <v>4.609677170559115E-2</v>
      </c>
      <c r="Q139" s="3">
        <f t="shared" si="55"/>
        <v>4.609677170559115E-2</v>
      </c>
      <c r="R139" s="3">
        <f t="shared" si="55"/>
        <v>4.609677170559115E-2</v>
      </c>
      <c r="S139" s="3">
        <f t="shared" si="55"/>
        <v>4.6096771705591143E-2</v>
      </c>
      <c r="T139" s="3">
        <f t="shared" si="55"/>
        <v>4.6096771705591101E-2</v>
      </c>
      <c r="U139" s="3">
        <f t="shared" si="55"/>
        <v>4.6096771705590671E-2</v>
      </c>
      <c r="V139" s="3">
        <f t="shared" si="55"/>
        <v>4.6096771705586362E-2</v>
      </c>
      <c r="W139" s="3">
        <f t="shared" si="55"/>
        <v>4.6096771705543306E-2</v>
      </c>
      <c r="X139" s="3">
        <f t="shared" si="55"/>
        <v>4.6096771705112685E-2</v>
      </c>
      <c r="Y139" s="3">
        <f t="shared" si="55"/>
        <v>4.6096771700806519E-2</v>
      </c>
      <c r="Z139" s="3">
        <f t="shared" si="55"/>
        <v>4.6096771657744832E-2</v>
      </c>
      <c r="AA139" s="3">
        <f t="shared" ref="AA139" si="56">$C25*EXP(-AA$129/$A25/EXP(-$B$126))</f>
        <v>4.6096771227128013E-2</v>
      </c>
      <c r="AB139" s="3">
        <f t="shared" si="46"/>
        <v>4.609676692096E-2</v>
      </c>
      <c r="AC139" s="3">
        <f t="shared" si="46"/>
        <v>4.6096723859301997E-2</v>
      </c>
      <c r="AD139" s="3">
        <f t="shared" si="46"/>
        <v>4.609629324493441E-2</v>
      </c>
      <c r="AE139" s="3">
        <f t="shared" si="46"/>
        <v>4.609198732249542E-2</v>
      </c>
      <c r="AF139" s="3">
        <f t="shared" si="46"/>
        <v>4.6048950214146844E-2</v>
      </c>
    </row>
    <row r="140" spans="1:33" x14ac:dyDescent="0.25">
      <c r="B140" s="3">
        <f t="shared" ref="B140:Z140" si="57">$C26*EXP(-B$129/$A26/EXP(-$B$126))</f>
        <v>5.5576139774485327E-2</v>
      </c>
      <c r="C140" s="3">
        <f t="shared" si="57"/>
        <v>5.5576139774485327E-2</v>
      </c>
      <c r="D140" s="3">
        <f t="shared" si="57"/>
        <v>5.5576139774485327E-2</v>
      </c>
      <c r="E140" s="3">
        <f t="shared" si="57"/>
        <v>5.5576139774485327E-2</v>
      </c>
      <c r="F140" s="3">
        <f t="shared" si="57"/>
        <v>5.5576139774485327E-2</v>
      </c>
      <c r="G140" s="3">
        <f t="shared" si="57"/>
        <v>5.5576139774485327E-2</v>
      </c>
      <c r="H140" s="3">
        <f t="shared" si="57"/>
        <v>5.5576139774485327E-2</v>
      </c>
      <c r="I140" s="3">
        <f t="shared" si="57"/>
        <v>5.5576139774485327E-2</v>
      </c>
      <c r="J140" s="3">
        <f t="shared" si="57"/>
        <v>5.5576139774485327E-2</v>
      </c>
      <c r="K140" s="3">
        <f t="shared" si="57"/>
        <v>5.5576139774485327E-2</v>
      </c>
      <c r="L140" s="3">
        <f t="shared" si="57"/>
        <v>5.5576139774485327E-2</v>
      </c>
      <c r="M140" s="3">
        <f t="shared" si="57"/>
        <v>5.5576139774485327E-2</v>
      </c>
      <c r="N140" s="3">
        <f t="shared" si="57"/>
        <v>5.5576139774485327E-2</v>
      </c>
      <c r="O140" s="3">
        <f t="shared" si="57"/>
        <v>5.5576139774485327E-2</v>
      </c>
      <c r="P140" s="3">
        <f t="shared" si="57"/>
        <v>5.5576139774485327E-2</v>
      </c>
      <c r="Q140" s="3">
        <f t="shared" si="57"/>
        <v>5.5576139774485327E-2</v>
      </c>
      <c r="R140" s="3">
        <f t="shared" si="57"/>
        <v>5.5576139774485327E-2</v>
      </c>
      <c r="S140" s="3">
        <f t="shared" si="57"/>
        <v>5.5576139774485327E-2</v>
      </c>
      <c r="T140" s="3">
        <f t="shared" si="57"/>
        <v>5.557613977448532E-2</v>
      </c>
      <c r="U140" s="3">
        <f t="shared" si="57"/>
        <v>5.5576139774485278E-2</v>
      </c>
      <c r="V140" s="3">
        <f t="shared" si="57"/>
        <v>5.5576139774484806E-2</v>
      </c>
      <c r="W140" s="3">
        <f t="shared" si="57"/>
        <v>5.5576139774480122E-2</v>
      </c>
      <c r="X140" s="3">
        <f t="shared" si="57"/>
        <v>5.5576139774433285E-2</v>
      </c>
      <c r="Y140" s="3">
        <f t="shared" si="57"/>
        <v>5.5576139773964958E-2</v>
      </c>
      <c r="Z140" s="3">
        <f t="shared" si="57"/>
        <v>5.5576139769281614E-2</v>
      </c>
      <c r="AA140" s="3">
        <f t="shared" ref="AA140" si="58">$C26*EXP(-AA$129/$A26/EXP(-$B$126))</f>
        <v>5.5576139722448244E-2</v>
      </c>
      <c r="AB140" s="3">
        <f t="shared" si="46"/>
        <v>5.5576139254114504E-2</v>
      </c>
      <c r="AC140" s="3">
        <f t="shared" si="46"/>
        <v>5.5576134570777272E-2</v>
      </c>
      <c r="AD140" s="3">
        <f t="shared" si="46"/>
        <v>5.5576087737426713E-2</v>
      </c>
      <c r="AE140" s="3">
        <f t="shared" si="46"/>
        <v>5.5575619406091743E-2</v>
      </c>
      <c r="AF140" s="3">
        <f t="shared" si="46"/>
        <v>5.557093630979721E-2</v>
      </c>
    </row>
    <row r="141" spans="1:33" x14ac:dyDescent="0.25">
      <c r="B141" s="3">
        <f t="shared" ref="B141:Z141" si="59">$C27*EXP(-B$129/$A27/EXP(-$B$126))</f>
        <v>6.5368051844924516E-2</v>
      </c>
      <c r="C141" s="3">
        <f t="shared" si="59"/>
        <v>6.5368051844924516E-2</v>
      </c>
      <c r="D141" s="3">
        <f t="shared" si="59"/>
        <v>6.5368051844924516E-2</v>
      </c>
      <c r="E141" s="3">
        <f t="shared" si="59"/>
        <v>6.5368051844924516E-2</v>
      </c>
      <c r="F141" s="3">
        <f t="shared" si="59"/>
        <v>6.5368051844924516E-2</v>
      </c>
      <c r="G141" s="3">
        <f t="shared" si="59"/>
        <v>6.5368051844924516E-2</v>
      </c>
      <c r="H141" s="3">
        <f t="shared" si="59"/>
        <v>6.5368051844924516E-2</v>
      </c>
      <c r="I141" s="3">
        <f t="shared" si="59"/>
        <v>6.5368051844924516E-2</v>
      </c>
      <c r="J141" s="3">
        <f t="shared" si="59"/>
        <v>6.5368051844924516E-2</v>
      </c>
      <c r="K141" s="3">
        <f t="shared" si="59"/>
        <v>6.5368051844924516E-2</v>
      </c>
      <c r="L141" s="3">
        <f t="shared" si="59"/>
        <v>6.5368051844924516E-2</v>
      </c>
      <c r="M141" s="3">
        <f t="shared" si="59"/>
        <v>6.5368051844924516E-2</v>
      </c>
      <c r="N141" s="3">
        <f t="shared" si="59"/>
        <v>6.5368051844924516E-2</v>
      </c>
      <c r="O141" s="3">
        <f t="shared" si="59"/>
        <v>6.5368051844924516E-2</v>
      </c>
      <c r="P141" s="3">
        <f t="shared" si="59"/>
        <v>6.5368051844924516E-2</v>
      </c>
      <c r="Q141" s="3">
        <f t="shared" si="59"/>
        <v>6.5368051844924516E-2</v>
      </c>
      <c r="R141" s="3">
        <f t="shared" si="59"/>
        <v>6.5368051844924516E-2</v>
      </c>
      <c r="S141" s="3">
        <f t="shared" si="59"/>
        <v>6.5368051844924516E-2</v>
      </c>
      <c r="T141" s="3">
        <f t="shared" si="59"/>
        <v>6.5368051844924516E-2</v>
      </c>
      <c r="U141" s="3">
        <f t="shared" si="59"/>
        <v>6.5368051844924502E-2</v>
      </c>
      <c r="V141" s="3">
        <f t="shared" si="59"/>
        <v>6.536805184492446E-2</v>
      </c>
      <c r="W141" s="3">
        <f t="shared" si="59"/>
        <v>6.5368051844923961E-2</v>
      </c>
      <c r="X141" s="3">
        <f t="shared" si="59"/>
        <v>6.5368051844918992E-2</v>
      </c>
      <c r="Y141" s="3">
        <f t="shared" si="59"/>
        <v>6.5368051844869296E-2</v>
      </c>
      <c r="Z141" s="3">
        <f t="shared" si="59"/>
        <v>6.5368051844372388E-2</v>
      </c>
      <c r="AA141" s="3">
        <f t="shared" ref="AA141" si="60">$C27*EXP(-AA$129/$A27/EXP(-$B$126))</f>
        <v>6.5368051839403279E-2</v>
      </c>
      <c r="AB141" s="3">
        <f t="shared" si="46"/>
        <v>6.5368051789712112E-2</v>
      </c>
      <c r="AC141" s="3">
        <f t="shared" si="46"/>
        <v>6.5368051292800419E-2</v>
      </c>
      <c r="AD141" s="3">
        <f t="shared" si="46"/>
        <v>6.5368046323683829E-2</v>
      </c>
      <c r="AE141" s="3">
        <f t="shared" si="46"/>
        <v>6.5367996632538616E-2</v>
      </c>
      <c r="AF141" s="3">
        <f t="shared" si="46"/>
        <v>6.536749972316401E-2</v>
      </c>
    </row>
    <row r="142" spans="1:33" x14ac:dyDescent="0.25">
      <c r="B142" s="3">
        <f t="shared" ref="B142:Z142" si="61">$C28*EXP(-B$129/$A28/EXP(-$B$126))</f>
        <v>6.6907973989911038E-2</v>
      </c>
      <c r="C142" s="3">
        <f t="shared" si="61"/>
        <v>6.6907973989911038E-2</v>
      </c>
      <c r="D142" s="3">
        <f t="shared" si="61"/>
        <v>6.6907973989911038E-2</v>
      </c>
      <c r="E142" s="3">
        <f t="shared" si="61"/>
        <v>6.6907973989911038E-2</v>
      </c>
      <c r="F142" s="3">
        <f t="shared" si="61"/>
        <v>6.6907973989911038E-2</v>
      </c>
      <c r="G142" s="3">
        <f t="shared" si="61"/>
        <v>6.6907973989911038E-2</v>
      </c>
      <c r="H142" s="3">
        <f t="shared" si="61"/>
        <v>6.6907973989911038E-2</v>
      </c>
      <c r="I142" s="3">
        <f t="shared" si="61"/>
        <v>6.6907973989911038E-2</v>
      </c>
      <c r="J142" s="3">
        <f t="shared" si="61"/>
        <v>6.6907973989911038E-2</v>
      </c>
      <c r="K142" s="3">
        <f t="shared" si="61"/>
        <v>6.6907973989911038E-2</v>
      </c>
      <c r="L142" s="3">
        <f t="shared" si="61"/>
        <v>6.6907973989911038E-2</v>
      </c>
      <c r="M142" s="3">
        <f t="shared" si="61"/>
        <v>6.6907973989911038E-2</v>
      </c>
      <c r="N142" s="3">
        <f t="shared" si="61"/>
        <v>6.6907973989911038E-2</v>
      </c>
      <c r="O142" s="3">
        <f t="shared" si="61"/>
        <v>6.6907973989911038E-2</v>
      </c>
      <c r="P142" s="3">
        <f t="shared" si="61"/>
        <v>6.6907973989911038E-2</v>
      </c>
      <c r="Q142" s="3">
        <f t="shared" si="61"/>
        <v>6.6907973989911038E-2</v>
      </c>
      <c r="R142" s="3">
        <f t="shared" si="61"/>
        <v>6.6907973989911038E-2</v>
      </c>
      <c r="S142" s="3">
        <f t="shared" si="61"/>
        <v>6.6907973989911038E-2</v>
      </c>
      <c r="T142" s="3">
        <f t="shared" si="61"/>
        <v>6.6907973989911038E-2</v>
      </c>
      <c r="U142" s="3">
        <f t="shared" si="61"/>
        <v>6.6907973989911038E-2</v>
      </c>
      <c r="V142" s="3">
        <f t="shared" si="61"/>
        <v>6.6907973989911024E-2</v>
      </c>
      <c r="W142" s="3">
        <f t="shared" si="61"/>
        <v>6.6907973989910982E-2</v>
      </c>
      <c r="X142" s="3">
        <f t="shared" si="61"/>
        <v>6.6907973989910524E-2</v>
      </c>
      <c r="Y142" s="3">
        <f t="shared" si="61"/>
        <v>6.6907973989905944E-2</v>
      </c>
      <c r="Z142" s="3">
        <f t="shared" si="61"/>
        <v>6.6907973989860051E-2</v>
      </c>
      <c r="AA142" s="3">
        <f t="shared" ref="AA142" si="62">$C28*EXP(-AA$129/$A28/EXP(-$B$126))</f>
        <v>6.6907973989401237E-2</v>
      </c>
      <c r="AB142" s="3">
        <f t="shared" si="46"/>
        <v>6.6907973984813088E-2</v>
      </c>
      <c r="AC142" s="3">
        <f t="shared" si="46"/>
        <v>6.6907973938931525E-2</v>
      </c>
      <c r="AD142" s="3">
        <f t="shared" si="46"/>
        <v>6.6907973480115984E-2</v>
      </c>
      <c r="AE142" s="3">
        <f t="shared" si="46"/>
        <v>6.6907968891960587E-2</v>
      </c>
      <c r="AF142" s="3">
        <f t="shared" si="46"/>
        <v>6.6907923010424003E-2</v>
      </c>
    </row>
    <row r="143" spans="1:33" x14ac:dyDescent="0.25">
      <c r="B143" s="3">
        <f t="shared" ref="B143:Z143" si="63">$C29*EXP(-B$129/$A29/EXP(-$B$126))</f>
        <v>5.3174535073566002E-2</v>
      </c>
      <c r="C143" s="3">
        <f t="shared" si="63"/>
        <v>5.3174535073566002E-2</v>
      </c>
      <c r="D143" s="3">
        <f t="shared" si="63"/>
        <v>5.3174535073566002E-2</v>
      </c>
      <c r="E143" s="3">
        <f t="shared" si="63"/>
        <v>5.3174535073566002E-2</v>
      </c>
      <c r="F143" s="3">
        <f t="shared" si="63"/>
        <v>5.3174535073566002E-2</v>
      </c>
      <c r="G143" s="3">
        <f t="shared" si="63"/>
        <v>5.3174535073566002E-2</v>
      </c>
      <c r="H143" s="3">
        <f t="shared" si="63"/>
        <v>5.3174535073566002E-2</v>
      </c>
      <c r="I143" s="3">
        <f t="shared" si="63"/>
        <v>5.3174535073566002E-2</v>
      </c>
      <c r="J143" s="3">
        <f t="shared" si="63"/>
        <v>5.3174535073566002E-2</v>
      </c>
      <c r="K143" s="3">
        <f t="shared" si="63"/>
        <v>5.3174535073566002E-2</v>
      </c>
      <c r="L143" s="3">
        <f t="shared" si="63"/>
        <v>5.3174535073566002E-2</v>
      </c>
      <c r="M143" s="3">
        <f t="shared" si="63"/>
        <v>5.3174535073566002E-2</v>
      </c>
      <c r="N143" s="3">
        <f t="shared" si="63"/>
        <v>5.3174535073566002E-2</v>
      </c>
      <c r="O143" s="3">
        <f t="shared" si="63"/>
        <v>5.3174535073566002E-2</v>
      </c>
      <c r="P143" s="3">
        <f t="shared" si="63"/>
        <v>5.3174535073566002E-2</v>
      </c>
      <c r="Q143" s="3">
        <f t="shared" si="63"/>
        <v>5.3174535073566002E-2</v>
      </c>
      <c r="R143" s="3">
        <f t="shared" si="63"/>
        <v>5.3174535073566002E-2</v>
      </c>
      <c r="S143" s="3">
        <f t="shared" si="63"/>
        <v>5.3174535073566002E-2</v>
      </c>
      <c r="T143" s="3">
        <f t="shared" si="63"/>
        <v>5.3174535073566002E-2</v>
      </c>
      <c r="U143" s="3">
        <f t="shared" si="63"/>
        <v>5.3174535073566002E-2</v>
      </c>
      <c r="V143" s="3">
        <f t="shared" si="63"/>
        <v>5.3174535073566002E-2</v>
      </c>
      <c r="W143" s="3">
        <f t="shared" si="63"/>
        <v>5.3174535073565996E-2</v>
      </c>
      <c r="X143" s="3">
        <f t="shared" si="63"/>
        <v>5.3174535073565968E-2</v>
      </c>
      <c r="Y143" s="3">
        <f t="shared" si="63"/>
        <v>5.3174535073565635E-2</v>
      </c>
      <c r="Z143" s="3">
        <f t="shared" si="63"/>
        <v>5.3174535073562346E-2</v>
      </c>
      <c r="AA143" s="3">
        <f t="shared" ref="AA143" si="64">$C29*EXP(-AA$129/$A29/EXP(-$B$126))</f>
        <v>5.3174535073529455E-2</v>
      </c>
      <c r="AB143" s="3">
        <f t="shared" si="46"/>
        <v>5.3174535073200517E-2</v>
      </c>
      <c r="AC143" s="3">
        <f t="shared" si="46"/>
        <v>5.3174535069911169E-2</v>
      </c>
      <c r="AD143" s="3">
        <f t="shared" si="46"/>
        <v>5.3174535037017627E-2</v>
      </c>
      <c r="AE143" s="3">
        <f t="shared" si="46"/>
        <v>5.3174534708082283E-2</v>
      </c>
      <c r="AF143" s="3">
        <f t="shared" si="46"/>
        <v>5.3174531418728903E-2</v>
      </c>
    </row>
    <row r="144" spans="1:33" x14ac:dyDescent="0.25">
      <c r="B144" s="3">
        <f t="shared" ref="B144:Z144" si="65">$C30*EXP(-B$129/$A30/EXP(-$B$126))</f>
        <v>3.2923061735419888E-2</v>
      </c>
      <c r="C144" s="3">
        <f t="shared" si="65"/>
        <v>3.2923061735419888E-2</v>
      </c>
      <c r="D144" s="3">
        <f t="shared" si="65"/>
        <v>3.2923061735419888E-2</v>
      </c>
      <c r="E144" s="3">
        <f t="shared" si="65"/>
        <v>3.2923061735419888E-2</v>
      </c>
      <c r="F144" s="3">
        <f t="shared" si="65"/>
        <v>3.2923061735419888E-2</v>
      </c>
      <c r="G144" s="3">
        <f t="shared" si="65"/>
        <v>3.2923061735419888E-2</v>
      </c>
      <c r="H144" s="3">
        <f t="shared" si="65"/>
        <v>3.2923061735419888E-2</v>
      </c>
      <c r="I144" s="3">
        <f t="shared" si="65"/>
        <v>3.2923061735419888E-2</v>
      </c>
      <c r="J144" s="3">
        <f t="shared" si="65"/>
        <v>3.2923061735419888E-2</v>
      </c>
      <c r="K144" s="3">
        <f t="shared" si="65"/>
        <v>3.2923061735419888E-2</v>
      </c>
      <c r="L144" s="3">
        <f t="shared" si="65"/>
        <v>3.2923061735419888E-2</v>
      </c>
      <c r="M144" s="3">
        <f t="shared" si="65"/>
        <v>3.2923061735419888E-2</v>
      </c>
      <c r="N144" s="3">
        <f t="shared" si="65"/>
        <v>3.2923061735419888E-2</v>
      </c>
      <c r="O144" s="3">
        <f t="shared" si="65"/>
        <v>3.2923061735419888E-2</v>
      </c>
      <c r="P144" s="3">
        <f t="shared" si="65"/>
        <v>3.2923061735419888E-2</v>
      </c>
      <c r="Q144" s="3">
        <f t="shared" si="65"/>
        <v>3.2923061735419888E-2</v>
      </c>
      <c r="R144" s="3">
        <f t="shared" si="65"/>
        <v>3.2923061735419888E-2</v>
      </c>
      <c r="S144" s="3">
        <f t="shared" si="65"/>
        <v>3.2923061735419888E-2</v>
      </c>
      <c r="T144" s="3">
        <f t="shared" si="65"/>
        <v>3.2923061735419888E-2</v>
      </c>
      <c r="U144" s="3">
        <f t="shared" si="65"/>
        <v>3.2923061735419888E-2</v>
      </c>
      <c r="V144" s="3">
        <f t="shared" si="65"/>
        <v>3.2923061735419888E-2</v>
      </c>
      <c r="W144" s="3">
        <f t="shared" si="65"/>
        <v>3.2923061735419888E-2</v>
      </c>
      <c r="X144" s="3">
        <f t="shared" si="65"/>
        <v>3.2923061735419881E-2</v>
      </c>
      <c r="Y144" s="3">
        <f t="shared" si="65"/>
        <v>3.2923061735419867E-2</v>
      </c>
      <c r="Z144" s="3">
        <f t="shared" si="65"/>
        <v>3.2923061735419687E-2</v>
      </c>
      <c r="AA144" s="3">
        <f t="shared" ref="AA144" si="66">$C30*EXP(-AA$129/$A30/EXP(-$B$126))</f>
        <v>3.2923061735417848E-2</v>
      </c>
      <c r="AB144" s="3">
        <f t="shared" ref="AB144:AF153" si="67">$C30*EXP(-AB$129/$A30/EXP(-$B$126))</f>
        <v>3.2923061735399474E-2</v>
      </c>
      <c r="AC144" s="3">
        <f t="shared" si="67"/>
        <v>3.292306173521576E-2</v>
      </c>
      <c r="AD144" s="3">
        <f t="shared" si="67"/>
        <v>3.292306173337857E-2</v>
      </c>
      <c r="AE144" s="3">
        <f t="shared" si="67"/>
        <v>3.2923061715006682E-2</v>
      </c>
      <c r="AF144" s="3">
        <f t="shared" si="67"/>
        <v>3.2923061531287864E-2</v>
      </c>
    </row>
    <row r="145" spans="1:32" x14ac:dyDescent="0.25">
      <c r="B145" s="3">
        <f t="shared" ref="B145:Z145" si="68">$C31*EXP(-B$129/$A31/EXP(-$B$126))</f>
        <v>1.6325787748200139E-2</v>
      </c>
      <c r="C145" s="3">
        <f t="shared" si="68"/>
        <v>1.6325787748200139E-2</v>
      </c>
      <c r="D145" s="3">
        <f t="shared" si="68"/>
        <v>1.6325787748200139E-2</v>
      </c>
      <c r="E145" s="3">
        <f t="shared" si="68"/>
        <v>1.6325787748200139E-2</v>
      </c>
      <c r="F145" s="3">
        <f t="shared" si="68"/>
        <v>1.6325787748200139E-2</v>
      </c>
      <c r="G145" s="3">
        <f t="shared" si="68"/>
        <v>1.6325787748200139E-2</v>
      </c>
      <c r="H145" s="3">
        <f t="shared" si="68"/>
        <v>1.6325787748200139E-2</v>
      </c>
      <c r="I145" s="3">
        <f t="shared" si="68"/>
        <v>1.6325787748200139E-2</v>
      </c>
      <c r="J145" s="3">
        <f t="shared" si="68"/>
        <v>1.6325787748200139E-2</v>
      </c>
      <c r="K145" s="3">
        <f t="shared" si="68"/>
        <v>1.6325787748200139E-2</v>
      </c>
      <c r="L145" s="3">
        <f t="shared" si="68"/>
        <v>1.6325787748200139E-2</v>
      </c>
      <c r="M145" s="3">
        <f t="shared" si="68"/>
        <v>1.6325787748200139E-2</v>
      </c>
      <c r="N145" s="3">
        <f t="shared" si="68"/>
        <v>1.6325787748200139E-2</v>
      </c>
      <c r="O145" s="3">
        <f t="shared" si="68"/>
        <v>1.6325787748200139E-2</v>
      </c>
      <c r="P145" s="3">
        <f t="shared" si="68"/>
        <v>1.6325787748200139E-2</v>
      </c>
      <c r="Q145" s="3">
        <f t="shared" si="68"/>
        <v>1.6325787748200139E-2</v>
      </c>
      <c r="R145" s="3">
        <f t="shared" si="68"/>
        <v>1.6325787748200139E-2</v>
      </c>
      <c r="S145" s="3">
        <f t="shared" si="68"/>
        <v>1.6325787748200139E-2</v>
      </c>
      <c r="T145" s="3">
        <f t="shared" si="68"/>
        <v>1.6325787748200139E-2</v>
      </c>
      <c r="U145" s="3">
        <f t="shared" si="68"/>
        <v>1.6325787748200139E-2</v>
      </c>
      <c r="V145" s="3">
        <f t="shared" si="68"/>
        <v>1.6325787748200139E-2</v>
      </c>
      <c r="W145" s="3">
        <f t="shared" si="68"/>
        <v>1.6325787748200139E-2</v>
      </c>
      <c r="X145" s="3">
        <f t="shared" si="68"/>
        <v>1.6325787748200139E-2</v>
      </c>
      <c r="Y145" s="3">
        <f t="shared" si="68"/>
        <v>1.6325787748200135E-2</v>
      </c>
      <c r="Z145" s="3">
        <f t="shared" si="68"/>
        <v>1.6325787748200128E-2</v>
      </c>
      <c r="AA145" s="3">
        <f t="shared" ref="AA145" si="69">$C31*EXP(-AA$129/$A31/EXP(-$B$126))</f>
        <v>1.6325787748200048E-2</v>
      </c>
      <c r="AB145" s="3">
        <f t="shared" si="67"/>
        <v>1.6325787748199226E-2</v>
      </c>
      <c r="AC145" s="3">
        <f t="shared" si="67"/>
        <v>1.6325787748191007E-2</v>
      </c>
      <c r="AD145" s="3">
        <f t="shared" si="67"/>
        <v>1.6325787748108826E-2</v>
      </c>
      <c r="AE145" s="3">
        <f t="shared" si="67"/>
        <v>1.6325787747287011E-2</v>
      </c>
      <c r="AF145" s="3">
        <f t="shared" si="67"/>
        <v>1.632578773906886E-2</v>
      </c>
    </row>
    <row r="146" spans="1:32" x14ac:dyDescent="0.25">
      <c r="B146" s="3">
        <f t="shared" ref="B146:Z146" si="70">$C32*EXP(-B$129/$A32/EXP(-$B$126))</f>
        <v>7.8974635041155969E-3</v>
      </c>
      <c r="C146" s="3">
        <f t="shared" si="70"/>
        <v>7.8974635041155969E-3</v>
      </c>
      <c r="D146" s="3">
        <f t="shared" si="70"/>
        <v>7.8974635041155969E-3</v>
      </c>
      <c r="E146" s="3">
        <f t="shared" si="70"/>
        <v>7.8974635041155969E-3</v>
      </c>
      <c r="F146" s="3">
        <f t="shared" si="70"/>
        <v>7.8974635041155969E-3</v>
      </c>
      <c r="G146" s="3">
        <f t="shared" si="70"/>
        <v>7.8974635041155969E-3</v>
      </c>
      <c r="H146" s="3">
        <f t="shared" si="70"/>
        <v>7.8974635041155969E-3</v>
      </c>
      <c r="I146" s="3">
        <f t="shared" si="70"/>
        <v>7.8974635041155969E-3</v>
      </c>
      <c r="J146" s="3">
        <f t="shared" si="70"/>
        <v>7.8974635041155969E-3</v>
      </c>
      <c r="K146" s="3">
        <f t="shared" si="70"/>
        <v>7.8974635041155969E-3</v>
      </c>
      <c r="L146" s="3">
        <f t="shared" si="70"/>
        <v>7.8974635041155969E-3</v>
      </c>
      <c r="M146" s="3">
        <f t="shared" si="70"/>
        <v>7.8974635041155969E-3</v>
      </c>
      <c r="N146" s="3">
        <f t="shared" si="70"/>
        <v>7.8974635041155969E-3</v>
      </c>
      <c r="O146" s="3">
        <f t="shared" si="70"/>
        <v>7.8974635041155969E-3</v>
      </c>
      <c r="P146" s="3">
        <f t="shared" si="70"/>
        <v>7.8974635041155969E-3</v>
      </c>
      <c r="Q146" s="3">
        <f t="shared" si="70"/>
        <v>7.8974635041155969E-3</v>
      </c>
      <c r="R146" s="3">
        <f t="shared" si="70"/>
        <v>7.8974635041155969E-3</v>
      </c>
      <c r="S146" s="3">
        <f t="shared" si="70"/>
        <v>7.8974635041155969E-3</v>
      </c>
      <c r="T146" s="3">
        <f t="shared" si="70"/>
        <v>7.8974635041155969E-3</v>
      </c>
      <c r="U146" s="3">
        <f t="shared" si="70"/>
        <v>7.8974635041155969E-3</v>
      </c>
      <c r="V146" s="3">
        <f t="shared" si="70"/>
        <v>7.8974635041155969E-3</v>
      </c>
      <c r="W146" s="3">
        <f t="shared" si="70"/>
        <v>7.8974635041155969E-3</v>
      </c>
      <c r="X146" s="3">
        <f t="shared" si="70"/>
        <v>7.8974635041155969E-3</v>
      </c>
      <c r="Y146" s="3">
        <f t="shared" si="70"/>
        <v>7.8974635041155969E-3</v>
      </c>
      <c r="Z146" s="3">
        <f t="shared" si="70"/>
        <v>7.8974635041155969E-3</v>
      </c>
      <c r="AA146" s="3">
        <f t="shared" ref="AA146" si="71">$C32*EXP(-AA$129/$A32/EXP(-$B$126))</f>
        <v>7.8974635041155917E-3</v>
      </c>
      <c r="AB146" s="3">
        <f t="shared" si="67"/>
        <v>7.897463504115557E-3</v>
      </c>
      <c r="AC146" s="3">
        <f t="shared" si="67"/>
        <v>7.8974635041151996E-3</v>
      </c>
      <c r="AD146" s="3">
        <f t="shared" si="67"/>
        <v>7.8974635041116122E-3</v>
      </c>
      <c r="AE146" s="3">
        <f t="shared" si="67"/>
        <v>7.8974635040757503E-3</v>
      </c>
      <c r="AF146" s="3">
        <f t="shared" si="67"/>
        <v>7.8974635037171309E-3</v>
      </c>
    </row>
    <row r="147" spans="1:32" x14ac:dyDescent="0.25">
      <c r="B147" s="3">
        <f t="shared" ref="B147:Z147" si="72">$C33*EXP(-B$129/$A33/EXP(-$B$126))</f>
        <v>4.1550471728530186E-3</v>
      </c>
      <c r="C147" s="3">
        <f t="shared" si="72"/>
        <v>4.1550471728530186E-3</v>
      </c>
      <c r="D147" s="3">
        <f t="shared" si="72"/>
        <v>4.1550471728530186E-3</v>
      </c>
      <c r="E147" s="3">
        <f t="shared" si="72"/>
        <v>4.1550471728530186E-3</v>
      </c>
      <c r="F147" s="3">
        <f t="shared" si="72"/>
        <v>4.1550471728530186E-3</v>
      </c>
      <c r="G147" s="3">
        <f t="shared" si="72"/>
        <v>4.1550471728530186E-3</v>
      </c>
      <c r="H147" s="3">
        <f t="shared" si="72"/>
        <v>4.1550471728530186E-3</v>
      </c>
      <c r="I147" s="3">
        <f t="shared" si="72"/>
        <v>4.1550471728530186E-3</v>
      </c>
      <c r="J147" s="3">
        <f t="shared" si="72"/>
        <v>4.1550471728530186E-3</v>
      </c>
      <c r="K147" s="3">
        <f t="shared" si="72"/>
        <v>4.1550471728530186E-3</v>
      </c>
      <c r="L147" s="3">
        <f t="shared" si="72"/>
        <v>4.1550471728530186E-3</v>
      </c>
      <c r="M147" s="3">
        <f t="shared" si="72"/>
        <v>4.1550471728530186E-3</v>
      </c>
      <c r="N147" s="3">
        <f t="shared" si="72"/>
        <v>4.1550471728530186E-3</v>
      </c>
      <c r="O147" s="3">
        <f t="shared" si="72"/>
        <v>4.1550471728530186E-3</v>
      </c>
      <c r="P147" s="3">
        <f t="shared" si="72"/>
        <v>4.1550471728530186E-3</v>
      </c>
      <c r="Q147" s="3">
        <f t="shared" si="72"/>
        <v>4.1550471728530186E-3</v>
      </c>
      <c r="R147" s="3">
        <f t="shared" si="72"/>
        <v>4.1550471728530186E-3</v>
      </c>
      <c r="S147" s="3">
        <f t="shared" si="72"/>
        <v>4.1550471728530186E-3</v>
      </c>
      <c r="T147" s="3">
        <f t="shared" si="72"/>
        <v>4.1550471728530186E-3</v>
      </c>
      <c r="U147" s="3">
        <f t="shared" si="72"/>
        <v>4.1550471728530186E-3</v>
      </c>
      <c r="V147" s="3">
        <f t="shared" si="72"/>
        <v>4.1550471728530186E-3</v>
      </c>
      <c r="W147" s="3">
        <f t="shared" si="72"/>
        <v>4.1550471728530186E-3</v>
      </c>
      <c r="X147" s="3">
        <f t="shared" si="72"/>
        <v>4.1550471728530186E-3</v>
      </c>
      <c r="Y147" s="3">
        <f t="shared" si="72"/>
        <v>4.1550471728530186E-3</v>
      </c>
      <c r="Z147" s="3">
        <f t="shared" si="72"/>
        <v>4.1550471728530186E-3</v>
      </c>
      <c r="AA147" s="3">
        <f t="shared" ref="AA147" si="73">$C33*EXP(-AA$129/$A33/EXP(-$B$126))</f>
        <v>4.1550471728530186E-3</v>
      </c>
      <c r="AB147" s="3">
        <f t="shared" si="67"/>
        <v>4.1550471728530169E-3</v>
      </c>
      <c r="AC147" s="3">
        <f t="shared" si="67"/>
        <v>4.1550471728529995E-3</v>
      </c>
      <c r="AD147" s="3">
        <f t="shared" si="67"/>
        <v>4.1550471728528295E-3</v>
      </c>
      <c r="AE147" s="3">
        <f t="shared" si="67"/>
        <v>4.1550471728511269E-3</v>
      </c>
      <c r="AF147" s="3">
        <f t="shared" si="67"/>
        <v>4.1550471728341067E-3</v>
      </c>
    </row>
    <row r="148" spans="1:32" x14ac:dyDescent="0.25">
      <c r="B148" s="3">
        <f t="shared" ref="B148:Z148" si="74">$C34*EXP(-B$129/$A34/EXP(-$B$126))</f>
        <v>4.2575321437709054E-3</v>
      </c>
      <c r="C148" s="3">
        <f t="shared" si="74"/>
        <v>4.2575321437709054E-3</v>
      </c>
      <c r="D148" s="3">
        <f t="shared" si="74"/>
        <v>4.2575321437709054E-3</v>
      </c>
      <c r="E148" s="3">
        <f t="shared" si="74"/>
        <v>4.2575321437709054E-3</v>
      </c>
      <c r="F148" s="3">
        <f t="shared" si="74"/>
        <v>4.2575321437709054E-3</v>
      </c>
      <c r="G148" s="3">
        <f t="shared" si="74"/>
        <v>4.2575321437709054E-3</v>
      </c>
      <c r="H148" s="3">
        <f t="shared" si="74"/>
        <v>4.2575321437709054E-3</v>
      </c>
      <c r="I148" s="3">
        <f t="shared" si="74"/>
        <v>4.2575321437709054E-3</v>
      </c>
      <c r="J148" s="3">
        <f t="shared" si="74"/>
        <v>4.2575321437709054E-3</v>
      </c>
      <c r="K148" s="3">
        <f t="shared" si="74"/>
        <v>4.2575321437709054E-3</v>
      </c>
      <c r="L148" s="3">
        <f t="shared" si="74"/>
        <v>4.2575321437709054E-3</v>
      </c>
      <c r="M148" s="3">
        <f t="shared" si="74"/>
        <v>4.2575321437709054E-3</v>
      </c>
      <c r="N148" s="3">
        <f t="shared" si="74"/>
        <v>4.2575321437709054E-3</v>
      </c>
      <c r="O148" s="3">
        <f t="shared" si="74"/>
        <v>4.2575321437709054E-3</v>
      </c>
      <c r="P148" s="3">
        <f t="shared" si="74"/>
        <v>4.2575321437709054E-3</v>
      </c>
      <c r="Q148" s="3">
        <f t="shared" si="74"/>
        <v>4.2575321437709054E-3</v>
      </c>
      <c r="R148" s="3">
        <f t="shared" si="74"/>
        <v>4.2575321437709054E-3</v>
      </c>
      <c r="S148" s="3">
        <f t="shared" si="74"/>
        <v>4.2575321437709054E-3</v>
      </c>
      <c r="T148" s="3">
        <f t="shared" si="74"/>
        <v>4.2575321437709054E-3</v>
      </c>
      <c r="U148" s="3">
        <f t="shared" si="74"/>
        <v>4.2575321437709054E-3</v>
      </c>
      <c r="V148" s="3">
        <f t="shared" si="74"/>
        <v>4.2575321437709054E-3</v>
      </c>
      <c r="W148" s="3">
        <f t="shared" si="74"/>
        <v>4.2575321437709054E-3</v>
      </c>
      <c r="X148" s="3">
        <f t="shared" si="74"/>
        <v>4.2575321437709054E-3</v>
      </c>
      <c r="Y148" s="3">
        <f t="shared" si="74"/>
        <v>4.2575321437709054E-3</v>
      </c>
      <c r="Z148" s="3">
        <f t="shared" si="74"/>
        <v>4.2575321437709054E-3</v>
      </c>
      <c r="AA148" s="3">
        <f>$C34*EXP(-AA$129/$A34/EXP(-$B$126))</f>
        <v>4.2575321437709054E-3</v>
      </c>
      <c r="AB148" s="3">
        <f t="shared" si="67"/>
        <v>4.2575321437709054E-3</v>
      </c>
      <c r="AC148" s="3">
        <f t="shared" si="67"/>
        <v>4.2575321437709037E-3</v>
      </c>
      <c r="AD148" s="3">
        <f t="shared" si="67"/>
        <v>4.2575321437708881E-3</v>
      </c>
      <c r="AE148" s="3">
        <f t="shared" si="67"/>
        <v>4.2575321437707302E-3</v>
      </c>
      <c r="AF148" s="3">
        <f t="shared" si="67"/>
        <v>4.2575321437691577E-3</v>
      </c>
    </row>
    <row r="149" spans="1:32" x14ac:dyDescent="0.25">
      <c r="B149" s="3">
        <f t="shared" ref="B149:Z149" si="75">$C35*EXP(-B$129/$A35/EXP(-$B$126))</f>
        <v>9.5394971617709327E-4</v>
      </c>
      <c r="C149" s="3">
        <f t="shared" si="75"/>
        <v>9.5394971617709327E-4</v>
      </c>
      <c r="D149" s="3">
        <f t="shared" si="75"/>
        <v>9.5394971617709327E-4</v>
      </c>
      <c r="E149" s="3">
        <f t="shared" si="75"/>
        <v>9.5394971617709327E-4</v>
      </c>
      <c r="F149" s="3">
        <f t="shared" si="75"/>
        <v>9.5394971617709327E-4</v>
      </c>
      <c r="G149" s="3">
        <f t="shared" si="75"/>
        <v>9.5394971617709327E-4</v>
      </c>
      <c r="H149" s="3">
        <f t="shared" si="75"/>
        <v>9.5394971617709327E-4</v>
      </c>
      <c r="I149" s="3">
        <f t="shared" si="75"/>
        <v>9.5394971617709327E-4</v>
      </c>
      <c r="J149" s="3">
        <f t="shared" si="75"/>
        <v>9.5394971617709327E-4</v>
      </c>
      <c r="K149" s="3">
        <f t="shared" si="75"/>
        <v>9.5394971617709327E-4</v>
      </c>
      <c r="L149" s="3">
        <f t="shared" si="75"/>
        <v>9.5394971617709327E-4</v>
      </c>
      <c r="M149" s="3">
        <f t="shared" si="75"/>
        <v>9.5394971617709327E-4</v>
      </c>
      <c r="N149" s="3">
        <f t="shared" si="75"/>
        <v>9.5394971617709327E-4</v>
      </c>
      <c r="O149" s="3">
        <f t="shared" si="75"/>
        <v>9.5394971617709327E-4</v>
      </c>
      <c r="P149" s="3">
        <f t="shared" si="75"/>
        <v>9.5394971617709327E-4</v>
      </c>
      <c r="Q149" s="3">
        <f t="shared" si="75"/>
        <v>9.5394971617709327E-4</v>
      </c>
      <c r="R149" s="3">
        <f t="shared" si="75"/>
        <v>9.5394971617709327E-4</v>
      </c>
      <c r="S149" s="3">
        <f t="shared" si="75"/>
        <v>9.5394971617709327E-4</v>
      </c>
      <c r="T149" s="3">
        <f t="shared" si="75"/>
        <v>9.5394971617709327E-4</v>
      </c>
      <c r="U149" s="3">
        <f t="shared" si="75"/>
        <v>9.5394971617709327E-4</v>
      </c>
      <c r="V149" s="3">
        <f t="shared" si="75"/>
        <v>9.5394971617709327E-4</v>
      </c>
      <c r="W149" s="3">
        <f t="shared" si="75"/>
        <v>9.5394971617709327E-4</v>
      </c>
      <c r="X149" s="3">
        <f t="shared" si="75"/>
        <v>9.5394971617709327E-4</v>
      </c>
      <c r="Y149" s="3">
        <f t="shared" si="75"/>
        <v>9.5394971617709327E-4</v>
      </c>
      <c r="Z149" s="3">
        <f t="shared" si="75"/>
        <v>9.5394971617709327E-4</v>
      </c>
      <c r="AA149" s="3">
        <f t="shared" ref="AA149" si="76">$C35*EXP(-AA$129/$A35/EXP(-$B$126))</f>
        <v>9.5394971617709327E-4</v>
      </c>
      <c r="AB149" s="3">
        <f t="shared" si="67"/>
        <v>9.5394971617709327E-4</v>
      </c>
      <c r="AC149" s="3">
        <f t="shared" si="67"/>
        <v>9.5394971617709327E-4</v>
      </c>
      <c r="AD149" s="3">
        <f t="shared" si="67"/>
        <v>9.5394971617709294E-4</v>
      </c>
      <c r="AE149" s="3">
        <f t="shared" si="67"/>
        <v>9.539497161770898E-4</v>
      </c>
      <c r="AF149" s="3">
        <f t="shared" si="67"/>
        <v>9.5394971617705792E-4</v>
      </c>
    </row>
    <row r="150" spans="1:32" x14ac:dyDescent="0.25">
      <c r="B150" s="3">
        <f t="shared" ref="B150:Z150" si="77">$C36*EXP(-B$129/$A36/EXP(-$B$126))</f>
        <v>4.0589760414466262E-3</v>
      </c>
      <c r="C150" s="3">
        <f t="shared" si="77"/>
        <v>4.0589760414466262E-3</v>
      </c>
      <c r="D150" s="3">
        <f t="shared" si="77"/>
        <v>4.0589760414466262E-3</v>
      </c>
      <c r="E150" s="3">
        <f t="shared" si="77"/>
        <v>4.0589760414466262E-3</v>
      </c>
      <c r="F150" s="3">
        <f t="shared" si="77"/>
        <v>4.0589760414466262E-3</v>
      </c>
      <c r="G150" s="3">
        <f t="shared" si="77"/>
        <v>4.0589760414466262E-3</v>
      </c>
      <c r="H150" s="3">
        <f t="shared" si="77"/>
        <v>4.0589760414466262E-3</v>
      </c>
      <c r="I150" s="3">
        <f t="shared" si="77"/>
        <v>4.0589760414466262E-3</v>
      </c>
      <c r="J150" s="3">
        <f t="shared" si="77"/>
        <v>4.0589760414466262E-3</v>
      </c>
      <c r="K150" s="3">
        <f t="shared" si="77"/>
        <v>4.0589760414466262E-3</v>
      </c>
      <c r="L150" s="3">
        <f t="shared" si="77"/>
        <v>4.0589760414466262E-3</v>
      </c>
      <c r="M150" s="3">
        <f t="shared" si="77"/>
        <v>4.0589760414466262E-3</v>
      </c>
      <c r="N150" s="3">
        <f t="shared" si="77"/>
        <v>4.0589760414466262E-3</v>
      </c>
      <c r="O150" s="3">
        <f t="shared" si="77"/>
        <v>4.0589760414466262E-3</v>
      </c>
      <c r="P150" s="3">
        <f t="shared" si="77"/>
        <v>4.0589760414466262E-3</v>
      </c>
      <c r="Q150" s="3">
        <f t="shared" si="77"/>
        <v>4.0589760414466262E-3</v>
      </c>
      <c r="R150" s="3">
        <f t="shared" si="77"/>
        <v>4.0589760414466262E-3</v>
      </c>
      <c r="S150" s="3">
        <f t="shared" si="77"/>
        <v>4.0589760414466262E-3</v>
      </c>
      <c r="T150" s="3">
        <f t="shared" si="77"/>
        <v>4.0589760414466262E-3</v>
      </c>
      <c r="U150" s="3">
        <f t="shared" si="77"/>
        <v>4.0589760414466262E-3</v>
      </c>
      <c r="V150" s="3">
        <f t="shared" si="77"/>
        <v>4.0589760414466262E-3</v>
      </c>
      <c r="W150" s="3">
        <f t="shared" si="77"/>
        <v>4.0589760414466262E-3</v>
      </c>
      <c r="X150" s="3">
        <f t="shared" si="77"/>
        <v>4.0589760414466262E-3</v>
      </c>
      <c r="Y150" s="3">
        <f t="shared" si="77"/>
        <v>4.0589760414466262E-3</v>
      </c>
      <c r="Z150" s="3">
        <f t="shared" si="77"/>
        <v>4.0589760414466262E-3</v>
      </c>
      <c r="AA150" s="3">
        <f t="shared" ref="AA150" si="78">$C36*EXP(-AA$129/$A36/EXP(-$B$126))</f>
        <v>4.0589760414466262E-3</v>
      </c>
      <c r="AB150" s="3">
        <f t="shared" si="67"/>
        <v>4.0589760414466262E-3</v>
      </c>
      <c r="AC150" s="3">
        <f t="shared" si="67"/>
        <v>4.0589760414466262E-3</v>
      </c>
      <c r="AD150" s="3">
        <f t="shared" si="67"/>
        <v>4.0589760414466262E-3</v>
      </c>
      <c r="AE150" s="3">
        <f t="shared" si="67"/>
        <v>4.0589760414466245E-3</v>
      </c>
      <c r="AF150" s="3">
        <f t="shared" si="67"/>
        <v>4.0589760414466124E-3</v>
      </c>
    </row>
    <row r="151" spans="1:32" x14ac:dyDescent="0.25">
      <c r="B151" s="3">
        <f t="shared" ref="B151:Z151" si="79">$C37*EXP(-B$129/$A37/EXP(-$B$126))</f>
        <v>1.8079022275700322E-3</v>
      </c>
      <c r="C151" s="3">
        <f t="shared" si="79"/>
        <v>1.8079022275700322E-3</v>
      </c>
      <c r="D151" s="3">
        <f t="shared" si="79"/>
        <v>1.8079022275700322E-3</v>
      </c>
      <c r="E151" s="3">
        <f t="shared" si="79"/>
        <v>1.8079022275700322E-3</v>
      </c>
      <c r="F151" s="3">
        <f t="shared" si="79"/>
        <v>1.8079022275700322E-3</v>
      </c>
      <c r="G151" s="3">
        <f t="shared" si="79"/>
        <v>1.8079022275700322E-3</v>
      </c>
      <c r="H151" s="3">
        <f t="shared" si="79"/>
        <v>1.8079022275700322E-3</v>
      </c>
      <c r="I151" s="3">
        <f t="shared" si="79"/>
        <v>1.8079022275700322E-3</v>
      </c>
      <c r="J151" s="3">
        <f t="shared" si="79"/>
        <v>1.8079022275700322E-3</v>
      </c>
      <c r="K151" s="3">
        <f t="shared" si="79"/>
        <v>1.8079022275700322E-3</v>
      </c>
      <c r="L151" s="3">
        <f t="shared" si="79"/>
        <v>1.8079022275700322E-3</v>
      </c>
      <c r="M151" s="3">
        <f t="shared" si="79"/>
        <v>1.8079022275700322E-3</v>
      </c>
      <c r="N151" s="3">
        <f t="shared" si="79"/>
        <v>1.8079022275700322E-3</v>
      </c>
      <c r="O151" s="3">
        <f t="shared" si="79"/>
        <v>1.8079022275700322E-3</v>
      </c>
      <c r="P151" s="3">
        <f t="shared" si="79"/>
        <v>1.8079022275700322E-3</v>
      </c>
      <c r="Q151" s="3">
        <f t="shared" si="79"/>
        <v>1.8079022275700322E-3</v>
      </c>
      <c r="R151" s="3">
        <f t="shared" si="79"/>
        <v>1.8079022275700322E-3</v>
      </c>
      <c r="S151" s="3">
        <f t="shared" si="79"/>
        <v>1.8079022275700322E-3</v>
      </c>
      <c r="T151" s="3">
        <f t="shared" si="79"/>
        <v>1.8079022275700322E-3</v>
      </c>
      <c r="U151" s="3">
        <f t="shared" si="79"/>
        <v>1.8079022275700322E-3</v>
      </c>
      <c r="V151" s="3">
        <f t="shared" si="79"/>
        <v>1.8079022275700322E-3</v>
      </c>
      <c r="W151" s="3">
        <f t="shared" si="79"/>
        <v>1.8079022275700322E-3</v>
      </c>
      <c r="X151" s="3">
        <f t="shared" si="79"/>
        <v>1.8079022275700322E-3</v>
      </c>
      <c r="Y151" s="3">
        <f t="shared" si="79"/>
        <v>1.8079022275700322E-3</v>
      </c>
      <c r="Z151" s="3">
        <f t="shared" si="79"/>
        <v>1.8079022275700322E-3</v>
      </c>
      <c r="AA151" s="3">
        <f t="shared" ref="AA151" si="80">$C37*EXP(-AA$129/$A37/EXP(-$B$126))</f>
        <v>1.8079022275700322E-3</v>
      </c>
      <c r="AB151" s="3">
        <f t="shared" si="67"/>
        <v>1.8079022275700322E-3</v>
      </c>
      <c r="AC151" s="3">
        <f t="shared" si="67"/>
        <v>1.8079022275700322E-3</v>
      </c>
      <c r="AD151" s="3">
        <f t="shared" si="67"/>
        <v>1.8079022275700322E-3</v>
      </c>
      <c r="AE151" s="3">
        <f t="shared" si="67"/>
        <v>1.8079022275700322E-3</v>
      </c>
      <c r="AF151" s="3">
        <f t="shared" si="67"/>
        <v>1.8079022275700315E-3</v>
      </c>
    </row>
    <row r="152" spans="1:32" x14ac:dyDescent="0.25">
      <c r="B152" s="3">
        <f t="shared" ref="B152:Z152" si="81">$C38*EXP(-B$129/$A38/EXP(-$B$126))</f>
        <v>6.6593482592524332E-4</v>
      </c>
      <c r="C152" s="3">
        <f t="shared" si="81"/>
        <v>6.6593482592524332E-4</v>
      </c>
      <c r="D152" s="3">
        <f t="shared" si="81"/>
        <v>6.6593482592524332E-4</v>
      </c>
      <c r="E152" s="3">
        <f t="shared" si="81"/>
        <v>6.6593482592524332E-4</v>
      </c>
      <c r="F152" s="3">
        <f t="shared" si="81"/>
        <v>6.6593482592524332E-4</v>
      </c>
      <c r="G152" s="3">
        <f t="shared" si="81"/>
        <v>6.6593482592524332E-4</v>
      </c>
      <c r="H152" s="3">
        <f t="shared" si="81"/>
        <v>6.6593482592524332E-4</v>
      </c>
      <c r="I152" s="3">
        <f t="shared" si="81"/>
        <v>6.6593482592524332E-4</v>
      </c>
      <c r="J152" s="3">
        <f t="shared" si="81"/>
        <v>6.6593482592524332E-4</v>
      </c>
      <c r="K152" s="3">
        <f t="shared" si="81"/>
        <v>6.6593482592524332E-4</v>
      </c>
      <c r="L152" s="3">
        <f t="shared" si="81"/>
        <v>6.6593482592524332E-4</v>
      </c>
      <c r="M152" s="3">
        <f t="shared" si="81"/>
        <v>6.6593482592524332E-4</v>
      </c>
      <c r="N152" s="3">
        <f t="shared" si="81"/>
        <v>6.6593482592524332E-4</v>
      </c>
      <c r="O152" s="3">
        <f t="shared" si="81"/>
        <v>6.6593482592524332E-4</v>
      </c>
      <c r="P152" s="3">
        <f t="shared" si="81"/>
        <v>6.6593482592524332E-4</v>
      </c>
      <c r="Q152" s="3">
        <f t="shared" si="81"/>
        <v>6.6593482592524332E-4</v>
      </c>
      <c r="R152" s="3">
        <f t="shared" si="81"/>
        <v>6.6593482592524332E-4</v>
      </c>
      <c r="S152" s="3">
        <f t="shared" si="81"/>
        <v>6.6593482592524332E-4</v>
      </c>
      <c r="T152" s="3">
        <f t="shared" si="81"/>
        <v>6.6593482592524332E-4</v>
      </c>
      <c r="U152" s="3">
        <f t="shared" si="81"/>
        <v>6.6593482592524332E-4</v>
      </c>
      <c r="V152" s="3">
        <f t="shared" si="81"/>
        <v>6.6593482592524332E-4</v>
      </c>
      <c r="W152" s="3">
        <f t="shared" si="81"/>
        <v>6.6593482592524332E-4</v>
      </c>
      <c r="X152" s="3">
        <f t="shared" si="81"/>
        <v>6.6593482592524332E-4</v>
      </c>
      <c r="Y152" s="3">
        <f t="shared" si="81"/>
        <v>6.6593482592524332E-4</v>
      </c>
      <c r="Z152" s="3">
        <f t="shared" si="81"/>
        <v>6.6593482592524332E-4</v>
      </c>
      <c r="AA152" s="3">
        <f t="shared" ref="AA152" si="82">$C38*EXP(-AA$129/$A38/EXP(-$B$126))</f>
        <v>6.6593482592524332E-4</v>
      </c>
      <c r="AB152" s="3">
        <f t="shared" si="67"/>
        <v>6.6593482592524332E-4</v>
      </c>
      <c r="AC152" s="3">
        <f t="shared" si="67"/>
        <v>6.6593482592524332E-4</v>
      </c>
      <c r="AD152" s="3">
        <f t="shared" si="67"/>
        <v>6.6593482592524332E-4</v>
      </c>
      <c r="AE152" s="3">
        <f t="shared" si="67"/>
        <v>6.6593482592524332E-4</v>
      </c>
      <c r="AF152" s="3">
        <f t="shared" si="67"/>
        <v>6.6593482592524332E-4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5.5929921649114952E-4</v>
      </c>
      <c r="C154" s="3">
        <f t="shared" si="85"/>
        <v>5.5929921649114952E-4</v>
      </c>
      <c r="D154" s="3">
        <f t="shared" si="85"/>
        <v>5.5929921649114952E-4</v>
      </c>
      <c r="E154" s="3">
        <f t="shared" si="85"/>
        <v>5.5929921649114952E-4</v>
      </c>
      <c r="F154" s="3">
        <f t="shared" si="85"/>
        <v>5.5929921649114952E-4</v>
      </c>
      <c r="G154" s="3">
        <f t="shared" si="85"/>
        <v>5.5929921649114952E-4</v>
      </c>
      <c r="H154" s="3">
        <f t="shared" si="85"/>
        <v>5.5929921649114952E-4</v>
      </c>
      <c r="I154" s="3">
        <f t="shared" si="85"/>
        <v>5.5929921649114952E-4</v>
      </c>
      <c r="J154" s="3">
        <f t="shared" si="85"/>
        <v>5.5929921649114952E-4</v>
      </c>
      <c r="K154" s="3">
        <f t="shared" si="85"/>
        <v>5.5929921649114952E-4</v>
      </c>
      <c r="L154" s="3">
        <f t="shared" si="85"/>
        <v>5.5929921649114952E-4</v>
      </c>
      <c r="M154" s="3">
        <f t="shared" si="85"/>
        <v>5.5929921649114952E-4</v>
      </c>
      <c r="N154" s="3">
        <f t="shared" si="85"/>
        <v>5.5929921649114952E-4</v>
      </c>
      <c r="O154" s="3">
        <f t="shared" si="85"/>
        <v>5.5929921649114952E-4</v>
      </c>
      <c r="P154" s="3">
        <f t="shared" si="85"/>
        <v>5.5929921649114952E-4</v>
      </c>
      <c r="Q154" s="3">
        <f t="shared" si="85"/>
        <v>5.5929921649114952E-4</v>
      </c>
      <c r="R154" s="3">
        <f t="shared" si="85"/>
        <v>5.5929921649114952E-4</v>
      </c>
      <c r="S154" s="3">
        <f t="shared" si="85"/>
        <v>5.5929921649114952E-4</v>
      </c>
      <c r="T154" s="3">
        <f t="shared" si="85"/>
        <v>5.5929921649114952E-4</v>
      </c>
      <c r="U154" s="3">
        <f t="shared" si="85"/>
        <v>5.5929921649114952E-4</v>
      </c>
      <c r="V154" s="3">
        <f t="shared" si="85"/>
        <v>5.5929921649114952E-4</v>
      </c>
      <c r="W154" s="3">
        <f t="shared" si="85"/>
        <v>5.5929921649114952E-4</v>
      </c>
      <c r="X154" s="3">
        <f t="shared" si="85"/>
        <v>5.5929921649114952E-4</v>
      </c>
      <c r="Y154" s="3">
        <f t="shared" si="85"/>
        <v>5.5929921649114952E-4</v>
      </c>
      <c r="Z154" s="3">
        <f t="shared" si="85"/>
        <v>5.5929921649114952E-4</v>
      </c>
      <c r="AA154" s="3">
        <f t="shared" ref="AA154:AF154" si="86">$C40*EXP(-AA$129/$A40/EXP(-$B$126))</f>
        <v>5.5929921649114952E-4</v>
      </c>
      <c r="AB154" s="3">
        <f t="shared" si="86"/>
        <v>5.5929921649114952E-4</v>
      </c>
      <c r="AC154" s="3">
        <f t="shared" si="86"/>
        <v>5.5929921649114952E-4</v>
      </c>
      <c r="AD154" s="3">
        <f t="shared" si="86"/>
        <v>5.5929921649114952E-4</v>
      </c>
      <c r="AE154" s="3">
        <f t="shared" si="86"/>
        <v>5.5929921649114952E-4</v>
      </c>
      <c r="AF154" s="3">
        <f t="shared" si="86"/>
        <v>5.5929921649114952E-4</v>
      </c>
    </row>
    <row r="155" spans="1:32" x14ac:dyDescent="0.25">
      <c r="B155" s="3">
        <f t="shared" ref="B155:Z155" si="87">$C41*EXP(-B$129/$A41/EXP(-$B$126))</f>
        <v>0</v>
      </c>
      <c r="C155" s="3">
        <f t="shared" si="87"/>
        <v>0</v>
      </c>
      <c r="D155" s="3">
        <f t="shared" si="87"/>
        <v>0</v>
      </c>
      <c r="E155" s="3">
        <f t="shared" si="87"/>
        <v>0</v>
      </c>
      <c r="F155" s="3">
        <f t="shared" si="87"/>
        <v>0</v>
      </c>
      <c r="G155" s="3">
        <f t="shared" si="87"/>
        <v>0</v>
      </c>
      <c r="H155" s="3">
        <f t="shared" si="87"/>
        <v>0</v>
      </c>
      <c r="I155" s="3">
        <f t="shared" si="87"/>
        <v>0</v>
      </c>
      <c r="J155" s="3">
        <f t="shared" si="87"/>
        <v>0</v>
      </c>
      <c r="K155" s="3">
        <f t="shared" si="87"/>
        <v>0</v>
      </c>
      <c r="L155" s="3">
        <f t="shared" si="87"/>
        <v>0</v>
      </c>
      <c r="M155" s="3">
        <f t="shared" si="87"/>
        <v>0</v>
      </c>
      <c r="N155" s="3">
        <f t="shared" si="87"/>
        <v>0</v>
      </c>
      <c r="O155" s="3">
        <f t="shared" si="87"/>
        <v>0</v>
      </c>
      <c r="P155" s="3">
        <f t="shared" si="87"/>
        <v>0</v>
      </c>
      <c r="Q155" s="3">
        <f t="shared" si="87"/>
        <v>0</v>
      </c>
      <c r="R155" s="3">
        <f t="shared" si="87"/>
        <v>0</v>
      </c>
      <c r="S155" s="3">
        <f t="shared" si="87"/>
        <v>0</v>
      </c>
      <c r="T155" s="3">
        <f t="shared" si="87"/>
        <v>0</v>
      </c>
      <c r="U155" s="3">
        <f t="shared" si="87"/>
        <v>0</v>
      </c>
      <c r="V155" s="3">
        <f t="shared" si="87"/>
        <v>0</v>
      </c>
      <c r="W155" s="3">
        <f t="shared" si="87"/>
        <v>0</v>
      </c>
      <c r="X155" s="3">
        <f t="shared" si="87"/>
        <v>0</v>
      </c>
      <c r="Y155" s="3">
        <f t="shared" si="87"/>
        <v>0</v>
      </c>
      <c r="Z155" s="3">
        <f t="shared" si="87"/>
        <v>0</v>
      </c>
      <c r="AA155" s="3">
        <f t="shared" ref="AA155:AF155" si="88">$C41*EXP(-AA$129/$A41/EXP(-$B$126))</f>
        <v>0</v>
      </c>
      <c r="AB155" s="3">
        <f t="shared" si="88"/>
        <v>0</v>
      </c>
      <c r="AC155" s="3">
        <f t="shared" si="88"/>
        <v>0</v>
      </c>
      <c r="AD155" s="3">
        <f t="shared" si="88"/>
        <v>0</v>
      </c>
      <c r="AE155" s="3">
        <f t="shared" si="88"/>
        <v>0</v>
      </c>
      <c r="AF155" s="3">
        <f t="shared" si="88"/>
        <v>0</v>
      </c>
    </row>
    <row r="156" spans="1:32" x14ac:dyDescent="0.25">
      <c r="B156" s="3">
        <f t="shared" ref="B156:Z156" si="89">$C42*EXP(-B$129/$A42/EXP(-$B$126))</f>
        <v>1.7201579278298637E-4</v>
      </c>
      <c r="C156" s="3">
        <f t="shared" si="89"/>
        <v>1.7201579278298637E-4</v>
      </c>
      <c r="D156" s="3">
        <f t="shared" si="89"/>
        <v>1.7201579278298637E-4</v>
      </c>
      <c r="E156" s="3">
        <f t="shared" si="89"/>
        <v>1.7201579278298637E-4</v>
      </c>
      <c r="F156" s="3">
        <f t="shared" si="89"/>
        <v>1.7201579278298637E-4</v>
      </c>
      <c r="G156" s="3">
        <f t="shared" si="89"/>
        <v>1.7201579278298637E-4</v>
      </c>
      <c r="H156" s="3">
        <f t="shared" si="89"/>
        <v>1.7201579278298637E-4</v>
      </c>
      <c r="I156" s="3">
        <f t="shared" si="89"/>
        <v>1.7201579278298637E-4</v>
      </c>
      <c r="J156" s="3">
        <f t="shared" si="89"/>
        <v>1.7201579278298637E-4</v>
      </c>
      <c r="K156" s="3">
        <f t="shared" si="89"/>
        <v>1.7201579278298637E-4</v>
      </c>
      <c r="L156" s="3">
        <f t="shared" si="89"/>
        <v>1.7201579278298637E-4</v>
      </c>
      <c r="M156" s="3">
        <f t="shared" si="89"/>
        <v>1.7201579278298637E-4</v>
      </c>
      <c r="N156" s="3">
        <f t="shared" si="89"/>
        <v>1.7201579278298637E-4</v>
      </c>
      <c r="O156" s="3">
        <f t="shared" si="89"/>
        <v>1.7201579278298637E-4</v>
      </c>
      <c r="P156" s="3">
        <f t="shared" si="89"/>
        <v>1.7201579278298637E-4</v>
      </c>
      <c r="Q156" s="3">
        <f t="shared" si="89"/>
        <v>1.7201579278298637E-4</v>
      </c>
      <c r="R156" s="3">
        <f t="shared" si="89"/>
        <v>1.7201579278298637E-4</v>
      </c>
      <c r="S156" s="3">
        <f t="shared" si="89"/>
        <v>1.7201579278298637E-4</v>
      </c>
      <c r="T156" s="3">
        <f t="shared" si="89"/>
        <v>1.7201579278298637E-4</v>
      </c>
      <c r="U156" s="3">
        <f t="shared" si="89"/>
        <v>1.7201579278298637E-4</v>
      </c>
      <c r="V156" s="3">
        <f t="shared" si="89"/>
        <v>1.7201579278298637E-4</v>
      </c>
      <c r="W156" s="3">
        <f t="shared" si="89"/>
        <v>1.7201579278298637E-4</v>
      </c>
      <c r="X156" s="3">
        <f t="shared" si="89"/>
        <v>1.7201579278298637E-4</v>
      </c>
      <c r="Y156" s="3">
        <f t="shared" si="89"/>
        <v>1.7201579278298637E-4</v>
      </c>
      <c r="Z156" s="3">
        <f t="shared" si="89"/>
        <v>1.7201579278298637E-4</v>
      </c>
      <c r="AA156" s="3">
        <f t="shared" ref="AA156:AF156" si="90">$C42*EXP(-AA$129/$A42/EXP(-$B$126))</f>
        <v>1.7201579278298637E-4</v>
      </c>
      <c r="AB156" s="3">
        <f t="shared" si="90"/>
        <v>1.7201579278298637E-4</v>
      </c>
      <c r="AC156" s="3">
        <f t="shared" si="90"/>
        <v>1.7201579278298637E-4</v>
      </c>
      <c r="AD156" s="3">
        <f t="shared" si="90"/>
        <v>1.7201579278298637E-4</v>
      </c>
      <c r="AE156" s="3">
        <f t="shared" si="90"/>
        <v>1.7201579278298637E-4</v>
      </c>
      <c r="AF156" s="3">
        <f t="shared" si="90"/>
        <v>1.7201579278298637E-4</v>
      </c>
    </row>
    <row r="157" spans="1:32" x14ac:dyDescent="0.25">
      <c r="B157" s="3">
        <f t="shared" ref="B157:Z157" si="91">$C43*EXP(-B$129/$A43/EXP(-$B$126))</f>
        <v>1.7468461922378131E-4</v>
      </c>
      <c r="C157" s="3">
        <f t="shared" si="91"/>
        <v>1.7468461922378131E-4</v>
      </c>
      <c r="D157" s="3">
        <f t="shared" si="91"/>
        <v>1.7468461922378131E-4</v>
      </c>
      <c r="E157" s="3">
        <f t="shared" si="91"/>
        <v>1.7468461922378131E-4</v>
      </c>
      <c r="F157" s="3">
        <f t="shared" si="91"/>
        <v>1.7468461922378131E-4</v>
      </c>
      <c r="G157" s="3">
        <f t="shared" si="91"/>
        <v>1.7468461922378131E-4</v>
      </c>
      <c r="H157" s="3">
        <f t="shared" si="91"/>
        <v>1.7468461922378131E-4</v>
      </c>
      <c r="I157" s="3">
        <f t="shared" si="91"/>
        <v>1.7468461922378131E-4</v>
      </c>
      <c r="J157" s="3">
        <f t="shared" si="91"/>
        <v>1.7468461922378131E-4</v>
      </c>
      <c r="K157" s="3">
        <f t="shared" si="91"/>
        <v>1.7468461922378131E-4</v>
      </c>
      <c r="L157" s="3">
        <f t="shared" si="91"/>
        <v>1.7468461922378131E-4</v>
      </c>
      <c r="M157" s="3">
        <f t="shared" si="91"/>
        <v>1.7468461922378131E-4</v>
      </c>
      <c r="N157" s="3">
        <f t="shared" si="91"/>
        <v>1.7468461922378131E-4</v>
      </c>
      <c r="O157" s="3">
        <f t="shared" si="91"/>
        <v>1.7468461922378131E-4</v>
      </c>
      <c r="P157" s="3">
        <f t="shared" si="91"/>
        <v>1.7468461922378131E-4</v>
      </c>
      <c r="Q157" s="3">
        <f t="shared" si="91"/>
        <v>1.7468461922378131E-4</v>
      </c>
      <c r="R157" s="3">
        <f t="shared" si="91"/>
        <v>1.7468461922378131E-4</v>
      </c>
      <c r="S157" s="3">
        <f t="shared" si="91"/>
        <v>1.7468461922378131E-4</v>
      </c>
      <c r="T157" s="3">
        <f t="shared" si="91"/>
        <v>1.7468461922378131E-4</v>
      </c>
      <c r="U157" s="3">
        <f t="shared" si="91"/>
        <v>1.7468461922378131E-4</v>
      </c>
      <c r="V157" s="3">
        <f t="shared" si="91"/>
        <v>1.7468461922378131E-4</v>
      </c>
      <c r="W157" s="3">
        <f t="shared" si="91"/>
        <v>1.7468461922378131E-4</v>
      </c>
      <c r="X157" s="3">
        <f t="shared" si="91"/>
        <v>1.7468461922378131E-4</v>
      </c>
      <c r="Y157" s="3">
        <f t="shared" si="91"/>
        <v>1.7468461922378131E-4</v>
      </c>
      <c r="Z157" s="3">
        <f t="shared" si="91"/>
        <v>1.7468461922378131E-4</v>
      </c>
      <c r="AA157" s="3">
        <f t="shared" ref="AA157:AF157" si="92">$C43*EXP(-AA$129/$A43/EXP(-$B$126))</f>
        <v>1.7468461922378131E-4</v>
      </c>
      <c r="AB157" s="3">
        <f t="shared" si="92"/>
        <v>1.7468461922378131E-4</v>
      </c>
      <c r="AC157" s="3">
        <f t="shared" si="92"/>
        <v>1.7468461922378131E-4</v>
      </c>
      <c r="AD157" s="3">
        <f t="shared" si="92"/>
        <v>1.7468461922378131E-4</v>
      </c>
      <c r="AE157" s="3">
        <f t="shared" si="92"/>
        <v>1.7468461922378131E-4</v>
      </c>
      <c r="AF157" s="3">
        <f t="shared" si="92"/>
        <v>1.7468461922378131E-4</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2.0999278642033111E-4</v>
      </c>
      <c r="C159" s="3">
        <f t="shared" si="95"/>
        <v>2.0999278642033111E-4</v>
      </c>
      <c r="D159" s="3">
        <f t="shared" si="95"/>
        <v>2.0999278642033111E-4</v>
      </c>
      <c r="E159" s="3">
        <f t="shared" si="95"/>
        <v>2.0999278642033111E-4</v>
      </c>
      <c r="F159" s="3">
        <f t="shared" si="95"/>
        <v>2.0999278642033111E-4</v>
      </c>
      <c r="G159" s="3">
        <f t="shared" si="95"/>
        <v>2.0999278642033111E-4</v>
      </c>
      <c r="H159" s="3">
        <f t="shared" si="95"/>
        <v>2.0999278642033111E-4</v>
      </c>
      <c r="I159" s="3">
        <f t="shared" si="95"/>
        <v>2.0999278642033111E-4</v>
      </c>
      <c r="J159" s="3">
        <f t="shared" si="95"/>
        <v>2.0999278642033111E-4</v>
      </c>
      <c r="K159" s="3">
        <f t="shared" si="95"/>
        <v>2.0999278642033111E-4</v>
      </c>
      <c r="L159" s="3">
        <f t="shared" si="95"/>
        <v>2.0999278642033111E-4</v>
      </c>
      <c r="M159" s="3">
        <f t="shared" si="95"/>
        <v>2.0999278642033111E-4</v>
      </c>
      <c r="N159" s="3">
        <f t="shared" si="95"/>
        <v>2.0999278642033111E-4</v>
      </c>
      <c r="O159" s="3">
        <f t="shared" si="95"/>
        <v>2.0999278642033111E-4</v>
      </c>
      <c r="P159" s="3">
        <f t="shared" si="95"/>
        <v>2.0999278642033111E-4</v>
      </c>
      <c r="Q159" s="3">
        <f t="shared" si="95"/>
        <v>2.0999278642033111E-4</v>
      </c>
      <c r="R159" s="3">
        <f t="shared" si="95"/>
        <v>2.0999278642033111E-4</v>
      </c>
      <c r="S159" s="3">
        <f t="shared" si="95"/>
        <v>2.0999278642033111E-4</v>
      </c>
      <c r="T159" s="3">
        <f t="shared" si="95"/>
        <v>2.0999278642033111E-4</v>
      </c>
      <c r="U159" s="3">
        <f t="shared" si="95"/>
        <v>2.0999278642033111E-4</v>
      </c>
      <c r="V159" s="3">
        <f t="shared" si="95"/>
        <v>2.0999278642033111E-4</v>
      </c>
      <c r="W159" s="3">
        <f t="shared" si="95"/>
        <v>2.0999278642033111E-4</v>
      </c>
      <c r="X159" s="3">
        <f t="shared" si="95"/>
        <v>2.0999278642033111E-4</v>
      </c>
      <c r="Y159" s="3">
        <f t="shared" si="95"/>
        <v>2.0999278642033111E-4</v>
      </c>
      <c r="Z159" s="3">
        <f t="shared" si="95"/>
        <v>2.0999278642033111E-4</v>
      </c>
      <c r="AA159" s="3">
        <f t="shared" ref="AA159:AF159" si="96">$C45*EXP(-AA$129/$A45/EXP(-$B$126))</f>
        <v>2.0999278642033111E-4</v>
      </c>
      <c r="AB159" s="3">
        <f t="shared" si="96"/>
        <v>2.0999278642033111E-4</v>
      </c>
      <c r="AC159" s="3">
        <f t="shared" si="96"/>
        <v>2.0999278642033111E-4</v>
      </c>
      <c r="AD159" s="3">
        <f t="shared" si="96"/>
        <v>2.0999278642033111E-4</v>
      </c>
      <c r="AE159" s="3">
        <f t="shared" si="96"/>
        <v>2.0999278642033111E-4</v>
      </c>
      <c r="AF159" s="3">
        <f t="shared" si="96"/>
        <v>2.0999278642033111E-4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1.7320221207897527E-4</v>
      </c>
      <c r="C162" s="3">
        <f t="shared" si="101"/>
        <v>1.7320221207897527E-4</v>
      </c>
      <c r="D162" s="3">
        <f t="shared" si="101"/>
        <v>1.7320221207897527E-4</v>
      </c>
      <c r="E162" s="3">
        <f t="shared" si="101"/>
        <v>1.7320221207897527E-4</v>
      </c>
      <c r="F162" s="3">
        <f t="shared" si="101"/>
        <v>1.7320221207897527E-4</v>
      </c>
      <c r="G162" s="3">
        <f t="shared" si="101"/>
        <v>1.7320221207897527E-4</v>
      </c>
      <c r="H162" s="3">
        <f t="shared" si="101"/>
        <v>1.7320221207897527E-4</v>
      </c>
      <c r="I162" s="3">
        <f t="shared" si="101"/>
        <v>1.7320221207897527E-4</v>
      </c>
      <c r="J162" s="3">
        <f t="shared" si="101"/>
        <v>1.7320221207897527E-4</v>
      </c>
      <c r="K162" s="3">
        <f t="shared" si="101"/>
        <v>1.7320221207897527E-4</v>
      </c>
      <c r="L162" s="3">
        <f t="shared" si="101"/>
        <v>1.7320221207897527E-4</v>
      </c>
      <c r="M162" s="3">
        <f t="shared" si="101"/>
        <v>1.7320221207897527E-4</v>
      </c>
      <c r="N162" s="3">
        <f t="shared" si="101"/>
        <v>1.7320221207897527E-4</v>
      </c>
      <c r="O162" s="3">
        <f t="shared" si="101"/>
        <v>1.7320221207897527E-4</v>
      </c>
      <c r="P162" s="3">
        <f t="shared" si="101"/>
        <v>1.7320221207897527E-4</v>
      </c>
      <c r="Q162" s="3">
        <f t="shared" si="101"/>
        <v>1.7320221207897527E-4</v>
      </c>
      <c r="R162" s="3">
        <f t="shared" si="101"/>
        <v>1.7320221207897527E-4</v>
      </c>
      <c r="S162" s="3">
        <f t="shared" si="101"/>
        <v>1.7320221207897527E-4</v>
      </c>
      <c r="T162" s="3">
        <f t="shared" si="101"/>
        <v>1.7320221207897527E-4</v>
      </c>
      <c r="U162" s="3">
        <f t="shared" si="101"/>
        <v>1.7320221207897527E-4</v>
      </c>
      <c r="V162" s="3">
        <f t="shared" si="101"/>
        <v>1.7320221207897527E-4</v>
      </c>
      <c r="W162" s="3">
        <f t="shared" si="101"/>
        <v>1.7320221207897527E-4</v>
      </c>
      <c r="X162" s="3">
        <f t="shared" si="101"/>
        <v>1.7320221207897527E-4</v>
      </c>
      <c r="Y162" s="3">
        <f t="shared" si="101"/>
        <v>1.7320221207897527E-4</v>
      </c>
      <c r="Z162" s="3">
        <f t="shared" si="101"/>
        <v>1.7320221207897527E-4</v>
      </c>
      <c r="AA162" s="3">
        <f t="shared" ref="AA162:AF162" si="102">$C48*EXP(-AA$129/$A48/EXP(-$B$126))</f>
        <v>1.7320221207897527E-4</v>
      </c>
      <c r="AB162" s="3">
        <f t="shared" si="102"/>
        <v>1.7320221207897527E-4</v>
      </c>
      <c r="AC162" s="3">
        <f t="shared" si="102"/>
        <v>1.7320221207897527E-4</v>
      </c>
      <c r="AD162" s="3">
        <f t="shared" si="102"/>
        <v>1.7320221207897527E-4</v>
      </c>
      <c r="AE162" s="3">
        <f t="shared" si="102"/>
        <v>1.7320221207897527E-4</v>
      </c>
      <c r="AF162" s="3">
        <f t="shared" si="102"/>
        <v>1.7320221207897527E-4</v>
      </c>
    </row>
    <row r="163" spans="1:34" x14ac:dyDescent="0.25">
      <c r="A163" s="79">
        <f>AVERAGE(B163:AF163)</f>
        <v>1.5607978716670174E-2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7.3346726330051661E-3</v>
      </c>
      <c r="M163" s="80">
        <f t="shared" si="103"/>
        <v>7.3123253345846687E-3</v>
      </c>
      <c r="N163" s="80">
        <f t="shared" si="103"/>
        <v>7.0904407716456189E-3</v>
      </c>
      <c r="O163" s="80">
        <f t="shared" si="103"/>
        <v>4.9676185908938937E-3</v>
      </c>
      <c r="P163" s="80">
        <f t="shared" si="103"/>
        <v>1.0678549040270982E-2</v>
      </c>
      <c r="Q163" s="80">
        <f t="shared" si="103"/>
        <v>3.9120675868912602E-2</v>
      </c>
      <c r="R163" s="80">
        <f t="shared" si="103"/>
        <v>5.9717701298941203E-2</v>
      </c>
      <c r="S163" s="80">
        <f t="shared" si="103"/>
        <v>8.110630125734003E-2</v>
      </c>
      <c r="T163" s="80">
        <f t="shared" si="103"/>
        <v>0.10332612825754423</v>
      </c>
      <c r="U163" s="80">
        <f t="shared" si="103"/>
        <v>0.10445713181780107</v>
      </c>
      <c r="V163" s="80">
        <f t="shared" si="103"/>
        <v>5.8735795345835895E-2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2093.4888781178083</v>
      </c>
      <c r="C164" s="21">
        <f t="shared" ref="C164:AF164" si="104">(C131-C130)^2</f>
        <v>2098.1268240569329</v>
      </c>
      <c r="D164" s="21">
        <f t="shared" si="104"/>
        <v>2095.2384346651675</v>
      </c>
      <c r="E164" s="21">
        <f t="shared" si="104"/>
        <v>2094.3859418156339</v>
      </c>
      <c r="F164" s="21">
        <f t="shared" si="104"/>
        <v>2094.1011385657766</v>
      </c>
      <c r="G164" s="21">
        <f t="shared" si="104"/>
        <v>2094.0136672266467</v>
      </c>
      <c r="H164" s="21">
        <f t="shared" si="104"/>
        <v>2093.9831544063004</v>
      </c>
      <c r="I164" s="21">
        <f t="shared" si="104"/>
        <v>2093.9587443259175</v>
      </c>
      <c r="J164" s="21">
        <f t="shared" si="104"/>
        <v>2093.9526419724057</v>
      </c>
      <c r="K164" s="21">
        <f t="shared" si="104"/>
        <v>2093.8204248047232</v>
      </c>
      <c r="L164" s="21">
        <f t="shared" si="104"/>
        <v>2092.5228875442876</v>
      </c>
      <c r="M164" s="21">
        <f t="shared" si="104"/>
        <v>2079.6976646059557</v>
      </c>
      <c r="N164" s="21">
        <f t="shared" si="104"/>
        <v>1954.5263676255936</v>
      </c>
      <c r="O164" s="21">
        <f t="shared" si="104"/>
        <v>955.29276055491061</v>
      </c>
      <c r="P164" s="21">
        <f t="shared" si="104"/>
        <v>4278.7074949230564</v>
      </c>
      <c r="Q164" s="21">
        <f t="shared" si="104"/>
        <v>54324.115561245599</v>
      </c>
      <c r="R164" s="21">
        <f t="shared" si="104"/>
        <v>121706.8707616833</v>
      </c>
      <c r="S164" s="21">
        <f t="shared" si="104"/>
        <v>215593.40313029118</v>
      </c>
      <c r="T164" s="21">
        <f t="shared" si="104"/>
        <v>334209.1871875606</v>
      </c>
      <c r="U164" s="21">
        <f t="shared" si="104"/>
        <v>323986.58156850998</v>
      </c>
      <c r="V164" s="21">
        <f t="shared" si="104"/>
        <v>94687.737117696524</v>
      </c>
      <c r="W164" s="21">
        <f t="shared" si="104"/>
        <v>1168727.5459146302</v>
      </c>
      <c r="X164" s="21">
        <f t="shared" si="104"/>
        <v>453564.4199359208</v>
      </c>
      <c r="Y164" s="21">
        <f t="shared" si="104"/>
        <v>99203.287139844644</v>
      </c>
      <c r="Z164" s="21">
        <f t="shared" si="104"/>
        <v>106.11534972230967</v>
      </c>
      <c r="AA164" s="21">
        <f t="shared" si="104"/>
        <v>68865.405628444176</v>
      </c>
      <c r="AB164" s="21">
        <f t="shared" si="104"/>
        <v>203857.38994476959</v>
      </c>
      <c r="AC164" s="21">
        <f t="shared" si="104"/>
        <v>147684.48823715045</v>
      </c>
      <c r="AD164" s="21">
        <f t="shared" si="104"/>
        <v>151958.95925570541</v>
      </c>
      <c r="AE164" s="21">
        <f t="shared" si="104"/>
        <v>139490.75836459125</v>
      </c>
      <c r="AF164" s="21">
        <f t="shared" si="104"/>
        <v>99537.846546854853</v>
      </c>
    </row>
    <row r="165" spans="1:34" x14ac:dyDescent="0.25">
      <c r="A165" s="71">
        <f>SUM(B165:AF165)</f>
        <v>1155868.6425022411</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2092.5228875442876</v>
      </c>
      <c r="M165" s="60">
        <f t="shared" si="105"/>
        <v>2079.6976646059557</v>
      </c>
      <c r="N165" s="60">
        <f t="shared" si="105"/>
        <v>1954.5263676255936</v>
      </c>
      <c r="O165" s="60">
        <f t="shared" si="105"/>
        <v>955.29276055491061</v>
      </c>
      <c r="P165" s="60">
        <f t="shared" si="105"/>
        <v>4278.7074949230564</v>
      </c>
      <c r="Q165" s="60">
        <f t="shared" si="105"/>
        <v>54324.115561245599</v>
      </c>
      <c r="R165" s="60">
        <f t="shared" si="105"/>
        <v>121706.8707616833</v>
      </c>
      <c r="S165" s="60">
        <f t="shared" si="105"/>
        <v>215593.40313029118</v>
      </c>
      <c r="T165" s="60">
        <f t="shared" si="105"/>
        <v>334209.1871875606</v>
      </c>
      <c r="U165" s="60">
        <f t="shared" si="105"/>
        <v>323986.58156850998</v>
      </c>
      <c r="V165" s="60">
        <f t="shared" si="105"/>
        <v>94687.737117696524</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6190.9489999999951</v>
      </c>
      <c r="C170" s="27">
        <f t="shared" ref="C170:AF170" si="106">($C$17+SUM(C171:C201))*$B$51</f>
        <v>6190.9489999999751</v>
      </c>
      <c r="D170" s="27">
        <f t="shared" si="106"/>
        <v>6190.9489999997722</v>
      </c>
      <c r="E170" s="27">
        <f t="shared" si="106"/>
        <v>6190.9489999977495</v>
      </c>
      <c r="F170" s="27">
        <f t="shared" si="106"/>
        <v>6190.9489999775251</v>
      </c>
      <c r="G170" s="27">
        <f t="shared" si="106"/>
        <v>6190.9489997752808</v>
      </c>
      <c r="H170" s="27">
        <f t="shared" si="106"/>
        <v>6190.9489977528319</v>
      </c>
      <c r="I170" s="27">
        <f t="shared" si="106"/>
        <v>6190.9489775283437</v>
      </c>
      <c r="J170" s="27">
        <f t="shared" si="106"/>
        <v>6190.948775283473</v>
      </c>
      <c r="K170" s="27">
        <f t="shared" si="106"/>
        <v>6190.946752835709</v>
      </c>
      <c r="L170" s="27">
        <f t="shared" si="106"/>
        <v>6190.9265284524618</v>
      </c>
      <c r="M170" s="27">
        <f t="shared" si="106"/>
        <v>6190.7242940589604</v>
      </c>
      <c r="N170" s="27">
        <f t="shared" si="106"/>
        <v>6188.7028937238692</v>
      </c>
      <c r="O170" s="27">
        <f t="shared" si="106"/>
        <v>6168.5829547668382</v>
      </c>
      <c r="P170" s="27">
        <f t="shared" si="106"/>
        <v>5976.5012464863248</v>
      </c>
      <c r="Q170" s="27">
        <f t="shared" si="106"/>
        <v>4735.9556190571629</v>
      </c>
      <c r="R170" s="27">
        <f t="shared" si="106"/>
        <v>3807.8417630696194</v>
      </c>
      <c r="S170" s="27">
        <f t="shared" si="106"/>
        <v>3807.6421126508117</v>
      </c>
      <c r="T170" s="27">
        <f t="shared" si="106"/>
        <v>3807.5611969039887</v>
      </c>
      <c r="U170" s="27">
        <f t="shared" si="106"/>
        <v>3806.7529767967435</v>
      </c>
      <c r="V170" s="27">
        <f t="shared" si="106"/>
        <v>3798.7637641186579</v>
      </c>
      <c r="W170" s="27">
        <f t="shared" si="106"/>
        <v>3727.4658666551904</v>
      </c>
      <c r="X170" s="27">
        <f t="shared" si="106"/>
        <v>3452.8229958658931</v>
      </c>
      <c r="Y170" s="27">
        <f t="shared" si="106"/>
        <v>3306.6144783335571</v>
      </c>
      <c r="Z170" s="27">
        <f t="shared" si="106"/>
        <v>3133.5699248837568</v>
      </c>
      <c r="AA170" s="27">
        <f t="shared" si="106"/>
        <v>2937.0678202311979</v>
      </c>
      <c r="AB170" s="27">
        <f t="shared" si="106"/>
        <v>2722.7835357524564</v>
      </c>
      <c r="AC170" s="27">
        <f t="shared" si="106"/>
        <v>2480.7093723107373</v>
      </c>
      <c r="AD170" s="27">
        <f t="shared" si="106"/>
        <v>2208.7048530045972</v>
      </c>
      <c r="AE170" s="27">
        <f t="shared" si="106"/>
        <v>1891.2278911847216</v>
      </c>
      <c r="AF170" s="27">
        <f t="shared" si="106"/>
        <v>1524.6925519414076</v>
      </c>
      <c r="AG170" s="27"/>
      <c r="AH170" s="27"/>
    </row>
    <row r="171" spans="1:34" x14ac:dyDescent="0.25">
      <c r="B171" s="3">
        <f t="shared" ref="B171:AF171" si="107">$C18*EXP(-B$168/$A18/EXP(-$C$126))</f>
        <v>0.38496487301991528</v>
      </c>
      <c r="C171" s="3">
        <f t="shared" si="107"/>
        <v>0.384964873019912</v>
      </c>
      <c r="D171" s="3">
        <f t="shared" si="107"/>
        <v>0.38496487301987931</v>
      </c>
      <c r="E171" s="3">
        <f t="shared" si="107"/>
        <v>0.38496487301955262</v>
      </c>
      <c r="F171" s="3">
        <f t="shared" si="107"/>
        <v>0.38496487301628585</v>
      </c>
      <c r="G171" s="3">
        <f t="shared" si="107"/>
        <v>0.38496487298361803</v>
      </c>
      <c r="H171" s="3">
        <f t="shared" si="107"/>
        <v>0.38496487265693974</v>
      </c>
      <c r="I171" s="3">
        <f t="shared" si="107"/>
        <v>0.38496486939015667</v>
      </c>
      <c r="J171" s="3">
        <f t="shared" si="107"/>
        <v>0.38496483672232779</v>
      </c>
      <c r="K171" s="3">
        <f t="shared" si="107"/>
        <v>0.38496451004419119</v>
      </c>
      <c r="L171" s="3">
        <f t="shared" si="107"/>
        <v>0.38496124327807224</v>
      </c>
      <c r="M171" s="3">
        <f t="shared" si="107"/>
        <v>0.38492857714152195</v>
      </c>
      <c r="N171" s="3">
        <f t="shared" si="107"/>
        <v>0.38460206819205955</v>
      </c>
      <c r="O171" s="3">
        <f t="shared" si="107"/>
        <v>0.38135217255444898</v>
      </c>
      <c r="P171" s="3">
        <f t="shared" si="107"/>
        <v>0.35032595990306137</v>
      </c>
      <c r="Q171" s="3">
        <f t="shared" si="107"/>
        <v>0.14994544529972648</v>
      </c>
      <c r="R171" s="3">
        <f t="shared" si="107"/>
        <v>3.0941606208140795E-5</v>
      </c>
      <c r="S171" s="3">
        <f t="shared" si="107"/>
        <v>4.3315029803668471E-42</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5.8157909381167036E-2</v>
      </c>
      <c r="C172" s="3">
        <f t="shared" si="108"/>
        <v>5.8157909381167036E-2</v>
      </c>
      <c r="D172" s="3">
        <f t="shared" si="108"/>
        <v>5.8157909381167036E-2</v>
      </c>
      <c r="E172" s="3">
        <f t="shared" si="108"/>
        <v>5.8157909381167036E-2</v>
      </c>
      <c r="F172" s="3">
        <f t="shared" si="108"/>
        <v>5.8157909381167036E-2</v>
      </c>
      <c r="G172" s="3">
        <f t="shared" si="108"/>
        <v>5.8157909381167036E-2</v>
      </c>
      <c r="H172" s="3">
        <f t="shared" si="108"/>
        <v>5.8157909381167022E-2</v>
      </c>
      <c r="I172" s="3">
        <f t="shared" si="108"/>
        <v>5.8157909381166897E-2</v>
      </c>
      <c r="J172" s="3">
        <f t="shared" si="108"/>
        <v>5.8157909381165628E-2</v>
      </c>
      <c r="K172" s="3">
        <f t="shared" si="108"/>
        <v>5.8157909381152992E-2</v>
      </c>
      <c r="L172" s="3">
        <f t="shared" si="108"/>
        <v>5.8157909381026572E-2</v>
      </c>
      <c r="M172" s="3">
        <f t="shared" si="108"/>
        <v>5.8157909379762389E-2</v>
      </c>
      <c r="N172" s="3">
        <f t="shared" si="108"/>
        <v>5.8157909367120564E-2</v>
      </c>
      <c r="O172" s="3">
        <f t="shared" si="108"/>
        <v>5.8157909240702278E-2</v>
      </c>
      <c r="P172" s="3">
        <f t="shared" si="108"/>
        <v>5.8157907976519464E-2</v>
      </c>
      <c r="Q172" s="3">
        <f t="shared" si="108"/>
        <v>5.8157895334692802E-2</v>
      </c>
      <c r="R172" s="3">
        <f t="shared" si="108"/>
        <v>5.8157768916577368E-2</v>
      </c>
      <c r="S172" s="3">
        <f t="shared" si="108"/>
        <v>5.8156504750536728E-2</v>
      </c>
      <c r="T172" s="3">
        <f t="shared" si="108"/>
        <v>5.8143864601375238E-2</v>
      </c>
      <c r="U172" s="3">
        <f t="shared" si="108"/>
        <v>5.8017614112783777E-2</v>
      </c>
      <c r="V172" s="3">
        <f t="shared" si="108"/>
        <v>5.6770088784652895E-2</v>
      </c>
      <c r="W172" s="3">
        <f t="shared" si="108"/>
        <v>4.5679007226023631E-2</v>
      </c>
      <c r="X172" s="3">
        <f t="shared" si="108"/>
        <v>5.1962194873473935E-3</v>
      </c>
      <c r="Y172" s="3">
        <f t="shared" si="108"/>
        <v>1.8853665397680728E-12</v>
      </c>
      <c r="Z172" s="3">
        <f t="shared" si="108"/>
        <v>7.4555360518703982E-107</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1.8919132746280987E-2</v>
      </c>
      <c r="C173" s="3">
        <f t="shared" si="109"/>
        <v>1.8919132746280987E-2</v>
      </c>
      <c r="D173" s="3">
        <f t="shared" si="109"/>
        <v>1.8919132746280987E-2</v>
      </c>
      <c r="E173" s="3">
        <f t="shared" si="109"/>
        <v>1.8919132746280987E-2</v>
      </c>
      <c r="F173" s="3">
        <f t="shared" si="109"/>
        <v>1.8919132746280987E-2</v>
      </c>
      <c r="G173" s="3">
        <f t="shared" si="109"/>
        <v>1.8919132746280987E-2</v>
      </c>
      <c r="H173" s="3">
        <f t="shared" si="109"/>
        <v>1.8919132746280987E-2</v>
      </c>
      <c r="I173" s="3">
        <f t="shared" si="109"/>
        <v>1.8919132746280983E-2</v>
      </c>
      <c r="J173" s="3">
        <f t="shared" si="109"/>
        <v>1.8919132746280945E-2</v>
      </c>
      <c r="K173" s="3">
        <f t="shared" si="109"/>
        <v>1.8919132746280574E-2</v>
      </c>
      <c r="L173" s="3">
        <f t="shared" si="109"/>
        <v>1.8919132746276865E-2</v>
      </c>
      <c r="M173" s="3">
        <f t="shared" si="109"/>
        <v>1.8919132746239766E-2</v>
      </c>
      <c r="N173" s="3">
        <f t="shared" si="109"/>
        <v>1.8919132745868789E-2</v>
      </c>
      <c r="O173" s="3">
        <f t="shared" si="109"/>
        <v>1.8919132742158999E-2</v>
      </c>
      <c r="P173" s="3">
        <f t="shared" si="109"/>
        <v>1.8919132705061136E-2</v>
      </c>
      <c r="Q173" s="3">
        <f t="shared" si="109"/>
        <v>1.8919132334082489E-2</v>
      </c>
      <c r="R173" s="3">
        <f t="shared" si="109"/>
        <v>1.8919128624296424E-2</v>
      </c>
      <c r="S173" s="3">
        <f t="shared" si="109"/>
        <v>1.8919091526475775E-2</v>
      </c>
      <c r="T173" s="3">
        <f t="shared" si="109"/>
        <v>1.8918720552270174E-2</v>
      </c>
      <c r="U173" s="3">
        <f t="shared" si="109"/>
        <v>1.8915011210273374E-2</v>
      </c>
      <c r="V173" s="3">
        <f t="shared" si="109"/>
        <v>1.8877957767218165E-2</v>
      </c>
      <c r="W173" s="3">
        <f t="shared" si="109"/>
        <v>1.8511392175392601E-2</v>
      </c>
      <c r="X173" s="3">
        <f t="shared" si="109"/>
        <v>1.5215274681326925E-2</v>
      </c>
      <c r="Y173" s="3">
        <f t="shared" si="109"/>
        <v>2.1413465140863253E-3</v>
      </c>
      <c r="Z173" s="3">
        <f t="shared" si="109"/>
        <v>6.5276744636925064E-12</v>
      </c>
      <c r="AA173" s="3">
        <f t="shared" si="109"/>
        <v>4.5234923416576648E-97</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2.9962799778578724E-2</v>
      </c>
      <c r="C174" s="3">
        <f t="shared" si="110"/>
        <v>2.9962799778578724E-2</v>
      </c>
      <c r="D174" s="3">
        <f t="shared" si="110"/>
        <v>2.9962799778578724E-2</v>
      </c>
      <c r="E174" s="3">
        <f t="shared" si="110"/>
        <v>2.9962799778578724E-2</v>
      </c>
      <c r="F174" s="3">
        <f t="shared" si="110"/>
        <v>2.9962799778578724E-2</v>
      </c>
      <c r="G174" s="3">
        <f t="shared" si="110"/>
        <v>2.9962799778578724E-2</v>
      </c>
      <c r="H174" s="3">
        <f t="shared" si="110"/>
        <v>2.9962799778578724E-2</v>
      </c>
      <c r="I174" s="3">
        <f t="shared" si="110"/>
        <v>2.9962799778578724E-2</v>
      </c>
      <c r="J174" s="3">
        <f t="shared" si="110"/>
        <v>2.9962799778578717E-2</v>
      </c>
      <c r="K174" s="3">
        <f t="shared" si="110"/>
        <v>2.9962799778578665E-2</v>
      </c>
      <c r="L174" s="3">
        <f t="shared" si="110"/>
        <v>2.9962799778578134E-2</v>
      </c>
      <c r="M174" s="3">
        <f t="shared" si="110"/>
        <v>2.9962799778572836E-2</v>
      </c>
      <c r="N174" s="3">
        <f t="shared" si="110"/>
        <v>2.9962799778519834E-2</v>
      </c>
      <c r="O174" s="3">
        <f t="shared" si="110"/>
        <v>2.9962799777989834E-2</v>
      </c>
      <c r="P174" s="3">
        <f t="shared" si="110"/>
        <v>2.9962799772689824E-2</v>
      </c>
      <c r="Q174" s="3">
        <f t="shared" si="110"/>
        <v>2.9962799719689726E-2</v>
      </c>
      <c r="R174" s="3">
        <f t="shared" si="110"/>
        <v>2.9962799189688746E-2</v>
      </c>
      <c r="S174" s="3">
        <f t="shared" si="110"/>
        <v>2.9962793889679474E-2</v>
      </c>
      <c r="T174" s="3">
        <f t="shared" si="110"/>
        <v>2.9962740889638313E-2</v>
      </c>
      <c r="U174" s="3">
        <f t="shared" si="110"/>
        <v>2.9962210894382894E-2</v>
      </c>
      <c r="V174" s="3">
        <f t="shared" si="110"/>
        <v>2.9956911457415865E-2</v>
      </c>
      <c r="W174" s="3">
        <f t="shared" si="110"/>
        <v>2.9903968612730467E-2</v>
      </c>
      <c r="X174" s="3">
        <f t="shared" si="110"/>
        <v>2.9379659101285947E-2</v>
      </c>
      <c r="Y174" s="3">
        <f t="shared" si="110"/>
        <v>2.4616482339563588E-2</v>
      </c>
      <c r="Z174" s="3">
        <f t="shared" si="110"/>
        <v>4.197767684503066E-3</v>
      </c>
      <c r="AA174" s="3">
        <f t="shared" si="110"/>
        <v>8.7285573434528574E-11</v>
      </c>
      <c r="AB174" s="3">
        <f t="shared" si="110"/>
        <v>1.3188128328406133E-87</v>
      </c>
      <c r="AC174" s="3">
        <f t="shared" si="110"/>
        <v>0</v>
      </c>
      <c r="AD174" s="3">
        <f t="shared" si="110"/>
        <v>0</v>
      </c>
      <c r="AE174" s="3">
        <f t="shared" si="110"/>
        <v>0</v>
      </c>
      <c r="AF174" s="3">
        <f t="shared" si="110"/>
        <v>0</v>
      </c>
      <c r="AG174" s="3"/>
      <c r="AH174" s="3"/>
    </row>
    <row r="175" spans="1:34" x14ac:dyDescent="0.25">
      <c r="B175" s="3">
        <f t="shared" ref="B175:AF175" si="111">$C22*EXP(-B$168/$A22/EXP(-$C$126))</f>
        <v>3.3253137152511318E-2</v>
      </c>
      <c r="C175" s="3">
        <f t="shared" si="111"/>
        <v>3.3253137152511318E-2</v>
      </c>
      <c r="D175" s="3">
        <f t="shared" si="111"/>
        <v>3.3253137152511318E-2</v>
      </c>
      <c r="E175" s="3">
        <f t="shared" si="111"/>
        <v>3.3253137152511318E-2</v>
      </c>
      <c r="F175" s="3">
        <f t="shared" si="111"/>
        <v>3.3253137152511318E-2</v>
      </c>
      <c r="G175" s="3">
        <f t="shared" si="111"/>
        <v>3.3253137152511318E-2</v>
      </c>
      <c r="H175" s="3">
        <f t="shared" si="111"/>
        <v>3.3253137152511318E-2</v>
      </c>
      <c r="I175" s="3">
        <f t="shared" si="111"/>
        <v>3.3253137152511318E-2</v>
      </c>
      <c r="J175" s="3">
        <f t="shared" si="111"/>
        <v>3.3253137152511318E-2</v>
      </c>
      <c r="K175" s="3">
        <f t="shared" si="111"/>
        <v>3.3253137152511311E-2</v>
      </c>
      <c r="L175" s="3">
        <f t="shared" si="111"/>
        <v>3.3253137152511256E-2</v>
      </c>
      <c r="M175" s="3">
        <f t="shared" si="111"/>
        <v>3.3253137152510728E-2</v>
      </c>
      <c r="N175" s="3">
        <f t="shared" si="111"/>
        <v>3.325313715250542E-2</v>
      </c>
      <c r="O175" s="3">
        <f t="shared" si="111"/>
        <v>3.3253137152452365E-2</v>
      </c>
      <c r="P175" s="3">
        <f t="shared" si="111"/>
        <v>3.3253137151921755E-2</v>
      </c>
      <c r="Q175" s="3">
        <f t="shared" si="111"/>
        <v>3.325313714661568E-2</v>
      </c>
      <c r="R175" s="3">
        <f t="shared" si="111"/>
        <v>3.3253137093554916E-2</v>
      </c>
      <c r="S175" s="3">
        <f t="shared" si="111"/>
        <v>3.3253136562947282E-2</v>
      </c>
      <c r="T175" s="3">
        <f t="shared" si="111"/>
        <v>3.3253131256871397E-2</v>
      </c>
      <c r="U175" s="3">
        <f t="shared" si="111"/>
        <v>3.3253078196159171E-2</v>
      </c>
      <c r="V175" s="3">
        <f t="shared" si="111"/>
        <v>3.3252547593693525E-2</v>
      </c>
      <c r="W175" s="3">
        <f t="shared" si="111"/>
        <v>3.3247242034675266E-2</v>
      </c>
      <c r="X175" s="3">
        <f t="shared" si="111"/>
        <v>3.3194232980830379E-2</v>
      </c>
      <c r="Y175" s="3">
        <f t="shared" si="111"/>
        <v>3.2668768718213052E-2</v>
      </c>
      <c r="Z175" s="3">
        <f t="shared" si="111"/>
        <v>2.7850567594140892E-2</v>
      </c>
      <c r="AA175" s="3">
        <f t="shared" si="111"/>
        <v>5.647378457919335E-3</v>
      </c>
      <c r="AB175" s="3">
        <f t="shared" si="111"/>
        <v>6.6370534692223397E-10</v>
      </c>
      <c r="AC175" s="3">
        <f t="shared" si="111"/>
        <v>3.3362574130005346E-79</v>
      </c>
      <c r="AD175" s="3">
        <f t="shared" si="111"/>
        <v>0</v>
      </c>
      <c r="AE175" s="3">
        <f t="shared" si="111"/>
        <v>0</v>
      </c>
      <c r="AF175" s="3">
        <f t="shared" si="111"/>
        <v>0</v>
      </c>
      <c r="AG175" s="3"/>
      <c r="AH175" s="3"/>
    </row>
    <row r="176" spans="1:34" x14ac:dyDescent="0.25">
      <c r="B176" s="3">
        <f t="shared" ref="B176:AF176" si="112">$C23*EXP(-B$168/$A23/EXP(-$C$126))</f>
        <v>3.5952334962287925E-2</v>
      </c>
      <c r="C176" s="3">
        <f t="shared" si="112"/>
        <v>3.5952334962287925E-2</v>
      </c>
      <c r="D176" s="3">
        <f t="shared" si="112"/>
        <v>3.5952334962287925E-2</v>
      </c>
      <c r="E176" s="3">
        <f t="shared" si="112"/>
        <v>3.5952334962287925E-2</v>
      </c>
      <c r="F176" s="3">
        <f t="shared" si="112"/>
        <v>3.5952334962287925E-2</v>
      </c>
      <c r="G176" s="3">
        <f t="shared" si="112"/>
        <v>3.5952334962287925E-2</v>
      </c>
      <c r="H176" s="3">
        <f t="shared" si="112"/>
        <v>3.5952334962287925E-2</v>
      </c>
      <c r="I176" s="3">
        <f t="shared" si="112"/>
        <v>3.5952334962287925E-2</v>
      </c>
      <c r="J176" s="3">
        <f t="shared" si="112"/>
        <v>3.5952334962287925E-2</v>
      </c>
      <c r="K176" s="3">
        <f t="shared" si="112"/>
        <v>3.5952334962287925E-2</v>
      </c>
      <c r="L176" s="3">
        <f t="shared" si="112"/>
        <v>3.5952334962287918E-2</v>
      </c>
      <c r="M176" s="3">
        <f t="shared" si="112"/>
        <v>3.595233496228787E-2</v>
      </c>
      <c r="N176" s="3">
        <f t="shared" si="112"/>
        <v>3.5952334962287349E-2</v>
      </c>
      <c r="O176" s="3">
        <f t="shared" si="112"/>
        <v>3.5952334962282173E-2</v>
      </c>
      <c r="P176" s="3">
        <f t="shared" si="112"/>
        <v>3.5952334962230423E-2</v>
      </c>
      <c r="Q176" s="3">
        <f t="shared" si="112"/>
        <v>3.595233496171292E-2</v>
      </c>
      <c r="R176" s="3">
        <f t="shared" si="112"/>
        <v>3.5952334956537872E-2</v>
      </c>
      <c r="S176" s="3">
        <f t="shared" si="112"/>
        <v>3.5952334904787366E-2</v>
      </c>
      <c r="T176" s="3">
        <f t="shared" si="112"/>
        <v>3.5952334387282354E-2</v>
      </c>
      <c r="U176" s="3">
        <f t="shared" si="112"/>
        <v>3.5952329212232605E-2</v>
      </c>
      <c r="V176" s="3">
        <f t="shared" si="112"/>
        <v>3.5952277461776073E-2</v>
      </c>
      <c r="W176" s="3">
        <f t="shared" si="112"/>
        <v>3.5951759961307797E-2</v>
      </c>
      <c r="X176" s="3">
        <f t="shared" si="112"/>
        <v>3.5946585366299522E-2</v>
      </c>
      <c r="Y176" s="3">
        <f t="shared" si="112"/>
        <v>3.5894880361865153E-2</v>
      </c>
      <c r="Z176" s="3">
        <f t="shared" si="112"/>
        <v>3.5381903159010943E-2</v>
      </c>
      <c r="AA176" s="3">
        <f t="shared" si="112"/>
        <v>3.0638534108832095E-2</v>
      </c>
      <c r="AB176" s="3">
        <f t="shared" si="112"/>
        <v>7.2633323310583682E-3</v>
      </c>
      <c r="AC176" s="3">
        <f t="shared" si="112"/>
        <v>4.0720700826483928E-9</v>
      </c>
      <c r="AD176" s="3">
        <f t="shared" si="112"/>
        <v>1.2491325527914647E-71</v>
      </c>
      <c r="AE176" s="3">
        <f t="shared" si="112"/>
        <v>0</v>
      </c>
      <c r="AF176" s="3">
        <f t="shared" si="112"/>
        <v>0</v>
      </c>
      <c r="AG176" s="3"/>
      <c r="AH176" s="3"/>
    </row>
    <row r="177" spans="2:34" x14ac:dyDescent="0.25">
      <c r="B177" s="3">
        <f t="shared" ref="B177:AF177" si="113">$C24*EXP(-B$168/$A24/EXP(-$C$126))</f>
        <v>4.1559944347360683E-2</v>
      </c>
      <c r="C177" s="3">
        <f t="shared" si="113"/>
        <v>4.1559944347360683E-2</v>
      </c>
      <c r="D177" s="3">
        <f t="shared" si="113"/>
        <v>4.1559944347360683E-2</v>
      </c>
      <c r="E177" s="3">
        <f t="shared" si="113"/>
        <v>4.1559944347360683E-2</v>
      </c>
      <c r="F177" s="3">
        <f t="shared" si="113"/>
        <v>4.1559944347360683E-2</v>
      </c>
      <c r="G177" s="3">
        <f t="shared" si="113"/>
        <v>4.1559944347360683E-2</v>
      </c>
      <c r="H177" s="3">
        <f t="shared" si="113"/>
        <v>4.1559944347360683E-2</v>
      </c>
      <c r="I177" s="3">
        <f t="shared" si="113"/>
        <v>4.1559944347360683E-2</v>
      </c>
      <c r="J177" s="3">
        <f t="shared" si="113"/>
        <v>4.1559944347360683E-2</v>
      </c>
      <c r="K177" s="3">
        <f t="shared" si="113"/>
        <v>4.1559944347360683E-2</v>
      </c>
      <c r="L177" s="3">
        <f t="shared" si="113"/>
        <v>4.1559944347360683E-2</v>
      </c>
      <c r="M177" s="3">
        <f t="shared" si="113"/>
        <v>4.1559944347360676E-2</v>
      </c>
      <c r="N177" s="3">
        <f t="shared" si="113"/>
        <v>4.1559944347360621E-2</v>
      </c>
      <c r="O177" s="3">
        <f t="shared" si="113"/>
        <v>4.1559944347360087E-2</v>
      </c>
      <c r="P177" s="3">
        <f t="shared" si="113"/>
        <v>4.1559944347354688E-2</v>
      </c>
      <c r="Q177" s="3">
        <f t="shared" si="113"/>
        <v>4.1559944347300724E-2</v>
      </c>
      <c r="R177" s="3">
        <f t="shared" si="113"/>
        <v>4.1559944346761073E-2</v>
      </c>
      <c r="S177" s="3">
        <f t="shared" si="113"/>
        <v>4.1559944341364619E-2</v>
      </c>
      <c r="T177" s="3">
        <f t="shared" si="113"/>
        <v>4.1559944287400008E-2</v>
      </c>
      <c r="U177" s="3">
        <f t="shared" si="113"/>
        <v>4.1559943747753951E-2</v>
      </c>
      <c r="V177" s="3">
        <f t="shared" si="113"/>
        <v>4.1559938351293728E-2</v>
      </c>
      <c r="W177" s="3">
        <f t="shared" si="113"/>
        <v>4.1559884386730098E-2</v>
      </c>
      <c r="X177" s="3">
        <f t="shared" si="113"/>
        <v>4.1559344744947657E-2</v>
      </c>
      <c r="Y177" s="3">
        <f t="shared" si="113"/>
        <v>4.1553948712497429E-2</v>
      </c>
      <c r="Z177" s="3">
        <f t="shared" si="113"/>
        <v>4.1500026906901646E-2</v>
      </c>
      <c r="AA177" s="3">
        <f t="shared" si="113"/>
        <v>4.0964642299810415E-2</v>
      </c>
      <c r="AB177" s="3">
        <f t="shared" si="113"/>
        <v>3.5976346211337162E-2</v>
      </c>
      <c r="AC177" s="3">
        <f t="shared" si="113"/>
        <v>9.8196480730031403E-3</v>
      </c>
      <c r="AD177" s="3">
        <f t="shared" si="113"/>
        <v>2.253640390702751E-8</v>
      </c>
      <c r="AE177" s="3">
        <f t="shared" si="113"/>
        <v>9.1363254340548484E-65</v>
      </c>
      <c r="AF177" s="3">
        <f t="shared" si="113"/>
        <v>0</v>
      </c>
      <c r="AG177" s="3"/>
      <c r="AH177" s="3"/>
    </row>
    <row r="178" spans="2:34" x14ac:dyDescent="0.25">
      <c r="B178" s="3">
        <f t="shared" ref="B178:AF178" si="114">$C25*EXP(-B$168/$A25/EXP(-$C$126))</f>
        <v>4.609677170559115E-2</v>
      </c>
      <c r="C178" s="3">
        <f t="shared" si="114"/>
        <v>4.609677170559115E-2</v>
      </c>
      <c r="D178" s="3">
        <f t="shared" si="114"/>
        <v>4.609677170559115E-2</v>
      </c>
      <c r="E178" s="3">
        <f t="shared" si="114"/>
        <v>4.609677170559115E-2</v>
      </c>
      <c r="F178" s="3">
        <f t="shared" si="114"/>
        <v>4.609677170559115E-2</v>
      </c>
      <c r="G178" s="3">
        <f t="shared" si="114"/>
        <v>4.609677170559115E-2</v>
      </c>
      <c r="H178" s="3">
        <f t="shared" si="114"/>
        <v>4.609677170559115E-2</v>
      </c>
      <c r="I178" s="3">
        <f t="shared" si="114"/>
        <v>4.609677170559115E-2</v>
      </c>
      <c r="J178" s="3">
        <f t="shared" si="114"/>
        <v>4.609677170559115E-2</v>
      </c>
      <c r="K178" s="3">
        <f t="shared" si="114"/>
        <v>4.609677170559115E-2</v>
      </c>
      <c r="L178" s="3">
        <f t="shared" si="114"/>
        <v>4.609677170559115E-2</v>
      </c>
      <c r="M178" s="3">
        <f t="shared" si="114"/>
        <v>4.609677170559115E-2</v>
      </c>
      <c r="N178" s="3">
        <f t="shared" si="114"/>
        <v>4.6096771705591143E-2</v>
      </c>
      <c r="O178" s="3">
        <f t="shared" si="114"/>
        <v>4.6096771705591087E-2</v>
      </c>
      <c r="P178" s="3">
        <f t="shared" si="114"/>
        <v>4.6096771705590553E-2</v>
      </c>
      <c r="Q178" s="3">
        <f t="shared" si="114"/>
        <v>4.6096771705585154E-2</v>
      </c>
      <c r="R178" s="3">
        <f t="shared" si="114"/>
        <v>4.6096771705531156E-2</v>
      </c>
      <c r="S178" s="3">
        <f t="shared" si="114"/>
        <v>4.6096771704991206E-2</v>
      </c>
      <c r="T178" s="3">
        <f t="shared" si="114"/>
        <v>4.6096771699591733E-2</v>
      </c>
      <c r="U178" s="3">
        <f t="shared" si="114"/>
        <v>4.6096771645597036E-2</v>
      </c>
      <c r="V178" s="3">
        <f t="shared" si="114"/>
        <v>4.6096771105650004E-2</v>
      </c>
      <c r="W178" s="3">
        <f t="shared" si="114"/>
        <v>4.6096765706180057E-2</v>
      </c>
      <c r="X178" s="3">
        <f t="shared" si="114"/>
        <v>4.6096711711515373E-2</v>
      </c>
      <c r="Y178" s="3">
        <f t="shared" si="114"/>
        <v>4.6096171768346975E-2</v>
      </c>
      <c r="Z178" s="3">
        <f t="shared" si="114"/>
        <v>4.6090772684498293E-2</v>
      </c>
      <c r="AA178" s="3">
        <f t="shared" si="114"/>
        <v>4.6036816614465563E-2</v>
      </c>
      <c r="AB178" s="3">
        <f t="shared" si="114"/>
        <v>4.5500717738224623E-2</v>
      </c>
      <c r="AC178" s="3">
        <f t="shared" si="114"/>
        <v>4.0471366648503863E-2</v>
      </c>
      <c r="AD178" s="3">
        <f t="shared" si="114"/>
        <v>1.2544232549559785E-2</v>
      </c>
      <c r="AE178" s="3">
        <f t="shared" si="114"/>
        <v>1.0266120595711868E-7</v>
      </c>
      <c r="AF178" s="3">
        <f t="shared" si="114"/>
        <v>1.3836588088350805E-58</v>
      </c>
      <c r="AG178" s="3"/>
      <c r="AH178" s="3"/>
    </row>
    <row r="179" spans="2:34" x14ac:dyDescent="0.25">
      <c r="B179" s="3">
        <f t="shared" ref="B179:AF179" si="115">$C26*EXP(-B$168/$A26/EXP(-$C$126))</f>
        <v>5.5576139774485327E-2</v>
      </c>
      <c r="C179" s="3">
        <f t="shared" si="115"/>
        <v>5.5576139774485327E-2</v>
      </c>
      <c r="D179" s="3">
        <f t="shared" si="115"/>
        <v>5.5576139774485327E-2</v>
      </c>
      <c r="E179" s="3">
        <f t="shared" si="115"/>
        <v>5.5576139774485327E-2</v>
      </c>
      <c r="F179" s="3">
        <f t="shared" si="115"/>
        <v>5.5576139774485327E-2</v>
      </c>
      <c r="G179" s="3">
        <f t="shared" si="115"/>
        <v>5.5576139774485327E-2</v>
      </c>
      <c r="H179" s="3">
        <f t="shared" si="115"/>
        <v>5.5576139774485327E-2</v>
      </c>
      <c r="I179" s="3">
        <f t="shared" si="115"/>
        <v>5.5576139774485327E-2</v>
      </c>
      <c r="J179" s="3">
        <f t="shared" si="115"/>
        <v>5.5576139774485327E-2</v>
      </c>
      <c r="K179" s="3">
        <f t="shared" si="115"/>
        <v>5.5576139774485327E-2</v>
      </c>
      <c r="L179" s="3">
        <f t="shared" si="115"/>
        <v>5.5576139774485327E-2</v>
      </c>
      <c r="M179" s="3">
        <f t="shared" si="115"/>
        <v>5.5576139774485327E-2</v>
      </c>
      <c r="N179" s="3">
        <f t="shared" si="115"/>
        <v>5.5576139774485327E-2</v>
      </c>
      <c r="O179" s="3">
        <f t="shared" si="115"/>
        <v>5.557613977448532E-2</v>
      </c>
      <c r="P179" s="3">
        <f t="shared" si="115"/>
        <v>5.5576139774485257E-2</v>
      </c>
      <c r="Q179" s="3">
        <f t="shared" si="115"/>
        <v>5.5576139774484674E-2</v>
      </c>
      <c r="R179" s="3">
        <f t="shared" si="115"/>
        <v>5.5576139774478804E-2</v>
      </c>
      <c r="S179" s="3">
        <f t="shared" si="115"/>
        <v>5.557613977442008E-2</v>
      </c>
      <c r="T179" s="3">
        <f t="shared" si="115"/>
        <v>5.5576139773832835E-2</v>
      </c>
      <c r="U179" s="3">
        <f t="shared" si="115"/>
        <v>5.5576139767960435E-2</v>
      </c>
      <c r="V179" s="3">
        <f t="shared" si="115"/>
        <v>5.5576139709236437E-2</v>
      </c>
      <c r="W179" s="3">
        <f t="shared" si="115"/>
        <v>5.5576139121996465E-2</v>
      </c>
      <c r="X179" s="3">
        <f t="shared" si="115"/>
        <v>5.5576133249597016E-2</v>
      </c>
      <c r="Y179" s="3">
        <f t="shared" si="115"/>
        <v>5.5576074525636704E-2</v>
      </c>
      <c r="Z179" s="3">
        <f t="shared" si="115"/>
        <v>5.5575487289446307E-2</v>
      </c>
      <c r="AA179" s="3">
        <f t="shared" si="115"/>
        <v>5.5569615268803371E-2</v>
      </c>
      <c r="AB179" s="3">
        <f t="shared" si="115"/>
        <v>5.5510929175137544E-2</v>
      </c>
      <c r="AC179" s="3">
        <f t="shared" si="115"/>
        <v>5.4927466215823804E-2</v>
      </c>
      <c r="AD179" s="3">
        <f t="shared" si="115"/>
        <v>4.9419716903908936E-2</v>
      </c>
      <c r="AE179" s="3">
        <f t="shared" si="115"/>
        <v>1.7179365890198715E-2</v>
      </c>
      <c r="AF179" s="3">
        <f t="shared" si="115"/>
        <v>4.4266572026811067E-7</v>
      </c>
      <c r="AG179" s="3"/>
      <c r="AH179" s="3"/>
    </row>
    <row r="180" spans="2:34" x14ac:dyDescent="0.25">
      <c r="B180" s="3">
        <f t="shared" ref="B180:AF180" si="116">$C27*EXP(-B$168/$A27/EXP(-$C$126))</f>
        <v>6.5368051844924516E-2</v>
      </c>
      <c r="C180" s="3">
        <f t="shared" si="116"/>
        <v>6.5368051844924516E-2</v>
      </c>
      <c r="D180" s="3">
        <f t="shared" si="116"/>
        <v>6.5368051844924516E-2</v>
      </c>
      <c r="E180" s="3">
        <f t="shared" si="116"/>
        <v>6.5368051844924516E-2</v>
      </c>
      <c r="F180" s="3">
        <f t="shared" si="116"/>
        <v>6.5368051844924516E-2</v>
      </c>
      <c r="G180" s="3">
        <f t="shared" si="116"/>
        <v>6.5368051844924516E-2</v>
      </c>
      <c r="H180" s="3">
        <f t="shared" si="116"/>
        <v>6.5368051844924516E-2</v>
      </c>
      <c r="I180" s="3">
        <f t="shared" si="116"/>
        <v>6.5368051844924516E-2</v>
      </c>
      <c r="J180" s="3">
        <f t="shared" si="116"/>
        <v>6.5368051844924516E-2</v>
      </c>
      <c r="K180" s="3">
        <f t="shared" si="116"/>
        <v>6.5368051844924516E-2</v>
      </c>
      <c r="L180" s="3">
        <f t="shared" si="116"/>
        <v>6.5368051844924516E-2</v>
      </c>
      <c r="M180" s="3">
        <f t="shared" si="116"/>
        <v>6.5368051844924516E-2</v>
      </c>
      <c r="N180" s="3">
        <f t="shared" si="116"/>
        <v>6.5368051844924516E-2</v>
      </c>
      <c r="O180" s="3">
        <f t="shared" si="116"/>
        <v>6.5368051844924516E-2</v>
      </c>
      <c r="P180" s="3">
        <f t="shared" si="116"/>
        <v>6.5368051844924502E-2</v>
      </c>
      <c r="Q180" s="3">
        <f t="shared" si="116"/>
        <v>6.5368051844924446E-2</v>
      </c>
      <c r="R180" s="3">
        <f t="shared" si="116"/>
        <v>6.5368051844923822E-2</v>
      </c>
      <c r="S180" s="3">
        <f t="shared" si="116"/>
        <v>6.5368051844917591E-2</v>
      </c>
      <c r="T180" s="3">
        <f t="shared" si="116"/>
        <v>6.5368051844855293E-2</v>
      </c>
      <c r="U180" s="3">
        <f t="shared" si="116"/>
        <v>6.5368051844232208E-2</v>
      </c>
      <c r="V180" s="3">
        <f t="shared" si="116"/>
        <v>6.536805183800147E-2</v>
      </c>
      <c r="W180" s="3">
        <f t="shared" si="116"/>
        <v>6.5368051775694117E-2</v>
      </c>
      <c r="X180" s="3">
        <f t="shared" si="116"/>
        <v>6.5368051152620482E-2</v>
      </c>
      <c r="Y180" s="3">
        <f t="shared" si="116"/>
        <v>6.5368044921884541E-2</v>
      </c>
      <c r="Z180" s="3">
        <f t="shared" si="116"/>
        <v>6.5367982614557771E-2</v>
      </c>
      <c r="AA180" s="3">
        <f t="shared" si="116"/>
        <v>6.5367359544556525E-2</v>
      </c>
      <c r="AB180" s="3">
        <f t="shared" si="116"/>
        <v>6.5361129171176133E-2</v>
      </c>
      <c r="AC180" s="3">
        <f t="shared" si="116"/>
        <v>6.5298858089066339E-2</v>
      </c>
      <c r="AD180" s="3">
        <f t="shared" si="116"/>
        <v>6.4679400951224417E-2</v>
      </c>
      <c r="AE180" s="3">
        <f t="shared" si="116"/>
        <v>5.8799009674585512E-2</v>
      </c>
      <c r="AF180" s="3">
        <f t="shared" si="116"/>
        <v>2.2667845173021391E-2</v>
      </c>
      <c r="AG180" s="3"/>
      <c r="AH180" s="3"/>
    </row>
    <row r="181" spans="2:34" x14ac:dyDescent="0.25">
      <c r="B181" s="3">
        <f t="shared" ref="B181:AF181" si="117">$C28*EXP(-B$168/$A28/EXP(-$C$126))</f>
        <v>6.6907973989911038E-2</v>
      </c>
      <c r="C181" s="3">
        <f t="shared" si="117"/>
        <v>6.6907973989911038E-2</v>
      </c>
      <c r="D181" s="3">
        <f t="shared" si="117"/>
        <v>6.6907973989911038E-2</v>
      </c>
      <c r="E181" s="3">
        <f t="shared" si="117"/>
        <v>6.6907973989911038E-2</v>
      </c>
      <c r="F181" s="3">
        <f t="shared" si="117"/>
        <v>6.6907973989911038E-2</v>
      </c>
      <c r="G181" s="3">
        <f t="shared" si="117"/>
        <v>6.6907973989911038E-2</v>
      </c>
      <c r="H181" s="3">
        <f t="shared" si="117"/>
        <v>6.6907973989911038E-2</v>
      </c>
      <c r="I181" s="3">
        <f t="shared" si="117"/>
        <v>6.6907973989911038E-2</v>
      </c>
      <c r="J181" s="3">
        <f t="shared" si="117"/>
        <v>6.6907973989911038E-2</v>
      </c>
      <c r="K181" s="3">
        <f t="shared" si="117"/>
        <v>6.6907973989911038E-2</v>
      </c>
      <c r="L181" s="3">
        <f t="shared" si="117"/>
        <v>6.6907973989911038E-2</v>
      </c>
      <c r="M181" s="3">
        <f t="shared" si="117"/>
        <v>6.6907973989911038E-2</v>
      </c>
      <c r="N181" s="3">
        <f t="shared" si="117"/>
        <v>6.6907973989911038E-2</v>
      </c>
      <c r="O181" s="3">
        <f t="shared" si="117"/>
        <v>6.6907973989911038E-2</v>
      </c>
      <c r="P181" s="3">
        <f t="shared" si="117"/>
        <v>6.6907973989911038E-2</v>
      </c>
      <c r="Q181" s="3">
        <f t="shared" si="117"/>
        <v>6.6907973989911024E-2</v>
      </c>
      <c r="R181" s="3">
        <f t="shared" si="117"/>
        <v>6.6907973989910968E-2</v>
      </c>
      <c r="S181" s="3">
        <f t="shared" si="117"/>
        <v>6.6907973989910399E-2</v>
      </c>
      <c r="T181" s="3">
        <f t="shared" si="117"/>
        <v>6.690797398990464E-2</v>
      </c>
      <c r="U181" s="3">
        <f t="shared" si="117"/>
        <v>6.6907973989847117E-2</v>
      </c>
      <c r="V181" s="3">
        <f t="shared" si="117"/>
        <v>6.6907973989271813E-2</v>
      </c>
      <c r="W181" s="3">
        <f t="shared" si="117"/>
        <v>6.6907973983518762E-2</v>
      </c>
      <c r="X181" s="3">
        <f t="shared" si="117"/>
        <v>6.690797392598824E-2</v>
      </c>
      <c r="Y181" s="3">
        <f t="shared" si="117"/>
        <v>6.6907973350683034E-2</v>
      </c>
      <c r="Z181" s="3">
        <f t="shared" si="117"/>
        <v>6.6907967597631332E-2</v>
      </c>
      <c r="AA181" s="3">
        <f t="shared" si="117"/>
        <v>6.6907910067141488E-2</v>
      </c>
      <c r="AB181" s="3">
        <f t="shared" si="117"/>
        <v>6.6907334764963716E-2</v>
      </c>
      <c r="AC181" s="3">
        <f t="shared" si="117"/>
        <v>6.690158201524693E-2</v>
      </c>
      <c r="AD181" s="3">
        <f t="shared" si="117"/>
        <v>6.6844081715511011E-2</v>
      </c>
      <c r="AE181" s="3">
        <f t="shared" si="117"/>
        <v>6.6271789828554722E-2</v>
      </c>
      <c r="AF181" s="3">
        <f t="shared" si="117"/>
        <v>6.0811551595366727E-2</v>
      </c>
      <c r="AG181" s="3"/>
      <c r="AH181" s="3"/>
    </row>
    <row r="182" spans="2:34" x14ac:dyDescent="0.25">
      <c r="B182" s="3">
        <f t="shared" ref="B182:AF182" si="118">$C29*EXP(-B$168/$A29/EXP(-$C$126))</f>
        <v>5.3174535073566002E-2</v>
      </c>
      <c r="C182" s="3">
        <f t="shared" si="118"/>
        <v>5.3174535073566002E-2</v>
      </c>
      <c r="D182" s="3">
        <f t="shared" si="118"/>
        <v>5.3174535073566002E-2</v>
      </c>
      <c r="E182" s="3">
        <f t="shared" si="118"/>
        <v>5.3174535073566002E-2</v>
      </c>
      <c r="F182" s="3">
        <f t="shared" si="118"/>
        <v>5.3174535073566002E-2</v>
      </c>
      <c r="G182" s="3">
        <f t="shared" si="118"/>
        <v>5.3174535073566002E-2</v>
      </c>
      <c r="H182" s="3">
        <f t="shared" si="118"/>
        <v>5.3174535073566002E-2</v>
      </c>
      <c r="I182" s="3">
        <f t="shared" si="118"/>
        <v>5.3174535073566002E-2</v>
      </c>
      <c r="J182" s="3">
        <f t="shared" si="118"/>
        <v>5.3174535073566002E-2</v>
      </c>
      <c r="K182" s="3">
        <f t="shared" si="118"/>
        <v>5.3174535073566002E-2</v>
      </c>
      <c r="L182" s="3">
        <f t="shared" si="118"/>
        <v>5.3174535073566002E-2</v>
      </c>
      <c r="M182" s="3">
        <f t="shared" si="118"/>
        <v>5.3174535073566002E-2</v>
      </c>
      <c r="N182" s="3">
        <f t="shared" si="118"/>
        <v>5.3174535073566002E-2</v>
      </c>
      <c r="O182" s="3">
        <f t="shared" si="118"/>
        <v>5.3174535073566002E-2</v>
      </c>
      <c r="P182" s="3">
        <f t="shared" si="118"/>
        <v>5.3174535073566002E-2</v>
      </c>
      <c r="Q182" s="3">
        <f t="shared" si="118"/>
        <v>5.3174535073566002E-2</v>
      </c>
      <c r="R182" s="3">
        <f t="shared" si="118"/>
        <v>5.3174535073565996E-2</v>
      </c>
      <c r="S182" s="3">
        <f t="shared" si="118"/>
        <v>5.3174535073565954E-2</v>
      </c>
      <c r="T182" s="3">
        <f t="shared" si="118"/>
        <v>5.3174535073565544E-2</v>
      </c>
      <c r="U182" s="3">
        <f t="shared" si="118"/>
        <v>5.3174535073561423E-2</v>
      </c>
      <c r="V182" s="3">
        <f t="shared" si="118"/>
        <v>5.3174535073520171E-2</v>
      </c>
      <c r="W182" s="3">
        <f t="shared" si="118"/>
        <v>5.317453507310773E-2</v>
      </c>
      <c r="X182" s="3">
        <f t="shared" si="118"/>
        <v>5.3174535068983231E-2</v>
      </c>
      <c r="Y182" s="3">
        <f t="shared" si="118"/>
        <v>5.3174535027738286E-2</v>
      </c>
      <c r="Z182" s="3">
        <f t="shared" si="118"/>
        <v>5.3174534615288857E-2</v>
      </c>
      <c r="AA182" s="3">
        <f t="shared" si="118"/>
        <v>5.3174530490794701E-2</v>
      </c>
      <c r="AB182" s="3">
        <f t="shared" si="118"/>
        <v>5.3174489245870753E-2</v>
      </c>
      <c r="AC182" s="3">
        <f t="shared" si="118"/>
        <v>5.317407679839084E-2</v>
      </c>
      <c r="AD182" s="3">
        <f t="shared" si="118"/>
        <v>5.3169952499540624E-2</v>
      </c>
      <c r="AE182" s="3">
        <f t="shared" si="118"/>
        <v>5.3128727100880235E-2</v>
      </c>
      <c r="AF182" s="3">
        <f t="shared" si="118"/>
        <v>5.2718227060786174E-2</v>
      </c>
      <c r="AG182" s="3"/>
      <c r="AH182" s="3"/>
    </row>
    <row r="183" spans="2:34" x14ac:dyDescent="0.25">
      <c r="B183" s="3">
        <f t="shared" ref="B183:AF183" si="119">$C30*EXP(-B$168/$A30/EXP(-$C$126))</f>
        <v>3.2923061735419888E-2</v>
      </c>
      <c r="C183" s="3">
        <f t="shared" si="119"/>
        <v>3.2923061735419888E-2</v>
      </c>
      <c r="D183" s="3">
        <f t="shared" si="119"/>
        <v>3.2923061735419888E-2</v>
      </c>
      <c r="E183" s="3">
        <f t="shared" si="119"/>
        <v>3.2923061735419888E-2</v>
      </c>
      <c r="F183" s="3">
        <f t="shared" si="119"/>
        <v>3.2923061735419888E-2</v>
      </c>
      <c r="G183" s="3">
        <f t="shared" si="119"/>
        <v>3.2923061735419888E-2</v>
      </c>
      <c r="H183" s="3">
        <f t="shared" si="119"/>
        <v>3.2923061735419888E-2</v>
      </c>
      <c r="I183" s="3">
        <f t="shared" si="119"/>
        <v>3.2923061735419888E-2</v>
      </c>
      <c r="J183" s="3">
        <f t="shared" si="119"/>
        <v>3.2923061735419888E-2</v>
      </c>
      <c r="K183" s="3">
        <f t="shared" si="119"/>
        <v>3.2923061735419888E-2</v>
      </c>
      <c r="L183" s="3">
        <f t="shared" si="119"/>
        <v>3.2923061735419888E-2</v>
      </c>
      <c r="M183" s="3">
        <f t="shared" si="119"/>
        <v>3.2923061735419888E-2</v>
      </c>
      <c r="N183" s="3">
        <f t="shared" si="119"/>
        <v>3.2923061735419888E-2</v>
      </c>
      <c r="O183" s="3">
        <f t="shared" si="119"/>
        <v>3.2923061735419888E-2</v>
      </c>
      <c r="P183" s="3">
        <f t="shared" si="119"/>
        <v>3.2923061735419888E-2</v>
      </c>
      <c r="Q183" s="3">
        <f t="shared" si="119"/>
        <v>3.2923061735419888E-2</v>
      </c>
      <c r="R183" s="3">
        <f t="shared" si="119"/>
        <v>3.2923061735419888E-2</v>
      </c>
      <c r="S183" s="3">
        <f t="shared" si="119"/>
        <v>3.2923061735419881E-2</v>
      </c>
      <c r="T183" s="3">
        <f t="shared" si="119"/>
        <v>3.292306173541986E-2</v>
      </c>
      <c r="U183" s="3">
        <f t="shared" si="119"/>
        <v>3.2923061735419631E-2</v>
      </c>
      <c r="V183" s="3">
        <f t="shared" si="119"/>
        <v>3.2923061735417328E-2</v>
      </c>
      <c r="W183" s="3">
        <f t="shared" si="119"/>
        <v>3.2923061735394291E-2</v>
      </c>
      <c r="X183" s="3">
        <f t="shared" si="119"/>
        <v>3.2923061735163926E-2</v>
      </c>
      <c r="Y183" s="3">
        <f t="shared" si="119"/>
        <v>3.2923061732860297E-2</v>
      </c>
      <c r="Z183" s="3">
        <f t="shared" si="119"/>
        <v>3.2923061709823932E-2</v>
      </c>
      <c r="AA183" s="3">
        <f t="shared" si="119"/>
        <v>3.2923061479460357E-2</v>
      </c>
      <c r="AB183" s="3">
        <f t="shared" si="119"/>
        <v>3.2923059175824658E-2</v>
      </c>
      <c r="AC183" s="3">
        <f t="shared" si="119"/>
        <v>3.2923036139476516E-2</v>
      </c>
      <c r="AD183" s="3">
        <f t="shared" si="119"/>
        <v>3.292280577688167E-2</v>
      </c>
      <c r="AE183" s="3">
        <f t="shared" si="119"/>
        <v>3.292050223958299E-2</v>
      </c>
      <c r="AF183" s="3">
        <f t="shared" si="119"/>
        <v>3.2897475729278591E-2</v>
      </c>
      <c r="AG183" s="3"/>
      <c r="AH183" s="3"/>
    </row>
    <row r="184" spans="2:34" x14ac:dyDescent="0.25">
      <c r="B184" s="3">
        <f t="shared" ref="B184:AF184" si="120">$C31*EXP(-B$168/$A31/EXP(-$C$126))</f>
        <v>1.6325787748200139E-2</v>
      </c>
      <c r="C184" s="3">
        <f t="shared" si="120"/>
        <v>1.6325787748200139E-2</v>
      </c>
      <c r="D184" s="3">
        <f t="shared" si="120"/>
        <v>1.6325787748200139E-2</v>
      </c>
      <c r="E184" s="3">
        <f t="shared" si="120"/>
        <v>1.6325787748200139E-2</v>
      </c>
      <c r="F184" s="3">
        <f t="shared" si="120"/>
        <v>1.6325787748200139E-2</v>
      </c>
      <c r="G184" s="3">
        <f t="shared" si="120"/>
        <v>1.6325787748200139E-2</v>
      </c>
      <c r="H184" s="3">
        <f t="shared" si="120"/>
        <v>1.6325787748200139E-2</v>
      </c>
      <c r="I184" s="3">
        <f t="shared" si="120"/>
        <v>1.6325787748200139E-2</v>
      </c>
      <c r="J184" s="3">
        <f t="shared" si="120"/>
        <v>1.6325787748200139E-2</v>
      </c>
      <c r="K184" s="3">
        <f t="shared" si="120"/>
        <v>1.6325787748200139E-2</v>
      </c>
      <c r="L184" s="3">
        <f t="shared" si="120"/>
        <v>1.6325787748200139E-2</v>
      </c>
      <c r="M184" s="3">
        <f t="shared" si="120"/>
        <v>1.6325787748200139E-2</v>
      </c>
      <c r="N184" s="3">
        <f t="shared" si="120"/>
        <v>1.6325787748200139E-2</v>
      </c>
      <c r="O184" s="3">
        <f t="shared" si="120"/>
        <v>1.6325787748200139E-2</v>
      </c>
      <c r="P184" s="3">
        <f t="shared" si="120"/>
        <v>1.6325787748200139E-2</v>
      </c>
      <c r="Q184" s="3">
        <f t="shared" si="120"/>
        <v>1.6325787748200139E-2</v>
      </c>
      <c r="R184" s="3">
        <f t="shared" si="120"/>
        <v>1.6325787748200139E-2</v>
      </c>
      <c r="S184" s="3">
        <f t="shared" si="120"/>
        <v>1.6325787748200139E-2</v>
      </c>
      <c r="T184" s="3">
        <f t="shared" si="120"/>
        <v>1.6325787748200135E-2</v>
      </c>
      <c r="U184" s="3">
        <f t="shared" si="120"/>
        <v>1.6325787748200128E-2</v>
      </c>
      <c r="V184" s="3">
        <f t="shared" si="120"/>
        <v>1.6325787748200024E-2</v>
      </c>
      <c r="W184" s="3">
        <f t="shared" si="120"/>
        <v>1.6325787748198994E-2</v>
      </c>
      <c r="X184" s="3">
        <f t="shared" si="120"/>
        <v>1.6325787748188689E-2</v>
      </c>
      <c r="Y184" s="3">
        <f t="shared" si="120"/>
        <v>1.632578774808564E-2</v>
      </c>
      <c r="Z184" s="3">
        <f t="shared" si="120"/>
        <v>1.6325787747055176E-2</v>
      </c>
      <c r="AA184" s="3">
        <f t="shared" si="120"/>
        <v>1.6325787736750499E-2</v>
      </c>
      <c r="AB184" s="3">
        <f t="shared" si="120"/>
        <v>1.632578763370374E-2</v>
      </c>
      <c r="AC184" s="3">
        <f t="shared" si="120"/>
        <v>1.6325786603236185E-2</v>
      </c>
      <c r="AD184" s="3">
        <f t="shared" si="120"/>
        <v>1.6325776298564201E-2</v>
      </c>
      <c r="AE184" s="3">
        <f t="shared" si="120"/>
        <v>1.6325673252202119E-2</v>
      </c>
      <c r="AF184" s="3">
        <f t="shared" si="120"/>
        <v>1.6324642824353516E-2</v>
      </c>
      <c r="AG184" s="3"/>
      <c r="AH184" s="3"/>
    </row>
    <row r="185" spans="2:34" x14ac:dyDescent="0.25">
      <c r="B185" s="3">
        <f t="shared" ref="B185:AF185" si="121">$C32*EXP(-B$168/$A32/EXP(-$C$126))</f>
        <v>7.8974635041155969E-3</v>
      </c>
      <c r="C185" s="3">
        <f t="shared" si="121"/>
        <v>7.8974635041155969E-3</v>
      </c>
      <c r="D185" s="3">
        <f t="shared" si="121"/>
        <v>7.8974635041155969E-3</v>
      </c>
      <c r="E185" s="3">
        <f t="shared" si="121"/>
        <v>7.8974635041155969E-3</v>
      </c>
      <c r="F185" s="3">
        <f t="shared" si="121"/>
        <v>7.8974635041155969E-3</v>
      </c>
      <c r="G185" s="3">
        <f t="shared" si="121"/>
        <v>7.8974635041155969E-3</v>
      </c>
      <c r="H185" s="3">
        <f t="shared" si="121"/>
        <v>7.8974635041155969E-3</v>
      </c>
      <c r="I185" s="3">
        <f t="shared" si="121"/>
        <v>7.8974635041155969E-3</v>
      </c>
      <c r="J185" s="3">
        <f t="shared" si="121"/>
        <v>7.8974635041155969E-3</v>
      </c>
      <c r="K185" s="3">
        <f t="shared" si="121"/>
        <v>7.8974635041155969E-3</v>
      </c>
      <c r="L185" s="3">
        <f t="shared" si="121"/>
        <v>7.8974635041155969E-3</v>
      </c>
      <c r="M185" s="3">
        <f t="shared" si="121"/>
        <v>7.8974635041155969E-3</v>
      </c>
      <c r="N185" s="3">
        <f t="shared" si="121"/>
        <v>7.8974635041155969E-3</v>
      </c>
      <c r="O185" s="3">
        <f t="shared" si="121"/>
        <v>7.8974635041155969E-3</v>
      </c>
      <c r="P185" s="3">
        <f t="shared" si="121"/>
        <v>7.8974635041155969E-3</v>
      </c>
      <c r="Q185" s="3">
        <f t="shared" si="121"/>
        <v>7.8974635041155969E-3</v>
      </c>
      <c r="R185" s="3">
        <f t="shared" si="121"/>
        <v>7.8974635041155969E-3</v>
      </c>
      <c r="S185" s="3">
        <f t="shared" si="121"/>
        <v>7.8974635041155969E-3</v>
      </c>
      <c r="T185" s="3">
        <f t="shared" si="121"/>
        <v>7.8974635041155969E-3</v>
      </c>
      <c r="U185" s="3">
        <f t="shared" si="121"/>
        <v>7.8974635041155952E-3</v>
      </c>
      <c r="V185" s="3">
        <f t="shared" si="121"/>
        <v>7.8974635041155917E-3</v>
      </c>
      <c r="W185" s="3">
        <f t="shared" si="121"/>
        <v>7.8974635041155466E-3</v>
      </c>
      <c r="X185" s="3">
        <f t="shared" si="121"/>
        <v>7.8974635041150973E-3</v>
      </c>
      <c r="Y185" s="3">
        <f t="shared" si="121"/>
        <v>7.8974635041106009E-3</v>
      </c>
      <c r="Z185" s="3">
        <f t="shared" si="121"/>
        <v>7.8974635040656334E-3</v>
      </c>
      <c r="AA185" s="3">
        <f t="shared" si="121"/>
        <v>7.8974635036159636E-3</v>
      </c>
      <c r="AB185" s="3">
        <f t="shared" si="121"/>
        <v>7.8974634991192567E-3</v>
      </c>
      <c r="AC185" s="3">
        <f t="shared" si="121"/>
        <v>7.8974634541522058E-3</v>
      </c>
      <c r="AD185" s="3">
        <f t="shared" si="121"/>
        <v>7.8974630044817071E-3</v>
      </c>
      <c r="AE185" s="3">
        <f t="shared" si="121"/>
        <v>7.8974585077781177E-3</v>
      </c>
      <c r="AF185" s="3">
        <f t="shared" si="121"/>
        <v>7.8974135408830561E-3</v>
      </c>
      <c r="AG185" s="3"/>
      <c r="AH185" s="3"/>
    </row>
    <row r="186" spans="2:34" x14ac:dyDescent="0.25">
      <c r="B186" s="3">
        <f t="shared" ref="B186:AF186" si="122">$C33*EXP(-B$168/$A33/EXP(-$C$126))</f>
        <v>4.1550471728530186E-3</v>
      </c>
      <c r="C186" s="3">
        <f t="shared" si="122"/>
        <v>4.1550471728530186E-3</v>
      </c>
      <c r="D186" s="3">
        <f t="shared" si="122"/>
        <v>4.1550471728530186E-3</v>
      </c>
      <c r="E186" s="3">
        <f t="shared" si="122"/>
        <v>4.1550471728530186E-3</v>
      </c>
      <c r="F186" s="3">
        <f t="shared" si="122"/>
        <v>4.1550471728530186E-3</v>
      </c>
      <c r="G186" s="3">
        <f t="shared" si="122"/>
        <v>4.1550471728530186E-3</v>
      </c>
      <c r="H186" s="3">
        <f t="shared" si="122"/>
        <v>4.1550471728530186E-3</v>
      </c>
      <c r="I186" s="3">
        <f t="shared" si="122"/>
        <v>4.1550471728530186E-3</v>
      </c>
      <c r="J186" s="3">
        <f t="shared" si="122"/>
        <v>4.1550471728530186E-3</v>
      </c>
      <c r="K186" s="3">
        <f t="shared" si="122"/>
        <v>4.1550471728530186E-3</v>
      </c>
      <c r="L186" s="3">
        <f t="shared" si="122"/>
        <v>4.1550471728530186E-3</v>
      </c>
      <c r="M186" s="3">
        <f t="shared" si="122"/>
        <v>4.1550471728530186E-3</v>
      </c>
      <c r="N186" s="3">
        <f t="shared" si="122"/>
        <v>4.1550471728530186E-3</v>
      </c>
      <c r="O186" s="3">
        <f t="shared" si="122"/>
        <v>4.1550471728530186E-3</v>
      </c>
      <c r="P186" s="3">
        <f t="shared" si="122"/>
        <v>4.1550471728530186E-3</v>
      </c>
      <c r="Q186" s="3">
        <f t="shared" si="122"/>
        <v>4.1550471728530186E-3</v>
      </c>
      <c r="R186" s="3">
        <f t="shared" si="122"/>
        <v>4.1550471728530186E-3</v>
      </c>
      <c r="S186" s="3">
        <f t="shared" si="122"/>
        <v>4.1550471728530186E-3</v>
      </c>
      <c r="T186" s="3">
        <f t="shared" si="122"/>
        <v>4.1550471728530186E-3</v>
      </c>
      <c r="U186" s="3">
        <f t="shared" si="122"/>
        <v>4.1550471728530186E-3</v>
      </c>
      <c r="V186" s="3">
        <f t="shared" si="122"/>
        <v>4.1550471728530177E-3</v>
      </c>
      <c r="W186" s="3">
        <f t="shared" si="122"/>
        <v>4.155047172853016E-3</v>
      </c>
      <c r="X186" s="3">
        <f t="shared" si="122"/>
        <v>4.1550471728529952E-3</v>
      </c>
      <c r="Y186" s="3">
        <f t="shared" si="122"/>
        <v>4.1550471728527818E-3</v>
      </c>
      <c r="Z186" s="3">
        <f t="shared" si="122"/>
        <v>4.1550471728506472E-3</v>
      </c>
      <c r="AA186" s="3">
        <f t="shared" si="122"/>
        <v>4.1550471728293058E-3</v>
      </c>
      <c r="AB186" s="3">
        <f t="shared" si="122"/>
        <v>4.1550471726158889E-3</v>
      </c>
      <c r="AC186" s="3">
        <f t="shared" si="122"/>
        <v>4.1550471704817167E-3</v>
      </c>
      <c r="AD186" s="3">
        <f t="shared" si="122"/>
        <v>4.155047149140001E-3</v>
      </c>
      <c r="AE186" s="3">
        <f t="shared" si="122"/>
        <v>4.1550469357228489E-3</v>
      </c>
      <c r="AF186" s="3">
        <f t="shared" si="122"/>
        <v>4.15504480155193E-3</v>
      </c>
      <c r="AG186" s="3"/>
      <c r="AH186" s="3"/>
    </row>
    <row r="187" spans="2:34" x14ac:dyDescent="0.25">
      <c r="B187" s="3">
        <f t="shared" ref="B187:AF187" si="123">$C34*EXP(-B$168/$A34/EXP(-$C$126))</f>
        <v>4.2575321437709054E-3</v>
      </c>
      <c r="C187" s="3">
        <f t="shared" si="123"/>
        <v>4.2575321437709054E-3</v>
      </c>
      <c r="D187" s="3">
        <f t="shared" si="123"/>
        <v>4.2575321437709054E-3</v>
      </c>
      <c r="E187" s="3">
        <f t="shared" si="123"/>
        <v>4.2575321437709054E-3</v>
      </c>
      <c r="F187" s="3">
        <f t="shared" si="123"/>
        <v>4.2575321437709054E-3</v>
      </c>
      <c r="G187" s="3">
        <f t="shared" si="123"/>
        <v>4.2575321437709054E-3</v>
      </c>
      <c r="H187" s="3">
        <f t="shared" si="123"/>
        <v>4.2575321437709054E-3</v>
      </c>
      <c r="I187" s="3">
        <f t="shared" si="123"/>
        <v>4.2575321437709054E-3</v>
      </c>
      <c r="J187" s="3">
        <f t="shared" si="123"/>
        <v>4.2575321437709054E-3</v>
      </c>
      <c r="K187" s="3">
        <f t="shared" si="123"/>
        <v>4.2575321437709054E-3</v>
      </c>
      <c r="L187" s="3">
        <f t="shared" si="123"/>
        <v>4.2575321437709054E-3</v>
      </c>
      <c r="M187" s="3">
        <f t="shared" si="123"/>
        <v>4.2575321437709054E-3</v>
      </c>
      <c r="N187" s="3">
        <f t="shared" si="123"/>
        <v>4.2575321437709054E-3</v>
      </c>
      <c r="O187" s="3">
        <f t="shared" si="123"/>
        <v>4.2575321437709054E-3</v>
      </c>
      <c r="P187" s="3">
        <f t="shared" si="123"/>
        <v>4.2575321437709054E-3</v>
      </c>
      <c r="Q187" s="3">
        <f t="shared" si="123"/>
        <v>4.2575321437709054E-3</v>
      </c>
      <c r="R187" s="3">
        <f t="shared" si="123"/>
        <v>4.2575321437709054E-3</v>
      </c>
      <c r="S187" s="3">
        <f t="shared" si="123"/>
        <v>4.2575321437709054E-3</v>
      </c>
      <c r="T187" s="3">
        <f t="shared" si="123"/>
        <v>4.2575321437709054E-3</v>
      </c>
      <c r="U187" s="3">
        <f t="shared" si="123"/>
        <v>4.2575321437709054E-3</v>
      </c>
      <c r="V187" s="3">
        <f t="shared" si="123"/>
        <v>4.2575321437709054E-3</v>
      </c>
      <c r="W187" s="3">
        <f t="shared" si="123"/>
        <v>4.2575321437709054E-3</v>
      </c>
      <c r="X187" s="3">
        <f t="shared" si="123"/>
        <v>4.2575321437709028E-3</v>
      </c>
      <c r="Y187" s="3">
        <f t="shared" si="123"/>
        <v>4.2575321437708837E-3</v>
      </c>
      <c r="Z187" s="3">
        <f t="shared" si="123"/>
        <v>4.257532143770686E-3</v>
      </c>
      <c r="AA187" s="3">
        <f t="shared" si="123"/>
        <v>4.2575321437687136E-3</v>
      </c>
      <c r="AB187" s="3">
        <f t="shared" si="123"/>
        <v>4.2575321437489863E-3</v>
      </c>
      <c r="AC187" s="3">
        <f t="shared" si="123"/>
        <v>4.2575321435517179E-3</v>
      </c>
      <c r="AD187" s="3">
        <f t="shared" si="123"/>
        <v>4.2575321415790329E-3</v>
      </c>
      <c r="AE187" s="3">
        <f t="shared" si="123"/>
        <v>4.2575321218521747E-3</v>
      </c>
      <c r="AF187" s="3">
        <f t="shared" si="123"/>
        <v>4.2575319245836086E-3</v>
      </c>
      <c r="AG187" s="3"/>
      <c r="AH187" s="3"/>
    </row>
    <row r="188" spans="2:34" x14ac:dyDescent="0.25">
      <c r="B188" s="3">
        <f t="shared" ref="B188:AF188" si="124">$C35*EXP(-B$168/$A35/EXP(-$C$126))</f>
        <v>9.5394971617709327E-4</v>
      </c>
      <c r="C188" s="3">
        <f t="shared" si="124"/>
        <v>9.5394971617709327E-4</v>
      </c>
      <c r="D188" s="3">
        <f t="shared" si="124"/>
        <v>9.5394971617709327E-4</v>
      </c>
      <c r="E188" s="3">
        <f t="shared" si="124"/>
        <v>9.5394971617709327E-4</v>
      </c>
      <c r="F188" s="3">
        <f t="shared" si="124"/>
        <v>9.5394971617709327E-4</v>
      </c>
      <c r="G188" s="3">
        <f t="shared" si="124"/>
        <v>9.5394971617709327E-4</v>
      </c>
      <c r="H188" s="3">
        <f t="shared" si="124"/>
        <v>9.5394971617709327E-4</v>
      </c>
      <c r="I188" s="3">
        <f t="shared" si="124"/>
        <v>9.5394971617709327E-4</v>
      </c>
      <c r="J188" s="3">
        <f t="shared" si="124"/>
        <v>9.5394971617709327E-4</v>
      </c>
      <c r="K188" s="3">
        <f t="shared" si="124"/>
        <v>9.5394971617709327E-4</v>
      </c>
      <c r="L188" s="3">
        <f t="shared" si="124"/>
        <v>9.5394971617709327E-4</v>
      </c>
      <c r="M188" s="3">
        <f t="shared" si="124"/>
        <v>9.5394971617709327E-4</v>
      </c>
      <c r="N188" s="3">
        <f t="shared" si="124"/>
        <v>9.5394971617709327E-4</v>
      </c>
      <c r="O188" s="3">
        <f t="shared" si="124"/>
        <v>9.5394971617709327E-4</v>
      </c>
      <c r="P188" s="3">
        <f t="shared" si="124"/>
        <v>9.5394971617709327E-4</v>
      </c>
      <c r="Q188" s="3">
        <f t="shared" si="124"/>
        <v>9.5394971617709327E-4</v>
      </c>
      <c r="R188" s="3">
        <f t="shared" si="124"/>
        <v>9.5394971617709327E-4</v>
      </c>
      <c r="S188" s="3">
        <f t="shared" si="124"/>
        <v>9.5394971617709327E-4</v>
      </c>
      <c r="T188" s="3">
        <f t="shared" si="124"/>
        <v>9.5394971617709327E-4</v>
      </c>
      <c r="U188" s="3">
        <f t="shared" si="124"/>
        <v>9.5394971617709327E-4</v>
      </c>
      <c r="V188" s="3">
        <f t="shared" si="124"/>
        <v>9.5394971617709327E-4</v>
      </c>
      <c r="W188" s="3">
        <f t="shared" si="124"/>
        <v>9.5394971617709327E-4</v>
      </c>
      <c r="X188" s="3">
        <f t="shared" si="124"/>
        <v>9.5394971617709327E-4</v>
      </c>
      <c r="Y188" s="3">
        <f t="shared" si="124"/>
        <v>9.5394971617709283E-4</v>
      </c>
      <c r="Z188" s="3">
        <f t="shared" si="124"/>
        <v>9.5394971617708882E-4</v>
      </c>
      <c r="AA188" s="3">
        <f t="shared" si="124"/>
        <v>9.5394971617704903E-4</v>
      </c>
      <c r="AB188" s="3">
        <f t="shared" si="124"/>
        <v>9.5394971617665026E-4</v>
      </c>
      <c r="AC188" s="3">
        <f t="shared" si="124"/>
        <v>9.53949716172663E-4</v>
      </c>
      <c r="AD188" s="3">
        <f t="shared" si="124"/>
        <v>9.539497161327906E-4</v>
      </c>
      <c r="AE188" s="3">
        <f t="shared" si="124"/>
        <v>9.5394971573406701E-4</v>
      </c>
      <c r="AF188" s="3">
        <f t="shared" si="124"/>
        <v>9.5394971174683004E-4</v>
      </c>
      <c r="AG188" s="3"/>
      <c r="AH188" s="3"/>
    </row>
    <row r="189" spans="2:34" x14ac:dyDescent="0.25">
      <c r="B189" s="3">
        <f t="shared" ref="B189:AF189" si="125">$C36*EXP(-B$168/$A36/EXP(-$C$126))</f>
        <v>4.0589760414466262E-3</v>
      </c>
      <c r="C189" s="3">
        <f t="shared" si="125"/>
        <v>4.0589760414466262E-3</v>
      </c>
      <c r="D189" s="3">
        <f t="shared" si="125"/>
        <v>4.0589760414466262E-3</v>
      </c>
      <c r="E189" s="3">
        <f t="shared" si="125"/>
        <v>4.0589760414466262E-3</v>
      </c>
      <c r="F189" s="3">
        <f t="shared" si="125"/>
        <v>4.0589760414466262E-3</v>
      </c>
      <c r="G189" s="3">
        <f t="shared" si="125"/>
        <v>4.0589760414466262E-3</v>
      </c>
      <c r="H189" s="3">
        <f t="shared" si="125"/>
        <v>4.0589760414466262E-3</v>
      </c>
      <c r="I189" s="3">
        <f t="shared" si="125"/>
        <v>4.0589760414466262E-3</v>
      </c>
      <c r="J189" s="3">
        <f t="shared" si="125"/>
        <v>4.0589760414466262E-3</v>
      </c>
      <c r="K189" s="3">
        <f t="shared" si="125"/>
        <v>4.0589760414466262E-3</v>
      </c>
      <c r="L189" s="3">
        <f t="shared" si="125"/>
        <v>4.0589760414466262E-3</v>
      </c>
      <c r="M189" s="3">
        <f t="shared" si="125"/>
        <v>4.0589760414466262E-3</v>
      </c>
      <c r="N189" s="3">
        <f t="shared" si="125"/>
        <v>4.0589760414466262E-3</v>
      </c>
      <c r="O189" s="3">
        <f t="shared" si="125"/>
        <v>4.0589760414466262E-3</v>
      </c>
      <c r="P189" s="3">
        <f t="shared" si="125"/>
        <v>4.0589760414466262E-3</v>
      </c>
      <c r="Q189" s="3">
        <f t="shared" si="125"/>
        <v>4.0589760414466262E-3</v>
      </c>
      <c r="R189" s="3">
        <f t="shared" si="125"/>
        <v>4.0589760414466262E-3</v>
      </c>
      <c r="S189" s="3">
        <f t="shared" si="125"/>
        <v>4.0589760414466262E-3</v>
      </c>
      <c r="T189" s="3">
        <f t="shared" si="125"/>
        <v>4.0589760414466262E-3</v>
      </c>
      <c r="U189" s="3">
        <f t="shared" si="125"/>
        <v>4.0589760414466262E-3</v>
      </c>
      <c r="V189" s="3">
        <f t="shared" si="125"/>
        <v>4.0589760414466262E-3</v>
      </c>
      <c r="W189" s="3">
        <f t="shared" si="125"/>
        <v>4.0589760414466262E-3</v>
      </c>
      <c r="X189" s="3">
        <f t="shared" si="125"/>
        <v>4.0589760414466262E-3</v>
      </c>
      <c r="Y189" s="3">
        <f t="shared" si="125"/>
        <v>4.0589760414466262E-3</v>
      </c>
      <c r="Z189" s="3">
        <f t="shared" si="125"/>
        <v>4.0589760414466245E-3</v>
      </c>
      <c r="AA189" s="3">
        <f t="shared" si="125"/>
        <v>4.0589760414466089E-3</v>
      </c>
      <c r="AB189" s="3">
        <f t="shared" si="125"/>
        <v>4.0589760414464562E-3</v>
      </c>
      <c r="AC189" s="3">
        <f t="shared" si="125"/>
        <v>4.0589760414449262E-3</v>
      </c>
      <c r="AD189" s="3">
        <f t="shared" si="125"/>
        <v>4.0589760414296216E-3</v>
      </c>
      <c r="AE189" s="3">
        <f t="shared" si="125"/>
        <v>4.05897604127658E-3</v>
      </c>
      <c r="AF189" s="3">
        <f t="shared" si="125"/>
        <v>4.0589760397461636E-3</v>
      </c>
      <c r="AG189" s="3"/>
      <c r="AH189" s="3"/>
    </row>
    <row r="190" spans="2:34" x14ac:dyDescent="0.25">
      <c r="B190" s="3">
        <f t="shared" ref="B190:AF190" si="126">$C37*EXP(-B$168/$A37/EXP(-$C$126))</f>
        <v>1.8079022275700322E-3</v>
      </c>
      <c r="C190" s="3">
        <f t="shared" si="126"/>
        <v>1.8079022275700322E-3</v>
      </c>
      <c r="D190" s="3">
        <f t="shared" si="126"/>
        <v>1.8079022275700322E-3</v>
      </c>
      <c r="E190" s="3">
        <f t="shared" si="126"/>
        <v>1.8079022275700322E-3</v>
      </c>
      <c r="F190" s="3">
        <f t="shared" si="126"/>
        <v>1.8079022275700322E-3</v>
      </c>
      <c r="G190" s="3">
        <f t="shared" si="126"/>
        <v>1.8079022275700322E-3</v>
      </c>
      <c r="H190" s="3">
        <f t="shared" si="126"/>
        <v>1.8079022275700322E-3</v>
      </c>
      <c r="I190" s="3">
        <f t="shared" si="126"/>
        <v>1.8079022275700322E-3</v>
      </c>
      <c r="J190" s="3">
        <f t="shared" si="126"/>
        <v>1.8079022275700322E-3</v>
      </c>
      <c r="K190" s="3">
        <f t="shared" si="126"/>
        <v>1.8079022275700322E-3</v>
      </c>
      <c r="L190" s="3">
        <f t="shared" si="126"/>
        <v>1.8079022275700322E-3</v>
      </c>
      <c r="M190" s="3">
        <f t="shared" si="126"/>
        <v>1.8079022275700322E-3</v>
      </c>
      <c r="N190" s="3">
        <f t="shared" si="126"/>
        <v>1.8079022275700322E-3</v>
      </c>
      <c r="O190" s="3">
        <f t="shared" si="126"/>
        <v>1.8079022275700322E-3</v>
      </c>
      <c r="P190" s="3">
        <f t="shared" si="126"/>
        <v>1.8079022275700322E-3</v>
      </c>
      <c r="Q190" s="3">
        <f t="shared" si="126"/>
        <v>1.8079022275700322E-3</v>
      </c>
      <c r="R190" s="3">
        <f t="shared" si="126"/>
        <v>1.8079022275700322E-3</v>
      </c>
      <c r="S190" s="3">
        <f t="shared" si="126"/>
        <v>1.8079022275700322E-3</v>
      </c>
      <c r="T190" s="3">
        <f t="shared" si="126"/>
        <v>1.8079022275700322E-3</v>
      </c>
      <c r="U190" s="3">
        <f t="shared" si="126"/>
        <v>1.8079022275700322E-3</v>
      </c>
      <c r="V190" s="3">
        <f t="shared" si="126"/>
        <v>1.8079022275700322E-3</v>
      </c>
      <c r="W190" s="3">
        <f t="shared" si="126"/>
        <v>1.8079022275700322E-3</v>
      </c>
      <c r="X190" s="3">
        <f t="shared" si="126"/>
        <v>1.8079022275700322E-3</v>
      </c>
      <c r="Y190" s="3">
        <f t="shared" si="126"/>
        <v>1.8079022275700322E-3</v>
      </c>
      <c r="Z190" s="3">
        <f t="shared" si="126"/>
        <v>1.8079022275700322E-3</v>
      </c>
      <c r="AA190" s="3">
        <f t="shared" si="126"/>
        <v>1.8079022275700315E-3</v>
      </c>
      <c r="AB190" s="3">
        <f t="shared" si="126"/>
        <v>1.8079022275700254E-3</v>
      </c>
      <c r="AC190" s="3">
        <f t="shared" si="126"/>
        <v>1.8079022275699639E-3</v>
      </c>
      <c r="AD190" s="3">
        <f t="shared" si="126"/>
        <v>1.8079022275693489E-3</v>
      </c>
      <c r="AE190" s="3">
        <f t="shared" si="126"/>
        <v>1.8079022275631997E-3</v>
      </c>
      <c r="AF190" s="3">
        <f t="shared" si="126"/>
        <v>1.8079022275017083E-3</v>
      </c>
      <c r="AG190" s="3"/>
      <c r="AH190" s="3"/>
    </row>
    <row r="191" spans="2:34" x14ac:dyDescent="0.25">
      <c r="B191" s="3">
        <f t="shared" ref="B191:AF191" si="127">$C38*EXP(-B$168/$A38/EXP(-$C$126))</f>
        <v>6.6593482592524332E-4</v>
      </c>
      <c r="C191" s="3">
        <f t="shared" si="127"/>
        <v>6.6593482592524332E-4</v>
      </c>
      <c r="D191" s="3">
        <f t="shared" si="127"/>
        <v>6.6593482592524332E-4</v>
      </c>
      <c r="E191" s="3">
        <f t="shared" si="127"/>
        <v>6.6593482592524332E-4</v>
      </c>
      <c r="F191" s="3">
        <f t="shared" si="127"/>
        <v>6.6593482592524332E-4</v>
      </c>
      <c r="G191" s="3">
        <f t="shared" si="127"/>
        <v>6.6593482592524332E-4</v>
      </c>
      <c r="H191" s="3">
        <f t="shared" si="127"/>
        <v>6.6593482592524332E-4</v>
      </c>
      <c r="I191" s="3">
        <f t="shared" si="127"/>
        <v>6.6593482592524332E-4</v>
      </c>
      <c r="J191" s="3">
        <f t="shared" si="127"/>
        <v>6.6593482592524332E-4</v>
      </c>
      <c r="K191" s="3">
        <f t="shared" si="127"/>
        <v>6.6593482592524332E-4</v>
      </c>
      <c r="L191" s="3">
        <f t="shared" si="127"/>
        <v>6.6593482592524332E-4</v>
      </c>
      <c r="M191" s="3">
        <f t="shared" si="127"/>
        <v>6.6593482592524332E-4</v>
      </c>
      <c r="N191" s="3">
        <f t="shared" si="127"/>
        <v>6.6593482592524332E-4</v>
      </c>
      <c r="O191" s="3">
        <f t="shared" si="127"/>
        <v>6.6593482592524332E-4</v>
      </c>
      <c r="P191" s="3">
        <f t="shared" si="127"/>
        <v>6.6593482592524332E-4</v>
      </c>
      <c r="Q191" s="3">
        <f t="shared" si="127"/>
        <v>6.6593482592524332E-4</v>
      </c>
      <c r="R191" s="3">
        <f t="shared" si="127"/>
        <v>6.6593482592524332E-4</v>
      </c>
      <c r="S191" s="3">
        <f t="shared" si="127"/>
        <v>6.6593482592524332E-4</v>
      </c>
      <c r="T191" s="3">
        <f t="shared" si="127"/>
        <v>6.6593482592524332E-4</v>
      </c>
      <c r="U191" s="3">
        <f t="shared" si="127"/>
        <v>6.6593482592524332E-4</v>
      </c>
      <c r="V191" s="3">
        <f t="shared" si="127"/>
        <v>6.6593482592524332E-4</v>
      </c>
      <c r="W191" s="3">
        <f t="shared" si="127"/>
        <v>6.6593482592524332E-4</v>
      </c>
      <c r="X191" s="3">
        <f t="shared" si="127"/>
        <v>6.6593482592524332E-4</v>
      </c>
      <c r="Y191" s="3">
        <f t="shared" si="127"/>
        <v>6.6593482592524332E-4</v>
      </c>
      <c r="Z191" s="3">
        <f t="shared" si="127"/>
        <v>6.6593482592524332E-4</v>
      </c>
      <c r="AA191" s="3">
        <f t="shared" si="127"/>
        <v>6.6593482592524332E-4</v>
      </c>
      <c r="AB191" s="3">
        <f t="shared" si="127"/>
        <v>6.659348259252431E-4</v>
      </c>
      <c r="AC191" s="3">
        <f t="shared" si="127"/>
        <v>6.6593482592524104E-4</v>
      </c>
      <c r="AD191" s="3">
        <f t="shared" si="127"/>
        <v>6.6593482592522066E-4</v>
      </c>
      <c r="AE191" s="3">
        <f t="shared" si="127"/>
        <v>6.6593482592501628E-4</v>
      </c>
      <c r="AF191" s="3">
        <f t="shared" si="127"/>
        <v>6.65934825922973E-4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5.5929921649114952E-4</v>
      </c>
      <c r="C193" s="3">
        <f t="shared" si="129"/>
        <v>5.5929921649114952E-4</v>
      </c>
      <c r="D193" s="3">
        <f t="shared" si="129"/>
        <v>5.5929921649114952E-4</v>
      </c>
      <c r="E193" s="3">
        <f t="shared" si="129"/>
        <v>5.5929921649114952E-4</v>
      </c>
      <c r="F193" s="3">
        <f t="shared" si="129"/>
        <v>5.5929921649114952E-4</v>
      </c>
      <c r="G193" s="3">
        <f t="shared" si="129"/>
        <v>5.5929921649114952E-4</v>
      </c>
      <c r="H193" s="3">
        <f t="shared" si="129"/>
        <v>5.5929921649114952E-4</v>
      </c>
      <c r="I193" s="3">
        <f t="shared" si="129"/>
        <v>5.5929921649114952E-4</v>
      </c>
      <c r="J193" s="3">
        <f t="shared" si="129"/>
        <v>5.5929921649114952E-4</v>
      </c>
      <c r="K193" s="3">
        <f t="shared" si="129"/>
        <v>5.5929921649114952E-4</v>
      </c>
      <c r="L193" s="3">
        <f t="shared" si="129"/>
        <v>5.5929921649114952E-4</v>
      </c>
      <c r="M193" s="3">
        <f t="shared" si="129"/>
        <v>5.5929921649114952E-4</v>
      </c>
      <c r="N193" s="3">
        <f t="shared" si="129"/>
        <v>5.5929921649114952E-4</v>
      </c>
      <c r="O193" s="3">
        <f t="shared" si="129"/>
        <v>5.5929921649114952E-4</v>
      </c>
      <c r="P193" s="3">
        <f t="shared" si="129"/>
        <v>5.5929921649114952E-4</v>
      </c>
      <c r="Q193" s="3">
        <f t="shared" si="129"/>
        <v>5.5929921649114952E-4</v>
      </c>
      <c r="R193" s="3">
        <f t="shared" si="129"/>
        <v>5.5929921649114952E-4</v>
      </c>
      <c r="S193" s="3">
        <f t="shared" si="129"/>
        <v>5.5929921649114952E-4</v>
      </c>
      <c r="T193" s="3">
        <f t="shared" si="129"/>
        <v>5.5929921649114952E-4</v>
      </c>
      <c r="U193" s="3">
        <f t="shared" si="129"/>
        <v>5.5929921649114952E-4</v>
      </c>
      <c r="V193" s="3">
        <f t="shared" si="129"/>
        <v>5.5929921649114952E-4</v>
      </c>
      <c r="W193" s="3">
        <f t="shared" si="129"/>
        <v>5.5929921649114952E-4</v>
      </c>
      <c r="X193" s="3">
        <f t="shared" si="129"/>
        <v>5.5929921649114952E-4</v>
      </c>
      <c r="Y193" s="3">
        <f t="shared" si="129"/>
        <v>5.5929921649114952E-4</v>
      </c>
      <c r="Z193" s="3">
        <f t="shared" si="129"/>
        <v>5.5929921649114952E-4</v>
      </c>
      <c r="AA193" s="3">
        <f t="shared" si="129"/>
        <v>5.5929921649114952E-4</v>
      </c>
      <c r="AB193" s="3">
        <f t="shared" si="129"/>
        <v>5.5929921649114952E-4</v>
      </c>
      <c r="AC193" s="3">
        <f t="shared" si="129"/>
        <v>5.5929921649114942E-4</v>
      </c>
      <c r="AD193" s="3">
        <f t="shared" si="129"/>
        <v>5.5929921649114898E-4</v>
      </c>
      <c r="AE193" s="3">
        <f t="shared" si="129"/>
        <v>5.5929921649114421E-4</v>
      </c>
      <c r="AF193" s="3">
        <f t="shared" si="129"/>
        <v>5.5929921649109683E-4</v>
      </c>
      <c r="AG193" s="3"/>
      <c r="AH193" s="3"/>
    </row>
    <row r="194" spans="1:34" x14ac:dyDescent="0.25">
      <c r="B194" s="3">
        <f t="shared" ref="B194:AF194" si="130">$C41*EXP(-B$168/$A41/EXP(-$C$126))</f>
        <v>0</v>
      </c>
      <c r="C194" s="3">
        <f t="shared" si="130"/>
        <v>0</v>
      </c>
      <c r="D194" s="3">
        <f t="shared" si="130"/>
        <v>0</v>
      </c>
      <c r="E194" s="3">
        <f t="shared" si="130"/>
        <v>0</v>
      </c>
      <c r="F194" s="3">
        <f t="shared" si="130"/>
        <v>0</v>
      </c>
      <c r="G194" s="3">
        <f t="shared" si="130"/>
        <v>0</v>
      </c>
      <c r="H194" s="3">
        <f t="shared" si="130"/>
        <v>0</v>
      </c>
      <c r="I194" s="3">
        <f t="shared" si="130"/>
        <v>0</v>
      </c>
      <c r="J194" s="3">
        <f t="shared" si="130"/>
        <v>0</v>
      </c>
      <c r="K194" s="3">
        <f t="shared" si="130"/>
        <v>0</v>
      </c>
      <c r="L194" s="3">
        <f t="shared" si="130"/>
        <v>0</v>
      </c>
      <c r="M194" s="3">
        <f t="shared" si="130"/>
        <v>0</v>
      </c>
      <c r="N194" s="3">
        <f t="shared" si="130"/>
        <v>0</v>
      </c>
      <c r="O194" s="3">
        <f t="shared" si="130"/>
        <v>0</v>
      </c>
      <c r="P194" s="3">
        <f t="shared" si="130"/>
        <v>0</v>
      </c>
      <c r="Q194" s="3">
        <f t="shared" si="130"/>
        <v>0</v>
      </c>
      <c r="R194" s="3">
        <f t="shared" si="130"/>
        <v>0</v>
      </c>
      <c r="S194" s="3">
        <f t="shared" si="130"/>
        <v>0</v>
      </c>
      <c r="T194" s="3">
        <f t="shared" si="130"/>
        <v>0</v>
      </c>
      <c r="U194" s="3">
        <f t="shared" si="130"/>
        <v>0</v>
      </c>
      <c r="V194" s="3">
        <f t="shared" si="130"/>
        <v>0</v>
      </c>
      <c r="W194" s="3">
        <f t="shared" si="130"/>
        <v>0</v>
      </c>
      <c r="X194" s="3">
        <f t="shared" si="130"/>
        <v>0</v>
      </c>
      <c r="Y194" s="3">
        <f t="shared" si="130"/>
        <v>0</v>
      </c>
      <c r="Z194" s="3">
        <f t="shared" si="130"/>
        <v>0</v>
      </c>
      <c r="AA194" s="3">
        <f t="shared" si="130"/>
        <v>0</v>
      </c>
      <c r="AB194" s="3">
        <f t="shared" si="130"/>
        <v>0</v>
      </c>
      <c r="AC194" s="3">
        <f t="shared" si="130"/>
        <v>0</v>
      </c>
      <c r="AD194" s="3">
        <f t="shared" si="130"/>
        <v>0</v>
      </c>
      <c r="AE194" s="3">
        <f t="shared" si="130"/>
        <v>0</v>
      </c>
      <c r="AF194" s="3">
        <f t="shared" si="130"/>
        <v>0</v>
      </c>
      <c r="AG194" s="3"/>
      <c r="AH194" s="3"/>
    </row>
    <row r="195" spans="1:34" x14ac:dyDescent="0.25">
      <c r="B195" s="3">
        <f t="shared" ref="B195:AF195" si="131">$C42*EXP(-B$168/$A42/EXP(-$C$126))</f>
        <v>1.7201579278298637E-4</v>
      </c>
      <c r="C195" s="3">
        <f t="shared" si="131"/>
        <v>1.7201579278298637E-4</v>
      </c>
      <c r="D195" s="3">
        <f t="shared" si="131"/>
        <v>1.7201579278298637E-4</v>
      </c>
      <c r="E195" s="3">
        <f t="shared" si="131"/>
        <v>1.7201579278298637E-4</v>
      </c>
      <c r="F195" s="3">
        <f t="shared" si="131"/>
        <v>1.7201579278298637E-4</v>
      </c>
      <c r="G195" s="3">
        <f t="shared" si="131"/>
        <v>1.7201579278298637E-4</v>
      </c>
      <c r="H195" s="3">
        <f t="shared" si="131"/>
        <v>1.7201579278298637E-4</v>
      </c>
      <c r="I195" s="3">
        <f t="shared" si="131"/>
        <v>1.7201579278298637E-4</v>
      </c>
      <c r="J195" s="3">
        <f t="shared" si="131"/>
        <v>1.7201579278298637E-4</v>
      </c>
      <c r="K195" s="3">
        <f t="shared" si="131"/>
        <v>1.7201579278298637E-4</v>
      </c>
      <c r="L195" s="3">
        <f t="shared" si="131"/>
        <v>1.7201579278298637E-4</v>
      </c>
      <c r="M195" s="3">
        <f t="shared" si="131"/>
        <v>1.7201579278298637E-4</v>
      </c>
      <c r="N195" s="3">
        <f t="shared" si="131"/>
        <v>1.7201579278298637E-4</v>
      </c>
      <c r="O195" s="3">
        <f t="shared" si="131"/>
        <v>1.7201579278298637E-4</v>
      </c>
      <c r="P195" s="3">
        <f t="shared" si="131"/>
        <v>1.7201579278298637E-4</v>
      </c>
      <c r="Q195" s="3">
        <f t="shared" si="131"/>
        <v>1.7201579278298637E-4</v>
      </c>
      <c r="R195" s="3">
        <f t="shared" si="131"/>
        <v>1.7201579278298637E-4</v>
      </c>
      <c r="S195" s="3">
        <f t="shared" si="131"/>
        <v>1.7201579278298637E-4</v>
      </c>
      <c r="T195" s="3">
        <f t="shared" si="131"/>
        <v>1.7201579278298637E-4</v>
      </c>
      <c r="U195" s="3">
        <f t="shared" si="131"/>
        <v>1.7201579278298637E-4</v>
      </c>
      <c r="V195" s="3">
        <f t="shared" si="131"/>
        <v>1.7201579278298637E-4</v>
      </c>
      <c r="W195" s="3">
        <f t="shared" si="131"/>
        <v>1.7201579278298637E-4</v>
      </c>
      <c r="X195" s="3">
        <f t="shared" si="131"/>
        <v>1.7201579278298637E-4</v>
      </c>
      <c r="Y195" s="3">
        <f t="shared" si="131"/>
        <v>1.7201579278298637E-4</v>
      </c>
      <c r="Z195" s="3">
        <f t="shared" si="131"/>
        <v>1.7201579278298637E-4</v>
      </c>
      <c r="AA195" s="3">
        <f t="shared" si="131"/>
        <v>1.7201579278298637E-4</v>
      </c>
      <c r="AB195" s="3">
        <f t="shared" si="131"/>
        <v>1.7201579278298637E-4</v>
      </c>
      <c r="AC195" s="3">
        <f t="shared" si="131"/>
        <v>1.7201579278298637E-4</v>
      </c>
      <c r="AD195" s="3">
        <f t="shared" si="131"/>
        <v>1.7201579278298637E-4</v>
      </c>
      <c r="AE195" s="3">
        <f t="shared" si="131"/>
        <v>1.7201579278298634E-4</v>
      </c>
      <c r="AF195" s="3">
        <f t="shared" si="131"/>
        <v>1.720157927829862E-4</v>
      </c>
      <c r="AG195" s="3"/>
      <c r="AH195" s="3"/>
    </row>
    <row r="196" spans="1:34" x14ac:dyDescent="0.25">
      <c r="B196" s="3">
        <f t="shared" ref="B196:AF196" si="132">$C43*EXP(-B$168/$A43/EXP(-$C$126))</f>
        <v>1.7468461922378131E-4</v>
      </c>
      <c r="C196" s="3">
        <f t="shared" si="132"/>
        <v>1.7468461922378131E-4</v>
      </c>
      <c r="D196" s="3">
        <f t="shared" si="132"/>
        <v>1.7468461922378131E-4</v>
      </c>
      <c r="E196" s="3">
        <f t="shared" si="132"/>
        <v>1.7468461922378131E-4</v>
      </c>
      <c r="F196" s="3">
        <f t="shared" si="132"/>
        <v>1.7468461922378131E-4</v>
      </c>
      <c r="G196" s="3">
        <f t="shared" si="132"/>
        <v>1.7468461922378131E-4</v>
      </c>
      <c r="H196" s="3">
        <f t="shared" si="132"/>
        <v>1.7468461922378131E-4</v>
      </c>
      <c r="I196" s="3">
        <f t="shared" si="132"/>
        <v>1.7468461922378131E-4</v>
      </c>
      <c r="J196" s="3">
        <f t="shared" si="132"/>
        <v>1.7468461922378131E-4</v>
      </c>
      <c r="K196" s="3">
        <f t="shared" si="132"/>
        <v>1.7468461922378131E-4</v>
      </c>
      <c r="L196" s="3">
        <f t="shared" si="132"/>
        <v>1.7468461922378131E-4</v>
      </c>
      <c r="M196" s="3">
        <f t="shared" si="132"/>
        <v>1.7468461922378131E-4</v>
      </c>
      <c r="N196" s="3">
        <f t="shared" si="132"/>
        <v>1.7468461922378131E-4</v>
      </c>
      <c r="O196" s="3">
        <f t="shared" si="132"/>
        <v>1.7468461922378131E-4</v>
      </c>
      <c r="P196" s="3">
        <f t="shared" si="132"/>
        <v>1.7468461922378131E-4</v>
      </c>
      <c r="Q196" s="3">
        <f t="shared" si="132"/>
        <v>1.7468461922378131E-4</v>
      </c>
      <c r="R196" s="3">
        <f t="shared" si="132"/>
        <v>1.7468461922378131E-4</v>
      </c>
      <c r="S196" s="3">
        <f t="shared" si="132"/>
        <v>1.7468461922378131E-4</v>
      </c>
      <c r="T196" s="3">
        <f t="shared" si="132"/>
        <v>1.7468461922378131E-4</v>
      </c>
      <c r="U196" s="3">
        <f t="shared" si="132"/>
        <v>1.7468461922378131E-4</v>
      </c>
      <c r="V196" s="3">
        <f t="shared" si="132"/>
        <v>1.7468461922378131E-4</v>
      </c>
      <c r="W196" s="3">
        <f t="shared" si="132"/>
        <v>1.7468461922378131E-4</v>
      </c>
      <c r="X196" s="3">
        <f t="shared" si="132"/>
        <v>1.7468461922378131E-4</v>
      </c>
      <c r="Y196" s="3">
        <f t="shared" si="132"/>
        <v>1.7468461922378131E-4</v>
      </c>
      <c r="Z196" s="3">
        <f t="shared" si="132"/>
        <v>1.7468461922378131E-4</v>
      </c>
      <c r="AA196" s="3">
        <f t="shared" si="132"/>
        <v>1.7468461922378131E-4</v>
      </c>
      <c r="AB196" s="3">
        <f t="shared" si="132"/>
        <v>1.7468461922378131E-4</v>
      </c>
      <c r="AC196" s="3">
        <f t="shared" si="132"/>
        <v>1.7468461922378131E-4</v>
      </c>
      <c r="AD196" s="3">
        <f t="shared" si="132"/>
        <v>1.7468461922378131E-4</v>
      </c>
      <c r="AE196" s="3">
        <f t="shared" si="132"/>
        <v>1.7468461922378131E-4</v>
      </c>
      <c r="AF196" s="3">
        <f t="shared" si="132"/>
        <v>1.7468461922378128E-4</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2.0999278642033111E-4</v>
      </c>
      <c r="C198" s="3">
        <f t="shared" si="134"/>
        <v>2.0999278642033111E-4</v>
      </c>
      <c r="D198" s="3">
        <f t="shared" si="134"/>
        <v>2.0999278642033111E-4</v>
      </c>
      <c r="E198" s="3">
        <f t="shared" si="134"/>
        <v>2.0999278642033111E-4</v>
      </c>
      <c r="F198" s="3">
        <f t="shared" si="134"/>
        <v>2.0999278642033111E-4</v>
      </c>
      <c r="G198" s="3">
        <f t="shared" si="134"/>
        <v>2.0999278642033111E-4</v>
      </c>
      <c r="H198" s="3">
        <f t="shared" si="134"/>
        <v>2.0999278642033111E-4</v>
      </c>
      <c r="I198" s="3">
        <f t="shared" si="134"/>
        <v>2.0999278642033111E-4</v>
      </c>
      <c r="J198" s="3">
        <f t="shared" si="134"/>
        <v>2.0999278642033111E-4</v>
      </c>
      <c r="K198" s="3">
        <f t="shared" si="134"/>
        <v>2.0999278642033111E-4</v>
      </c>
      <c r="L198" s="3">
        <f t="shared" si="134"/>
        <v>2.0999278642033111E-4</v>
      </c>
      <c r="M198" s="3">
        <f t="shared" si="134"/>
        <v>2.0999278642033111E-4</v>
      </c>
      <c r="N198" s="3">
        <f t="shared" si="134"/>
        <v>2.0999278642033111E-4</v>
      </c>
      <c r="O198" s="3">
        <f t="shared" si="134"/>
        <v>2.0999278642033111E-4</v>
      </c>
      <c r="P198" s="3">
        <f t="shared" si="134"/>
        <v>2.0999278642033111E-4</v>
      </c>
      <c r="Q198" s="3">
        <f t="shared" si="134"/>
        <v>2.0999278642033111E-4</v>
      </c>
      <c r="R198" s="3">
        <f t="shared" si="134"/>
        <v>2.0999278642033111E-4</v>
      </c>
      <c r="S198" s="3">
        <f t="shared" si="134"/>
        <v>2.0999278642033111E-4</v>
      </c>
      <c r="T198" s="3">
        <f t="shared" si="134"/>
        <v>2.0999278642033111E-4</v>
      </c>
      <c r="U198" s="3">
        <f t="shared" si="134"/>
        <v>2.0999278642033111E-4</v>
      </c>
      <c r="V198" s="3">
        <f t="shared" si="134"/>
        <v>2.0999278642033111E-4</v>
      </c>
      <c r="W198" s="3">
        <f t="shared" si="134"/>
        <v>2.0999278642033111E-4</v>
      </c>
      <c r="X198" s="3">
        <f t="shared" si="134"/>
        <v>2.0999278642033111E-4</v>
      </c>
      <c r="Y198" s="3">
        <f t="shared" si="134"/>
        <v>2.0999278642033111E-4</v>
      </c>
      <c r="Z198" s="3">
        <f t="shared" si="134"/>
        <v>2.0999278642033111E-4</v>
      </c>
      <c r="AA198" s="3">
        <f t="shared" si="134"/>
        <v>2.0999278642033111E-4</v>
      </c>
      <c r="AB198" s="3">
        <f t="shared" si="134"/>
        <v>2.0999278642033111E-4</v>
      </c>
      <c r="AC198" s="3">
        <f t="shared" si="134"/>
        <v>2.0999278642033111E-4</v>
      </c>
      <c r="AD198" s="3">
        <f t="shared" si="134"/>
        <v>2.0999278642033111E-4</v>
      </c>
      <c r="AE198" s="3">
        <f t="shared" si="134"/>
        <v>2.0999278642033111E-4</v>
      </c>
      <c r="AF198" s="3">
        <f t="shared" si="134"/>
        <v>2.0999278642033111E-4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1.7320221207897527E-4</v>
      </c>
      <c r="C201" s="3">
        <f t="shared" si="137"/>
        <v>1.7320221207897527E-4</v>
      </c>
      <c r="D201" s="3">
        <f t="shared" si="137"/>
        <v>1.7320221207897527E-4</v>
      </c>
      <c r="E201" s="3">
        <f t="shared" si="137"/>
        <v>1.7320221207897527E-4</v>
      </c>
      <c r="F201" s="3">
        <f t="shared" si="137"/>
        <v>1.7320221207897527E-4</v>
      </c>
      <c r="G201" s="3">
        <f t="shared" si="137"/>
        <v>1.7320221207897527E-4</v>
      </c>
      <c r="H201" s="3">
        <f t="shared" si="137"/>
        <v>1.7320221207897527E-4</v>
      </c>
      <c r="I201" s="3">
        <f t="shared" si="137"/>
        <v>1.7320221207897527E-4</v>
      </c>
      <c r="J201" s="3">
        <f t="shared" si="137"/>
        <v>1.7320221207897527E-4</v>
      </c>
      <c r="K201" s="3">
        <f t="shared" si="137"/>
        <v>1.7320221207897527E-4</v>
      </c>
      <c r="L201" s="3">
        <f t="shared" si="137"/>
        <v>1.7320221207897527E-4</v>
      </c>
      <c r="M201" s="3">
        <f t="shared" si="137"/>
        <v>1.7320221207897527E-4</v>
      </c>
      <c r="N201" s="3">
        <f t="shared" si="137"/>
        <v>1.7320221207897527E-4</v>
      </c>
      <c r="O201" s="3">
        <f t="shared" si="137"/>
        <v>1.7320221207897527E-4</v>
      </c>
      <c r="P201" s="3">
        <f t="shared" si="137"/>
        <v>1.7320221207897527E-4</v>
      </c>
      <c r="Q201" s="3">
        <f t="shared" si="137"/>
        <v>1.7320221207897527E-4</v>
      </c>
      <c r="R201" s="3">
        <f t="shared" si="137"/>
        <v>1.7320221207897527E-4</v>
      </c>
      <c r="S201" s="3">
        <f t="shared" si="137"/>
        <v>1.7320221207897527E-4</v>
      </c>
      <c r="T201" s="3">
        <f t="shared" si="137"/>
        <v>1.7320221207897527E-4</v>
      </c>
      <c r="U201" s="3">
        <f t="shared" si="137"/>
        <v>1.7320221207897527E-4</v>
      </c>
      <c r="V201" s="3">
        <f t="shared" si="137"/>
        <v>1.7320221207897527E-4</v>
      </c>
      <c r="W201" s="3">
        <f t="shared" si="137"/>
        <v>1.7320221207897527E-4</v>
      </c>
      <c r="X201" s="3">
        <f t="shared" si="137"/>
        <v>1.7320221207897527E-4</v>
      </c>
      <c r="Y201" s="3">
        <f t="shared" si="137"/>
        <v>1.7320221207897527E-4</v>
      </c>
      <c r="Z201" s="3">
        <f t="shared" si="137"/>
        <v>1.7320221207897527E-4</v>
      </c>
      <c r="AA201" s="3">
        <f t="shared" si="137"/>
        <v>1.7320221207897527E-4</v>
      </c>
      <c r="AB201" s="3">
        <f t="shared" si="137"/>
        <v>1.7320221207897527E-4</v>
      </c>
      <c r="AC201" s="3">
        <f t="shared" si="137"/>
        <v>1.7320221207897527E-4</v>
      </c>
      <c r="AD201" s="3">
        <f t="shared" si="137"/>
        <v>1.7320221207897527E-4</v>
      </c>
      <c r="AE201" s="3">
        <f t="shared" si="137"/>
        <v>1.7320221207897527E-4</v>
      </c>
      <c r="AF201" s="3">
        <f t="shared" si="137"/>
        <v>1.7320221207897527E-4</v>
      </c>
      <c r="AG201" s="3"/>
      <c r="AH201" s="3"/>
    </row>
    <row r="202" spans="1:34" x14ac:dyDescent="0.25">
      <c r="A202" s="79">
        <f>AVERAGE(B202:AF202)</f>
        <v>4.2186161332156441E-2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6.1495749605975383E-2</v>
      </c>
      <c r="M202" s="80">
        <f t="shared" si="138"/>
        <v>8.2580546489854009E-2</v>
      </c>
      <c r="N202" s="80">
        <f t="shared" si="138"/>
        <v>0.10696827905564721</v>
      </c>
      <c r="O202" s="80">
        <f t="shared" si="138"/>
        <v>0.13070222848241614</v>
      </c>
      <c r="P202" s="80">
        <f t="shared" si="138"/>
        <v>0.12699797897411808</v>
      </c>
      <c r="Q202" s="80">
        <f t="shared" si="138"/>
        <v>7.8299900213408963E-2</v>
      </c>
      <c r="R202" s="80">
        <f t="shared" si="138"/>
        <v>0.23363067697300641</v>
      </c>
      <c r="S202" s="80">
        <f t="shared" si="138"/>
        <v>0.20705607139156132</v>
      </c>
      <c r="T202" s="80">
        <f t="shared" si="138"/>
        <v>0.1707725257539979</v>
      </c>
      <c r="U202" s="80">
        <f t="shared" si="138"/>
        <v>0.1030939330335524</v>
      </c>
      <c r="V202" s="80">
        <f t="shared" si="138"/>
        <v>6.1731113233120033E-3</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322.38742641509867</v>
      </c>
      <c r="C203" s="21">
        <f t="shared" ref="C203:AF203" si="139">(C170-C169)^2</f>
        <v>324.18168740953962</v>
      </c>
      <c r="D203" s="21">
        <f t="shared" si="139"/>
        <v>323.05463913024471</v>
      </c>
      <c r="E203" s="21">
        <f t="shared" si="139"/>
        <v>322.68572650264099</v>
      </c>
      <c r="F203" s="21">
        <f t="shared" si="139"/>
        <v>322.23160681223959</v>
      </c>
      <c r="G203" s="21">
        <f t="shared" si="139"/>
        <v>318.67078339344221</v>
      </c>
      <c r="H203" s="21">
        <f t="shared" si="139"/>
        <v>284.74041205708721</v>
      </c>
      <c r="I203" s="21">
        <f t="shared" si="139"/>
        <v>55.619239336880476</v>
      </c>
      <c r="J203" s="21">
        <f t="shared" si="139"/>
        <v>4496.1852005332676</v>
      </c>
      <c r="K203" s="21">
        <f t="shared" si="139"/>
        <v>58196.752908663482</v>
      </c>
      <c r="L203" s="21">
        <f t="shared" si="139"/>
        <v>128636.72669294248</v>
      </c>
      <c r="M203" s="21">
        <f t="shared" si="139"/>
        <v>223006.74234997851</v>
      </c>
      <c r="N203" s="21">
        <f t="shared" si="139"/>
        <v>357634.10920623696</v>
      </c>
      <c r="O203" s="21">
        <f t="shared" si="139"/>
        <v>508440.69947559712</v>
      </c>
      <c r="P203" s="21">
        <f t="shared" si="139"/>
        <v>453566.92121812125</v>
      </c>
      <c r="Q203" s="21">
        <f t="shared" si="139"/>
        <v>161867.02919440414</v>
      </c>
      <c r="R203" s="21">
        <f t="shared" si="139"/>
        <v>1347538.8539708457</v>
      </c>
      <c r="S203" s="21">
        <f t="shared" si="139"/>
        <v>988560.43744751334</v>
      </c>
      <c r="T203" s="21">
        <f t="shared" si="139"/>
        <v>614868.75172361766</v>
      </c>
      <c r="U203" s="21">
        <f t="shared" si="139"/>
        <v>191461.60053975033</v>
      </c>
      <c r="V203" s="21">
        <f t="shared" si="139"/>
        <v>556.76420444612825</v>
      </c>
      <c r="W203" s="21">
        <f t="shared" si="139"/>
        <v>71300.16003356564</v>
      </c>
      <c r="X203" s="21">
        <f t="shared" si="139"/>
        <v>73586.398949190349</v>
      </c>
      <c r="Y203" s="21">
        <f t="shared" si="139"/>
        <v>128260.03468007388</v>
      </c>
      <c r="Z203" s="21">
        <f t="shared" si="139"/>
        <v>141917.86585718195</v>
      </c>
      <c r="AA203" s="21">
        <f t="shared" si="139"/>
        <v>124431.33934481186</v>
      </c>
      <c r="AB203" s="21">
        <f t="shared" si="139"/>
        <v>90679.566789644334</v>
      </c>
      <c r="AC203" s="21">
        <f t="shared" si="139"/>
        <v>54458.539888193322</v>
      </c>
      <c r="AD203" s="21">
        <f t="shared" si="139"/>
        <v>20402.542621233541</v>
      </c>
      <c r="AE203" s="21">
        <f t="shared" si="139"/>
        <v>678.4587792259681</v>
      </c>
      <c r="AF203" s="21">
        <f t="shared" si="139"/>
        <v>13603.167315387122</v>
      </c>
      <c r="AG203" s="3"/>
      <c r="AH203" s="3"/>
    </row>
    <row r="204" spans="1:34" x14ac:dyDescent="0.25">
      <c r="A204" s="71">
        <f>SUM(B204:AF204)</f>
        <v>4976138.6360234534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128636.72669294248</v>
      </c>
      <c r="M204" s="60">
        <f t="shared" ref="M204" si="150">IF($A$64&lt;=M168,IF($B$64&gt;=M168,ABS(M203),0),0)</f>
        <v>223006.74234997851</v>
      </c>
      <c r="N204" s="60">
        <f t="shared" ref="N204" si="151">IF($A$64&lt;=N168,IF($B$64&gt;=N168,ABS(N203),0),0)</f>
        <v>357634.10920623696</v>
      </c>
      <c r="O204" s="60">
        <f t="shared" ref="O204" si="152">IF($A$64&lt;=O168,IF($B$64&gt;=O168,ABS(O203),0),0)</f>
        <v>508440.69947559712</v>
      </c>
      <c r="P204" s="60">
        <f t="shared" ref="P204" si="153">IF($A$64&lt;=P168,IF($B$64&gt;=P168,ABS(P203),0),0)</f>
        <v>453566.92121812125</v>
      </c>
      <c r="Q204" s="60">
        <f t="shared" ref="Q204" si="154">IF($A$64&lt;=Q168,IF($B$64&gt;=Q168,ABS(Q203),0),0)</f>
        <v>161867.02919440414</v>
      </c>
      <c r="R204" s="60">
        <f t="shared" ref="R204" si="155">IF($A$64&lt;=R168,IF($B$64&gt;=R168,ABS(R203),0),0)</f>
        <v>1347538.8539708457</v>
      </c>
      <c r="S204" s="60">
        <f t="shared" ref="S204" si="156">IF($A$64&lt;=S168,IF($B$64&gt;=S168,ABS(S203),0),0)</f>
        <v>988560.43744751334</v>
      </c>
      <c r="T204" s="60">
        <f t="shared" ref="T204" si="157">IF($A$64&lt;=T168,IF($B$64&gt;=T168,ABS(T203),0),0)</f>
        <v>614868.75172361766</v>
      </c>
      <c r="U204" s="60">
        <f t="shared" ref="U204" si="158">IF($A$64&lt;=U168,IF($B$64&gt;=U168,ABS(U203),0),0)</f>
        <v>191461.60053975033</v>
      </c>
      <c r="V204" s="60">
        <f t="shared" ref="V204" si="159">IF($A$64&lt;=V168,IF($B$64&gt;=V168,ABS(V203),0),0)</f>
        <v>556.76420444612825</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6190.9489999996831</v>
      </c>
      <c r="C209" s="27">
        <f t="shared" ref="C209:AF209" si="170">($C$17+SUM(C210:C240))*$B$51</f>
        <v>6190.9489999968582</v>
      </c>
      <c r="D209" s="27">
        <f t="shared" si="170"/>
        <v>6190.9489999686084</v>
      </c>
      <c r="E209" s="27">
        <f t="shared" si="170"/>
        <v>6190.9489996861121</v>
      </c>
      <c r="F209" s="27">
        <f t="shared" si="170"/>
        <v>6190.9489968611497</v>
      </c>
      <c r="G209" s="27">
        <f t="shared" si="170"/>
        <v>6190.9489686115257</v>
      </c>
      <c r="H209" s="27">
        <f t="shared" si="170"/>
        <v>6190.9486861153</v>
      </c>
      <c r="I209" s="27">
        <f t="shared" si="170"/>
        <v>6190.9458611548926</v>
      </c>
      <c r="J209" s="27">
        <f t="shared" si="170"/>
        <v>6190.9176117349753</v>
      </c>
      <c r="K209" s="27">
        <f t="shared" si="170"/>
        <v>6190.6351359515138</v>
      </c>
      <c r="L209" s="27">
        <f t="shared" si="170"/>
        <v>6187.812218880742</v>
      </c>
      <c r="M209" s="27">
        <f t="shared" si="170"/>
        <v>6159.7663198116197</v>
      </c>
      <c r="N209" s="27">
        <f t="shared" si="170"/>
        <v>5896.8555774313099</v>
      </c>
      <c r="O209" s="27">
        <f t="shared" si="170"/>
        <v>4446.215125157687</v>
      </c>
      <c r="P209" s="27">
        <f t="shared" si="170"/>
        <v>3807.6543923885638</v>
      </c>
      <c r="Q209" s="27">
        <f t="shared" si="170"/>
        <v>3807.6385447795524</v>
      </c>
      <c r="R209" s="27">
        <f t="shared" si="170"/>
        <v>3807.5255272028849</v>
      </c>
      <c r="S209" s="27">
        <f t="shared" si="170"/>
        <v>3806.3971796357246</v>
      </c>
      <c r="T209" s="27">
        <f t="shared" si="170"/>
        <v>3795.294491637118</v>
      </c>
      <c r="U209" s="27">
        <f t="shared" si="170"/>
        <v>3700.4747945833319</v>
      </c>
      <c r="V209" s="27">
        <f t="shared" si="170"/>
        <v>3423.6162429109118</v>
      </c>
      <c r="W209" s="27">
        <f t="shared" si="170"/>
        <v>3285.9331116283715</v>
      </c>
      <c r="X209" s="27">
        <f t="shared" si="170"/>
        <v>3106.2337860516373</v>
      </c>
      <c r="Y209" s="27">
        <f t="shared" si="170"/>
        <v>2906.1296921668695</v>
      </c>
      <c r="Z209" s="27">
        <f t="shared" si="170"/>
        <v>2687.6324882719846</v>
      </c>
      <c r="AA209" s="27">
        <f t="shared" si="170"/>
        <v>2439.8325999237618</v>
      </c>
      <c r="AB209" s="27">
        <f t="shared" si="170"/>
        <v>2161.6054642907366</v>
      </c>
      <c r="AC209" s="27">
        <f t="shared" si="170"/>
        <v>1834.9667981692005</v>
      </c>
      <c r="AD209" s="27">
        <f t="shared" si="170"/>
        <v>1461.3532101135295</v>
      </c>
      <c r="AE209" s="27">
        <f t="shared" si="170"/>
        <v>1080.2846356441742</v>
      </c>
      <c r="AF209" s="27">
        <f t="shared" si="170"/>
        <v>758.43418366115031</v>
      </c>
      <c r="AG209" s="27"/>
      <c r="AH209" s="27"/>
    </row>
    <row r="210" spans="1:34" x14ac:dyDescent="0.25">
      <c r="B210" s="3">
        <f t="shared" ref="B210:AF210" si="171">$C18*EXP(-B$207/$A18/EXP(-$D$126))</f>
        <v>0.38496487301986493</v>
      </c>
      <c r="C210" s="3">
        <f t="shared" si="171"/>
        <v>0.38496487301940857</v>
      </c>
      <c r="D210" s="3">
        <f t="shared" si="171"/>
        <v>0.38496487301484555</v>
      </c>
      <c r="E210" s="3">
        <f t="shared" si="171"/>
        <v>0.384964872969215</v>
      </c>
      <c r="F210" s="3">
        <f t="shared" si="171"/>
        <v>0.38496487251290978</v>
      </c>
      <c r="G210" s="3">
        <f t="shared" si="171"/>
        <v>0.38496486794985763</v>
      </c>
      <c r="H210" s="3">
        <f t="shared" si="171"/>
        <v>0.38496482231933904</v>
      </c>
      <c r="I210" s="3">
        <f t="shared" si="171"/>
        <v>0.38496436601445017</v>
      </c>
      <c r="J210" s="3">
        <f t="shared" si="171"/>
        <v>0.38495980299530935</v>
      </c>
      <c r="K210" s="3">
        <f t="shared" si="171"/>
        <v>0.38491417577851961</v>
      </c>
      <c r="L210" s="3">
        <f t="shared" si="171"/>
        <v>0.38445820094207134</v>
      </c>
      <c r="M210" s="3">
        <f t="shared" si="171"/>
        <v>0.37992805573513405</v>
      </c>
      <c r="N210" s="3">
        <f t="shared" si="171"/>
        <v>0.337461104210171</v>
      </c>
      <c r="O210" s="3">
        <f t="shared" si="171"/>
        <v>0.10314479192335831</v>
      </c>
      <c r="P210" s="3">
        <f t="shared" si="171"/>
        <v>7.3397811803855875E-7</v>
      </c>
      <c r="Q210" s="3">
        <f t="shared" si="171"/>
        <v>2.4436623483413101E-58</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5.8157909381167036E-2</v>
      </c>
      <c r="C211" s="3">
        <f t="shared" si="172"/>
        <v>5.8157909381167036E-2</v>
      </c>
      <c r="D211" s="3">
        <f t="shared" si="172"/>
        <v>5.8157909381167036E-2</v>
      </c>
      <c r="E211" s="3">
        <f t="shared" si="172"/>
        <v>5.8157909381167036E-2</v>
      </c>
      <c r="F211" s="3">
        <f t="shared" si="172"/>
        <v>5.8157909381167015E-2</v>
      </c>
      <c r="G211" s="3">
        <f t="shared" si="172"/>
        <v>5.8157909381166842E-2</v>
      </c>
      <c r="H211" s="3">
        <f t="shared" si="172"/>
        <v>5.8157909381165072E-2</v>
      </c>
      <c r="I211" s="3">
        <f t="shared" si="172"/>
        <v>5.8157909381147413E-2</v>
      </c>
      <c r="J211" s="3">
        <f t="shared" si="172"/>
        <v>5.8157909380970832E-2</v>
      </c>
      <c r="K211" s="3">
        <f t="shared" si="172"/>
        <v>5.8157909379205022E-2</v>
      </c>
      <c r="L211" s="3">
        <f t="shared" si="172"/>
        <v>5.8157909361546876E-2</v>
      </c>
      <c r="M211" s="3">
        <f t="shared" si="172"/>
        <v>5.8157909184965446E-2</v>
      </c>
      <c r="N211" s="3">
        <f t="shared" si="172"/>
        <v>5.8157907419151181E-2</v>
      </c>
      <c r="O211" s="3">
        <f t="shared" si="172"/>
        <v>5.8157889761011425E-2</v>
      </c>
      <c r="P211" s="3">
        <f t="shared" si="172"/>
        <v>5.8157713179908761E-2</v>
      </c>
      <c r="Q211" s="3">
        <f t="shared" si="172"/>
        <v>5.8155947398369698E-2</v>
      </c>
      <c r="R211" s="3">
        <f t="shared" si="172"/>
        <v>5.8138292531401764E-2</v>
      </c>
      <c r="S211" s="3">
        <f t="shared" si="172"/>
        <v>5.7962038373038663E-2</v>
      </c>
      <c r="T211" s="3">
        <f t="shared" si="172"/>
        <v>5.6228619734180078E-2</v>
      </c>
      <c r="U211" s="3">
        <f t="shared" si="172"/>
        <v>4.1504496587222023E-2</v>
      </c>
      <c r="V211" s="3">
        <f t="shared" si="172"/>
        <v>1.9928399847447781E-3</v>
      </c>
      <c r="W211" s="3">
        <f t="shared" si="172"/>
        <v>1.2979118753355207E-16</v>
      </c>
      <c r="X211" s="3">
        <f t="shared" si="172"/>
        <v>1.782267890020949E-148</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1.8919132746280987E-2</v>
      </c>
      <c r="C212" s="3">
        <f t="shared" si="173"/>
        <v>1.8919132746280987E-2</v>
      </c>
      <c r="D212" s="3">
        <f t="shared" si="173"/>
        <v>1.8919132746280987E-2</v>
      </c>
      <c r="E212" s="3">
        <f t="shared" si="173"/>
        <v>1.8919132746280987E-2</v>
      </c>
      <c r="F212" s="3">
        <f t="shared" si="173"/>
        <v>1.8919132746280987E-2</v>
      </c>
      <c r="G212" s="3">
        <f t="shared" si="173"/>
        <v>1.891913274628098E-2</v>
      </c>
      <c r="H212" s="3">
        <f t="shared" si="173"/>
        <v>1.8919132746280931E-2</v>
      </c>
      <c r="I212" s="3">
        <f t="shared" si="173"/>
        <v>1.8919132746280411E-2</v>
      </c>
      <c r="J212" s="3">
        <f t="shared" si="173"/>
        <v>1.8919132746275231E-2</v>
      </c>
      <c r="K212" s="3">
        <f t="shared" si="173"/>
        <v>1.8919132746223411E-2</v>
      </c>
      <c r="L212" s="3">
        <f t="shared" si="173"/>
        <v>1.8919132745705228E-2</v>
      </c>
      <c r="M212" s="3">
        <f t="shared" si="173"/>
        <v>1.8919132740523387E-2</v>
      </c>
      <c r="N212" s="3">
        <f t="shared" si="173"/>
        <v>1.891913268870498E-2</v>
      </c>
      <c r="O212" s="3">
        <f t="shared" si="173"/>
        <v>1.8919132170520915E-2</v>
      </c>
      <c r="P212" s="3">
        <f t="shared" si="173"/>
        <v>1.8919126988681065E-2</v>
      </c>
      <c r="Q212" s="3">
        <f t="shared" si="173"/>
        <v>1.8919075170360629E-2</v>
      </c>
      <c r="R212" s="3">
        <f t="shared" si="173"/>
        <v>1.8918556994962182E-2</v>
      </c>
      <c r="S212" s="3">
        <f t="shared" si="173"/>
        <v>1.8913376021491707E-2</v>
      </c>
      <c r="T212" s="3">
        <f t="shared" si="173"/>
        <v>1.8861644259144238E-2</v>
      </c>
      <c r="U212" s="3">
        <f t="shared" si="173"/>
        <v>1.8352045429114869E-2</v>
      </c>
      <c r="V212" s="3">
        <f t="shared" si="173"/>
        <v>1.3955125168753751E-2</v>
      </c>
      <c r="W212" s="3">
        <f t="shared" si="173"/>
        <v>9.0204113322758718E-4</v>
      </c>
      <c r="X212" s="3">
        <f t="shared" si="173"/>
        <v>1.1485565924903243E-15</v>
      </c>
      <c r="Y212" s="3">
        <f t="shared" si="173"/>
        <v>1.2865094160658969E-134</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2.9962799778578724E-2</v>
      </c>
      <c r="C213" s="3">
        <f t="shared" si="174"/>
        <v>2.9962799778578724E-2</v>
      </c>
      <c r="D213" s="3">
        <f t="shared" si="174"/>
        <v>2.9962799778578724E-2</v>
      </c>
      <c r="E213" s="3">
        <f t="shared" si="174"/>
        <v>2.9962799778578724E-2</v>
      </c>
      <c r="F213" s="3">
        <f t="shared" si="174"/>
        <v>2.9962799778578724E-2</v>
      </c>
      <c r="G213" s="3">
        <f t="shared" si="174"/>
        <v>2.9962799778578724E-2</v>
      </c>
      <c r="H213" s="3">
        <f t="shared" si="174"/>
        <v>2.9962799778578717E-2</v>
      </c>
      <c r="I213" s="3">
        <f t="shared" si="174"/>
        <v>2.9962799778578641E-2</v>
      </c>
      <c r="J213" s="3">
        <f t="shared" si="174"/>
        <v>2.9962799778577902E-2</v>
      </c>
      <c r="K213" s="3">
        <f t="shared" si="174"/>
        <v>2.9962799778570498E-2</v>
      </c>
      <c r="L213" s="3">
        <f t="shared" si="174"/>
        <v>2.996279977849647E-2</v>
      </c>
      <c r="M213" s="3">
        <f t="shared" si="174"/>
        <v>2.996279977775616E-2</v>
      </c>
      <c r="N213" s="3">
        <f t="shared" si="174"/>
        <v>2.9962799770353092E-2</v>
      </c>
      <c r="O213" s="3">
        <f t="shared" si="174"/>
        <v>2.9962799696322401E-2</v>
      </c>
      <c r="P213" s="3">
        <f t="shared" si="174"/>
        <v>2.9962798956015474E-2</v>
      </c>
      <c r="Q213" s="3">
        <f t="shared" si="174"/>
        <v>2.9962791552947239E-2</v>
      </c>
      <c r="R213" s="3">
        <f t="shared" si="174"/>
        <v>2.9962717522365494E-2</v>
      </c>
      <c r="S213" s="3">
        <f t="shared" si="174"/>
        <v>2.9961977226608094E-2</v>
      </c>
      <c r="T213" s="3">
        <f t="shared" si="174"/>
        <v>2.9954575274945695E-2</v>
      </c>
      <c r="U213" s="3">
        <f t="shared" si="174"/>
        <v>2.9880656257585063E-2</v>
      </c>
      <c r="V213" s="3">
        <f t="shared" si="174"/>
        <v>2.9151424740047269E-2</v>
      </c>
      <c r="W213" s="3">
        <f t="shared" si="174"/>
        <v>2.2769648297621192E-2</v>
      </c>
      <c r="X213" s="3">
        <f t="shared" si="174"/>
        <v>1.9245167502130584E-3</v>
      </c>
      <c r="Y213" s="3">
        <f t="shared" si="174"/>
        <v>3.5807617358196949E-14</v>
      </c>
      <c r="Z213" s="3">
        <f t="shared" si="174"/>
        <v>1.780380012888114E-121</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3.3253137152511318E-2</v>
      </c>
      <c r="C214" s="3">
        <f t="shared" si="175"/>
        <v>3.3253137152511318E-2</v>
      </c>
      <c r="D214" s="3">
        <f t="shared" si="175"/>
        <v>3.3253137152511318E-2</v>
      </c>
      <c r="E214" s="3">
        <f t="shared" si="175"/>
        <v>3.3253137152511318E-2</v>
      </c>
      <c r="F214" s="3">
        <f t="shared" si="175"/>
        <v>3.3253137152511318E-2</v>
      </c>
      <c r="G214" s="3">
        <f t="shared" si="175"/>
        <v>3.3253137152511318E-2</v>
      </c>
      <c r="H214" s="3">
        <f t="shared" si="175"/>
        <v>3.3253137152511318E-2</v>
      </c>
      <c r="I214" s="3">
        <f t="shared" si="175"/>
        <v>3.3253137152511311E-2</v>
      </c>
      <c r="J214" s="3">
        <f t="shared" si="175"/>
        <v>3.3253137152511235E-2</v>
      </c>
      <c r="K214" s="3">
        <f t="shared" si="175"/>
        <v>3.3253137152510492E-2</v>
      </c>
      <c r="L214" s="3">
        <f t="shared" si="175"/>
        <v>3.3253137152503082E-2</v>
      </c>
      <c r="M214" s="3">
        <f t="shared" si="175"/>
        <v>3.3253137152428967E-2</v>
      </c>
      <c r="N214" s="3">
        <f t="shared" si="175"/>
        <v>3.325313715168781E-2</v>
      </c>
      <c r="O214" s="3">
        <f t="shared" si="175"/>
        <v>3.3253137144276274E-2</v>
      </c>
      <c r="P214" s="3">
        <f t="shared" si="175"/>
        <v>3.3253137070160838E-2</v>
      </c>
      <c r="Q214" s="3">
        <f t="shared" si="175"/>
        <v>3.3253136329006533E-2</v>
      </c>
      <c r="R214" s="3">
        <f t="shared" si="175"/>
        <v>3.3253128917464417E-2</v>
      </c>
      <c r="S214" s="3">
        <f t="shared" si="175"/>
        <v>3.3253054802134072E-2</v>
      </c>
      <c r="T214" s="3">
        <f t="shared" si="175"/>
        <v>3.3252313657915998E-2</v>
      </c>
      <c r="U214" s="3">
        <f t="shared" si="175"/>
        <v>3.3244903124198928E-2</v>
      </c>
      <c r="V214" s="3">
        <f t="shared" si="175"/>
        <v>3.3170888558519587E-2</v>
      </c>
      <c r="W214" s="3">
        <f t="shared" si="175"/>
        <v>3.243974563894781E-2</v>
      </c>
      <c r="X214" s="3">
        <f t="shared" si="175"/>
        <v>2.5958571530850797E-2</v>
      </c>
      <c r="Y214" s="3">
        <f t="shared" si="175"/>
        <v>2.794565469772001E-3</v>
      </c>
      <c r="Z214" s="3">
        <f t="shared" si="175"/>
        <v>5.8431801061529759E-13</v>
      </c>
      <c r="AA214" s="3">
        <f t="shared" si="175"/>
        <v>9.3325240293869088E-110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3.5952334962287925E-2</v>
      </c>
      <c r="C215" s="3">
        <f t="shared" si="176"/>
        <v>3.5952334962287925E-2</v>
      </c>
      <c r="D215" s="3">
        <f t="shared" si="176"/>
        <v>3.5952334962287925E-2</v>
      </c>
      <c r="E215" s="3">
        <f t="shared" si="176"/>
        <v>3.5952334962287925E-2</v>
      </c>
      <c r="F215" s="3">
        <f t="shared" si="176"/>
        <v>3.5952334962287925E-2</v>
      </c>
      <c r="G215" s="3">
        <f t="shared" si="176"/>
        <v>3.5952334962287925E-2</v>
      </c>
      <c r="H215" s="3">
        <f t="shared" si="176"/>
        <v>3.5952334962287925E-2</v>
      </c>
      <c r="I215" s="3">
        <f t="shared" si="176"/>
        <v>3.5952334962287925E-2</v>
      </c>
      <c r="J215" s="3">
        <f t="shared" si="176"/>
        <v>3.5952334962287918E-2</v>
      </c>
      <c r="K215" s="3">
        <f t="shared" si="176"/>
        <v>3.5952334962287842E-2</v>
      </c>
      <c r="L215" s="3">
        <f t="shared" si="176"/>
        <v>3.5952334962287121E-2</v>
      </c>
      <c r="M215" s="3">
        <f t="shared" si="176"/>
        <v>3.5952334962279897E-2</v>
      </c>
      <c r="N215" s="3">
        <f t="shared" si="176"/>
        <v>3.5952334962207608E-2</v>
      </c>
      <c r="O215" s="3">
        <f t="shared" si="176"/>
        <v>3.5952334961484755E-2</v>
      </c>
      <c r="P215" s="3">
        <f t="shared" si="176"/>
        <v>3.5952334954256232E-2</v>
      </c>
      <c r="Q215" s="3">
        <f t="shared" si="176"/>
        <v>3.5952334881970978E-2</v>
      </c>
      <c r="R215" s="3">
        <f t="shared" si="176"/>
        <v>3.595233415911845E-2</v>
      </c>
      <c r="S215" s="3">
        <f t="shared" si="176"/>
        <v>3.5952326930593977E-2</v>
      </c>
      <c r="T215" s="3">
        <f t="shared" si="176"/>
        <v>3.5952254645429213E-2</v>
      </c>
      <c r="U215" s="3">
        <f t="shared" si="176"/>
        <v>3.595153180177494E-2</v>
      </c>
      <c r="V215" s="3">
        <f t="shared" si="176"/>
        <v>3.5944304164512497E-2</v>
      </c>
      <c r="W215" s="3">
        <f t="shared" si="176"/>
        <v>3.5872107660490246E-2</v>
      </c>
      <c r="X215" s="3">
        <f t="shared" si="176"/>
        <v>3.5158070383080553E-2</v>
      </c>
      <c r="Y215" s="3">
        <f t="shared" si="176"/>
        <v>2.8754538391054768E-2</v>
      </c>
      <c r="Z215" s="3">
        <f t="shared" si="176"/>
        <v>3.8505262515879631E-3</v>
      </c>
      <c r="AA215" s="3">
        <f t="shared" si="176"/>
        <v>7.1393220638504231E-12</v>
      </c>
      <c r="AB215" s="3">
        <f t="shared" si="176"/>
        <v>3.4278817164578074E-99</v>
      </c>
      <c r="AC215" s="3">
        <f t="shared" si="176"/>
        <v>0</v>
      </c>
      <c r="AD215" s="3">
        <f t="shared" si="176"/>
        <v>0</v>
      </c>
      <c r="AE215" s="3">
        <f t="shared" si="176"/>
        <v>0</v>
      </c>
      <c r="AF215" s="3">
        <f t="shared" si="176"/>
        <v>0</v>
      </c>
      <c r="AG215" s="3"/>
      <c r="AH215" s="3"/>
    </row>
    <row r="216" spans="1:34" x14ac:dyDescent="0.25">
      <c r="B216" s="3">
        <f t="shared" ref="B216:AF216" si="177">$C24*EXP(-B$207/$A24/EXP(-$D$126))</f>
        <v>4.1559944347360683E-2</v>
      </c>
      <c r="C216" s="3">
        <f t="shared" si="177"/>
        <v>4.1559944347360683E-2</v>
      </c>
      <c r="D216" s="3">
        <f t="shared" si="177"/>
        <v>4.1559944347360683E-2</v>
      </c>
      <c r="E216" s="3">
        <f t="shared" si="177"/>
        <v>4.1559944347360683E-2</v>
      </c>
      <c r="F216" s="3">
        <f t="shared" si="177"/>
        <v>4.1559944347360683E-2</v>
      </c>
      <c r="G216" s="3">
        <f t="shared" si="177"/>
        <v>4.1559944347360683E-2</v>
      </c>
      <c r="H216" s="3">
        <f t="shared" si="177"/>
        <v>4.1559944347360683E-2</v>
      </c>
      <c r="I216" s="3">
        <f t="shared" si="177"/>
        <v>4.1559944347360683E-2</v>
      </c>
      <c r="J216" s="3">
        <f t="shared" si="177"/>
        <v>4.1559944347360683E-2</v>
      </c>
      <c r="K216" s="3">
        <f t="shared" si="177"/>
        <v>4.1559944347360676E-2</v>
      </c>
      <c r="L216" s="3">
        <f t="shared" si="177"/>
        <v>4.15599443473606E-2</v>
      </c>
      <c r="M216" s="3">
        <f t="shared" si="177"/>
        <v>4.1559944347359844E-2</v>
      </c>
      <c r="N216" s="3">
        <f t="shared" si="177"/>
        <v>4.1559944347352308E-2</v>
      </c>
      <c r="O216" s="3">
        <f t="shared" si="177"/>
        <v>4.1559944347276931E-2</v>
      </c>
      <c r="P216" s="3">
        <f t="shared" si="177"/>
        <v>4.1559944346523152E-2</v>
      </c>
      <c r="Q216" s="3">
        <f t="shared" si="177"/>
        <v>4.1559944338985362E-2</v>
      </c>
      <c r="R216" s="3">
        <f t="shared" si="177"/>
        <v>4.1559944263607436E-2</v>
      </c>
      <c r="S216" s="3">
        <f t="shared" si="177"/>
        <v>4.155994350982823E-2</v>
      </c>
      <c r="T216" s="3">
        <f t="shared" si="177"/>
        <v>4.1559935972036957E-2</v>
      </c>
      <c r="U216" s="3">
        <f t="shared" si="177"/>
        <v>4.155986059419936E-2</v>
      </c>
      <c r="V216" s="3">
        <f t="shared" si="177"/>
        <v>4.1559106823342643E-2</v>
      </c>
      <c r="W216" s="3">
        <f t="shared" si="177"/>
        <v>4.1551569866646987E-2</v>
      </c>
      <c r="X216" s="3">
        <f t="shared" si="177"/>
        <v>4.147627543641539E-2</v>
      </c>
      <c r="Y216" s="3">
        <f t="shared" si="177"/>
        <v>4.0730794627920446E-2</v>
      </c>
      <c r="Z216" s="3">
        <f t="shared" si="177"/>
        <v>3.3974589138869186E-2</v>
      </c>
      <c r="AA216" s="3">
        <f t="shared" si="177"/>
        <v>5.5394611183048744E-3</v>
      </c>
      <c r="AB216" s="3">
        <f t="shared" si="177"/>
        <v>7.3553029975996238E-11</v>
      </c>
      <c r="AC216" s="3">
        <f t="shared" si="177"/>
        <v>1.2529422771694283E-89</v>
      </c>
      <c r="AD216" s="3">
        <f t="shared" si="177"/>
        <v>0</v>
      </c>
      <c r="AE216" s="3">
        <f t="shared" si="177"/>
        <v>0</v>
      </c>
      <c r="AF216" s="3">
        <f t="shared" si="177"/>
        <v>0</v>
      </c>
      <c r="AG216" s="3"/>
      <c r="AH216" s="3"/>
    </row>
    <row r="217" spans="1:34" x14ac:dyDescent="0.25">
      <c r="B217" s="3">
        <f t="shared" ref="B217:AF217" si="178">$C25*EXP(-B$207/$A25/EXP(-$D$126))</f>
        <v>4.609677170559115E-2</v>
      </c>
      <c r="C217" s="3">
        <f t="shared" si="178"/>
        <v>4.609677170559115E-2</v>
      </c>
      <c r="D217" s="3">
        <f t="shared" si="178"/>
        <v>4.609677170559115E-2</v>
      </c>
      <c r="E217" s="3">
        <f t="shared" si="178"/>
        <v>4.609677170559115E-2</v>
      </c>
      <c r="F217" s="3">
        <f t="shared" si="178"/>
        <v>4.609677170559115E-2</v>
      </c>
      <c r="G217" s="3">
        <f t="shared" si="178"/>
        <v>4.609677170559115E-2</v>
      </c>
      <c r="H217" s="3">
        <f t="shared" si="178"/>
        <v>4.609677170559115E-2</v>
      </c>
      <c r="I217" s="3">
        <f t="shared" si="178"/>
        <v>4.609677170559115E-2</v>
      </c>
      <c r="J217" s="3">
        <f t="shared" si="178"/>
        <v>4.609677170559115E-2</v>
      </c>
      <c r="K217" s="3">
        <f t="shared" si="178"/>
        <v>4.609677170559115E-2</v>
      </c>
      <c r="L217" s="3">
        <f t="shared" si="178"/>
        <v>4.6096771705591143E-2</v>
      </c>
      <c r="M217" s="3">
        <f t="shared" si="178"/>
        <v>4.6096771705591066E-2</v>
      </c>
      <c r="N217" s="3">
        <f t="shared" si="178"/>
        <v>4.609677170559031E-2</v>
      </c>
      <c r="O217" s="3">
        <f t="shared" si="178"/>
        <v>4.6096771705582774E-2</v>
      </c>
      <c r="P217" s="3">
        <f t="shared" si="178"/>
        <v>4.6096771705507349E-2</v>
      </c>
      <c r="Q217" s="3">
        <f t="shared" si="178"/>
        <v>4.6096771704753153E-2</v>
      </c>
      <c r="R217" s="3">
        <f t="shared" si="178"/>
        <v>4.6096771697211152E-2</v>
      </c>
      <c r="S217" s="3">
        <f t="shared" si="178"/>
        <v>4.609677162179119E-2</v>
      </c>
      <c r="T217" s="3">
        <f t="shared" si="178"/>
        <v>4.6096770867591598E-2</v>
      </c>
      <c r="U217" s="3">
        <f t="shared" si="178"/>
        <v>4.6096763325596299E-2</v>
      </c>
      <c r="V217" s="3">
        <f t="shared" si="178"/>
        <v>4.6096687905711149E-2</v>
      </c>
      <c r="W217" s="3">
        <f t="shared" si="178"/>
        <v>4.6095933713646439E-2</v>
      </c>
      <c r="X217" s="3">
        <f t="shared" si="178"/>
        <v>4.6088392471633266E-2</v>
      </c>
      <c r="Y217" s="3">
        <f t="shared" si="178"/>
        <v>4.6013047873830239E-2</v>
      </c>
      <c r="Z217" s="3">
        <f t="shared" si="178"/>
        <v>4.5266343250447989E-2</v>
      </c>
      <c r="AA217" s="3">
        <f t="shared" si="178"/>
        <v>3.8434348123963492E-2</v>
      </c>
      <c r="AB217" s="3">
        <f t="shared" si="178"/>
        <v>7.4844620623073198E-3</v>
      </c>
      <c r="AC217" s="3">
        <f t="shared" si="178"/>
        <v>5.8690973052399496E-10</v>
      </c>
      <c r="AD217" s="3">
        <f t="shared" si="178"/>
        <v>5.160342113455735E-81</v>
      </c>
      <c r="AE217" s="3">
        <f t="shared" si="178"/>
        <v>0</v>
      </c>
      <c r="AF217" s="3">
        <f t="shared" si="178"/>
        <v>0</v>
      </c>
      <c r="AG217" s="3"/>
      <c r="AH217" s="3"/>
    </row>
    <row r="218" spans="1:34" x14ac:dyDescent="0.25">
      <c r="B218" s="3">
        <f t="shared" ref="B218:AF218" si="179">$C26*EXP(-B$207/$A26/EXP(-$D$126))</f>
        <v>5.5576139774485327E-2</v>
      </c>
      <c r="C218" s="3">
        <f t="shared" si="179"/>
        <v>5.5576139774485327E-2</v>
      </c>
      <c r="D218" s="3">
        <f t="shared" si="179"/>
        <v>5.5576139774485327E-2</v>
      </c>
      <c r="E218" s="3">
        <f t="shared" si="179"/>
        <v>5.5576139774485327E-2</v>
      </c>
      <c r="F218" s="3">
        <f t="shared" si="179"/>
        <v>5.5576139774485327E-2</v>
      </c>
      <c r="G218" s="3">
        <f t="shared" si="179"/>
        <v>5.5576139774485327E-2</v>
      </c>
      <c r="H218" s="3">
        <f t="shared" si="179"/>
        <v>5.5576139774485327E-2</v>
      </c>
      <c r="I218" s="3">
        <f t="shared" si="179"/>
        <v>5.5576139774485327E-2</v>
      </c>
      <c r="J218" s="3">
        <f t="shared" si="179"/>
        <v>5.5576139774485327E-2</v>
      </c>
      <c r="K218" s="3">
        <f t="shared" si="179"/>
        <v>5.5576139774485327E-2</v>
      </c>
      <c r="L218" s="3">
        <f t="shared" si="179"/>
        <v>5.5576139774485327E-2</v>
      </c>
      <c r="M218" s="3">
        <f t="shared" si="179"/>
        <v>5.557613977448532E-2</v>
      </c>
      <c r="N218" s="3">
        <f t="shared" si="179"/>
        <v>5.5576139774485236E-2</v>
      </c>
      <c r="O218" s="3">
        <f t="shared" si="179"/>
        <v>5.5576139774484411E-2</v>
      </c>
      <c r="P218" s="3">
        <f t="shared" si="179"/>
        <v>5.5576139774476216E-2</v>
      </c>
      <c r="Q218" s="3">
        <f t="shared" si="179"/>
        <v>5.5576139774394184E-2</v>
      </c>
      <c r="R218" s="3">
        <f t="shared" si="179"/>
        <v>5.5576139773573931E-2</v>
      </c>
      <c r="S218" s="3">
        <f t="shared" si="179"/>
        <v>5.5576139765371346E-2</v>
      </c>
      <c r="T218" s="3">
        <f t="shared" si="179"/>
        <v>5.5576139683345488E-2</v>
      </c>
      <c r="U218" s="3">
        <f t="shared" si="179"/>
        <v>5.557613886308696E-2</v>
      </c>
      <c r="V218" s="3">
        <f t="shared" si="179"/>
        <v>5.5576130660502342E-2</v>
      </c>
      <c r="W218" s="3">
        <f t="shared" si="179"/>
        <v>5.5576048634722743E-2</v>
      </c>
      <c r="X218" s="3">
        <f t="shared" si="179"/>
        <v>5.5575228383585196E-2</v>
      </c>
      <c r="Y218" s="3">
        <f t="shared" si="179"/>
        <v>5.5567026538018489E-2</v>
      </c>
      <c r="Z218" s="3">
        <f t="shared" si="179"/>
        <v>5.5485074626878336E-2</v>
      </c>
      <c r="AA218" s="3">
        <f t="shared" si="179"/>
        <v>5.467217377190086E-2</v>
      </c>
      <c r="AB218" s="3">
        <f t="shared" si="179"/>
        <v>4.7170232322300928E-2</v>
      </c>
      <c r="AC218" s="3">
        <f t="shared" si="179"/>
        <v>1.078163807932799E-2</v>
      </c>
      <c r="AD218" s="3">
        <f t="shared" si="179"/>
        <v>4.1961604802726778E-9</v>
      </c>
      <c r="AE218" s="3">
        <f t="shared" si="179"/>
        <v>3.3459965533344601E-73</v>
      </c>
      <c r="AF218" s="3">
        <f t="shared" si="179"/>
        <v>0</v>
      </c>
      <c r="AG218" s="3"/>
      <c r="AH218" s="3"/>
    </row>
    <row r="219" spans="1:34" x14ac:dyDescent="0.25">
      <c r="B219" s="3">
        <f t="shared" ref="B219:AF219" si="180">$C27*EXP(-B$207/$A27/EXP(-$D$126))</f>
        <v>6.5368051844924516E-2</v>
      </c>
      <c r="C219" s="3">
        <f t="shared" si="180"/>
        <v>6.5368051844924516E-2</v>
      </c>
      <c r="D219" s="3">
        <f t="shared" si="180"/>
        <v>6.5368051844924516E-2</v>
      </c>
      <c r="E219" s="3">
        <f t="shared" si="180"/>
        <v>6.5368051844924516E-2</v>
      </c>
      <c r="F219" s="3">
        <f t="shared" si="180"/>
        <v>6.5368051844924516E-2</v>
      </c>
      <c r="G219" s="3">
        <f t="shared" si="180"/>
        <v>6.5368051844924516E-2</v>
      </c>
      <c r="H219" s="3">
        <f t="shared" si="180"/>
        <v>6.5368051844924516E-2</v>
      </c>
      <c r="I219" s="3">
        <f t="shared" si="180"/>
        <v>6.5368051844924516E-2</v>
      </c>
      <c r="J219" s="3">
        <f t="shared" si="180"/>
        <v>6.5368051844924516E-2</v>
      </c>
      <c r="K219" s="3">
        <f t="shared" si="180"/>
        <v>6.5368051844924516E-2</v>
      </c>
      <c r="L219" s="3">
        <f t="shared" si="180"/>
        <v>6.5368051844924516E-2</v>
      </c>
      <c r="M219" s="3">
        <f t="shared" si="180"/>
        <v>6.5368051844924516E-2</v>
      </c>
      <c r="N219" s="3">
        <f t="shared" si="180"/>
        <v>6.5368051844924502E-2</v>
      </c>
      <c r="O219" s="3">
        <f t="shared" si="180"/>
        <v>6.5368051844924419E-2</v>
      </c>
      <c r="P219" s="3">
        <f t="shared" si="180"/>
        <v>6.5368051844923544E-2</v>
      </c>
      <c r="Q219" s="3">
        <f t="shared" si="180"/>
        <v>6.5368051844914843E-2</v>
      </c>
      <c r="R219" s="3">
        <f t="shared" si="180"/>
        <v>6.5368051844827815E-2</v>
      </c>
      <c r="S219" s="3">
        <f t="shared" si="180"/>
        <v>6.5368051843957498E-2</v>
      </c>
      <c r="T219" s="3">
        <f t="shared" si="180"/>
        <v>6.536805183525439E-2</v>
      </c>
      <c r="U219" s="3">
        <f t="shared" si="180"/>
        <v>6.5368051748223285E-2</v>
      </c>
      <c r="V219" s="3">
        <f t="shared" si="180"/>
        <v>6.5368050877912212E-2</v>
      </c>
      <c r="W219" s="3">
        <f t="shared" si="180"/>
        <v>6.5368042174802105E-2</v>
      </c>
      <c r="X219" s="3">
        <f t="shared" si="180"/>
        <v>6.5367955143764797E-2</v>
      </c>
      <c r="Y219" s="3">
        <f t="shared" si="180"/>
        <v>6.536708483976468E-2</v>
      </c>
      <c r="Z219" s="3">
        <f t="shared" si="180"/>
        <v>6.5358382437031917E-2</v>
      </c>
      <c r="AA219" s="3">
        <f t="shared" si="180"/>
        <v>6.5271422105165247E-2</v>
      </c>
      <c r="AB219" s="3">
        <f t="shared" si="180"/>
        <v>6.4408157066468338E-2</v>
      </c>
      <c r="AC219" s="3">
        <f t="shared" si="180"/>
        <v>5.6379192282270951E-2</v>
      </c>
      <c r="AD219" s="3">
        <f t="shared" si="180"/>
        <v>1.4890134444167305E-2</v>
      </c>
      <c r="AE219" s="3">
        <f t="shared" si="180"/>
        <v>2.4586477563094724E-8</v>
      </c>
      <c r="AF219" s="3">
        <f t="shared" si="180"/>
        <v>3.7040194008345248E-66</v>
      </c>
      <c r="AG219" s="3"/>
      <c r="AH219" s="3"/>
    </row>
    <row r="220" spans="1:34" x14ac:dyDescent="0.25">
      <c r="B220" s="3">
        <f t="shared" ref="B220:AF220" si="181">$C28*EXP(-B$207/$A28/EXP(-$D$126))</f>
        <v>6.6907973989911038E-2</v>
      </c>
      <c r="C220" s="3">
        <f t="shared" si="181"/>
        <v>6.6907973989911038E-2</v>
      </c>
      <c r="D220" s="3">
        <f t="shared" si="181"/>
        <v>6.6907973989911038E-2</v>
      </c>
      <c r="E220" s="3">
        <f t="shared" si="181"/>
        <v>6.6907973989911038E-2</v>
      </c>
      <c r="F220" s="3">
        <f t="shared" si="181"/>
        <v>6.6907973989911038E-2</v>
      </c>
      <c r="G220" s="3">
        <f t="shared" si="181"/>
        <v>6.6907973989911038E-2</v>
      </c>
      <c r="H220" s="3">
        <f t="shared" si="181"/>
        <v>6.6907973989911038E-2</v>
      </c>
      <c r="I220" s="3">
        <f t="shared" si="181"/>
        <v>6.6907973989911038E-2</v>
      </c>
      <c r="J220" s="3">
        <f t="shared" si="181"/>
        <v>6.6907973989911038E-2</v>
      </c>
      <c r="K220" s="3">
        <f t="shared" si="181"/>
        <v>6.6907973989911038E-2</v>
      </c>
      <c r="L220" s="3">
        <f t="shared" si="181"/>
        <v>6.6907973989911038E-2</v>
      </c>
      <c r="M220" s="3">
        <f t="shared" si="181"/>
        <v>6.6907973989911038E-2</v>
      </c>
      <c r="N220" s="3">
        <f t="shared" si="181"/>
        <v>6.6907973989911038E-2</v>
      </c>
      <c r="O220" s="3">
        <f t="shared" si="181"/>
        <v>6.6907973989911024E-2</v>
      </c>
      <c r="P220" s="3">
        <f t="shared" si="181"/>
        <v>6.6907973989910954E-2</v>
      </c>
      <c r="Q220" s="3">
        <f t="shared" si="181"/>
        <v>6.6907973989910149E-2</v>
      </c>
      <c r="R220" s="3">
        <f t="shared" si="181"/>
        <v>6.6907973989902114E-2</v>
      </c>
      <c r="S220" s="3">
        <f t="shared" si="181"/>
        <v>6.6907973989821748E-2</v>
      </c>
      <c r="T220" s="3">
        <f t="shared" si="181"/>
        <v>6.6907973989018155E-2</v>
      </c>
      <c r="U220" s="3">
        <f t="shared" si="181"/>
        <v>6.6907973980982291E-2</v>
      </c>
      <c r="V220" s="3">
        <f t="shared" si="181"/>
        <v>6.6907973900623488E-2</v>
      </c>
      <c r="W220" s="3">
        <f t="shared" si="181"/>
        <v>6.6907973097035486E-2</v>
      </c>
      <c r="X220" s="3">
        <f t="shared" si="181"/>
        <v>6.6907965061156094E-2</v>
      </c>
      <c r="Y220" s="3">
        <f t="shared" si="181"/>
        <v>6.6907884702415307E-2</v>
      </c>
      <c r="Z220" s="3">
        <f t="shared" si="181"/>
        <v>6.6907081120315542E-2</v>
      </c>
      <c r="AA220" s="3">
        <f t="shared" si="181"/>
        <v>6.6899045830117118E-2</v>
      </c>
      <c r="AB220" s="3">
        <f t="shared" si="181"/>
        <v>6.6818745984471489E-2</v>
      </c>
      <c r="AC220" s="3">
        <f t="shared" si="181"/>
        <v>6.6021029660100053E-2</v>
      </c>
      <c r="AD220" s="3">
        <f t="shared" si="181"/>
        <v>5.8549341930095089E-2</v>
      </c>
      <c r="AE220" s="3">
        <f t="shared" si="181"/>
        <v>1.7616485344335697E-2</v>
      </c>
      <c r="AF220" s="3">
        <f t="shared" si="181"/>
        <v>1.0712522668361896E-7</v>
      </c>
      <c r="AG220" s="3"/>
      <c r="AH220" s="3"/>
    </row>
    <row r="221" spans="1:34" x14ac:dyDescent="0.25">
      <c r="B221" s="3">
        <f t="shared" ref="B221:AF221" si="182">$C29*EXP(-B$207/$A29/EXP(-$D$126))</f>
        <v>5.3174535073566002E-2</v>
      </c>
      <c r="C221" s="3">
        <f t="shared" si="182"/>
        <v>5.3174535073566002E-2</v>
      </c>
      <c r="D221" s="3">
        <f t="shared" si="182"/>
        <v>5.3174535073566002E-2</v>
      </c>
      <c r="E221" s="3">
        <f t="shared" si="182"/>
        <v>5.3174535073566002E-2</v>
      </c>
      <c r="F221" s="3">
        <f t="shared" si="182"/>
        <v>5.3174535073566002E-2</v>
      </c>
      <c r="G221" s="3">
        <f t="shared" si="182"/>
        <v>5.3174535073566002E-2</v>
      </c>
      <c r="H221" s="3">
        <f t="shared" si="182"/>
        <v>5.3174535073566002E-2</v>
      </c>
      <c r="I221" s="3">
        <f t="shared" si="182"/>
        <v>5.3174535073566002E-2</v>
      </c>
      <c r="J221" s="3">
        <f t="shared" si="182"/>
        <v>5.3174535073566002E-2</v>
      </c>
      <c r="K221" s="3">
        <f t="shared" si="182"/>
        <v>5.3174535073566002E-2</v>
      </c>
      <c r="L221" s="3">
        <f t="shared" si="182"/>
        <v>5.3174535073566002E-2</v>
      </c>
      <c r="M221" s="3">
        <f t="shared" si="182"/>
        <v>5.3174535073566002E-2</v>
      </c>
      <c r="N221" s="3">
        <f t="shared" si="182"/>
        <v>5.3174535073566002E-2</v>
      </c>
      <c r="O221" s="3">
        <f t="shared" si="182"/>
        <v>5.3174535073566002E-2</v>
      </c>
      <c r="P221" s="3">
        <f t="shared" si="182"/>
        <v>5.3174535073565996E-2</v>
      </c>
      <c r="Q221" s="3">
        <f t="shared" si="182"/>
        <v>5.317453507356594E-2</v>
      </c>
      <c r="R221" s="3">
        <f t="shared" si="182"/>
        <v>5.3174535073565364E-2</v>
      </c>
      <c r="S221" s="3">
        <f t="shared" si="182"/>
        <v>5.3174535073559605E-2</v>
      </c>
      <c r="T221" s="3">
        <f t="shared" si="182"/>
        <v>5.3174535073501991E-2</v>
      </c>
      <c r="U221" s="3">
        <f t="shared" si="182"/>
        <v>5.3174535072925883E-2</v>
      </c>
      <c r="V221" s="3">
        <f t="shared" si="182"/>
        <v>5.3174535067164776E-2</v>
      </c>
      <c r="W221" s="3">
        <f t="shared" si="182"/>
        <v>5.3174535009553714E-2</v>
      </c>
      <c r="X221" s="3">
        <f t="shared" si="182"/>
        <v>5.3174534433443138E-2</v>
      </c>
      <c r="Y221" s="3">
        <f t="shared" si="182"/>
        <v>5.317452867233767E-2</v>
      </c>
      <c r="Z221" s="3">
        <f t="shared" si="182"/>
        <v>5.3174471061317334E-2</v>
      </c>
      <c r="AA221" s="3">
        <f t="shared" si="182"/>
        <v>5.3173894954546976E-2</v>
      </c>
      <c r="AB221" s="3">
        <f t="shared" si="182"/>
        <v>5.3168134230125598E-2</v>
      </c>
      <c r="AC221" s="3">
        <f t="shared" si="182"/>
        <v>5.3110561300380034E-2</v>
      </c>
      <c r="AD221" s="3">
        <f t="shared" si="182"/>
        <v>5.2538249733871424E-2</v>
      </c>
      <c r="AE221" s="3">
        <f t="shared" si="182"/>
        <v>4.7143594553548579E-2</v>
      </c>
      <c r="AF221" s="3">
        <f t="shared" si="182"/>
        <v>1.595488279599094E-2</v>
      </c>
      <c r="AG221" s="3"/>
      <c r="AH221" s="3"/>
    </row>
    <row r="222" spans="1:34" x14ac:dyDescent="0.25">
      <c r="B222" s="3">
        <f t="shared" ref="B222:AF222" si="183">$C30*EXP(-B$207/$A30/EXP(-$D$126))</f>
        <v>3.2923061735419888E-2</v>
      </c>
      <c r="C222" s="3">
        <f t="shared" si="183"/>
        <v>3.2923061735419888E-2</v>
      </c>
      <c r="D222" s="3">
        <f t="shared" si="183"/>
        <v>3.2923061735419888E-2</v>
      </c>
      <c r="E222" s="3">
        <f t="shared" si="183"/>
        <v>3.2923061735419888E-2</v>
      </c>
      <c r="F222" s="3">
        <f t="shared" si="183"/>
        <v>3.2923061735419888E-2</v>
      </c>
      <c r="G222" s="3">
        <f t="shared" si="183"/>
        <v>3.2923061735419888E-2</v>
      </c>
      <c r="H222" s="3">
        <f t="shared" si="183"/>
        <v>3.2923061735419888E-2</v>
      </c>
      <c r="I222" s="3">
        <f t="shared" si="183"/>
        <v>3.2923061735419888E-2</v>
      </c>
      <c r="J222" s="3">
        <f t="shared" si="183"/>
        <v>3.2923061735419888E-2</v>
      </c>
      <c r="K222" s="3">
        <f t="shared" si="183"/>
        <v>3.2923061735419888E-2</v>
      </c>
      <c r="L222" s="3">
        <f t="shared" si="183"/>
        <v>3.2923061735419888E-2</v>
      </c>
      <c r="M222" s="3">
        <f t="shared" si="183"/>
        <v>3.2923061735419888E-2</v>
      </c>
      <c r="N222" s="3">
        <f t="shared" si="183"/>
        <v>3.2923061735419888E-2</v>
      </c>
      <c r="O222" s="3">
        <f t="shared" si="183"/>
        <v>3.2923061735419888E-2</v>
      </c>
      <c r="P222" s="3">
        <f t="shared" si="183"/>
        <v>3.2923061735419888E-2</v>
      </c>
      <c r="Q222" s="3">
        <f t="shared" si="183"/>
        <v>3.2923061735419881E-2</v>
      </c>
      <c r="R222" s="3">
        <f t="shared" si="183"/>
        <v>3.2923061735419853E-2</v>
      </c>
      <c r="S222" s="3">
        <f t="shared" si="183"/>
        <v>3.2923061735419527E-2</v>
      </c>
      <c r="T222" s="3">
        <f t="shared" si="183"/>
        <v>3.2923061735416315E-2</v>
      </c>
      <c r="U222" s="3">
        <f t="shared" si="183"/>
        <v>3.2923061735384139E-2</v>
      </c>
      <c r="V222" s="3">
        <f t="shared" si="183"/>
        <v>3.2923061735062362E-2</v>
      </c>
      <c r="W222" s="3">
        <f t="shared" si="183"/>
        <v>3.2923061731844637E-2</v>
      </c>
      <c r="X222" s="3">
        <f t="shared" si="183"/>
        <v>3.2923061699667383E-2</v>
      </c>
      <c r="Y222" s="3">
        <f t="shared" si="183"/>
        <v>3.2923061377894858E-2</v>
      </c>
      <c r="Z222" s="3">
        <f t="shared" si="183"/>
        <v>3.2923058160169792E-2</v>
      </c>
      <c r="AA222" s="3">
        <f t="shared" si="183"/>
        <v>3.2923025982936366E-2</v>
      </c>
      <c r="AB222" s="3">
        <f t="shared" si="183"/>
        <v>3.2922704212331781E-2</v>
      </c>
      <c r="AC222" s="3">
        <f t="shared" si="183"/>
        <v>3.2919486679244846E-2</v>
      </c>
      <c r="AD222" s="3">
        <f t="shared" si="183"/>
        <v>3.2887328638013795E-2</v>
      </c>
      <c r="AE222" s="3">
        <f t="shared" si="183"/>
        <v>3.2567470953595003E-2</v>
      </c>
      <c r="AF222" s="3">
        <f t="shared" si="183"/>
        <v>2.9535096726860006E-2</v>
      </c>
      <c r="AG222" s="3"/>
      <c r="AH222" s="3"/>
    </row>
    <row r="223" spans="1:34" x14ac:dyDescent="0.25">
      <c r="B223" s="3">
        <f t="shared" ref="B223:AF223" si="184">$C31*EXP(-B$207/$A31/EXP(-$D$126))</f>
        <v>1.6325787748200139E-2</v>
      </c>
      <c r="C223" s="3">
        <f t="shared" si="184"/>
        <v>1.6325787748200139E-2</v>
      </c>
      <c r="D223" s="3">
        <f t="shared" si="184"/>
        <v>1.6325787748200139E-2</v>
      </c>
      <c r="E223" s="3">
        <f t="shared" si="184"/>
        <v>1.6325787748200139E-2</v>
      </c>
      <c r="F223" s="3">
        <f t="shared" si="184"/>
        <v>1.6325787748200139E-2</v>
      </c>
      <c r="G223" s="3">
        <f t="shared" si="184"/>
        <v>1.6325787748200139E-2</v>
      </c>
      <c r="H223" s="3">
        <f t="shared" si="184"/>
        <v>1.6325787748200139E-2</v>
      </c>
      <c r="I223" s="3">
        <f t="shared" si="184"/>
        <v>1.6325787748200139E-2</v>
      </c>
      <c r="J223" s="3">
        <f t="shared" si="184"/>
        <v>1.6325787748200139E-2</v>
      </c>
      <c r="K223" s="3">
        <f t="shared" si="184"/>
        <v>1.6325787748200139E-2</v>
      </c>
      <c r="L223" s="3">
        <f t="shared" si="184"/>
        <v>1.6325787748200139E-2</v>
      </c>
      <c r="M223" s="3">
        <f t="shared" si="184"/>
        <v>1.6325787748200139E-2</v>
      </c>
      <c r="N223" s="3">
        <f t="shared" si="184"/>
        <v>1.6325787748200139E-2</v>
      </c>
      <c r="O223" s="3">
        <f t="shared" si="184"/>
        <v>1.6325787748200139E-2</v>
      </c>
      <c r="P223" s="3">
        <f t="shared" si="184"/>
        <v>1.6325787748200139E-2</v>
      </c>
      <c r="Q223" s="3">
        <f t="shared" si="184"/>
        <v>1.6325787748200139E-2</v>
      </c>
      <c r="R223" s="3">
        <f t="shared" si="184"/>
        <v>1.6325787748200135E-2</v>
      </c>
      <c r="S223" s="3">
        <f t="shared" si="184"/>
        <v>1.6325787748200121E-2</v>
      </c>
      <c r="T223" s="3">
        <f t="shared" si="184"/>
        <v>1.6325787748199979E-2</v>
      </c>
      <c r="U223" s="3">
        <f t="shared" si="184"/>
        <v>1.6325787748198539E-2</v>
      </c>
      <c r="V223" s="3">
        <f t="shared" si="184"/>
        <v>1.6325787748184144E-2</v>
      </c>
      <c r="W223" s="3">
        <f t="shared" si="184"/>
        <v>1.6325787748040211E-2</v>
      </c>
      <c r="X223" s="3">
        <f t="shared" si="184"/>
        <v>1.6325787746600852E-2</v>
      </c>
      <c r="Y223" s="3">
        <f t="shared" si="184"/>
        <v>1.6325787732207248E-2</v>
      </c>
      <c r="Z223" s="3">
        <f t="shared" si="184"/>
        <v>1.6325787588271232E-2</v>
      </c>
      <c r="AA223" s="3">
        <f t="shared" si="184"/>
        <v>1.6325786148911139E-2</v>
      </c>
      <c r="AB223" s="3">
        <f t="shared" si="184"/>
        <v>1.6325771755317187E-2</v>
      </c>
      <c r="AC223" s="3">
        <f t="shared" si="184"/>
        <v>1.6325627820075624E-2</v>
      </c>
      <c r="AD223" s="3">
        <f t="shared" si="184"/>
        <v>1.6324188537452971E-2</v>
      </c>
      <c r="AE223" s="3">
        <f t="shared" si="184"/>
        <v>1.630980268824863E-2</v>
      </c>
      <c r="AF223" s="3">
        <f t="shared" si="184"/>
        <v>1.6166639627807233E-2</v>
      </c>
      <c r="AG223" s="3"/>
      <c r="AH223" s="3"/>
    </row>
    <row r="224" spans="1:34" x14ac:dyDescent="0.25">
      <c r="B224" s="3">
        <f t="shared" ref="B224:AF224" si="185">$C32*EXP(-B$207/$A32/EXP(-$D$126))</f>
        <v>7.8974635041155969E-3</v>
      </c>
      <c r="C224" s="3">
        <f t="shared" si="185"/>
        <v>7.8974635041155969E-3</v>
      </c>
      <c r="D224" s="3">
        <f t="shared" si="185"/>
        <v>7.8974635041155969E-3</v>
      </c>
      <c r="E224" s="3">
        <f t="shared" si="185"/>
        <v>7.8974635041155969E-3</v>
      </c>
      <c r="F224" s="3">
        <f t="shared" si="185"/>
        <v>7.8974635041155969E-3</v>
      </c>
      <c r="G224" s="3">
        <f t="shared" si="185"/>
        <v>7.8974635041155969E-3</v>
      </c>
      <c r="H224" s="3">
        <f t="shared" si="185"/>
        <v>7.8974635041155969E-3</v>
      </c>
      <c r="I224" s="3">
        <f t="shared" si="185"/>
        <v>7.8974635041155969E-3</v>
      </c>
      <c r="J224" s="3">
        <f t="shared" si="185"/>
        <v>7.8974635041155969E-3</v>
      </c>
      <c r="K224" s="3">
        <f t="shared" si="185"/>
        <v>7.8974635041155969E-3</v>
      </c>
      <c r="L224" s="3">
        <f t="shared" si="185"/>
        <v>7.8974635041155969E-3</v>
      </c>
      <c r="M224" s="3">
        <f t="shared" si="185"/>
        <v>7.8974635041155969E-3</v>
      </c>
      <c r="N224" s="3">
        <f t="shared" si="185"/>
        <v>7.8974635041155969E-3</v>
      </c>
      <c r="O224" s="3">
        <f t="shared" si="185"/>
        <v>7.8974635041155969E-3</v>
      </c>
      <c r="P224" s="3">
        <f t="shared" si="185"/>
        <v>7.8974635041155969E-3</v>
      </c>
      <c r="Q224" s="3">
        <f t="shared" si="185"/>
        <v>7.8974635041155969E-3</v>
      </c>
      <c r="R224" s="3">
        <f t="shared" si="185"/>
        <v>7.8974635041155969E-3</v>
      </c>
      <c r="S224" s="3">
        <f t="shared" si="185"/>
        <v>7.8974635041155952E-3</v>
      </c>
      <c r="T224" s="3">
        <f t="shared" si="185"/>
        <v>7.8974635041155899E-3</v>
      </c>
      <c r="U224" s="3">
        <f t="shared" si="185"/>
        <v>7.8974635041155275E-3</v>
      </c>
      <c r="V224" s="3">
        <f t="shared" si="185"/>
        <v>7.8974635041148995E-3</v>
      </c>
      <c r="W224" s="3">
        <f t="shared" si="185"/>
        <v>7.8974635041086181E-3</v>
      </c>
      <c r="X224" s="3">
        <f t="shared" si="185"/>
        <v>7.8974635040458072E-3</v>
      </c>
      <c r="Y224" s="3">
        <f t="shared" si="185"/>
        <v>7.8974635034177072E-3</v>
      </c>
      <c r="Z224" s="3">
        <f t="shared" si="185"/>
        <v>7.8974634971366968E-3</v>
      </c>
      <c r="AA224" s="3">
        <f t="shared" si="185"/>
        <v>7.8974634343265855E-3</v>
      </c>
      <c r="AB224" s="3">
        <f t="shared" si="185"/>
        <v>7.8974628062255178E-3</v>
      </c>
      <c r="AC224" s="3">
        <f t="shared" si="185"/>
        <v>7.8974565252175766E-3</v>
      </c>
      <c r="AD224" s="3">
        <f t="shared" si="185"/>
        <v>7.897393715412919E-3</v>
      </c>
      <c r="AE224" s="3">
        <f t="shared" si="185"/>
        <v>7.8967656448402125E-3</v>
      </c>
      <c r="AF224" s="3">
        <f t="shared" si="185"/>
        <v>7.8904876856926796E-3</v>
      </c>
      <c r="AG224" s="3"/>
      <c r="AH224" s="3"/>
    </row>
    <row r="225" spans="2:34" x14ac:dyDescent="0.25">
      <c r="B225" s="3">
        <f t="shared" ref="B225:AF225" si="186">$C33*EXP(-B$207/$A33/EXP(-$D$126))</f>
        <v>4.1550471728530186E-3</v>
      </c>
      <c r="C225" s="3">
        <f t="shared" si="186"/>
        <v>4.1550471728530186E-3</v>
      </c>
      <c r="D225" s="3">
        <f t="shared" si="186"/>
        <v>4.1550471728530186E-3</v>
      </c>
      <c r="E225" s="3">
        <f t="shared" si="186"/>
        <v>4.1550471728530186E-3</v>
      </c>
      <c r="F225" s="3">
        <f t="shared" si="186"/>
        <v>4.1550471728530186E-3</v>
      </c>
      <c r="G225" s="3">
        <f t="shared" si="186"/>
        <v>4.1550471728530186E-3</v>
      </c>
      <c r="H225" s="3">
        <f t="shared" si="186"/>
        <v>4.1550471728530186E-3</v>
      </c>
      <c r="I225" s="3">
        <f t="shared" si="186"/>
        <v>4.1550471728530186E-3</v>
      </c>
      <c r="J225" s="3">
        <f t="shared" si="186"/>
        <v>4.1550471728530186E-3</v>
      </c>
      <c r="K225" s="3">
        <f t="shared" si="186"/>
        <v>4.1550471728530186E-3</v>
      </c>
      <c r="L225" s="3">
        <f t="shared" si="186"/>
        <v>4.1550471728530186E-3</v>
      </c>
      <c r="M225" s="3">
        <f t="shared" si="186"/>
        <v>4.1550471728530186E-3</v>
      </c>
      <c r="N225" s="3">
        <f t="shared" si="186"/>
        <v>4.1550471728530186E-3</v>
      </c>
      <c r="O225" s="3">
        <f t="shared" si="186"/>
        <v>4.1550471728530186E-3</v>
      </c>
      <c r="P225" s="3">
        <f t="shared" si="186"/>
        <v>4.1550471728530186E-3</v>
      </c>
      <c r="Q225" s="3">
        <f t="shared" si="186"/>
        <v>4.1550471728530186E-3</v>
      </c>
      <c r="R225" s="3">
        <f t="shared" si="186"/>
        <v>4.1550471728530186E-3</v>
      </c>
      <c r="S225" s="3">
        <f t="shared" si="186"/>
        <v>4.1550471728530186E-3</v>
      </c>
      <c r="T225" s="3">
        <f t="shared" si="186"/>
        <v>4.1550471728530177E-3</v>
      </c>
      <c r="U225" s="3">
        <f t="shared" si="186"/>
        <v>4.1550471728530151E-3</v>
      </c>
      <c r="V225" s="3">
        <f t="shared" si="186"/>
        <v>4.1550471728529857E-3</v>
      </c>
      <c r="W225" s="3">
        <f t="shared" si="186"/>
        <v>4.1550471728526873E-3</v>
      </c>
      <c r="X225" s="3">
        <f t="shared" si="186"/>
        <v>4.1550471728497062E-3</v>
      </c>
      <c r="Y225" s="3">
        <f t="shared" si="186"/>
        <v>4.1550471728198958E-3</v>
      </c>
      <c r="Z225" s="3">
        <f t="shared" si="186"/>
        <v>4.155047172521794E-3</v>
      </c>
      <c r="AA225" s="3">
        <f t="shared" si="186"/>
        <v>4.1550471695407775E-3</v>
      </c>
      <c r="AB225" s="3">
        <f t="shared" si="186"/>
        <v>4.1550471397306058E-3</v>
      </c>
      <c r="AC225" s="3">
        <f t="shared" si="186"/>
        <v>4.1550468416289028E-3</v>
      </c>
      <c r="AD225" s="3">
        <f t="shared" si="186"/>
        <v>4.1550438606130528E-3</v>
      </c>
      <c r="AE225" s="3">
        <f t="shared" si="186"/>
        <v>4.1550140505721813E-3</v>
      </c>
      <c r="AF225" s="3">
        <f t="shared" si="186"/>
        <v>4.1547159619260516E-3</v>
      </c>
      <c r="AG225" s="3"/>
      <c r="AH225" s="3"/>
    </row>
    <row r="226" spans="2:34" x14ac:dyDescent="0.25">
      <c r="B226" s="3">
        <f t="shared" ref="B226:AF226" si="187">$C34*EXP(-B$207/$A34/EXP(-$D$126))</f>
        <v>4.2575321437709054E-3</v>
      </c>
      <c r="C226" s="3">
        <f t="shared" si="187"/>
        <v>4.2575321437709054E-3</v>
      </c>
      <c r="D226" s="3">
        <f t="shared" si="187"/>
        <v>4.2575321437709054E-3</v>
      </c>
      <c r="E226" s="3">
        <f t="shared" si="187"/>
        <v>4.2575321437709054E-3</v>
      </c>
      <c r="F226" s="3">
        <f t="shared" si="187"/>
        <v>4.2575321437709054E-3</v>
      </c>
      <c r="G226" s="3">
        <f t="shared" si="187"/>
        <v>4.2575321437709054E-3</v>
      </c>
      <c r="H226" s="3">
        <f t="shared" si="187"/>
        <v>4.2575321437709054E-3</v>
      </c>
      <c r="I226" s="3">
        <f t="shared" si="187"/>
        <v>4.2575321437709054E-3</v>
      </c>
      <c r="J226" s="3">
        <f t="shared" si="187"/>
        <v>4.2575321437709054E-3</v>
      </c>
      <c r="K226" s="3">
        <f t="shared" si="187"/>
        <v>4.2575321437709054E-3</v>
      </c>
      <c r="L226" s="3">
        <f t="shared" si="187"/>
        <v>4.2575321437709054E-3</v>
      </c>
      <c r="M226" s="3">
        <f t="shared" si="187"/>
        <v>4.2575321437709054E-3</v>
      </c>
      <c r="N226" s="3">
        <f t="shared" si="187"/>
        <v>4.2575321437709054E-3</v>
      </c>
      <c r="O226" s="3">
        <f t="shared" si="187"/>
        <v>4.2575321437709054E-3</v>
      </c>
      <c r="P226" s="3">
        <f t="shared" si="187"/>
        <v>4.2575321437709054E-3</v>
      </c>
      <c r="Q226" s="3">
        <f t="shared" si="187"/>
        <v>4.2575321437709054E-3</v>
      </c>
      <c r="R226" s="3">
        <f t="shared" si="187"/>
        <v>4.2575321437709054E-3</v>
      </c>
      <c r="S226" s="3">
        <f t="shared" si="187"/>
        <v>4.2575321437709054E-3</v>
      </c>
      <c r="T226" s="3">
        <f t="shared" si="187"/>
        <v>4.2575321437709054E-3</v>
      </c>
      <c r="U226" s="3">
        <f t="shared" si="187"/>
        <v>4.2575321437709045E-3</v>
      </c>
      <c r="V226" s="3">
        <f t="shared" si="187"/>
        <v>4.2575321437709028E-3</v>
      </c>
      <c r="W226" s="3">
        <f t="shared" si="187"/>
        <v>4.257532143770875E-3</v>
      </c>
      <c r="X226" s="3">
        <f t="shared" si="187"/>
        <v>4.2575321437705992E-3</v>
      </c>
      <c r="Y226" s="3">
        <f t="shared" si="187"/>
        <v>4.2575321437678436E-3</v>
      </c>
      <c r="Z226" s="3">
        <f t="shared" si="187"/>
        <v>4.2575321437402893E-3</v>
      </c>
      <c r="AA226" s="3">
        <f t="shared" si="187"/>
        <v>4.2575321434647441E-3</v>
      </c>
      <c r="AB226" s="3">
        <f t="shared" si="187"/>
        <v>4.2575321407092911E-3</v>
      </c>
      <c r="AC226" s="3">
        <f t="shared" si="187"/>
        <v>4.2575321131547586E-3</v>
      </c>
      <c r="AD226" s="3">
        <f t="shared" si="187"/>
        <v>4.2575318376094472E-3</v>
      </c>
      <c r="AE226" s="3">
        <f t="shared" si="187"/>
        <v>4.2575290821573108E-3</v>
      </c>
      <c r="AF226" s="3">
        <f t="shared" si="187"/>
        <v>4.2575015277340287E-3</v>
      </c>
      <c r="AG226" s="3"/>
      <c r="AH226" s="3"/>
    </row>
    <row r="227" spans="2:34" x14ac:dyDescent="0.25">
      <c r="B227" s="3">
        <f t="shared" ref="B227:AF227" si="188">$C35*EXP(-B$207/$A35/EXP(-$D$126))</f>
        <v>9.5394971617709327E-4</v>
      </c>
      <c r="C227" s="3">
        <f t="shared" si="188"/>
        <v>9.5394971617709327E-4</v>
      </c>
      <c r="D227" s="3">
        <f t="shared" si="188"/>
        <v>9.5394971617709327E-4</v>
      </c>
      <c r="E227" s="3">
        <f t="shared" si="188"/>
        <v>9.5394971617709327E-4</v>
      </c>
      <c r="F227" s="3">
        <f t="shared" si="188"/>
        <v>9.5394971617709327E-4</v>
      </c>
      <c r="G227" s="3">
        <f t="shared" si="188"/>
        <v>9.5394971617709327E-4</v>
      </c>
      <c r="H227" s="3">
        <f t="shared" si="188"/>
        <v>9.5394971617709327E-4</v>
      </c>
      <c r="I227" s="3">
        <f t="shared" si="188"/>
        <v>9.5394971617709327E-4</v>
      </c>
      <c r="J227" s="3">
        <f t="shared" si="188"/>
        <v>9.5394971617709327E-4</v>
      </c>
      <c r="K227" s="3">
        <f t="shared" si="188"/>
        <v>9.5394971617709327E-4</v>
      </c>
      <c r="L227" s="3">
        <f t="shared" si="188"/>
        <v>9.5394971617709327E-4</v>
      </c>
      <c r="M227" s="3">
        <f t="shared" si="188"/>
        <v>9.5394971617709327E-4</v>
      </c>
      <c r="N227" s="3">
        <f t="shared" si="188"/>
        <v>9.5394971617709327E-4</v>
      </c>
      <c r="O227" s="3">
        <f t="shared" si="188"/>
        <v>9.5394971617709327E-4</v>
      </c>
      <c r="P227" s="3">
        <f t="shared" si="188"/>
        <v>9.5394971617709327E-4</v>
      </c>
      <c r="Q227" s="3">
        <f t="shared" si="188"/>
        <v>9.5394971617709327E-4</v>
      </c>
      <c r="R227" s="3">
        <f t="shared" si="188"/>
        <v>9.5394971617709327E-4</v>
      </c>
      <c r="S227" s="3">
        <f t="shared" si="188"/>
        <v>9.5394971617709327E-4</v>
      </c>
      <c r="T227" s="3">
        <f t="shared" si="188"/>
        <v>9.5394971617709327E-4</v>
      </c>
      <c r="U227" s="3">
        <f t="shared" si="188"/>
        <v>9.5394971617709327E-4</v>
      </c>
      <c r="V227" s="3">
        <f t="shared" si="188"/>
        <v>9.5394971617709316E-4</v>
      </c>
      <c r="W227" s="3">
        <f t="shared" si="188"/>
        <v>9.5394971617709262E-4</v>
      </c>
      <c r="X227" s="3">
        <f t="shared" si="188"/>
        <v>9.5394971617708709E-4</v>
      </c>
      <c r="Y227" s="3">
        <f t="shared" si="188"/>
        <v>9.5394971617703147E-4</v>
      </c>
      <c r="Z227" s="3">
        <f t="shared" si="188"/>
        <v>9.539497161764744E-4</v>
      </c>
      <c r="AA227" s="3">
        <f t="shared" si="188"/>
        <v>9.5394971617090507E-4</v>
      </c>
      <c r="AB227" s="3">
        <f t="shared" si="188"/>
        <v>9.5394971611521124E-4</v>
      </c>
      <c r="AC227" s="3">
        <f t="shared" si="188"/>
        <v>9.5394971555827273E-4</v>
      </c>
      <c r="AD227" s="3">
        <f t="shared" si="188"/>
        <v>9.5394970998888859E-4</v>
      </c>
      <c r="AE227" s="3">
        <f t="shared" si="188"/>
        <v>9.539496542950481E-4</v>
      </c>
      <c r="AF227" s="3">
        <f t="shared" si="188"/>
        <v>9.5394909735682242E-4</v>
      </c>
      <c r="AG227" s="3"/>
      <c r="AH227" s="3"/>
    </row>
    <row r="228" spans="2:34" x14ac:dyDescent="0.25">
      <c r="B228" s="3">
        <f t="shared" ref="B228:AF228" si="189">$C36*EXP(-B$207/$A36/EXP(-$D$126))</f>
        <v>4.0589760414466262E-3</v>
      </c>
      <c r="C228" s="3">
        <f t="shared" si="189"/>
        <v>4.0589760414466262E-3</v>
      </c>
      <c r="D228" s="3">
        <f t="shared" si="189"/>
        <v>4.0589760414466262E-3</v>
      </c>
      <c r="E228" s="3">
        <f t="shared" si="189"/>
        <v>4.0589760414466262E-3</v>
      </c>
      <c r="F228" s="3">
        <f t="shared" si="189"/>
        <v>4.0589760414466262E-3</v>
      </c>
      <c r="G228" s="3">
        <f t="shared" si="189"/>
        <v>4.0589760414466262E-3</v>
      </c>
      <c r="H228" s="3">
        <f t="shared" si="189"/>
        <v>4.0589760414466262E-3</v>
      </c>
      <c r="I228" s="3">
        <f t="shared" si="189"/>
        <v>4.0589760414466262E-3</v>
      </c>
      <c r="J228" s="3">
        <f t="shared" si="189"/>
        <v>4.0589760414466262E-3</v>
      </c>
      <c r="K228" s="3">
        <f t="shared" si="189"/>
        <v>4.0589760414466262E-3</v>
      </c>
      <c r="L228" s="3">
        <f t="shared" si="189"/>
        <v>4.0589760414466262E-3</v>
      </c>
      <c r="M228" s="3">
        <f t="shared" si="189"/>
        <v>4.0589760414466262E-3</v>
      </c>
      <c r="N228" s="3">
        <f t="shared" si="189"/>
        <v>4.0589760414466262E-3</v>
      </c>
      <c r="O228" s="3">
        <f t="shared" si="189"/>
        <v>4.0589760414466262E-3</v>
      </c>
      <c r="P228" s="3">
        <f t="shared" si="189"/>
        <v>4.0589760414466262E-3</v>
      </c>
      <c r="Q228" s="3">
        <f t="shared" si="189"/>
        <v>4.0589760414466262E-3</v>
      </c>
      <c r="R228" s="3">
        <f t="shared" si="189"/>
        <v>4.0589760414466262E-3</v>
      </c>
      <c r="S228" s="3">
        <f t="shared" si="189"/>
        <v>4.0589760414466262E-3</v>
      </c>
      <c r="T228" s="3">
        <f t="shared" si="189"/>
        <v>4.0589760414466262E-3</v>
      </c>
      <c r="U228" s="3">
        <f t="shared" si="189"/>
        <v>4.0589760414466262E-3</v>
      </c>
      <c r="V228" s="3">
        <f t="shared" si="189"/>
        <v>4.0589760414466262E-3</v>
      </c>
      <c r="W228" s="3">
        <f t="shared" si="189"/>
        <v>4.0589760414466254E-3</v>
      </c>
      <c r="X228" s="3">
        <f t="shared" si="189"/>
        <v>4.0589760414466236E-3</v>
      </c>
      <c r="Y228" s="3">
        <f t="shared" si="189"/>
        <v>4.058976041446602E-3</v>
      </c>
      <c r="Z228" s="3">
        <f t="shared" si="189"/>
        <v>4.0589760414463886E-3</v>
      </c>
      <c r="AA228" s="3">
        <f t="shared" si="189"/>
        <v>4.0589760414442505E-3</v>
      </c>
      <c r="AB228" s="3">
        <f t="shared" si="189"/>
        <v>4.0589760414228744E-3</v>
      </c>
      <c r="AC228" s="3">
        <f t="shared" si="189"/>
        <v>4.0589760412091053E-3</v>
      </c>
      <c r="AD228" s="3">
        <f t="shared" si="189"/>
        <v>4.0589760390714151E-3</v>
      </c>
      <c r="AE228" s="3">
        <f t="shared" si="189"/>
        <v>4.0589760176945123E-3</v>
      </c>
      <c r="AF228" s="3">
        <f t="shared" si="189"/>
        <v>4.0589758039254933E-3</v>
      </c>
      <c r="AG228" s="3"/>
      <c r="AH228" s="3"/>
    </row>
    <row r="229" spans="2:34" x14ac:dyDescent="0.25">
      <c r="B229" s="3">
        <f t="shared" ref="B229:AF229" si="190">$C37*EXP(-B$207/$A37/EXP(-$D$126))</f>
        <v>1.8079022275700322E-3</v>
      </c>
      <c r="C229" s="3">
        <f t="shared" si="190"/>
        <v>1.8079022275700322E-3</v>
      </c>
      <c r="D229" s="3">
        <f t="shared" si="190"/>
        <v>1.8079022275700322E-3</v>
      </c>
      <c r="E229" s="3">
        <f t="shared" si="190"/>
        <v>1.8079022275700322E-3</v>
      </c>
      <c r="F229" s="3">
        <f t="shared" si="190"/>
        <v>1.8079022275700322E-3</v>
      </c>
      <c r="G229" s="3">
        <f t="shared" si="190"/>
        <v>1.8079022275700322E-3</v>
      </c>
      <c r="H229" s="3">
        <f t="shared" si="190"/>
        <v>1.8079022275700322E-3</v>
      </c>
      <c r="I229" s="3">
        <f t="shared" si="190"/>
        <v>1.8079022275700322E-3</v>
      </c>
      <c r="J229" s="3">
        <f t="shared" si="190"/>
        <v>1.8079022275700322E-3</v>
      </c>
      <c r="K229" s="3">
        <f t="shared" si="190"/>
        <v>1.8079022275700322E-3</v>
      </c>
      <c r="L229" s="3">
        <f t="shared" si="190"/>
        <v>1.8079022275700322E-3</v>
      </c>
      <c r="M229" s="3">
        <f t="shared" si="190"/>
        <v>1.8079022275700322E-3</v>
      </c>
      <c r="N229" s="3">
        <f t="shared" si="190"/>
        <v>1.8079022275700322E-3</v>
      </c>
      <c r="O229" s="3">
        <f t="shared" si="190"/>
        <v>1.8079022275700322E-3</v>
      </c>
      <c r="P229" s="3">
        <f t="shared" si="190"/>
        <v>1.8079022275700322E-3</v>
      </c>
      <c r="Q229" s="3">
        <f t="shared" si="190"/>
        <v>1.8079022275700322E-3</v>
      </c>
      <c r="R229" s="3">
        <f t="shared" si="190"/>
        <v>1.8079022275700322E-3</v>
      </c>
      <c r="S229" s="3">
        <f t="shared" si="190"/>
        <v>1.8079022275700322E-3</v>
      </c>
      <c r="T229" s="3">
        <f t="shared" si="190"/>
        <v>1.8079022275700322E-3</v>
      </c>
      <c r="U229" s="3">
        <f t="shared" si="190"/>
        <v>1.8079022275700322E-3</v>
      </c>
      <c r="V229" s="3">
        <f t="shared" si="190"/>
        <v>1.8079022275700322E-3</v>
      </c>
      <c r="W229" s="3">
        <f t="shared" si="190"/>
        <v>1.8079022275700322E-3</v>
      </c>
      <c r="X229" s="3">
        <f t="shared" si="190"/>
        <v>1.8079022275700322E-3</v>
      </c>
      <c r="Y229" s="3">
        <f t="shared" si="190"/>
        <v>1.8079022275700311E-3</v>
      </c>
      <c r="Z229" s="3">
        <f t="shared" si="190"/>
        <v>1.8079022275700226E-3</v>
      </c>
      <c r="AA229" s="3">
        <f t="shared" si="190"/>
        <v>1.8079022275699368E-3</v>
      </c>
      <c r="AB229" s="3">
        <f t="shared" si="190"/>
        <v>1.8079022275690779E-3</v>
      </c>
      <c r="AC229" s="3">
        <f t="shared" si="190"/>
        <v>1.8079022275604886E-3</v>
      </c>
      <c r="AD229" s="3">
        <f t="shared" si="190"/>
        <v>1.8079022274745972E-3</v>
      </c>
      <c r="AE229" s="3">
        <f t="shared" si="190"/>
        <v>1.8079022266156829E-3</v>
      </c>
      <c r="AF229" s="3">
        <f t="shared" si="190"/>
        <v>1.8079022180265403E-3</v>
      </c>
      <c r="AG229" s="3"/>
      <c r="AH229" s="3"/>
    </row>
    <row r="230" spans="2:34" x14ac:dyDescent="0.25">
      <c r="B230" s="3">
        <f t="shared" ref="B230:AF230" si="191">$C38*EXP(-B$207/$A38/EXP(-$D$126))</f>
        <v>6.6593482592524332E-4</v>
      </c>
      <c r="C230" s="3">
        <f t="shared" si="191"/>
        <v>6.6593482592524332E-4</v>
      </c>
      <c r="D230" s="3">
        <f t="shared" si="191"/>
        <v>6.6593482592524332E-4</v>
      </c>
      <c r="E230" s="3">
        <f t="shared" si="191"/>
        <v>6.6593482592524332E-4</v>
      </c>
      <c r="F230" s="3">
        <f t="shared" si="191"/>
        <v>6.6593482592524332E-4</v>
      </c>
      <c r="G230" s="3">
        <f t="shared" si="191"/>
        <v>6.6593482592524332E-4</v>
      </c>
      <c r="H230" s="3">
        <f t="shared" si="191"/>
        <v>6.6593482592524332E-4</v>
      </c>
      <c r="I230" s="3">
        <f t="shared" si="191"/>
        <v>6.6593482592524332E-4</v>
      </c>
      <c r="J230" s="3">
        <f t="shared" si="191"/>
        <v>6.6593482592524332E-4</v>
      </c>
      <c r="K230" s="3">
        <f t="shared" si="191"/>
        <v>6.6593482592524332E-4</v>
      </c>
      <c r="L230" s="3">
        <f t="shared" si="191"/>
        <v>6.6593482592524332E-4</v>
      </c>
      <c r="M230" s="3">
        <f t="shared" si="191"/>
        <v>6.6593482592524332E-4</v>
      </c>
      <c r="N230" s="3">
        <f t="shared" si="191"/>
        <v>6.6593482592524332E-4</v>
      </c>
      <c r="O230" s="3">
        <f t="shared" si="191"/>
        <v>6.6593482592524332E-4</v>
      </c>
      <c r="P230" s="3">
        <f t="shared" si="191"/>
        <v>6.6593482592524332E-4</v>
      </c>
      <c r="Q230" s="3">
        <f t="shared" si="191"/>
        <v>6.6593482592524332E-4</v>
      </c>
      <c r="R230" s="3">
        <f t="shared" si="191"/>
        <v>6.6593482592524332E-4</v>
      </c>
      <c r="S230" s="3">
        <f t="shared" si="191"/>
        <v>6.6593482592524332E-4</v>
      </c>
      <c r="T230" s="3">
        <f t="shared" si="191"/>
        <v>6.6593482592524332E-4</v>
      </c>
      <c r="U230" s="3">
        <f t="shared" si="191"/>
        <v>6.6593482592524332E-4</v>
      </c>
      <c r="V230" s="3">
        <f t="shared" si="191"/>
        <v>6.6593482592524332E-4</v>
      </c>
      <c r="W230" s="3">
        <f t="shared" si="191"/>
        <v>6.6593482592524332E-4</v>
      </c>
      <c r="X230" s="3">
        <f t="shared" si="191"/>
        <v>6.6593482592524332E-4</v>
      </c>
      <c r="Y230" s="3">
        <f t="shared" si="191"/>
        <v>6.6593482592524332E-4</v>
      </c>
      <c r="Z230" s="3">
        <f t="shared" si="191"/>
        <v>6.6593482592524299E-4</v>
      </c>
      <c r="AA230" s="3">
        <f t="shared" si="191"/>
        <v>6.6593482592524017E-4</v>
      </c>
      <c r="AB230" s="3">
        <f t="shared" si="191"/>
        <v>6.6593482592521155E-4</v>
      </c>
      <c r="AC230" s="3">
        <f t="shared" si="191"/>
        <v>6.6593482592492619E-4</v>
      </c>
      <c r="AD230" s="3">
        <f t="shared" si="191"/>
        <v>6.6593482592207224E-4</v>
      </c>
      <c r="AE230" s="3">
        <f t="shared" si="191"/>
        <v>6.6593482589353224E-4</v>
      </c>
      <c r="AF230" s="3">
        <f t="shared" si="191"/>
        <v>6.6593482560813283E-4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5.5929921649114952E-4</v>
      </c>
      <c r="C232" s="3">
        <f t="shared" si="193"/>
        <v>5.5929921649114952E-4</v>
      </c>
      <c r="D232" s="3">
        <f t="shared" si="193"/>
        <v>5.5929921649114952E-4</v>
      </c>
      <c r="E232" s="3">
        <f t="shared" si="193"/>
        <v>5.5929921649114952E-4</v>
      </c>
      <c r="F232" s="3">
        <f t="shared" si="193"/>
        <v>5.5929921649114952E-4</v>
      </c>
      <c r="G232" s="3">
        <f t="shared" si="193"/>
        <v>5.5929921649114952E-4</v>
      </c>
      <c r="H232" s="3">
        <f t="shared" si="193"/>
        <v>5.5929921649114952E-4</v>
      </c>
      <c r="I232" s="3">
        <f t="shared" si="193"/>
        <v>5.5929921649114952E-4</v>
      </c>
      <c r="J232" s="3">
        <f t="shared" si="193"/>
        <v>5.5929921649114952E-4</v>
      </c>
      <c r="K232" s="3">
        <f t="shared" si="193"/>
        <v>5.5929921649114952E-4</v>
      </c>
      <c r="L232" s="3">
        <f t="shared" si="193"/>
        <v>5.5929921649114952E-4</v>
      </c>
      <c r="M232" s="3">
        <f t="shared" si="193"/>
        <v>5.5929921649114952E-4</v>
      </c>
      <c r="N232" s="3">
        <f t="shared" si="193"/>
        <v>5.5929921649114952E-4</v>
      </c>
      <c r="O232" s="3">
        <f t="shared" si="193"/>
        <v>5.5929921649114952E-4</v>
      </c>
      <c r="P232" s="3">
        <f t="shared" si="193"/>
        <v>5.5929921649114952E-4</v>
      </c>
      <c r="Q232" s="3">
        <f t="shared" si="193"/>
        <v>5.5929921649114952E-4</v>
      </c>
      <c r="R232" s="3">
        <f t="shared" si="193"/>
        <v>5.5929921649114952E-4</v>
      </c>
      <c r="S232" s="3">
        <f t="shared" si="193"/>
        <v>5.5929921649114952E-4</v>
      </c>
      <c r="T232" s="3">
        <f t="shared" si="193"/>
        <v>5.5929921649114952E-4</v>
      </c>
      <c r="U232" s="3">
        <f t="shared" si="193"/>
        <v>5.5929921649114952E-4</v>
      </c>
      <c r="V232" s="3">
        <f t="shared" si="193"/>
        <v>5.5929921649114952E-4</v>
      </c>
      <c r="W232" s="3">
        <f t="shared" si="193"/>
        <v>5.5929921649114952E-4</v>
      </c>
      <c r="X232" s="3">
        <f t="shared" si="193"/>
        <v>5.5929921649114952E-4</v>
      </c>
      <c r="Y232" s="3">
        <f t="shared" si="193"/>
        <v>5.5929921649114952E-4</v>
      </c>
      <c r="Z232" s="3">
        <f t="shared" si="193"/>
        <v>5.5929921649114952E-4</v>
      </c>
      <c r="AA232" s="3">
        <f t="shared" si="193"/>
        <v>5.5929921649114942E-4</v>
      </c>
      <c r="AB232" s="3">
        <f t="shared" si="193"/>
        <v>5.5929921649114876E-4</v>
      </c>
      <c r="AC232" s="3">
        <f t="shared" si="193"/>
        <v>5.5929921649114215E-4</v>
      </c>
      <c r="AD232" s="3">
        <f t="shared" si="193"/>
        <v>5.5929921649107591E-4</v>
      </c>
      <c r="AE232" s="3">
        <f t="shared" si="193"/>
        <v>5.5929921649041292E-4</v>
      </c>
      <c r="AF232" s="3">
        <f t="shared" si="193"/>
        <v>5.5929921648378345E-4</v>
      </c>
      <c r="AG232" s="3"/>
      <c r="AH232" s="3"/>
    </row>
    <row r="233" spans="2:34" x14ac:dyDescent="0.25">
      <c r="B233" s="3">
        <f t="shared" ref="B233:AF233" si="194">$C41*EXP(-B$207/$A41/EXP(-$D$126))</f>
        <v>0</v>
      </c>
      <c r="C233" s="3">
        <f t="shared" si="194"/>
        <v>0</v>
      </c>
      <c r="D233" s="3">
        <f t="shared" si="194"/>
        <v>0</v>
      </c>
      <c r="E233" s="3">
        <f t="shared" si="194"/>
        <v>0</v>
      </c>
      <c r="F233" s="3">
        <f t="shared" si="194"/>
        <v>0</v>
      </c>
      <c r="G233" s="3">
        <f t="shared" si="194"/>
        <v>0</v>
      </c>
      <c r="H233" s="3">
        <f t="shared" si="194"/>
        <v>0</v>
      </c>
      <c r="I233" s="3">
        <f t="shared" si="194"/>
        <v>0</v>
      </c>
      <c r="J233" s="3">
        <f t="shared" si="194"/>
        <v>0</v>
      </c>
      <c r="K233" s="3">
        <f t="shared" si="194"/>
        <v>0</v>
      </c>
      <c r="L233" s="3">
        <f t="shared" si="194"/>
        <v>0</v>
      </c>
      <c r="M233" s="3">
        <f t="shared" si="194"/>
        <v>0</v>
      </c>
      <c r="N233" s="3">
        <f t="shared" si="194"/>
        <v>0</v>
      </c>
      <c r="O233" s="3">
        <f t="shared" si="194"/>
        <v>0</v>
      </c>
      <c r="P233" s="3">
        <f t="shared" si="194"/>
        <v>0</v>
      </c>
      <c r="Q233" s="3">
        <f t="shared" si="194"/>
        <v>0</v>
      </c>
      <c r="R233" s="3">
        <f t="shared" si="194"/>
        <v>0</v>
      </c>
      <c r="S233" s="3">
        <f t="shared" si="194"/>
        <v>0</v>
      </c>
      <c r="T233" s="3">
        <f t="shared" si="194"/>
        <v>0</v>
      </c>
      <c r="U233" s="3">
        <f t="shared" si="194"/>
        <v>0</v>
      </c>
      <c r="V233" s="3">
        <f t="shared" si="194"/>
        <v>0</v>
      </c>
      <c r="W233" s="3">
        <f t="shared" si="194"/>
        <v>0</v>
      </c>
      <c r="X233" s="3">
        <f t="shared" si="194"/>
        <v>0</v>
      </c>
      <c r="Y233" s="3">
        <f t="shared" si="194"/>
        <v>0</v>
      </c>
      <c r="Z233" s="3">
        <f t="shared" si="194"/>
        <v>0</v>
      </c>
      <c r="AA233" s="3">
        <f t="shared" si="194"/>
        <v>0</v>
      </c>
      <c r="AB233" s="3">
        <f t="shared" si="194"/>
        <v>0</v>
      </c>
      <c r="AC233" s="3">
        <f t="shared" si="194"/>
        <v>0</v>
      </c>
      <c r="AD233" s="3">
        <f t="shared" si="194"/>
        <v>0</v>
      </c>
      <c r="AE233" s="3">
        <f t="shared" si="194"/>
        <v>0</v>
      </c>
      <c r="AF233" s="3">
        <f t="shared" si="194"/>
        <v>0</v>
      </c>
      <c r="AG233" s="3"/>
      <c r="AH233" s="3"/>
    </row>
    <row r="234" spans="2:34" x14ac:dyDescent="0.25">
      <c r="B234" s="3">
        <f t="shared" ref="B234:AF234" si="195">$C42*EXP(-B$207/$A42/EXP(-$D$126))</f>
        <v>1.7201579278298637E-4</v>
      </c>
      <c r="C234" s="3">
        <f t="shared" si="195"/>
        <v>1.7201579278298637E-4</v>
      </c>
      <c r="D234" s="3">
        <f t="shared" si="195"/>
        <v>1.7201579278298637E-4</v>
      </c>
      <c r="E234" s="3">
        <f t="shared" si="195"/>
        <v>1.7201579278298637E-4</v>
      </c>
      <c r="F234" s="3">
        <f t="shared" si="195"/>
        <v>1.7201579278298637E-4</v>
      </c>
      <c r="G234" s="3">
        <f t="shared" si="195"/>
        <v>1.7201579278298637E-4</v>
      </c>
      <c r="H234" s="3">
        <f t="shared" si="195"/>
        <v>1.7201579278298637E-4</v>
      </c>
      <c r="I234" s="3">
        <f t="shared" si="195"/>
        <v>1.7201579278298637E-4</v>
      </c>
      <c r="J234" s="3">
        <f t="shared" si="195"/>
        <v>1.7201579278298637E-4</v>
      </c>
      <c r="K234" s="3">
        <f t="shared" si="195"/>
        <v>1.7201579278298637E-4</v>
      </c>
      <c r="L234" s="3">
        <f t="shared" si="195"/>
        <v>1.7201579278298637E-4</v>
      </c>
      <c r="M234" s="3">
        <f t="shared" si="195"/>
        <v>1.7201579278298637E-4</v>
      </c>
      <c r="N234" s="3">
        <f t="shared" si="195"/>
        <v>1.7201579278298637E-4</v>
      </c>
      <c r="O234" s="3">
        <f t="shared" si="195"/>
        <v>1.7201579278298637E-4</v>
      </c>
      <c r="P234" s="3">
        <f t="shared" si="195"/>
        <v>1.7201579278298637E-4</v>
      </c>
      <c r="Q234" s="3">
        <f t="shared" si="195"/>
        <v>1.7201579278298637E-4</v>
      </c>
      <c r="R234" s="3">
        <f t="shared" si="195"/>
        <v>1.7201579278298637E-4</v>
      </c>
      <c r="S234" s="3">
        <f t="shared" si="195"/>
        <v>1.7201579278298637E-4</v>
      </c>
      <c r="T234" s="3">
        <f t="shared" si="195"/>
        <v>1.7201579278298637E-4</v>
      </c>
      <c r="U234" s="3">
        <f t="shared" si="195"/>
        <v>1.7201579278298637E-4</v>
      </c>
      <c r="V234" s="3">
        <f t="shared" si="195"/>
        <v>1.7201579278298637E-4</v>
      </c>
      <c r="W234" s="3">
        <f t="shared" si="195"/>
        <v>1.7201579278298637E-4</v>
      </c>
      <c r="X234" s="3">
        <f t="shared" si="195"/>
        <v>1.7201579278298637E-4</v>
      </c>
      <c r="Y234" s="3">
        <f t="shared" si="195"/>
        <v>1.7201579278298637E-4</v>
      </c>
      <c r="Z234" s="3">
        <f t="shared" si="195"/>
        <v>1.7201579278298637E-4</v>
      </c>
      <c r="AA234" s="3">
        <f t="shared" si="195"/>
        <v>1.7201579278298637E-4</v>
      </c>
      <c r="AB234" s="3">
        <f t="shared" si="195"/>
        <v>1.7201579278298637E-4</v>
      </c>
      <c r="AC234" s="3">
        <f t="shared" si="195"/>
        <v>1.7201579278298634E-4</v>
      </c>
      <c r="AD234" s="3">
        <f t="shared" si="195"/>
        <v>1.7201579278298615E-4</v>
      </c>
      <c r="AE234" s="3">
        <f t="shared" si="195"/>
        <v>1.7201579278298409E-4</v>
      </c>
      <c r="AF234" s="3">
        <f t="shared" si="195"/>
        <v>1.7201579278296371E-4</v>
      </c>
      <c r="AG234" s="3"/>
      <c r="AH234" s="3"/>
    </row>
    <row r="235" spans="2:34" x14ac:dyDescent="0.25">
      <c r="B235" s="3">
        <f t="shared" ref="B235:AF235" si="196">$C43*EXP(-B$207/$A43/EXP(-$D$126))</f>
        <v>1.7468461922378131E-4</v>
      </c>
      <c r="C235" s="3">
        <f t="shared" si="196"/>
        <v>1.7468461922378131E-4</v>
      </c>
      <c r="D235" s="3">
        <f t="shared" si="196"/>
        <v>1.7468461922378131E-4</v>
      </c>
      <c r="E235" s="3">
        <f t="shared" si="196"/>
        <v>1.7468461922378131E-4</v>
      </c>
      <c r="F235" s="3">
        <f t="shared" si="196"/>
        <v>1.7468461922378131E-4</v>
      </c>
      <c r="G235" s="3">
        <f t="shared" si="196"/>
        <v>1.7468461922378131E-4</v>
      </c>
      <c r="H235" s="3">
        <f t="shared" si="196"/>
        <v>1.7468461922378131E-4</v>
      </c>
      <c r="I235" s="3">
        <f t="shared" si="196"/>
        <v>1.7468461922378131E-4</v>
      </c>
      <c r="J235" s="3">
        <f t="shared" si="196"/>
        <v>1.7468461922378131E-4</v>
      </c>
      <c r="K235" s="3">
        <f t="shared" si="196"/>
        <v>1.7468461922378131E-4</v>
      </c>
      <c r="L235" s="3">
        <f t="shared" si="196"/>
        <v>1.7468461922378131E-4</v>
      </c>
      <c r="M235" s="3">
        <f t="shared" si="196"/>
        <v>1.7468461922378131E-4</v>
      </c>
      <c r="N235" s="3">
        <f t="shared" si="196"/>
        <v>1.7468461922378131E-4</v>
      </c>
      <c r="O235" s="3">
        <f t="shared" si="196"/>
        <v>1.7468461922378131E-4</v>
      </c>
      <c r="P235" s="3">
        <f t="shared" si="196"/>
        <v>1.7468461922378131E-4</v>
      </c>
      <c r="Q235" s="3">
        <f t="shared" si="196"/>
        <v>1.7468461922378131E-4</v>
      </c>
      <c r="R235" s="3">
        <f t="shared" si="196"/>
        <v>1.7468461922378131E-4</v>
      </c>
      <c r="S235" s="3">
        <f t="shared" si="196"/>
        <v>1.7468461922378131E-4</v>
      </c>
      <c r="T235" s="3">
        <f t="shared" si="196"/>
        <v>1.7468461922378131E-4</v>
      </c>
      <c r="U235" s="3">
        <f t="shared" si="196"/>
        <v>1.7468461922378131E-4</v>
      </c>
      <c r="V235" s="3">
        <f t="shared" si="196"/>
        <v>1.7468461922378131E-4</v>
      </c>
      <c r="W235" s="3">
        <f t="shared" si="196"/>
        <v>1.7468461922378131E-4</v>
      </c>
      <c r="X235" s="3">
        <f t="shared" si="196"/>
        <v>1.7468461922378131E-4</v>
      </c>
      <c r="Y235" s="3">
        <f t="shared" si="196"/>
        <v>1.7468461922378131E-4</v>
      </c>
      <c r="Z235" s="3">
        <f t="shared" si="196"/>
        <v>1.7468461922378131E-4</v>
      </c>
      <c r="AA235" s="3">
        <f t="shared" si="196"/>
        <v>1.7468461922378131E-4</v>
      </c>
      <c r="AB235" s="3">
        <f t="shared" si="196"/>
        <v>1.7468461922378131E-4</v>
      </c>
      <c r="AC235" s="3">
        <f t="shared" si="196"/>
        <v>1.7468461922378131E-4</v>
      </c>
      <c r="AD235" s="3">
        <f t="shared" si="196"/>
        <v>1.7468461922378128E-4</v>
      </c>
      <c r="AE235" s="3">
        <f t="shared" si="196"/>
        <v>1.7468461922378107E-4</v>
      </c>
      <c r="AF235" s="3">
        <f t="shared" si="196"/>
        <v>1.7468461922377901E-4</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2.0999278642033111E-4</v>
      </c>
      <c r="C237" s="3">
        <f t="shared" si="198"/>
        <v>2.0999278642033111E-4</v>
      </c>
      <c r="D237" s="3">
        <f t="shared" si="198"/>
        <v>2.0999278642033111E-4</v>
      </c>
      <c r="E237" s="3">
        <f t="shared" si="198"/>
        <v>2.0999278642033111E-4</v>
      </c>
      <c r="F237" s="3">
        <f t="shared" si="198"/>
        <v>2.0999278642033111E-4</v>
      </c>
      <c r="G237" s="3">
        <f t="shared" si="198"/>
        <v>2.0999278642033111E-4</v>
      </c>
      <c r="H237" s="3">
        <f t="shared" si="198"/>
        <v>2.0999278642033111E-4</v>
      </c>
      <c r="I237" s="3">
        <f t="shared" si="198"/>
        <v>2.0999278642033111E-4</v>
      </c>
      <c r="J237" s="3">
        <f t="shared" si="198"/>
        <v>2.0999278642033111E-4</v>
      </c>
      <c r="K237" s="3">
        <f t="shared" si="198"/>
        <v>2.0999278642033111E-4</v>
      </c>
      <c r="L237" s="3">
        <f t="shared" si="198"/>
        <v>2.0999278642033111E-4</v>
      </c>
      <c r="M237" s="3">
        <f t="shared" si="198"/>
        <v>2.0999278642033111E-4</v>
      </c>
      <c r="N237" s="3">
        <f t="shared" si="198"/>
        <v>2.0999278642033111E-4</v>
      </c>
      <c r="O237" s="3">
        <f t="shared" si="198"/>
        <v>2.0999278642033111E-4</v>
      </c>
      <c r="P237" s="3">
        <f t="shared" si="198"/>
        <v>2.0999278642033111E-4</v>
      </c>
      <c r="Q237" s="3">
        <f t="shared" si="198"/>
        <v>2.0999278642033111E-4</v>
      </c>
      <c r="R237" s="3">
        <f t="shared" si="198"/>
        <v>2.0999278642033111E-4</v>
      </c>
      <c r="S237" s="3">
        <f t="shared" si="198"/>
        <v>2.0999278642033111E-4</v>
      </c>
      <c r="T237" s="3">
        <f t="shared" si="198"/>
        <v>2.0999278642033111E-4</v>
      </c>
      <c r="U237" s="3">
        <f t="shared" si="198"/>
        <v>2.0999278642033111E-4</v>
      </c>
      <c r="V237" s="3">
        <f t="shared" si="198"/>
        <v>2.0999278642033111E-4</v>
      </c>
      <c r="W237" s="3">
        <f t="shared" si="198"/>
        <v>2.0999278642033111E-4</v>
      </c>
      <c r="X237" s="3">
        <f t="shared" si="198"/>
        <v>2.0999278642033111E-4</v>
      </c>
      <c r="Y237" s="3">
        <f t="shared" si="198"/>
        <v>2.0999278642033111E-4</v>
      </c>
      <c r="Z237" s="3">
        <f t="shared" si="198"/>
        <v>2.0999278642033111E-4</v>
      </c>
      <c r="AA237" s="3">
        <f t="shared" si="198"/>
        <v>2.0999278642033111E-4</v>
      </c>
      <c r="AB237" s="3">
        <f t="shared" si="198"/>
        <v>2.0999278642033111E-4</v>
      </c>
      <c r="AC237" s="3">
        <f t="shared" si="198"/>
        <v>2.0999278642033111E-4</v>
      </c>
      <c r="AD237" s="3">
        <f t="shared" si="198"/>
        <v>2.0999278642033111E-4</v>
      </c>
      <c r="AE237" s="3">
        <f t="shared" si="198"/>
        <v>2.0999278642033111E-4</v>
      </c>
      <c r="AF237" s="3">
        <f t="shared" si="198"/>
        <v>2.0999278642033108E-4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1.7320221207897527E-4</v>
      </c>
      <c r="C240" s="3">
        <f t="shared" si="201"/>
        <v>1.7320221207897527E-4</v>
      </c>
      <c r="D240" s="3">
        <f t="shared" si="201"/>
        <v>1.7320221207897527E-4</v>
      </c>
      <c r="E240" s="3">
        <f t="shared" si="201"/>
        <v>1.7320221207897527E-4</v>
      </c>
      <c r="F240" s="3">
        <f t="shared" si="201"/>
        <v>1.7320221207897527E-4</v>
      </c>
      <c r="G240" s="3">
        <f t="shared" si="201"/>
        <v>1.7320221207897527E-4</v>
      </c>
      <c r="H240" s="3">
        <f t="shared" si="201"/>
        <v>1.7320221207897527E-4</v>
      </c>
      <c r="I240" s="3">
        <f t="shared" si="201"/>
        <v>1.7320221207897527E-4</v>
      </c>
      <c r="J240" s="3">
        <f t="shared" si="201"/>
        <v>1.7320221207897527E-4</v>
      </c>
      <c r="K240" s="3">
        <f t="shared" si="201"/>
        <v>1.7320221207897527E-4</v>
      </c>
      <c r="L240" s="3">
        <f t="shared" si="201"/>
        <v>1.7320221207897527E-4</v>
      </c>
      <c r="M240" s="3">
        <f t="shared" si="201"/>
        <v>1.7320221207897527E-4</v>
      </c>
      <c r="N240" s="3">
        <f t="shared" si="201"/>
        <v>1.7320221207897527E-4</v>
      </c>
      <c r="O240" s="3">
        <f t="shared" si="201"/>
        <v>1.7320221207897527E-4</v>
      </c>
      <c r="P240" s="3">
        <f t="shared" si="201"/>
        <v>1.7320221207897527E-4</v>
      </c>
      <c r="Q240" s="3">
        <f t="shared" si="201"/>
        <v>1.7320221207897527E-4</v>
      </c>
      <c r="R240" s="3">
        <f t="shared" si="201"/>
        <v>1.7320221207897527E-4</v>
      </c>
      <c r="S240" s="3">
        <f t="shared" si="201"/>
        <v>1.7320221207897527E-4</v>
      </c>
      <c r="T240" s="3">
        <f t="shared" si="201"/>
        <v>1.7320221207897527E-4</v>
      </c>
      <c r="U240" s="3">
        <f t="shared" si="201"/>
        <v>1.7320221207897527E-4</v>
      </c>
      <c r="V240" s="3">
        <f t="shared" si="201"/>
        <v>1.7320221207897527E-4</v>
      </c>
      <c r="W240" s="3">
        <f t="shared" si="201"/>
        <v>1.7320221207897527E-4</v>
      </c>
      <c r="X240" s="3">
        <f t="shared" si="201"/>
        <v>1.7320221207897527E-4</v>
      </c>
      <c r="Y240" s="3">
        <f t="shared" si="201"/>
        <v>1.7320221207897527E-4</v>
      </c>
      <c r="Z240" s="3">
        <f t="shared" si="201"/>
        <v>1.7320221207897527E-4</v>
      </c>
      <c r="AA240" s="3">
        <f t="shared" si="201"/>
        <v>1.7320221207897527E-4</v>
      </c>
      <c r="AB240" s="3">
        <f t="shared" si="201"/>
        <v>1.7320221207897527E-4</v>
      </c>
      <c r="AC240" s="3">
        <f t="shared" si="201"/>
        <v>1.7320221207897527E-4</v>
      </c>
      <c r="AD240" s="3">
        <f t="shared" si="201"/>
        <v>1.7320221207897527E-4</v>
      </c>
      <c r="AE240" s="3">
        <f t="shared" si="201"/>
        <v>1.7320221207897527E-4</v>
      </c>
      <c r="AF240" s="3">
        <f t="shared" si="201"/>
        <v>1.7320221207897527E-4</v>
      </c>
      <c r="AG240" s="3"/>
      <c r="AH240" s="3"/>
    </row>
    <row r="241" spans="1:34" x14ac:dyDescent="0.25">
      <c r="A241" s="79">
        <f>AVERAGE(B241:AF241)</f>
        <v>4.2233091837481834E-2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0.13149049291047343</v>
      </c>
      <c r="M241" s="80">
        <f t="shared" si="202"/>
        <v>0.15791812443895931</v>
      </c>
      <c r="N241" s="80">
        <f t="shared" si="202"/>
        <v>0.14328597159762754</v>
      </c>
      <c r="O241" s="80">
        <f t="shared" si="202"/>
        <v>0.10869367708095364</v>
      </c>
      <c r="P241" s="80">
        <f t="shared" si="202"/>
        <v>0.21104139024253188</v>
      </c>
      <c r="Q241" s="80">
        <f t="shared" si="202"/>
        <v>0.18242728941859207</v>
      </c>
      <c r="R241" s="80">
        <f t="shared" si="202"/>
        <v>0.14395349178675715</v>
      </c>
      <c r="S241" s="80">
        <f t="shared" si="202"/>
        <v>9.1472416518636857E-2</v>
      </c>
      <c r="T241" s="80">
        <f t="shared" si="202"/>
        <v>1.9275213584139854E-2</v>
      </c>
      <c r="U241" s="80">
        <f t="shared" si="202"/>
        <v>4.9699432865102158E-2</v>
      </c>
      <c r="V241" s="80">
        <f t="shared" si="202"/>
        <v>6.9968346518162805E-2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1.3898216040687575E-6</v>
      </c>
      <c r="C242" s="21">
        <f t="shared" ref="C242:AF242" si="203">(C209-C208)^2</f>
        <v>1.7594405704977269E-3</v>
      </c>
      <c r="D242" s="21">
        <f t="shared" si="203"/>
        <v>2.2980979905474963E-3</v>
      </c>
      <c r="E242" s="21">
        <f t="shared" si="203"/>
        <v>0.41955997006628182</v>
      </c>
      <c r="F242" s="21">
        <f t="shared" si="203"/>
        <v>40.988980546243674</v>
      </c>
      <c r="G242" s="21">
        <f t="shared" si="203"/>
        <v>3135.1100181275306</v>
      </c>
      <c r="H242" s="21">
        <f t="shared" si="203"/>
        <v>53272.555657666016</v>
      </c>
      <c r="I242" s="21">
        <f t="shared" si="203"/>
        <v>124909.49333757396</v>
      </c>
      <c r="J242" s="21">
        <f t="shared" si="203"/>
        <v>215772.44236174351</v>
      </c>
      <c r="K242" s="21">
        <f t="shared" si="203"/>
        <v>348375.98889969231</v>
      </c>
      <c r="L242" s="21">
        <f t="shared" si="203"/>
        <v>517084.04764511785</v>
      </c>
      <c r="M242" s="21">
        <f t="shared" si="203"/>
        <v>705726.98624481517</v>
      </c>
      <c r="N242" s="21">
        <f t="shared" si="203"/>
        <v>546183.50409264455</v>
      </c>
      <c r="O242" s="21">
        <f t="shared" si="203"/>
        <v>293992.01222990325</v>
      </c>
      <c r="P242" s="21">
        <f t="shared" si="203"/>
        <v>1037389.5829239246</v>
      </c>
      <c r="Q242" s="21">
        <f t="shared" si="203"/>
        <v>721835.54795710032</v>
      </c>
      <c r="R242" s="21">
        <f t="shared" si="203"/>
        <v>409954.19479567517</v>
      </c>
      <c r="S242" s="21">
        <f t="shared" si="203"/>
        <v>146869.72309225134</v>
      </c>
      <c r="T242" s="21">
        <f t="shared" si="203"/>
        <v>5564.1016462169191</v>
      </c>
      <c r="U242" s="21">
        <f t="shared" si="203"/>
        <v>30696.427991809192</v>
      </c>
      <c r="V242" s="21">
        <f t="shared" si="203"/>
        <v>50122.360782072457</v>
      </c>
      <c r="W242" s="21">
        <f t="shared" si="203"/>
        <v>123143.99712768127</v>
      </c>
      <c r="X242" s="21">
        <f t="shared" si="203"/>
        <v>156828.08631339678</v>
      </c>
      <c r="Y242" s="21">
        <f t="shared" si="203"/>
        <v>152049.86524636575</v>
      </c>
      <c r="Z242" s="21">
        <f t="shared" si="203"/>
        <v>134624.38754451211</v>
      </c>
      <c r="AA242" s="21">
        <f t="shared" si="203"/>
        <v>97289.00460730429</v>
      </c>
      <c r="AB242" s="21">
        <f t="shared" si="203"/>
        <v>57271.149192182296</v>
      </c>
      <c r="AC242" s="21">
        <f t="shared" si="203"/>
        <v>18422.915650596264</v>
      </c>
      <c r="AD242" s="21">
        <f t="shared" si="203"/>
        <v>358.01762762548725</v>
      </c>
      <c r="AE242" s="21">
        <f t="shared" si="203"/>
        <v>5240.2546471248688</v>
      </c>
      <c r="AF242" s="21">
        <f t="shared" si="203"/>
        <v>9636.683222125419</v>
      </c>
      <c r="AG242" s="3"/>
      <c r="AH242" s="3"/>
    </row>
    <row r="243" spans="1:34" x14ac:dyDescent="0.25">
      <c r="A243" s="71">
        <f>SUM(B243:AF243)</f>
        <v>4465418.4894015314</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517084.04764511785</v>
      </c>
      <c r="M243" s="60">
        <f t="shared" ref="M243" si="214">IF($A$64&lt;=M207,IF($B$64&gt;=M207,ABS(M242),0),0)</f>
        <v>705726.98624481517</v>
      </c>
      <c r="N243" s="60">
        <f t="shared" ref="N243" si="215">IF($A$64&lt;=N207,IF($B$64&gt;=N207,ABS(N242),0),0)</f>
        <v>546183.50409264455</v>
      </c>
      <c r="O243" s="60">
        <f t="shared" ref="O243" si="216">IF($A$64&lt;=O207,IF($B$64&gt;=O207,ABS(O242),0),0)</f>
        <v>293992.01222990325</v>
      </c>
      <c r="P243" s="60">
        <f t="shared" ref="P243" si="217">IF($A$64&lt;=P207,IF($B$64&gt;=P207,ABS(P242),0),0)</f>
        <v>1037389.5829239246</v>
      </c>
      <c r="Q243" s="60">
        <f t="shared" ref="Q243" si="218">IF($A$64&lt;=Q207,IF($B$64&gt;=Q207,ABS(Q242),0),0)</f>
        <v>721835.54795710032</v>
      </c>
      <c r="R243" s="60">
        <f t="shared" ref="R243" si="219">IF($A$64&lt;=R207,IF($B$64&gt;=R207,ABS(R242),0),0)</f>
        <v>409954.19479567517</v>
      </c>
      <c r="S243" s="60">
        <f t="shared" ref="S243" si="220">IF($A$64&lt;=S207,IF($B$64&gt;=S207,ABS(S242),0),0)</f>
        <v>146869.72309225134</v>
      </c>
      <c r="T243" s="60">
        <f t="shared" ref="T243" si="221">IF($A$64&lt;=T207,IF($B$64&gt;=T207,ABS(T242),0),0)</f>
        <v>5564.1016462169191</v>
      </c>
      <c r="U243" s="60">
        <f t="shared" ref="U243" si="222">IF($A$64&lt;=U207,IF($B$64&gt;=U207,ABS(U242),0),0)</f>
        <v>30696.427991809192</v>
      </c>
      <c r="V243" s="60">
        <f t="shared" ref="V243" si="223">IF($A$64&lt;=V207,IF($B$64&gt;=V207,ABS(V242),0),0)</f>
        <v>50122.360782072457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6190.9489998125064</v>
      </c>
      <c r="C248" s="27">
        <f t="shared" ref="C248:AF248" si="234">($C$17+SUM(C249:C279))*$B$51</f>
        <v>6190.9489981250936</v>
      </c>
      <c r="D248" s="27">
        <f t="shared" si="234"/>
        <v>6190.948981250961</v>
      </c>
      <c r="E248" s="27">
        <f t="shared" si="234"/>
        <v>6190.9488125096395</v>
      </c>
      <c r="F248" s="27">
        <f t="shared" si="234"/>
        <v>6190.9471250970864</v>
      </c>
      <c r="G248" s="27">
        <f t="shared" si="234"/>
        <v>6190.9302510372636</v>
      </c>
      <c r="H248" s="27">
        <f t="shared" si="234"/>
        <v>6190.7615170097761</v>
      </c>
      <c r="I248" s="27">
        <f t="shared" si="234"/>
        <v>6189.0748336373044</v>
      </c>
      <c r="J248" s="27">
        <f t="shared" si="234"/>
        <v>6172.2735183917912</v>
      </c>
      <c r="K248" s="27">
        <f t="shared" si="234"/>
        <v>6010.6437799086989</v>
      </c>
      <c r="L248" s="27">
        <f t="shared" si="234"/>
        <v>4892.8905010454846</v>
      </c>
      <c r="M248" s="27">
        <f t="shared" si="234"/>
        <v>3808.5637327516483</v>
      </c>
      <c r="N248" s="27">
        <f t="shared" si="234"/>
        <v>3807.6436021850041</v>
      </c>
      <c r="O248" s="27">
        <f t="shared" si="234"/>
        <v>3807.5760893665315</v>
      </c>
      <c r="P248" s="27">
        <f t="shared" si="234"/>
        <v>3806.9016137994813</v>
      </c>
      <c r="Q248" s="27">
        <f t="shared" si="234"/>
        <v>3800.2216851443918</v>
      </c>
      <c r="R248" s="27">
        <f t="shared" si="234"/>
        <v>3739.4914118994016</v>
      </c>
      <c r="S248" s="27">
        <f t="shared" si="234"/>
        <v>3472.7717420636786</v>
      </c>
      <c r="T248" s="27">
        <f t="shared" si="234"/>
        <v>3318.0809031832241</v>
      </c>
      <c r="U248" s="27">
        <f t="shared" si="234"/>
        <v>3149.3598957494423</v>
      </c>
      <c r="V248" s="27">
        <f t="shared" si="234"/>
        <v>2954.7721780993988</v>
      </c>
      <c r="W248" s="27">
        <f t="shared" si="234"/>
        <v>2742.4948746384666</v>
      </c>
      <c r="X248" s="27">
        <f t="shared" si="234"/>
        <v>2503.3234680668761</v>
      </c>
      <c r="Y248" s="27">
        <f t="shared" si="234"/>
        <v>2234.1743979997987</v>
      </c>
      <c r="Z248" s="27">
        <f t="shared" si="234"/>
        <v>1921.2091845742834</v>
      </c>
      <c r="AA248" s="27">
        <f t="shared" si="234"/>
        <v>1558.1218888753099</v>
      </c>
      <c r="AB248" s="27">
        <f t="shared" si="234"/>
        <v>1173.3626175320492</v>
      </c>
      <c r="AC248" s="27">
        <f t="shared" si="234"/>
        <v>828.77677447087797</v>
      </c>
      <c r="AD248" s="27">
        <f t="shared" si="234"/>
        <v>578.61990107702275</v>
      </c>
      <c r="AE248" s="27">
        <f t="shared" si="234"/>
        <v>430.72870280323156</v>
      </c>
      <c r="AF248" s="27">
        <f t="shared" si="234"/>
        <v>355.69206261899063</v>
      </c>
      <c r="AG248" s="27"/>
      <c r="AH248" s="27"/>
    </row>
    <row r="249" spans="1:34" x14ac:dyDescent="0.25">
      <c r="B249" s="3">
        <f t="shared" ref="B249:AF249" si="235">$C18*EXP(-B$246/$A18/EXP(-$E$126))</f>
        <v>0.38496487298963106</v>
      </c>
      <c r="C249" s="3">
        <f t="shared" si="235"/>
        <v>0.38496487271706969</v>
      </c>
      <c r="D249" s="3">
        <f t="shared" si="235"/>
        <v>0.38496486999145657</v>
      </c>
      <c r="E249" s="3">
        <f t="shared" si="235"/>
        <v>0.38496484273532594</v>
      </c>
      <c r="F249" s="3">
        <f t="shared" si="235"/>
        <v>0.38496457017412644</v>
      </c>
      <c r="G249" s="3">
        <f t="shared" si="235"/>
        <v>0.38496184457274479</v>
      </c>
      <c r="H249" s="3">
        <f t="shared" si="235"/>
        <v>0.38493458962027544</v>
      </c>
      <c r="I249" s="3">
        <f t="shared" si="235"/>
        <v>0.38466214620248079</v>
      </c>
      <c r="J249" s="3">
        <f t="shared" si="235"/>
        <v>0.38194829497057559</v>
      </c>
      <c r="K249" s="3">
        <f t="shared" si="235"/>
        <v>0.35584087077259158</v>
      </c>
      <c r="L249" s="3">
        <f t="shared" si="235"/>
        <v>0.17529452620681554</v>
      </c>
      <c r="M249" s="3">
        <f t="shared" si="235"/>
        <v>1.4753451074183275E-4</v>
      </c>
      <c r="N249" s="3">
        <f t="shared" si="235"/>
        <v>2.631154071729975E-35</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5.8157909381167036E-2</v>
      </c>
      <c r="C250" s="3">
        <f t="shared" si="236"/>
        <v>5.8157909381167022E-2</v>
      </c>
      <c r="D250" s="3">
        <f t="shared" si="236"/>
        <v>5.8157909381166918E-2</v>
      </c>
      <c r="E250" s="3">
        <f t="shared" si="236"/>
        <v>5.8157909381165863E-2</v>
      </c>
      <c r="F250" s="3">
        <f t="shared" si="236"/>
        <v>5.8157909381155316E-2</v>
      </c>
      <c r="G250" s="3">
        <f t="shared" si="236"/>
        <v>5.8157909381049838E-2</v>
      </c>
      <c r="H250" s="3">
        <f t="shared" si="236"/>
        <v>5.8157909379995078E-2</v>
      </c>
      <c r="I250" s="3">
        <f t="shared" si="236"/>
        <v>5.815790936944748E-2</v>
      </c>
      <c r="J250" s="3">
        <f t="shared" si="236"/>
        <v>5.8157909263971443E-2</v>
      </c>
      <c r="K250" s="3">
        <f t="shared" si="236"/>
        <v>5.8157908209211059E-2</v>
      </c>
      <c r="L250" s="3">
        <f t="shared" si="236"/>
        <v>5.8157897661608282E-2</v>
      </c>
      <c r="M250" s="3">
        <f t="shared" si="236"/>
        <v>5.8157792185685814E-2</v>
      </c>
      <c r="N250" s="3">
        <f t="shared" si="236"/>
        <v>5.815673743698211E-2</v>
      </c>
      <c r="O250" s="3">
        <f t="shared" si="236"/>
        <v>5.8146191001977585E-2</v>
      </c>
      <c r="P250" s="3">
        <f t="shared" si="236"/>
        <v>5.8040831784619697E-2</v>
      </c>
      <c r="Q250" s="3">
        <f t="shared" si="236"/>
        <v>5.6997682672741593E-2</v>
      </c>
      <c r="R250" s="3">
        <f t="shared" si="236"/>
        <v>4.7543693060764676E-2</v>
      </c>
      <c r="S250" s="3">
        <f t="shared" si="236"/>
        <v>7.752647842856712E-3</v>
      </c>
      <c r="T250" s="3">
        <f t="shared" si="236"/>
        <v>1.0304371124424701E-10</v>
      </c>
      <c r="U250" s="3">
        <f t="shared" si="236"/>
        <v>1.7731106631445402E-89</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1.8919132746280987E-2</v>
      </c>
      <c r="C251" s="3">
        <f t="shared" si="237"/>
        <v>1.8919132746280987E-2</v>
      </c>
      <c r="D251" s="3">
        <f t="shared" si="237"/>
        <v>1.8919132746280983E-2</v>
      </c>
      <c r="E251" s="3">
        <f t="shared" si="237"/>
        <v>1.8919132746280952E-2</v>
      </c>
      <c r="F251" s="3">
        <f t="shared" si="237"/>
        <v>1.8919132746280643E-2</v>
      </c>
      <c r="G251" s="3">
        <f t="shared" si="237"/>
        <v>1.8919132746277548E-2</v>
      </c>
      <c r="H251" s="3">
        <f t="shared" si="237"/>
        <v>1.8919132746246597E-2</v>
      </c>
      <c r="I251" s="3">
        <f t="shared" si="237"/>
        <v>1.8919132745937071E-2</v>
      </c>
      <c r="J251" s="3">
        <f t="shared" si="237"/>
        <v>1.8919132742841842E-2</v>
      </c>
      <c r="K251" s="3">
        <f t="shared" si="237"/>
        <v>1.8919132711889549E-2</v>
      </c>
      <c r="L251" s="3">
        <f t="shared" si="237"/>
        <v>1.891913240236661E-2</v>
      </c>
      <c r="M251" s="3">
        <f t="shared" si="237"/>
        <v>1.8919129307137517E-2</v>
      </c>
      <c r="N251" s="3">
        <f t="shared" si="237"/>
        <v>1.891909835487441E-2</v>
      </c>
      <c r="O251" s="3">
        <f t="shared" si="237"/>
        <v>1.8918788835028458E-2</v>
      </c>
      <c r="P251" s="3">
        <f t="shared" si="237"/>
        <v>1.8915693915064313E-2</v>
      </c>
      <c r="Q251" s="3">
        <f t="shared" si="237"/>
        <v>1.8884772548106527E-2</v>
      </c>
      <c r="R251" s="3">
        <f t="shared" si="237"/>
        <v>1.8578325372369451E-2</v>
      </c>
      <c r="S251" s="3">
        <f t="shared" si="237"/>
        <v>1.5774464550032574E-2</v>
      </c>
      <c r="T251" s="3">
        <f t="shared" si="237"/>
        <v>3.0720992641341282E-3</v>
      </c>
      <c r="U251" s="3">
        <f t="shared" si="237"/>
        <v>2.4112454597227587E-10</v>
      </c>
      <c r="V251" s="3">
        <f t="shared" si="237"/>
        <v>2.1394552595241582E-81</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2.9962799778578724E-2</v>
      </c>
      <c r="C252" s="3">
        <f t="shared" si="238"/>
        <v>2.9962799778578724E-2</v>
      </c>
      <c r="D252" s="3">
        <f t="shared" si="238"/>
        <v>2.9962799778578724E-2</v>
      </c>
      <c r="E252" s="3">
        <f t="shared" si="238"/>
        <v>2.9962799778578721E-2</v>
      </c>
      <c r="F252" s="3">
        <f t="shared" si="238"/>
        <v>2.9962799778578676E-2</v>
      </c>
      <c r="G252" s="3">
        <f t="shared" si="238"/>
        <v>2.9962799778578231E-2</v>
      </c>
      <c r="H252" s="3">
        <f t="shared" si="238"/>
        <v>2.9962799778573811E-2</v>
      </c>
      <c r="I252" s="3">
        <f t="shared" si="238"/>
        <v>2.996279977852959E-2</v>
      </c>
      <c r="J252" s="3">
        <f t="shared" si="238"/>
        <v>2.9962799778087388E-2</v>
      </c>
      <c r="K252" s="3">
        <f t="shared" si="238"/>
        <v>2.996279977366537E-2</v>
      </c>
      <c r="L252" s="3">
        <f t="shared" si="238"/>
        <v>2.996279972944518E-2</v>
      </c>
      <c r="M252" s="3">
        <f t="shared" si="238"/>
        <v>2.9962799287243286E-2</v>
      </c>
      <c r="N252" s="3">
        <f t="shared" si="238"/>
        <v>2.9962794865224716E-2</v>
      </c>
      <c r="O252" s="3">
        <f t="shared" si="238"/>
        <v>2.99627506450749E-2</v>
      </c>
      <c r="P252" s="3">
        <f t="shared" si="238"/>
        <v>2.9962308447166134E-2</v>
      </c>
      <c r="Q252" s="3">
        <f t="shared" si="238"/>
        <v>2.9957886826996377E-2</v>
      </c>
      <c r="R252" s="3">
        <f t="shared" si="238"/>
        <v>2.9913706497500154E-2</v>
      </c>
      <c r="S252" s="3">
        <f t="shared" si="238"/>
        <v>2.9475470911405215E-2</v>
      </c>
      <c r="T252" s="3">
        <f t="shared" si="238"/>
        <v>2.5431149624197229E-2</v>
      </c>
      <c r="U252" s="3">
        <f t="shared" si="238"/>
        <v>5.8132419762968309E-3</v>
      </c>
      <c r="V252" s="3">
        <f t="shared" si="238"/>
        <v>2.2643443808721893E-9</v>
      </c>
      <c r="W252" s="3">
        <f t="shared" si="238"/>
        <v>1.820468874157497E-73</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3.3253137152511318E-2</v>
      </c>
      <c r="C253" s="3">
        <f t="shared" si="239"/>
        <v>3.3253137152511318E-2</v>
      </c>
      <c r="D253" s="3">
        <f t="shared" si="239"/>
        <v>3.3253137152511318E-2</v>
      </c>
      <c r="E253" s="3">
        <f t="shared" si="239"/>
        <v>3.3253137152511318E-2</v>
      </c>
      <c r="F253" s="3">
        <f t="shared" si="239"/>
        <v>3.3253137152511311E-2</v>
      </c>
      <c r="G253" s="3">
        <f t="shared" si="239"/>
        <v>3.325313715251127E-2</v>
      </c>
      <c r="H253" s="3">
        <f t="shared" si="239"/>
        <v>3.3253137152510825E-2</v>
      </c>
      <c r="I253" s="3">
        <f t="shared" si="239"/>
        <v>3.3253137152506398E-2</v>
      </c>
      <c r="J253" s="3">
        <f t="shared" si="239"/>
        <v>3.3253137152462128E-2</v>
      </c>
      <c r="K253" s="3">
        <f t="shared" si="239"/>
        <v>3.325313715201942E-2</v>
      </c>
      <c r="L253" s="3">
        <f t="shared" si="239"/>
        <v>3.3253137147592343E-2</v>
      </c>
      <c r="M253" s="3">
        <f t="shared" si="239"/>
        <v>3.3253137103321534E-2</v>
      </c>
      <c r="N253" s="3">
        <f t="shared" si="239"/>
        <v>3.3253136660613483E-2</v>
      </c>
      <c r="O253" s="3">
        <f t="shared" si="239"/>
        <v>3.3253132233533295E-2</v>
      </c>
      <c r="P253" s="3">
        <f t="shared" si="239"/>
        <v>3.3253087962763855E-2</v>
      </c>
      <c r="Q253" s="3">
        <f t="shared" si="239"/>
        <v>3.3252645258311016E-2</v>
      </c>
      <c r="R253" s="3">
        <f t="shared" si="239"/>
        <v>3.3248218537929024E-2</v>
      </c>
      <c r="S253" s="3">
        <f t="shared" si="239"/>
        <v>3.3203983732783174E-2</v>
      </c>
      <c r="T253" s="3">
        <f t="shared" si="239"/>
        <v>3.2764859646112594E-2</v>
      </c>
      <c r="U253" s="3">
        <f t="shared" si="239"/>
        <v>2.8680684159204533E-2</v>
      </c>
      <c r="V253" s="3">
        <f t="shared" si="239"/>
        <v>7.575328265075499E-3</v>
      </c>
      <c r="W253" s="3">
        <f t="shared" si="239"/>
        <v>1.2517596793428522E-8</v>
      </c>
      <c r="X253" s="3">
        <f t="shared" si="239"/>
        <v>1.8998353783881136E-66</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3.5952334962287925E-2</v>
      </c>
      <c r="C254" s="3">
        <f t="shared" si="240"/>
        <v>3.5952334962287925E-2</v>
      </c>
      <c r="D254" s="3">
        <f t="shared" si="240"/>
        <v>3.5952334962287925E-2</v>
      </c>
      <c r="E254" s="3">
        <f t="shared" si="240"/>
        <v>3.5952334962287925E-2</v>
      </c>
      <c r="F254" s="3">
        <f t="shared" si="240"/>
        <v>3.5952334962287925E-2</v>
      </c>
      <c r="G254" s="3">
        <f t="shared" si="240"/>
        <v>3.5952334962287918E-2</v>
      </c>
      <c r="H254" s="3">
        <f t="shared" si="240"/>
        <v>3.5952334962287877E-2</v>
      </c>
      <c r="I254" s="3">
        <f t="shared" si="240"/>
        <v>3.5952334962287447E-2</v>
      </c>
      <c r="J254" s="3">
        <f t="shared" si="240"/>
        <v>3.5952334962283131E-2</v>
      </c>
      <c r="K254" s="3">
        <f t="shared" si="240"/>
        <v>3.595233496223995E-2</v>
      </c>
      <c r="L254" s="3">
        <f t="shared" si="240"/>
        <v>3.595233496180817E-2</v>
      </c>
      <c r="M254" s="3">
        <f t="shared" si="240"/>
        <v>3.5952334957490416E-2</v>
      </c>
      <c r="N254" s="3">
        <f t="shared" si="240"/>
        <v>3.5952334914312815E-2</v>
      </c>
      <c r="O254" s="3">
        <f t="shared" si="240"/>
        <v>3.5952334482536825E-2</v>
      </c>
      <c r="P254" s="3">
        <f t="shared" si="240"/>
        <v>3.5952330164777203E-2</v>
      </c>
      <c r="Q254" s="3">
        <f t="shared" si="240"/>
        <v>3.5952286987209529E-2</v>
      </c>
      <c r="R254" s="3">
        <f t="shared" si="240"/>
        <v>3.5951855214384765E-2</v>
      </c>
      <c r="S254" s="3">
        <f t="shared" si="240"/>
        <v>3.5947537771325061E-2</v>
      </c>
      <c r="T254" s="3">
        <f t="shared" si="240"/>
        <v>3.5904391846851812E-2</v>
      </c>
      <c r="U254" s="3">
        <f t="shared" si="240"/>
        <v>3.5475770588164007E-2</v>
      </c>
      <c r="V254" s="3">
        <f t="shared" si="240"/>
        <v>3.1461140746463424E-2</v>
      </c>
      <c r="W254" s="3">
        <f t="shared" si="240"/>
        <v>9.4667464183561621E-3</v>
      </c>
      <c r="X254" s="3">
        <f t="shared" si="240"/>
        <v>5.7605443956593341E-8</v>
      </c>
      <c r="Y254" s="3">
        <f t="shared" si="240"/>
        <v>4.0095106191437237E-60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4.1559944347360683E-2</v>
      </c>
      <c r="C255" s="3">
        <f t="shared" si="241"/>
        <v>4.1559944347360683E-2</v>
      </c>
      <c r="D255" s="3">
        <f t="shared" si="241"/>
        <v>4.1559944347360683E-2</v>
      </c>
      <c r="E255" s="3">
        <f t="shared" si="241"/>
        <v>4.1559944347360683E-2</v>
      </c>
      <c r="F255" s="3">
        <f t="shared" si="241"/>
        <v>4.1559944347360683E-2</v>
      </c>
      <c r="G255" s="3">
        <f t="shared" si="241"/>
        <v>4.1559944347360683E-2</v>
      </c>
      <c r="H255" s="3">
        <f t="shared" si="241"/>
        <v>4.1559944347360676E-2</v>
      </c>
      <c r="I255" s="3">
        <f t="shared" si="241"/>
        <v>4.1559944347360635E-2</v>
      </c>
      <c r="J255" s="3">
        <f t="shared" si="241"/>
        <v>4.1559944347360184E-2</v>
      </c>
      <c r="K255" s="3">
        <f t="shared" si="241"/>
        <v>4.155994434735568E-2</v>
      </c>
      <c r="L255" s="3">
        <f t="shared" si="241"/>
        <v>4.1559944347310661E-2</v>
      </c>
      <c r="M255" s="3">
        <f t="shared" si="241"/>
        <v>4.1559944346860403E-2</v>
      </c>
      <c r="N255" s="3">
        <f t="shared" si="241"/>
        <v>4.1559944342357914E-2</v>
      </c>
      <c r="O255" s="3">
        <f t="shared" si="241"/>
        <v>4.1559944297333E-2</v>
      </c>
      <c r="P255" s="3">
        <f t="shared" si="241"/>
        <v>4.1559943847083808E-2</v>
      </c>
      <c r="Q255" s="3">
        <f t="shared" si="241"/>
        <v>4.1559939344592213E-2</v>
      </c>
      <c r="R255" s="3">
        <f t="shared" si="241"/>
        <v>4.1559894319703132E-2</v>
      </c>
      <c r="S255" s="3">
        <f t="shared" si="241"/>
        <v>4.1559444073495065E-2</v>
      </c>
      <c r="T255" s="3">
        <f t="shared" si="241"/>
        <v>4.1554941879685753E-2</v>
      </c>
      <c r="U255" s="3">
        <f t="shared" si="241"/>
        <v>4.1509946757975459E-2</v>
      </c>
      <c r="V255" s="3">
        <f t="shared" si="241"/>
        <v>4.1062666460944551E-2</v>
      </c>
      <c r="W255" s="3">
        <f t="shared" si="241"/>
        <v>3.6846552398502465E-2</v>
      </c>
      <c r="X255" s="3">
        <f t="shared" si="241"/>
        <v>1.2470790143892537E-2</v>
      </c>
      <c r="Y255" s="3">
        <f t="shared" si="241"/>
        <v>2.4596034565181985E-7</v>
      </c>
      <c r="Z255" s="3">
        <f t="shared" si="241"/>
        <v>2.1906668228899854E-54</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4.609677170559115E-2</v>
      </c>
      <c r="C256" s="3">
        <f t="shared" si="242"/>
        <v>4.609677170559115E-2</v>
      </c>
      <c r="D256" s="3">
        <f t="shared" si="242"/>
        <v>4.609677170559115E-2</v>
      </c>
      <c r="E256" s="3">
        <f t="shared" si="242"/>
        <v>4.609677170559115E-2</v>
      </c>
      <c r="F256" s="3">
        <f t="shared" si="242"/>
        <v>4.609677170559115E-2</v>
      </c>
      <c r="G256" s="3">
        <f t="shared" si="242"/>
        <v>4.609677170559115E-2</v>
      </c>
      <c r="H256" s="3">
        <f t="shared" si="242"/>
        <v>4.609677170559115E-2</v>
      </c>
      <c r="I256" s="3">
        <f t="shared" si="242"/>
        <v>4.6096771705591143E-2</v>
      </c>
      <c r="J256" s="3">
        <f t="shared" si="242"/>
        <v>4.6096771705591101E-2</v>
      </c>
      <c r="K256" s="3">
        <f t="shared" si="242"/>
        <v>4.609677170559065E-2</v>
      </c>
      <c r="L256" s="3">
        <f t="shared" si="242"/>
        <v>4.6096771705586147E-2</v>
      </c>
      <c r="M256" s="3">
        <f t="shared" si="242"/>
        <v>4.6096771705541092E-2</v>
      </c>
      <c r="N256" s="3">
        <f t="shared" si="242"/>
        <v>4.6096771705090599E-2</v>
      </c>
      <c r="O256" s="3">
        <f t="shared" si="242"/>
        <v>4.6096771700585591E-2</v>
      </c>
      <c r="P256" s="3">
        <f t="shared" si="242"/>
        <v>4.6096771655535558E-2</v>
      </c>
      <c r="Q256" s="3">
        <f t="shared" si="242"/>
        <v>4.6096771205035268E-2</v>
      </c>
      <c r="R256" s="3">
        <f t="shared" si="242"/>
        <v>4.6096766700032529E-2</v>
      </c>
      <c r="S256" s="3">
        <f t="shared" si="242"/>
        <v>4.6096721650029461E-2</v>
      </c>
      <c r="T256" s="3">
        <f t="shared" si="242"/>
        <v>4.6096271152420196E-2</v>
      </c>
      <c r="U256" s="3">
        <f t="shared" si="242"/>
        <v>4.6091766418466622E-2</v>
      </c>
      <c r="V256" s="3">
        <f t="shared" si="242"/>
        <v>4.6046743284085978E-2</v>
      </c>
      <c r="W256" s="3">
        <f t="shared" si="242"/>
        <v>4.5598923726085261E-2</v>
      </c>
      <c r="X256" s="3">
        <f t="shared" si="242"/>
        <v>4.1353409064161156E-2</v>
      </c>
      <c r="Y256" s="3">
        <f t="shared" si="242"/>
        <v>1.556247155784625E-2</v>
      </c>
      <c r="Z256" s="3">
        <f t="shared" si="242"/>
        <v>8.8664772390628302E-7</v>
      </c>
      <c r="AA256" s="3">
        <f t="shared" si="242"/>
        <v>3.1950409718027826E-49</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5.5576139774485327E-2</v>
      </c>
      <c r="C257" s="3">
        <f t="shared" si="243"/>
        <v>5.5576139774485327E-2</v>
      </c>
      <c r="D257" s="3">
        <f t="shared" si="243"/>
        <v>5.5576139774485327E-2</v>
      </c>
      <c r="E257" s="3">
        <f t="shared" si="243"/>
        <v>5.5576139774485327E-2</v>
      </c>
      <c r="F257" s="3">
        <f t="shared" si="243"/>
        <v>5.5576139774485327E-2</v>
      </c>
      <c r="G257" s="3">
        <f t="shared" si="243"/>
        <v>5.5576139774485327E-2</v>
      </c>
      <c r="H257" s="3">
        <f t="shared" si="243"/>
        <v>5.5576139774485327E-2</v>
      </c>
      <c r="I257" s="3">
        <f t="shared" si="243"/>
        <v>5.5576139774485327E-2</v>
      </c>
      <c r="J257" s="3">
        <f t="shared" si="243"/>
        <v>5.557613977448532E-2</v>
      </c>
      <c r="K257" s="3">
        <f t="shared" si="243"/>
        <v>5.5576139774485271E-2</v>
      </c>
      <c r="L257" s="3">
        <f t="shared" si="243"/>
        <v>5.5576139774484785E-2</v>
      </c>
      <c r="M257" s="3">
        <f t="shared" si="243"/>
        <v>5.5576139774479887E-2</v>
      </c>
      <c r="N257" s="3">
        <f t="shared" si="243"/>
        <v>5.5576139774430884E-2</v>
      </c>
      <c r="O257" s="3">
        <f t="shared" si="243"/>
        <v>5.5576139773940929E-2</v>
      </c>
      <c r="P257" s="3">
        <f t="shared" si="243"/>
        <v>5.5576139769041341E-2</v>
      </c>
      <c r="Q257" s="3">
        <f t="shared" si="243"/>
        <v>5.5576139720045457E-2</v>
      </c>
      <c r="R257" s="3">
        <f t="shared" si="243"/>
        <v>5.5576139230086689E-2</v>
      </c>
      <c r="S257" s="3">
        <f t="shared" si="243"/>
        <v>5.5576134330499183E-2</v>
      </c>
      <c r="T257" s="3">
        <f t="shared" si="243"/>
        <v>5.557608533464789E-2</v>
      </c>
      <c r="U257" s="3">
        <f t="shared" si="243"/>
        <v>5.5575595378510617E-2</v>
      </c>
      <c r="V257" s="3">
        <f t="shared" si="243"/>
        <v>5.5570696054700289E-2</v>
      </c>
      <c r="W257" s="3">
        <f t="shared" si="243"/>
        <v>5.5521726565087068E-2</v>
      </c>
      <c r="X257" s="3">
        <f t="shared" si="243"/>
        <v>5.5034398789633364E-2</v>
      </c>
      <c r="Y257" s="3">
        <f t="shared" si="243"/>
        <v>5.0390290468058589E-2</v>
      </c>
      <c r="Z257" s="3">
        <f t="shared" si="243"/>
        <v>2.08676341864097E-2</v>
      </c>
      <c r="AA257" s="3">
        <f t="shared" si="243"/>
        <v>3.0955423176940939E-6</v>
      </c>
      <c r="AB257" s="3">
        <f t="shared" si="243"/>
        <v>1.5972468898124006E-44</v>
      </c>
      <c r="AC257" s="3">
        <f t="shared" si="243"/>
        <v>0</v>
      </c>
      <c r="AD257" s="3">
        <f t="shared" si="243"/>
        <v>0</v>
      </c>
      <c r="AE257" s="3">
        <f t="shared" si="243"/>
        <v>0</v>
      </c>
      <c r="AF257" s="3">
        <f t="shared" si="243"/>
        <v>0</v>
      </c>
      <c r="AG257" s="3"/>
      <c r="AH257" s="3"/>
    </row>
    <row r="258" spans="2:34" x14ac:dyDescent="0.25">
      <c r="B258" s="3">
        <f t="shared" ref="B258:AF258" si="244">$C27*EXP(-B$246/$A27/EXP(-$E$126))</f>
        <v>6.5368051844924516E-2</v>
      </c>
      <c r="C258" s="3">
        <f t="shared" si="244"/>
        <v>6.5368051844924516E-2</v>
      </c>
      <c r="D258" s="3">
        <f t="shared" si="244"/>
        <v>6.5368051844924516E-2</v>
      </c>
      <c r="E258" s="3">
        <f t="shared" si="244"/>
        <v>6.5368051844924516E-2</v>
      </c>
      <c r="F258" s="3">
        <f t="shared" si="244"/>
        <v>6.5368051844924516E-2</v>
      </c>
      <c r="G258" s="3">
        <f t="shared" si="244"/>
        <v>6.5368051844924516E-2</v>
      </c>
      <c r="H258" s="3">
        <f t="shared" si="244"/>
        <v>6.5368051844924516E-2</v>
      </c>
      <c r="I258" s="3">
        <f t="shared" si="244"/>
        <v>6.5368051844924516E-2</v>
      </c>
      <c r="J258" s="3">
        <f t="shared" si="244"/>
        <v>6.5368051844924516E-2</v>
      </c>
      <c r="K258" s="3">
        <f t="shared" si="244"/>
        <v>6.5368051844924502E-2</v>
      </c>
      <c r="L258" s="3">
        <f t="shared" si="244"/>
        <v>6.536805184492446E-2</v>
      </c>
      <c r="M258" s="3">
        <f t="shared" si="244"/>
        <v>6.5368051844923933E-2</v>
      </c>
      <c r="N258" s="3">
        <f t="shared" si="244"/>
        <v>6.5368051844918743E-2</v>
      </c>
      <c r="O258" s="3">
        <f t="shared" si="244"/>
        <v>6.5368051844866756E-2</v>
      </c>
      <c r="P258" s="3">
        <f t="shared" si="244"/>
        <v>6.5368051844346894E-2</v>
      </c>
      <c r="Q258" s="3">
        <f t="shared" si="244"/>
        <v>6.5368051839148331E-2</v>
      </c>
      <c r="R258" s="3">
        <f t="shared" si="244"/>
        <v>6.5368051787162706E-2</v>
      </c>
      <c r="S258" s="3">
        <f t="shared" si="244"/>
        <v>6.5368051267306423E-2</v>
      </c>
      <c r="T258" s="3">
        <f t="shared" si="244"/>
        <v>6.5368046068743857E-2</v>
      </c>
      <c r="U258" s="3">
        <f t="shared" si="244"/>
        <v>6.5367994083140896E-2</v>
      </c>
      <c r="V258" s="3">
        <f t="shared" si="244"/>
        <v>6.5367474229385159E-2</v>
      </c>
      <c r="W258" s="3">
        <f t="shared" si="244"/>
        <v>6.5362275919206278E-2</v>
      </c>
      <c r="X258" s="3">
        <f t="shared" si="244"/>
        <v>6.5310315548585907E-2</v>
      </c>
      <c r="Y258" s="3">
        <f t="shared" si="244"/>
        <v>6.4792978284728048E-2</v>
      </c>
      <c r="Z258" s="3">
        <f t="shared" si="244"/>
        <v>5.9839720327204034E-2</v>
      </c>
      <c r="AA258" s="3">
        <f t="shared" si="244"/>
        <v>2.7015043646517967E-2</v>
      </c>
      <c r="AB258" s="3">
        <f t="shared" si="244"/>
        <v>9.5009461793806328E-6</v>
      </c>
      <c r="AC258" s="3">
        <f t="shared" si="244"/>
        <v>2.7502913427062377E-40</v>
      </c>
      <c r="AD258" s="3">
        <f t="shared" si="244"/>
        <v>0</v>
      </c>
      <c r="AE258" s="3">
        <f t="shared" si="244"/>
        <v>0</v>
      </c>
      <c r="AF258" s="3">
        <f t="shared" si="244"/>
        <v>0</v>
      </c>
      <c r="AG258" s="3"/>
      <c r="AH258" s="3"/>
    </row>
    <row r="259" spans="2:34" x14ac:dyDescent="0.25">
      <c r="B259" s="3">
        <f t="shared" ref="B259:AF259" si="245">$C28*EXP(-B$246/$A28/EXP(-$E$126))</f>
        <v>6.6907973989911038E-2</v>
      </c>
      <c r="C259" s="3">
        <f t="shared" si="245"/>
        <v>6.6907973989911038E-2</v>
      </c>
      <c r="D259" s="3">
        <f t="shared" si="245"/>
        <v>6.6907973989911038E-2</v>
      </c>
      <c r="E259" s="3">
        <f t="shared" si="245"/>
        <v>6.6907973989911038E-2</v>
      </c>
      <c r="F259" s="3">
        <f t="shared" si="245"/>
        <v>6.6907973989911038E-2</v>
      </c>
      <c r="G259" s="3">
        <f t="shared" si="245"/>
        <v>6.6907973989911038E-2</v>
      </c>
      <c r="H259" s="3">
        <f t="shared" si="245"/>
        <v>6.6907973989911038E-2</v>
      </c>
      <c r="I259" s="3">
        <f t="shared" si="245"/>
        <v>6.6907973989911038E-2</v>
      </c>
      <c r="J259" s="3">
        <f t="shared" si="245"/>
        <v>6.6907973989911038E-2</v>
      </c>
      <c r="K259" s="3">
        <f t="shared" si="245"/>
        <v>6.6907973989911038E-2</v>
      </c>
      <c r="L259" s="3">
        <f t="shared" si="245"/>
        <v>6.6907973989911024E-2</v>
      </c>
      <c r="M259" s="3">
        <f t="shared" si="245"/>
        <v>6.6907973989910982E-2</v>
      </c>
      <c r="N259" s="3">
        <f t="shared" si="245"/>
        <v>6.6907973989910496E-2</v>
      </c>
      <c r="O259" s="3">
        <f t="shared" si="245"/>
        <v>6.6907973989905709E-2</v>
      </c>
      <c r="P259" s="3">
        <f t="shared" si="245"/>
        <v>6.6907973989857705E-2</v>
      </c>
      <c r="Q259" s="3">
        <f t="shared" si="245"/>
        <v>6.69079739893777E-2</v>
      </c>
      <c r="R259" s="3">
        <f t="shared" si="245"/>
        <v>6.6907973984577693E-2</v>
      </c>
      <c r="S259" s="3">
        <f t="shared" si="245"/>
        <v>6.6907973936577575E-2</v>
      </c>
      <c r="T259" s="3">
        <f t="shared" si="245"/>
        <v>6.6907973456576494E-2</v>
      </c>
      <c r="U259" s="3">
        <f t="shared" si="245"/>
        <v>6.6907968656565786E-2</v>
      </c>
      <c r="V259" s="3">
        <f t="shared" si="245"/>
        <v>6.6907920656477674E-2</v>
      </c>
      <c r="W259" s="3">
        <f t="shared" si="245"/>
        <v>6.6907440657490505E-2</v>
      </c>
      <c r="X259" s="3">
        <f t="shared" si="245"/>
        <v>6.690264085700845E-2</v>
      </c>
      <c r="Y259" s="3">
        <f t="shared" si="245"/>
        <v>6.6854661786135972E-2</v>
      </c>
      <c r="Z259" s="3">
        <f t="shared" si="245"/>
        <v>6.6376759456013748E-2</v>
      </c>
      <c r="AA259" s="3">
        <f t="shared" si="245"/>
        <v>6.1781656244269983E-2</v>
      </c>
      <c r="AB259" s="3">
        <f t="shared" si="245"/>
        <v>3.0150502340506213E-2</v>
      </c>
      <c r="AC259" s="3">
        <f t="shared" si="245"/>
        <v>2.3101735596251962E-5</v>
      </c>
      <c r="AD259" s="3">
        <f t="shared" si="245"/>
        <v>1.6111841282623415E-36</v>
      </c>
      <c r="AE259" s="3">
        <f t="shared" si="245"/>
        <v>0</v>
      </c>
      <c r="AF259" s="3">
        <f t="shared" si="245"/>
        <v>0</v>
      </c>
      <c r="AG259" s="3"/>
      <c r="AH259" s="3"/>
    </row>
    <row r="260" spans="2:34" x14ac:dyDescent="0.25">
      <c r="B260" s="3">
        <f t="shared" ref="B260:AF260" si="246">$C29*EXP(-B$246/$A29/EXP(-$E$126))</f>
        <v>5.3174535073566002E-2</v>
      </c>
      <c r="C260" s="3">
        <f t="shared" si="246"/>
        <v>5.3174535073566002E-2</v>
      </c>
      <c r="D260" s="3">
        <f t="shared" si="246"/>
        <v>5.3174535073566002E-2</v>
      </c>
      <c r="E260" s="3">
        <f t="shared" si="246"/>
        <v>5.3174535073566002E-2</v>
      </c>
      <c r="F260" s="3">
        <f t="shared" si="246"/>
        <v>5.3174535073566002E-2</v>
      </c>
      <c r="G260" s="3">
        <f t="shared" si="246"/>
        <v>5.3174535073566002E-2</v>
      </c>
      <c r="H260" s="3">
        <f t="shared" si="246"/>
        <v>5.3174535073566002E-2</v>
      </c>
      <c r="I260" s="3">
        <f t="shared" si="246"/>
        <v>5.3174535073566002E-2</v>
      </c>
      <c r="J260" s="3">
        <f t="shared" si="246"/>
        <v>5.3174535073566002E-2</v>
      </c>
      <c r="K260" s="3">
        <f t="shared" si="246"/>
        <v>5.3174535073566002E-2</v>
      </c>
      <c r="L260" s="3">
        <f t="shared" si="246"/>
        <v>5.3174535073566002E-2</v>
      </c>
      <c r="M260" s="3">
        <f t="shared" si="246"/>
        <v>5.3174535073565996E-2</v>
      </c>
      <c r="N260" s="3">
        <f t="shared" si="246"/>
        <v>5.3174535073565968E-2</v>
      </c>
      <c r="O260" s="3">
        <f t="shared" si="246"/>
        <v>5.3174535073565621E-2</v>
      </c>
      <c r="P260" s="3">
        <f t="shared" si="246"/>
        <v>5.3174535073562179E-2</v>
      </c>
      <c r="Q260" s="3">
        <f t="shared" si="246"/>
        <v>5.3174535073527762E-2</v>
      </c>
      <c r="R260" s="3">
        <f t="shared" si="246"/>
        <v>5.3174535073183642E-2</v>
      </c>
      <c r="S260" s="3">
        <f t="shared" si="246"/>
        <v>5.3174535069742401E-2</v>
      </c>
      <c r="T260" s="3">
        <f t="shared" si="246"/>
        <v>5.3174535035330033E-2</v>
      </c>
      <c r="U260" s="3">
        <f t="shared" si="246"/>
        <v>5.3174534691206289E-2</v>
      </c>
      <c r="V260" s="3">
        <f t="shared" si="246"/>
        <v>5.3174531249968994E-2</v>
      </c>
      <c r="W260" s="3">
        <f t="shared" si="246"/>
        <v>5.3174496837608311E-2</v>
      </c>
      <c r="X260" s="3">
        <f t="shared" si="246"/>
        <v>5.3174152715226373E-2</v>
      </c>
      <c r="Y260" s="3">
        <f t="shared" si="246"/>
        <v>5.3170711613890219E-2</v>
      </c>
      <c r="Z260" s="3">
        <f t="shared" si="246"/>
        <v>5.3136312845921525E-2</v>
      </c>
      <c r="AA260" s="3">
        <f t="shared" si="246"/>
        <v>5.2793546778447317E-2</v>
      </c>
      <c r="AB260" s="3">
        <f t="shared" si="246"/>
        <v>4.9485172135891799E-2</v>
      </c>
      <c r="AC260" s="3">
        <f t="shared" si="246"/>
        <v>2.5907024791695165E-2</v>
      </c>
      <c r="AD260" s="3">
        <f t="shared" si="246"/>
        <v>4.0072099279549044E-5</v>
      </c>
      <c r="AE260" s="3">
        <f t="shared" si="246"/>
        <v>3.1411424657091279E-33</v>
      </c>
      <c r="AF260" s="3">
        <f t="shared" si="246"/>
        <v>0</v>
      </c>
      <c r="AG260" s="3"/>
      <c r="AH260" s="3"/>
    </row>
    <row r="261" spans="2:34" x14ac:dyDescent="0.25">
      <c r="B261" s="3">
        <f t="shared" ref="B261:AF261" si="247">$C30*EXP(-B$246/$A30/EXP(-$E$126))</f>
        <v>3.2923061735419888E-2</v>
      </c>
      <c r="C261" s="3">
        <f t="shared" si="247"/>
        <v>3.2923061735419888E-2</v>
      </c>
      <c r="D261" s="3">
        <f t="shared" si="247"/>
        <v>3.2923061735419888E-2</v>
      </c>
      <c r="E261" s="3">
        <f t="shared" si="247"/>
        <v>3.2923061735419888E-2</v>
      </c>
      <c r="F261" s="3">
        <f t="shared" si="247"/>
        <v>3.2923061735419888E-2</v>
      </c>
      <c r="G261" s="3">
        <f t="shared" si="247"/>
        <v>3.2923061735419888E-2</v>
      </c>
      <c r="H261" s="3">
        <f t="shared" si="247"/>
        <v>3.2923061735419888E-2</v>
      </c>
      <c r="I261" s="3">
        <f t="shared" si="247"/>
        <v>3.2923061735419888E-2</v>
      </c>
      <c r="J261" s="3">
        <f t="shared" si="247"/>
        <v>3.2923061735419888E-2</v>
      </c>
      <c r="K261" s="3">
        <f t="shared" si="247"/>
        <v>3.2923061735419888E-2</v>
      </c>
      <c r="L261" s="3">
        <f t="shared" si="247"/>
        <v>3.2923061735419888E-2</v>
      </c>
      <c r="M261" s="3">
        <f t="shared" si="247"/>
        <v>3.2923061735419888E-2</v>
      </c>
      <c r="N261" s="3">
        <f t="shared" si="247"/>
        <v>3.2923061735419881E-2</v>
      </c>
      <c r="O261" s="3">
        <f t="shared" si="247"/>
        <v>3.2923061735419867E-2</v>
      </c>
      <c r="P261" s="3">
        <f t="shared" si="247"/>
        <v>3.2923061735419673E-2</v>
      </c>
      <c r="Q261" s="3">
        <f t="shared" si="247"/>
        <v>3.2923061735417751E-2</v>
      </c>
      <c r="R261" s="3">
        <f t="shared" si="247"/>
        <v>3.292306173539853E-2</v>
      </c>
      <c r="S261" s="3">
        <f t="shared" si="247"/>
        <v>3.292306173520633E-2</v>
      </c>
      <c r="T261" s="3">
        <f t="shared" si="247"/>
        <v>3.2923061733284312E-2</v>
      </c>
      <c r="U261" s="3">
        <f t="shared" si="247"/>
        <v>3.2923061714064117E-2</v>
      </c>
      <c r="V261" s="3">
        <f t="shared" si="247"/>
        <v>3.2923061521862189E-2</v>
      </c>
      <c r="W261" s="3">
        <f t="shared" si="247"/>
        <v>3.2923059599842958E-2</v>
      </c>
      <c r="X261" s="3">
        <f t="shared" si="247"/>
        <v>3.2923040379656841E-2</v>
      </c>
      <c r="Y261" s="3">
        <f t="shared" si="247"/>
        <v>3.2922848178412768E-2</v>
      </c>
      <c r="Z261" s="3">
        <f t="shared" si="247"/>
        <v>3.2920926227683757E-2</v>
      </c>
      <c r="AA261" s="3">
        <f t="shared" si="247"/>
        <v>3.2901712890231263E-2</v>
      </c>
      <c r="AB261" s="3">
        <f t="shared" si="247"/>
        <v>3.2710195168843798E-2</v>
      </c>
      <c r="AC261" s="3">
        <f t="shared" si="247"/>
        <v>3.0855273952013415E-2</v>
      </c>
      <c r="AD261" s="3">
        <f t="shared" si="247"/>
        <v>1.7210445791382076E-2</v>
      </c>
      <c r="AE261" s="3">
        <f t="shared" si="247"/>
        <v>5.0167129278844712E-5</v>
      </c>
      <c r="AF261" s="3">
        <f t="shared" si="247"/>
        <v>2.2217262849475958E-30</v>
      </c>
      <c r="AG261" s="3"/>
      <c r="AH261" s="3"/>
    </row>
    <row r="262" spans="2:34" x14ac:dyDescent="0.25">
      <c r="B262" s="3">
        <f t="shared" ref="B262:AF262" si="248">$C31*EXP(-B$246/$A31/EXP(-$E$126))</f>
        <v>1.6325787748200139E-2</v>
      </c>
      <c r="C262" s="3">
        <f t="shared" si="248"/>
        <v>1.6325787748200139E-2</v>
      </c>
      <c r="D262" s="3">
        <f t="shared" si="248"/>
        <v>1.6325787748200139E-2</v>
      </c>
      <c r="E262" s="3">
        <f t="shared" si="248"/>
        <v>1.6325787748200139E-2</v>
      </c>
      <c r="F262" s="3">
        <f t="shared" si="248"/>
        <v>1.6325787748200139E-2</v>
      </c>
      <c r="G262" s="3">
        <f t="shared" si="248"/>
        <v>1.6325787748200139E-2</v>
      </c>
      <c r="H262" s="3">
        <f t="shared" si="248"/>
        <v>1.6325787748200139E-2</v>
      </c>
      <c r="I262" s="3">
        <f t="shared" si="248"/>
        <v>1.6325787748200139E-2</v>
      </c>
      <c r="J262" s="3">
        <f t="shared" si="248"/>
        <v>1.6325787748200139E-2</v>
      </c>
      <c r="K262" s="3">
        <f t="shared" si="248"/>
        <v>1.6325787748200139E-2</v>
      </c>
      <c r="L262" s="3">
        <f t="shared" si="248"/>
        <v>1.6325787748200139E-2</v>
      </c>
      <c r="M262" s="3">
        <f t="shared" si="248"/>
        <v>1.6325787748200139E-2</v>
      </c>
      <c r="N262" s="3">
        <f t="shared" si="248"/>
        <v>1.6325787748200139E-2</v>
      </c>
      <c r="O262" s="3">
        <f t="shared" si="248"/>
        <v>1.6325787748200135E-2</v>
      </c>
      <c r="P262" s="3">
        <f t="shared" si="248"/>
        <v>1.6325787748200128E-2</v>
      </c>
      <c r="Q262" s="3">
        <f t="shared" si="248"/>
        <v>1.6325787748200041E-2</v>
      </c>
      <c r="R262" s="3">
        <f t="shared" si="248"/>
        <v>1.6325787748199184E-2</v>
      </c>
      <c r="S262" s="3">
        <f t="shared" si="248"/>
        <v>1.6325787748190587E-2</v>
      </c>
      <c r="T262" s="3">
        <f t="shared" si="248"/>
        <v>1.6325787748104611E-2</v>
      </c>
      <c r="U262" s="3">
        <f t="shared" si="248"/>
        <v>1.6325787747244847E-2</v>
      </c>
      <c r="V262" s="3">
        <f t="shared" si="248"/>
        <v>1.6325787738647228E-2</v>
      </c>
      <c r="W262" s="3">
        <f t="shared" si="248"/>
        <v>1.6325787652671023E-2</v>
      </c>
      <c r="X262" s="3">
        <f t="shared" si="248"/>
        <v>1.6325786792909015E-2</v>
      </c>
      <c r="Y262" s="3">
        <f t="shared" si="248"/>
        <v>1.6325778195291421E-2</v>
      </c>
      <c r="Z262" s="3">
        <f t="shared" si="248"/>
        <v>1.6325692219364519E-2</v>
      </c>
      <c r="AA262" s="3">
        <f t="shared" si="248"/>
        <v>1.6324832484997571E-2</v>
      </c>
      <c r="AB262" s="3">
        <f t="shared" si="248"/>
        <v>1.6316237631051191E-2</v>
      </c>
      <c r="AC262" s="3">
        <f t="shared" si="248"/>
        <v>1.6230537579452111E-2</v>
      </c>
      <c r="AD262" s="3">
        <f t="shared" si="248"/>
        <v>1.5397908410137754E-2</v>
      </c>
      <c r="AE262" s="3">
        <f t="shared" si="248"/>
        <v>9.093896496527672E-3</v>
      </c>
      <c r="AF262" s="3">
        <f t="shared" si="248"/>
        <v>4.6949692886569606E-5</v>
      </c>
      <c r="AG262" s="3"/>
      <c r="AH262" s="3"/>
    </row>
    <row r="263" spans="2:34" x14ac:dyDescent="0.25">
      <c r="B263" s="3">
        <f t="shared" ref="B263:AF263" si="249">$C32*EXP(-B$246/$A32/EXP(-$E$126))</f>
        <v>7.8974635041155969E-3</v>
      </c>
      <c r="C263" s="3">
        <f t="shared" si="249"/>
        <v>7.8974635041155969E-3</v>
      </c>
      <c r="D263" s="3">
        <f t="shared" si="249"/>
        <v>7.8974635041155969E-3</v>
      </c>
      <c r="E263" s="3">
        <f t="shared" si="249"/>
        <v>7.8974635041155969E-3</v>
      </c>
      <c r="F263" s="3">
        <f t="shared" si="249"/>
        <v>7.8974635041155969E-3</v>
      </c>
      <c r="G263" s="3">
        <f t="shared" si="249"/>
        <v>7.8974635041155969E-3</v>
      </c>
      <c r="H263" s="3">
        <f t="shared" si="249"/>
        <v>7.8974635041155969E-3</v>
      </c>
      <c r="I263" s="3">
        <f t="shared" si="249"/>
        <v>7.8974635041155969E-3</v>
      </c>
      <c r="J263" s="3">
        <f t="shared" si="249"/>
        <v>7.8974635041155969E-3</v>
      </c>
      <c r="K263" s="3">
        <f t="shared" si="249"/>
        <v>7.8974635041155969E-3</v>
      </c>
      <c r="L263" s="3">
        <f t="shared" si="249"/>
        <v>7.8974635041155969E-3</v>
      </c>
      <c r="M263" s="3">
        <f t="shared" si="249"/>
        <v>7.8974635041155969E-3</v>
      </c>
      <c r="N263" s="3">
        <f t="shared" si="249"/>
        <v>7.8974635041155969E-3</v>
      </c>
      <c r="O263" s="3">
        <f t="shared" si="249"/>
        <v>7.8974635041155969E-3</v>
      </c>
      <c r="P263" s="3">
        <f t="shared" si="249"/>
        <v>7.8974635041155969E-3</v>
      </c>
      <c r="Q263" s="3">
        <f t="shared" si="249"/>
        <v>7.8974635041155917E-3</v>
      </c>
      <c r="R263" s="3">
        <f t="shared" si="249"/>
        <v>7.8974635041155553E-3</v>
      </c>
      <c r="S263" s="3">
        <f t="shared" si="249"/>
        <v>7.8974635041151806E-3</v>
      </c>
      <c r="T263" s="3">
        <f t="shared" si="249"/>
        <v>7.8974635041114283E-3</v>
      </c>
      <c r="U263" s="3">
        <f t="shared" si="249"/>
        <v>7.8974635040739097E-3</v>
      </c>
      <c r="V263" s="3">
        <f t="shared" si="249"/>
        <v>7.8974635036987324E-3</v>
      </c>
      <c r="W263" s="3">
        <f t="shared" si="249"/>
        <v>7.8974634999469436E-3</v>
      </c>
      <c r="X263" s="3">
        <f t="shared" si="249"/>
        <v>7.897463462429059E-3</v>
      </c>
      <c r="Y263" s="3">
        <f t="shared" si="249"/>
        <v>7.89746308725023E-3</v>
      </c>
      <c r="Z263" s="3">
        <f t="shared" si="249"/>
        <v>7.8974593354629134E-3</v>
      </c>
      <c r="AA263" s="3">
        <f t="shared" si="249"/>
        <v>7.8974218176877786E-3</v>
      </c>
      <c r="AB263" s="3">
        <f t="shared" si="249"/>
        <v>7.8970466497390764E-3</v>
      </c>
      <c r="AC263" s="3">
        <f t="shared" si="249"/>
        <v>7.893295950344232E-3</v>
      </c>
      <c r="AD263" s="3">
        <f t="shared" si="249"/>
        <v>7.8558867935576166E-3</v>
      </c>
      <c r="AE263" s="3">
        <f t="shared" si="249"/>
        <v>7.4914091338700844E-3</v>
      </c>
      <c r="AF263" s="3">
        <f t="shared" si="249"/>
        <v>4.6585044333232913E-3</v>
      </c>
      <c r="AG263" s="3"/>
      <c r="AH263" s="3"/>
    </row>
    <row r="264" spans="2:34" x14ac:dyDescent="0.25">
      <c r="B264" s="3">
        <f t="shared" ref="B264:AF264" si="250">$C33*EXP(-B$246/$A33/EXP(-$E$126))</f>
        <v>4.1550471728530186E-3</v>
      </c>
      <c r="C264" s="3">
        <f t="shared" si="250"/>
        <v>4.1550471728530186E-3</v>
      </c>
      <c r="D264" s="3">
        <f t="shared" si="250"/>
        <v>4.1550471728530186E-3</v>
      </c>
      <c r="E264" s="3">
        <f t="shared" si="250"/>
        <v>4.1550471728530186E-3</v>
      </c>
      <c r="F264" s="3">
        <f t="shared" si="250"/>
        <v>4.1550471728530186E-3</v>
      </c>
      <c r="G264" s="3">
        <f t="shared" si="250"/>
        <v>4.1550471728530186E-3</v>
      </c>
      <c r="H264" s="3">
        <f t="shared" si="250"/>
        <v>4.1550471728530186E-3</v>
      </c>
      <c r="I264" s="3">
        <f t="shared" si="250"/>
        <v>4.1550471728530186E-3</v>
      </c>
      <c r="J264" s="3">
        <f t="shared" si="250"/>
        <v>4.1550471728530186E-3</v>
      </c>
      <c r="K264" s="3">
        <f t="shared" si="250"/>
        <v>4.1550471728530186E-3</v>
      </c>
      <c r="L264" s="3">
        <f t="shared" si="250"/>
        <v>4.1550471728530186E-3</v>
      </c>
      <c r="M264" s="3">
        <f t="shared" si="250"/>
        <v>4.1550471728530186E-3</v>
      </c>
      <c r="N264" s="3">
        <f t="shared" si="250"/>
        <v>4.1550471728530186E-3</v>
      </c>
      <c r="O264" s="3">
        <f t="shared" si="250"/>
        <v>4.1550471728530186E-3</v>
      </c>
      <c r="P264" s="3">
        <f t="shared" si="250"/>
        <v>4.1550471728530186E-3</v>
      </c>
      <c r="Q264" s="3">
        <f t="shared" si="250"/>
        <v>4.1550471728530186E-3</v>
      </c>
      <c r="R264" s="3">
        <f t="shared" si="250"/>
        <v>4.1550471728530169E-3</v>
      </c>
      <c r="S264" s="3">
        <f t="shared" si="250"/>
        <v>4.1550471728529987E-3</v>
      </c>
      <c r="T264" s="3">
        <f t="shared" si="250"/>
        <v>4.1550471728528209E-3</v>
      </c>
      <c r="U264" s="3">
        <f t="shared" si="250"/>
        <v>4.1550471728510402E-3</v>
      </c>
      <c r="V264" s="3">
        <f t="shared" si="250"/>
        <v>4.1550471728332341E-3</v>
      </c>
      <c r="W264" s="3">
        <f t="shared" si="250"/>
        <v>4.1550471726551708E-3</v>
      </c>
      <c r="X264" s="3">
        <f t="shared" si="250"/>
        <v>4.1550471708745422E-3</v>
      </c>
      <c r="Y264" s="3">
        <f t="shared" si="250"/>
        <v>4.1550471530682606E-3</v>
      </c>
      <c r="Z264" s="3">
        <f t="shared" si="250"/>
        <v>4.15504697500544E-3</v>
      </c>
      <c r="AA264" s="3">
        <f t="shared" si="250"/>
        <v>4.1550451943776576E-3</v>
      </c>
      <c r="AB264" s="3">
        <f t="shared" si="250"/>
        <v>4.1550273881418012E-3</v>
      </c>
      <c r="AC264" s="3">
        <f t="shared" si="250"/>
        <v>4.1548493299801061E-3</v>
      </c>
      <c r="AD264" s="3">
        <f t="shared" si="250"/>
        <v>4.1530691679836952E-3</v>
      </c>
      <c r="AE264" s="3">
        <f t="shared" si="250"/>
        <v>4.1353094436138238E-3</v>
      </c>
      <c r="AF264" s="3">
        <f t="shared" si="250"/>
        <v>3.9618360834771486E-3</v>
      </c>
      <c r="AG264" s="3"/>
      <c r="AH264" s="3"/>
    </row>
    <row r="265" spans="2:34" x14ac:dyDescent="0.25">
      <c r="B265" s="3">
        <f t="shared" ref="B265:AF265" si="251">$C34*EXP(-B$246/$A34/EXP(-$E$126))</f>
        <v>4.2575321437709054E-3</v>
      </c>
      <c r="C265" s="3">
        <f t="shared" si="251"/>
        <v>4.2575321437709054E-3</v>
      </c>
      <c r="D265" s="3">
        <f t="shared" si="251"/>
        <v>4.2575321437709054E-3</v>
      </c>
      <c r="E265" s="3">
        <f t="shared" si="251"/>
        <v>4.2575321437709054E-3</v>
      </c>
      <c r="F265" s="3">
        <f t="shared" si="251"/>
        <v>4.2575321437709054E-3</v>
      </c>
      <c r="G265" s="3">
        <f t="shared" si="251"/>
        <v>4.2575321437709054E-3</v>
      </c>
      <c r="H265" s="3">
        <f t="shared" si="251"/>
        <v>4.2575321437709054E-3</v>
      </c>
      <c r="I265" s="3">
        <f t="shared" si="251"/>
        <v>4.2575321437709054E-3</v>
      </c>
      <c r="J265" s="3">
        <f t="shared" si="251"/>
        <v>4.2575321437709054E-3</v>
      </c>
      <c r="K265" s="3">
        <f t="shared" si="251"/>
        <v>4.2575321437709054E-3</v>
      </c>
      <c r="L265" s="3">
        <f t="shared" si="251"/>
        <v>4.2575321437709054E-3</v>
      </c>
      <c r="M265" s="3">
        <f t="shared" si="251"/>
        <v>4.2575321437709054E-3</v>
      </c>
      <c r="N265" s="3">
        <f t="shared" si="251"/>
        <v>4.2575321437709054E-3</v>
      </c>
      <c r="O265" s="3">
        <f t="shared" si="251"/>
        <v>4.2575321437709054E-3</v>
      </c>
      <c r="P265" s="3">
        <f t="shared" si="251"/>
        <v>4.2575321437709054E-3</v>
      </c>
      <c r="Q265" s="3">
        <f t="shared" si="251"/>
        <v>4.2575321437709054E-3</v>
      </c>
      <c r="R265" s="3">
        <f t="shared" si="251"/>
        <v>4.2575321437709054E-3</v>
      </c>
      <c r="S265" s="3">
        <f t="shared" si="251"/>
        <v>4.2575321437709037E-3</v>
      </c>
      <c r="T265" s="3">
        <f t="shared" si="251"/>
        <v>4.2575321437708872E-3</v>
      </c>
      <c r="U265" s="3">
        <f t="shared" si="251"/>
        <v>4.2575321437707224E-3</v>
      </c>
      <c r="V265" s="3">
        <f t="shared" si="251"/>
        <v>4.257532143769077E-3</v>
      </c>
      <c r="W265" s="3">
        <f t="shared" si="251"/>
        <v>4.257532143752618E-3</v>
      </c>
      <c r="X265" s="3">
        <f t="shared" si="251"/>
        <v>4.2575321435880283E-3</v>
      </c>
      <c r="Y265" s="3">
        <f t="shared" si="251"/>
        <v>4.2575321419421348E-3</v>
      </c>
      <c r="Z265" s="3">
        <f t="shared" si="251"/>
        <v>4.2575321254831955E-3</v>
      </c>
      <c r="AA265" s="3">
        <f t="shared" si="251"/>
        <v>4.2575319608938135E-3</v>
      </c>
      <c r="AB265" s="3">
        <f t="shared" si="251"/>
        <v>4.2575303150003364E-3</v>
      </c>
      <c r="AC265" s="3">
        <f t="shared" si="251"/>
        <v>4.2575138561005595E-3</v>
      </c>
      <c r="AD265" s="3">
        <f t="shared" si="251"/>
        <v>4.2573492706022625E-3</v>
      </c>
      <c r="AE265" s="3">
        <f t="shared" si="251"/>
        <v>4.2557037655156175E-3</v>
      </c>
      <c r="AF265" s="3">
        <f t="shared" si="251"/>
        <v>4.2392836542860836E-3</v>
      </c>
      <c r="AG265" s="3"/>
      <c r="AH265" s="3"/>
    </row>
    <row r="266" spans="2:34" x14ac:dyDescent="0.25">
      <c r="B266" s="3">
        <f t="shared" ref="B266:AF266" si="252">$C35*EXP(-B$246/$A35/EXP(-$E$126))</f>
        <v>9.5394971617709327E-4</v>
      </c>
      <c r="C266" s="3">
        <f t="shared" si="252"/>
        <v>9.5394971617709327E-4</v>
      </c>
      <c r="D266" s="3">
        <f t="shared" si="252"/>
        <v>9.5394971617709327E-4</v>
      </c>
      <c r="E266" s="3">
        <f t="shared" si="252"/>
        <v>9.5394971617709327E-4</v>
      </c>
      <c r="F266" s="3">
        <f t="shared" si="252"/>
        <v>9.5394971617709327E-4</v>
      </c>
      <c r="G266" s="3">
        <f t="shared" si="252"/>
        <v>9.5394971617709327E-4</v>
      </c>
      <c r="H266" s="3">
        <f t="shared" si="252"/>
        <v>9.5394971617709327E-4</v>
      </c>
      <c r="I266" s="3">
        <f t="shared" si="252"/>
        <v>9.5394971617709327E-4</v>
      </c>
      <c r="J266" s="3">
        <f t="shared" si="252"/>
        <v>9.5394971617709327E-4</v>
      </c>
      <c r="K266" s="3">
        <f t="shared" si="252"/>
        <v>9.5394971617709327E-4</v>
      </c>
      <c r="L266" s="3">
        <f t="shared" si="252"/>
        <v>9.5394971617709327E-4</v>
      </c>
      <c r="M266" s="3">
        <f t="shared" si="252"/>
        <v>9.5394971617709327E-4</v>
      </c>
      <c r="N266" s="3">
        <f t="shared" si="252"/>
        <v>9.5394971617709327E-4</v>
      </c>
      <c r="O266" s="3">
        <f t="shared" si="252"/>
        <v>9.5394971617709327E-4</v>
      </c>
      <c r="P266" s="3">
        <f t="shared" si="252"/>
        <v>9.5394971617709327E-4</v>
      </c>
      <c r="Q266" s="3">
        <f t="shared" si="252"/>
        <v>9.5394971617709327E-4</v>
      </c>
      <c r="R266" s="3">
        <f t="shared" si="252"/>
        <v>9.5394971617709327E-4</v>
      </c>
      <c r="S266" s="3">
        <f t="shared" si="252"/>
        <v>9.5394971617709327E-4</v>
      </c>
      <c r="T266" s="3">
        <f t="shared" si="252"/>
        <v>9.5394971617709294E-4</v>
      </c>
      <c r="U266" s="3">
        <f t="shared" si="252"/>
        <v>9.5394971617708958E-4</v>
      </c>
      <c r="V266" s="3">
        <f t="shared" si="252"/>
        <v>9.539497161770563E-4</v>
      </c>
      <c r="W266" s="3">
        <f t="shared" si="252"/>
        <v>9.5394971617672366E-4</v>
      </c>
      <c r="X266" s="3">
        <f t="shared" si="252"/>
        <v>9.539497161733969E-4</v>
      </c>
      <c r="Y266" s="3">
        <f t="shared" si="252"/>
        <v>9.5394971614012967E-4</v>
      </c>
      <c r="Z266" s="3">
        <f t="shared" si="252"/>
        <v>9.5394971580745795E-4</v>
      </c>
      <c r="AA266" s="3">
        <f t="shared" si="252"/>
        <v>9.5394971248074015E-4</v>
      </c>
      <c r="AB266" s="3">
        <f t="shared" si="252"/>
        <v>9.5394967921356261E-4</v>
      </c>
      <c r="AC266" s="3">
        <f t="shared" si="252"/>
        <v>9.5394934654185093E-4</v>
      </c>
      <c r="AD266" s="3">
        <f t="shared" si="252"/>
        <v>9.5394601983111549E-4</v>
      </c>
      <c r="AE266" s="3">
        <f t="shared" si="252"/>
        <v>9.5391275336182302E-4</v>
      </c>
      <c r="AF266" s="3">
        <f t="shared" si="252"/>
        <v>9.5358015246687028E-4</v>
      </c>
      <c r="AG266" s="3"/>
      <c r="AH266" s="3"/>
    </row>
    <row r="267" spans="2:34" x14ac:dyDescent="0.25">
      <c r="B267" s="3">
        <f t="shared" ref="B267:AF267" si="253">$C36*EXP(-B$246/$A36/EXP(-$E$126))</f>
        <v>4.0589760414466262E-3</v>
      </c>
      <c r="C267" s="3">
        <f t="shared" si="253"/>
        <v>4.0589760414466262E-3</v>
      </c>
      <c r="D267" s="3">
        <f t="shared" si="253"/>
        <v>4.0589760414466262E-3</v>
      </c>
      <c r="E267" s="3">
        <f t="shared" si="253"/>
        <v>4.0589760414466262E-3</v>
      </c>
      <c r="F267" s="3">
        <f t="shared" si="253"/>
        <v>4.0589760414466262E-3</v>
      </c>
      <c r="G267" s="3">
        <f t="shared" si="253"/>
        <v>4.0589760414466262E-3</v>
      </c>
      <c r="H267" s="3">
        <f t="shared" si="253"/>
        <v>4.0589760414466262E-3</v>
      </c>
      <c r="I267" s="3">
        <f t="shared" si="253"/>
        <v>4.0589760414466262E-3</v>
      </c>
      <c r="J267" s="3">
        <f t="shared" si="253"/>
        <v>4.0589760414466262E-3</v>
      </c>
      <c r="K267" s="3">
        <f t="shared" si="253"/>
        <v>4.0589760414466262E-3</v>
      </c>
      <c r="L267" s="3">
        <f t="shared" si="253"/>
        <v>4.0589760414466262E-3</v>
      </c>
      <c r="M267" s="3">
        <f t="shared" si="253"/>
        <v>4.0589760414466262E-3</v>
      </c>
      <c r="N267" s="3">
        <f t="shared" si="253"/>
        <v>4.0589760414466262E-3</v>
      </c>
      <c r="O267" s="3">
        <f t="shared" si="253"/>
        <v>4.0589760414466262E-3</v>
      </c>
      <c r="P267" s="3">
        <f t="shared" si="253"/>
        <v>4.0589760414466262E-3</v>
      </c>
      <c r="Q267" s="3">
        <f t="shared" si="253"/>
        <v>4.0589760414466262E-3</v>
      </c>
      <c r="R267" s="3">
        <f t="shared" si="253"/>
        <v>4.0589760414466262E-3</v>
      </c>
      <c r="S267" s="3">
        <f t="shared" si="253"/>
        <v>4.0589760414466262E-3</v>
      </c>
      <c r="T267" s="3">
        <f t="shared" si="253"/>
        <v>4.0589760414466262E-3</v>
      </c>
      <c r="U267" s="3">
        <f t="shared" si="253"/>
        <v>4.0589760414466245E-3</v>
      </c>
      <c r="V267" s="3">
        <f t="shared" si="253"/>
        <v>4.0589760414466124E-3</v>
      </c>
      <c r="W267" s="3">
        <f t="shared" si="253"/>
        <v>4.058976041446484E-3</v>
      </c>
      <c r="X267" s="3">
        <f t="shared" si="253"/>
        <v>4.0589760414452072E-3</v>
      </c>
      <c r="Y267" s="3">
        <f t="shared" si="253"/>
        <v>4.0589760414324388E-3</v>
      </c>
      <c r="Z267" s="3">
        <f t="shared" si="253"/>
        <v>4.0589760413047493E-3</v>
      </c>
      <c r="AA267" s="3">
        <f t="shared" si="253"/>
        <v>4.0589760400278592E-3</v>
      </c>
      <c r="AB267" s="3">
        <f t="shared" si="253"/>
        <v>4.058976027258957E-3</v>
      </c>
      <c r="AC267" s="3">
        <f t="shared" si="253"/>
        <v>4.058975899569937E-3</v>
      </c>
      <c r="AD267" s="3">
        <f t="shared" si="253"/>
        <v>4.0589746226799622E-3</v>
      </c>
      <c r="AE267" s="3">
        <f t="shared" si="253"/>
        <v>4.0589618538023021E-3</v>
      </c>
      <c r="AF267" s="3">
        <f t="shared" si="253"/>
        <v>4.0588341672349671E-3</v>
      </c>
      <c r="AG267" s="3"/>
      <c r="AH267" s="3"/>
    </row>
    <row r="268" spans="2:34" x14ac:dyDescent="0.25">
      <c r="B268" s="3">
        <f t="shared" ref="B268:AF268" si="254">$C37*EXP(-B$246/$A37/EXP(-$E$126))</f>
        <v>1.8079022275700322E-3</v>
      </c>
      <c r="C268" s="3">
        <f t="shared" si="254"/>
        <v>1.8079022275700322E-3</v>
      </c>
      <c r="D268" s="3">
        <f t="shared" si="254"/>
        <v>1.8079022275700322E-3</v>
      </c>
      <c r="E268" s="3">
        <f t="shared" si="254"/>
        <v>1.8079022275700322E-3</v>
      </c>
      <c r="F268" s="3">
        <f t="shared" si="254"/>
        <v>1.8079022275700322E-3</v>
      </c>
      <c r="G268" s="3">
        <f t="shared" si="254"/>
        <v>1.8079022275700322E-3</v>
      </c>
      <c r="H268" s="3">
        <f t="shared" si="254"/>
        <v>1.8079022275700322E-3</v>
      </c>
      <c r="I268" s="3">
        <f t="shared" si="254"/>
        <v>1.8079022275700322E-3</v>
      </c>
      <c r="J268" s="3">
        <f t="shared" si="254"/>
        <v>1.8079022275700322E-3</v>
      </c>
      <c r="K268" s="3">
        <f t="shared" si="254"/>
        <v>1.8079022275700322E-3</v>
      </c>
      <c r="L268" s="3">
        <f t="shared" si="254"/>
        <v>1.8079022275700322E-3</v>
      </c>
      <c r="M268" s="3">
        <f t="shared" si="254"/>
        <v>1.8079022275700322E-3</v>
      </c>
      <c r="N268" s="3">
        <f t="shared" si="254"/>
        <v>1.8079022275700322E-3</v>
      </c>
      <c r="O268" s="3">
        <f t="shared" si="254"/>
        <v>1.8079022275700322E-3</v>
      </c>
      <c r="P268" s="3">
        <f t="shared" si="254"/>
        <v>1.8079022275700322E-3</v>
      </c>
      <c r="Q268" s="3">
        <f t="shared" si="254"/>
        <v>1.8079022275700322E-3</v>
      </c>
      <c r="R268" s="3">
        <f t="shared" si="254"/>
        <v>1.8079022275700322E-3</v>
      </c>
      <c r="S268" s="3">
        <f t="shared" si="254"/>
        <v>1.8079022275700322E-3</v>
      </c>
      <c r="T268" s="3">
        <f t="shared" si="254"/>
        <v>1.8079022275700322E-3</v>
      </c>
      <c r="U268" s="3">
        <f t="shared" si="254"/>
        <v>1.8079022275700322E-3</v>
      </c>
      <c r="V268" s="3">
        <f t="shared" si="254"/>
        <v>1.8079022275700315E-3</v>
      </c>
      <c r="W268" s="3">
        <f t="shared" si="254"/>
        <v>1.8079022275700265E-3</v>
      </c>
      <c r="X268" s="3">
        <f t="shared" si="254"/>
        <v>1.8079022275699751E-3</v>
      </c>
      <c r="Y268" s="3">
        <f t="shared" si="254"/>
        <v>1.8079022275694621E-3</v>
      </c>
      <c r="Z268" s="3">
        <f t="shared" si="254"/>
        <v>1.8079022275643316E-3</v>
      </c>
      <c r="AA268" s="3">
        <f t="shared" si="254"/>
        <v>1.8079022275130268E-3</v>
      </c>
      <c r="AB268" s="3">
        <f t="shared" si="254"/>
        <v>1.8079022269999782E-3</v>
      </c>
      <c r="AC268" s="3">
        <f t="shared" si="254"/>
        <v>1.8079022218694908E-3</v>
      </c>
      <c r="AD268" s="3">
        <f t="shared" si="254"/>
        <v>1.8079021705646203E-3</v>
      </c>
      <c r="AE268" s="3">
        <f t="shared" si="254"/>
        <v>1.8079016575159948E-3</v>
      </c>
      <c r="AF268" s="3">
        <f t="shared" si="254"/>
        <v>1.8078965270377466E-3</v>
      </c>
      <c r="AG268" s="3"/>
      <c r="AH268" s="3"/>
    </row>
    <row r="269" spans="2:34" x14ac:dyDescent="0.25">
      <c r="B269" s="3">
        <f t="shared" ref="B269:AF269" si="255">$C38*EXP(-B$246/$A38/EXP(-$E$126))</f>
        <v>6.6593482592524332E-4</v>
      </c>
      <c r="C269" s="3">
        <f t="shared" si="255"/>
        <v>6.6593482592524332E-4</v>
      </c>
      <c r="D269" s="3">
        <f t="shared" si="255"/>
        <v>6.6593482592524332E-4</v>
      </c>
      <c r="E269" s="3">
        <f t="shared" si="255"/>
        <v>6.6593482592524332E-4</v>
      </c>
      <c r="F269" s="3">
        <f t="shared" si="255"/>
        <v>6.6593482592524332E-4</v>
      </c>
      <c r="G269" s="3">
        <f t="shared" si="255"/>
        <v>6.6593482592524332E-4</v>
      </c>
      <c r="H269" s="3">
        <f t="shared" si="255"/>
        <v>6.6593482592524332E-4</v>
      </c>
      <c r="I269" s="3">
        <f t="shared" si="255"/>
        <v>6.6593482592524332E-4</v>
      </c>
      <c r="J269" s="3">
        <f t="shared" si="255"/>
        <v>6.6593482592524332E-4</v>
      </c>
      <c r="K269" s="3">
        <f t="shared" si="255"/>
        <v>6.6593482592524332E-4</v>
      </c>
      <c r="L269" s="3">
        <f t="shared" si="255"/>
        <v>6.6593482592524332E-4</v>
      </c>
      <c r="M269" s="3">
        <f t="shared" si="255"/>
        <v>6.6593482592524332E-4</v>
      </c>
      <c r="N269" s="3">
        <f t="shared" si="255"/>
        <v>6.6593482592524332E-4</v>
      </c>
      <c r="O269" s="3">
        <f t="shared" si="255"/>
        <v>6.6593482592524332E-4</v>
      </c>
      <c r="P269" s="3">
        <f t="shared" si="255"/>
        <v>6.6593482592524332E-4</v>
      </c>
      <c r="Q269" s="3">
        <f t="shared" si="255"/>
        <v>6.6593482592524332E-4</v>
      </c>
      <c r="R269" s="3">
        <f t="shared" si="255"/>
        <v>6.6593482592524332E-4</v>
      </c>
      <c r="S269" s="3">
        <f t="shared" si="255"/>
        <v>6.6593482592524332E-4</v>
      </c>
      <c r="T269" s="3">
        <f t="shared" si="255"/>
        <v>6.6593482592524332E-4</v>
      </c>
      <c r="U269" s="3">
        <f t="shared" si="255"/>
        <v>6.6593482592524332E-4</v>
      </c>
      <c r="V269" s="3">
        <f t="shared" si="255"/>
        <v>6.6593482592524332E-4</v>
      </c>
      <c r="W269" s="3">
        <f t="shared" si="255"/>
        <v>6.659348259252431E-4</v>
      </c>
      <c r="X269" s="3">
        <f t="shared" si="255"/>
        <v>6.6593482592524136E-4</v>
      </c>
      <c r="Y269" s="3">
        <f t="shared" si="255"/>
        <v>6.6593482592522434E-4</v>
      </c>
      <c r="Z269" s="3">
        <f t="shared" si="255"/>
        <v>6.6593482592505391E-4</v>
      </c>
      <c r="AA269" s="3">
        <f t="shared" si="255"/>
        <v>6.6593482592334911E-4</v>
      </c>
      <c r="AB269" s="3">
        <f t="shared" si="255"/>
        <v>6.6593482590630154E-4</v>
      </c>
      <c r="AC269" s="3">
        <f t="shared" si="255"/>
        <v>6.6593482573582604E-4</v>
      </c>
      <c r="AD269" s="3">
        <f t="shared" si="255"/>
        <v>6.659348240310711E-4</v>
      </c>
      <c r="AE269" s="3">
        <f t="shared" si="255"/>
        <v>6.6593480698352088E-4</v>
      </c>
      <c r="AF269" s="3">
        <f t="shared" si="255"/>
        <v>6.6593463650804394E-4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5.5929921649114952E-4</v>
      </c>
      <c r="C271" s="3">
        <f t="shared" si="257"/>
        <v>5.5929921649114952E-4</v>
      </c>
      <c r="D271" s="3">
        <f t="shared" si="257"/>
        <v>5.5929921649114952E-4</v>
      </c>
      <c r="E271" s="3">
        <f t="shared" si="257"/>
        <v>5.5929921649114952E-4</v>
      </c>
      <c r="F271" s="3">
        <f t="shared" si="257"/>
        <v>5.5929921649114952E-4</v>
      </c>
      <c r="G271" s="3">
        <f t="shared" si="257"/>
        <v>5.5929921649114952E-4</v>
      </c>
      <c r="H271" s="3">
        <f t="shared" si="257"/>
        <v>5.5929921649114952E-4</v>
      </c>
      <c r="I271" s="3">
        <f t="shared" si="257"/>
        <v>5.5929921649114952E-4</v>
      </c>
      <c r="J271" s="3">
        <f t="shared" si="257"/>
        <v>5.5929921649114952E-4</v>
      </c>
      <c r="K271" s="3">
        <f t="shared" si="257"/>
        <v>5.5929921649114952E-4</v>
      </c>
      <c r="L271" s="3">
        <f t="shared" si="257"/>
        <v>5.5929921649114952E-4</v>
      </c>
      <c r="M271" s="3">
        <f t="shared" si="257"/>
        <v>5.5929921649114952E-4</v>
      </c>
      <c r="N271" s="3">
        <f t="shared" si="257"/>
        <v>5.5929921649114952E-4</v>
      </c>
      <c r="O271" s="3">
        <f t="shared" si="257"/>
        <v>5.5929921649114952E-4</v>
      </c>
      <c r="P271" s="3">
        <f t="shared" si="257"/>
        <v>5.5929921649114952E-4</v>
      </c>
      <c r="Q271" s="3">
        <f t="shared" si="257"/>
        <v>5.5929921649114952E-4</v>
      </c>
      <c r="R271" s="3">
        <f t="shared" si="257"/>
        <v>5.5929921649114952E-4</v>
      </c>
      <c r="S271" s="3">
        <f t="shared" si="257"/>
        <v>5.5929921649114952E-4</v>
      </c>
      <c r="T271" s="3">
        <f t="shared" si="257"/>
        <v>5.5929921649114952E-4</v>
      </c>
      <c r="U271" s="3">
        <f t="shared" si="257"/>
        <v>5.5929921649114952E-4</v>
      </c>
      <c r="V271" s="3">
        <f t="shared" si="257"/>
        <v>5.5929921649114952E-4</v>
      </c>
      <c r="W271" s="3">
        <f t="shared" si="257"/>
        <v>5.5929921649114952E-4</v>
      </c>
      <c r="X271" s="3">
        <f t="shared" si="257"/>
        <v>5.5929921649114942E-4</v>
      </c>
      <c r="Y271" s="3">
        <f t="shared" si="257"/>
        <v>5.5929921649114909E-4</v>
      </c>
      <c r="Z271" s="3">
        <f t="shared" si="257"/>
        <v>5.5929921649114508E-4</v>
      </c>
      <c r="AA271" s="3">
        <f t="shared" si="257"/>
        <v>5.5929921649110551E-4</v>
      </c>
      <c r="AB271" s="3">
        <f t="shared" si="257"/>
        <v>5.5929921649070955E-4</v>
      </c>
      <c r="AC271" s="3">
        <f t="shared" si="257"/>
        <v>5.5929921648674961E-4</v>
      </c>
      <c r="AD271" s="3">
        <f t="shared" si="257"/>
        <v>5.5929921644715032E-4</v>
      </c>
      <c r="AE271" s="3">
        <f t="shared" si="257"/>
        <v>5.5929921605115751E-4</v>
      </c>
      <c r="AF271" s="3">
        <f t="shared" si="257"/>
        <v>5.5929921209122921E-4</v>
      </c>
      <c r="AG271" s="3"/>
      <c r="AH271" s="3"/>
    </row>
    <row r="272" spans="2:34" x14ac:dyDescent="0.25">
      <c r="B272" s="3">
        <f t="shared" ref="B272:AF272" si="258">$C41*EXP(-B$246/$A41/EXP(-$E$126))</f>
        <v>0</v>
      </c>
      <c r="C272" s="3">
        <f t="shared" si="258"/>
        <v>0</v>
      </c>
      <c r="D272" s="3">
        <f t="shared" si="258"/>
        <v>0</v>
      </c>
      <c r="E272" s="3">
        <f t="shared" si="258"/>
        <v>0</v>
      </c>
      <c r="F272" s="3">
        <f t="shared" si="258"/>
        <v>0</v>
      </c>
      <c r="G272" s="3">
        <f t="shared" si="258"/>
        <v>0</v>
      </c>
      <c r="H272" s="3">
        <f t="shared" si="258"/>
        <v>0</v>
      </c>
      <c r="I272" s="3">
        <f t="shared" si="258"/>
        <v>0</v>
      </c>
      <c r="J272" s="3">
        <f t="shared" si="258"/>
        <v>0</v>
      </c>
      <c r="K272" s="3">
        <f t="shared" si="258"/>
        <v>0</v>
      </c>
      <c r="L272" s="3">
        <f t="shared" si="258"/>
        <v>0</v>
      </c>
      <c r="M272" s="3">
        <f t="shared" si="258"/>
        <v>0</v>
      </c>
      <c r="N272" s="3">
        <f t="shared" si="258"/>
        <v>0</v>
      </c>
      <c r="O272" s="3">
        <f t="shared" si="258"/>
        <v>0</v>
      </c>
      <c r="P272" s="3">
        <f t="shared" si="258"/>
        <v>0</v>
      </c>
      <c r="Q272" s="3">
        <f t="shared" si="258"/>
        <v>0</v>
      </c>
      <c r="R272" s="3">
        <f t="shared" si="258"/>
        <v>0</v>
      </c>
      <c r="S272" s="3">
        <f t="shared" si="258"/>
        <v>0</v>
      </c>
      <c r="T272" s="3">
        <f t="shared" si="258"/>
        <v>0</v>
      </c>
      <c r="U272" s="3">
        <f t="shared" si="258"/>
        <v>0</v>
      </c>
      <c r="V272" s="3">
        <f t="shared" si="258"/>
        <v>0</v>
      </c>
      <c r="W272" s="3">
        <f t="shared" si="258"/>
        <v>0</v>
      </c>
      <c r="X272" s="3">
        <f t="shared" si="258"/>
        <v>0</v>
      </c>
      <c r="Y272" s="3">
        <f t="shared" si="258"/>
        <v>0</v>
      </c>
      <c r="Z272" s="3">
        <f t="shared" si="258"/>
        <v>0</v>
      </c>
      <c r="AA272" s="3">
        <f t="shared" si="258"/>
        <v>0</v>
      </c>
      <c r="AB272" s="3">
        <f t="shared" si="258"/>
        <v>0</v>
      </c>
      <c r="AC272" s="3">
        <f t="shared" si="258"/>
        <v>0</v>
      </c>
      <c r="AD272" s="3">
        <f t="shared" si="258"/>
        <v>0</v>
      </c>
      <c r="AE272" s="3">
        <f t="shared" si="258"/>
        <v>0</v>
      </c>
      <c r="AF272" s="3">
        <f t="shared" si="258"/>
        <v>0</v>
      </c>
      <c r="AG272" s="3"/>
      <c r="AH272" s="3"/>
    </row>
    <row r="273" spans="1:34" x14ac:dyDescent="0.25">
      <c r="B273" s="3">
        <f t="shared" ref="B273:AF273" si="259">$C42*EXP(-B$246/$A42/EXP(-$E$126))</f>
        <v>1.7201579278298637E-4</v>
      </c>
      <c r="C273" s="3">
        <f t="shared" si="259"/>
        <v>1.7201579278298637E-4</v>
      </c>
      <c r="D273" s="3">
        <f t="shared" si="259"/>
        <v>1.7201579278298637E-4</v>
      </c>
      <c r="E273" s="3">
        <f t="shared" si="259"/>
        <v>1.7201579278298637E-4</v>
      </c>
      <c r="F273" s="3">
        <f t="shared" si="259"/>
        <v>1.7201579278298637E-4</v>
      </c>
      <c r="G273" s="3">
        <f t="shared" si="259"/>
        <v>1.7201579278298637E-4</v>
      </c>
      <c r="H273" s="3">
        <f t="shared" si="259"/>
        <v>1.7201579278298637E-4</v>
      </c>
      <c r="I273" s="3">
        <f t="shared" si="259"/>
        <v>1.7201579278298637E-4</v>
      </c>
      <c r="J273" s="3">
        <f t="shared" si="259"/>
        <v>1.7201579278298637E-4</v>
      </c>
      <c r="K273" s="3">
        <f t="shared" si="259"/>
        <v>1.7201579278298637E-4</v>
      </c>
      <c r="L273" s="3">
        <f t="shared" si="259"/>
        <v>1.7201579278298637E-4</v>
      </c>
      <c r="M273" s="3">
        <f t="shared" si="259"/>
        <v>1.7201579278298637E-4</v>
      </c>
      <c r="N273" s="3">
        <f t="shared" si="259"/>
        <v>1.7201579278298637E-4</v>
      </c>
      <c r="O273" s="3">
        <f t="shared" si="259"/>
        <v>1.7201579278298637E-4</v>
      </c>
      <c r="P273" s="3">
        <f t="shared" si="259"/>
        <v>1.7201579278298637E-4</v>
      </c>
      <c r="Q273" s="3">
        <f t="shared" si="259"/>
        <v>1.7201579278298637E-4</v>
      </c>
      <c r="R273" s="3">
        <f t="shared" si="259"/>
        <v>1.7201579278298637E-4</v>
      </c>
      <c r="S273" s="3">
        <f t="shared" si="259"/>
        <v>1.7201579278298637E-4</v>
      </c>
      <c r="T273" s="3">
        <f t="shared" si="259"/>
        <v>1.7201579278298637E-4</v>
      </c>
      <c r="U273" s="3">
        <f t="shared" si="259"/>
        <v>1.7201579278298637E-4</v>
      </c>
      <c r="V273" s="3">
        <f t="shared" si="259"/>
        <v>1.7201579278298637E-4</v>
      </c>
      <c r="W273" s="3">
        <f t="shared" si="259"/>
        <v>1.7201579278298637E-4</v>
      </c>
      <c r="X273" s="3">
        <f t="shared" si="259"/>
        <v>1.7201579278298637E-4</v>
      </c>
      <c r="Y273" s="3">
        <f t="shared" si="259"/>
        <v>1.7201579278298637E-4</v>
      </c>
      <c r="Z273" s="3">
        <f t="shared" si="259"/>
        <v>1.7201579278298634E-4</v>
      </c>
      <c r="AA273" s="3">
        <f t="shared" si="259"/>
        <v>1.7201579278298623E-4</v>
      </c>
      <c r="AB273" s="3">
        <f t="shared" si="259"/>
        <v>1.7201579278298501E-4</v>
      </c>
      <c r="AC273" s="3">
        <f t="shared" si="259"/>
        <v>1.7201579278297281E-4</v>
      </c>
      <c r="AD273" s="3">
        <f t="shared" si="259"/>
        <v>1.7201579278285103E-4</v>
      </c>
      <c r="AE273" s="3">
        <f t="shared" si="259"/>
        <v>1.7201579278163315E-4</v>
      </c>
      <c r="AF273" s="3">
        <f t="shared" si="259"/>
        <v>1.7201579276945417E-4</v>
      </c>
      <c r="AG273" s="3"/>
      <c r="AH273" s="3"/>
    </row>
    <row r="274" spans="1:34" x14ac:dyDescent="0.25">
      <c r="B274" s="3">
        <f t="shared" ref="B274:AF274" si="260">$C43*EXP(-B$246/$A43/EXP(-$E$126))</f>
        <v>1.7468461922378131E-4</v>
      </c>
      <c r="C274" s="3">
        <f t="shared" si="260"/>
        <v>1.7468461922378131E-4</v>
      </c>
      <c r="D274" s="3">
        <f t="shared" si="260"/>
        <v>1.7468461922378131E-4</v>
      </c>
      <c r="E274" s="3">
        <f t="shared" si="260"/>
        <v>1.7468461922378131E-4</v>
      </c>
      <c r="F274" s="3">
        <f t="shared" si="260"/>
        <v>1.7468461922378131E-4</v>
      </c>
      <c r="G274" s="3">
        <f t="shared" si="260"/>
        <v>1.7468461922378131E-4</v>
      </c>
      <c r="H274" s="3">
        <f t="shared" si="260"/>
        <v>1.7468461922378131E-4</v>
      </c>
      <c r="I274" s="3">
        <f t="shared" si="260"/>
        <v>1.7468461922378131E-4</v>
      </c>
      <c r="J274" s="3">
        <f t="shared" si="260"/>
        <v>1.7468461922378131E-4</v>
      </c>
      <c r="K274" s="3">
        <f t="shared" si="260"/>
        <v>1.7468461922378131E-4</v>
      </c>
      <c r="L274" s="3">
        <f t="shared" si="260"/>
        <v>1.7468461922378131E-4</v>
      </c>
      <c r="M274" s="3">
        <f t="shared" si="260"/>
        <v>1.7468461922378131E-4</v>
      </c>
      <c r="N274" s="3">
        <f t="shared" si="260"/>
        <v>1.7468461922378131E-4</v>
      </c>
      <c r="O274" s="3">
        <f t="shared" si="260"/>
        <v>1.7468461922378131E-4</v>
      </c>
      <c r="P274" s="3">
        <f t="shared" si="260"/>
        <v>1.7468461922378131E-4</v>
      </c>
      <c r="Q274" s="3">
        <f t="shared" si="260"/>
        <v>1.7468461922378131E-4</v>
      </c>
      <c r="R274" s="3">
        <f t="shared" si="260"/>
        <v>1.7468461922378131E-4</v>
      </c>
      <c r="S274" s="3">
        <f t="shared" si="260"/>
        <v>1.7468461922378131E-4</v>
      </c>
      <c r="T274" s="3">
        <f t="shared" si="260"/>
        <v>1.7468461922378131E-4</v>
      </c>
      <c r="U274" s="3">
        <f t="shared" si="260"/>
        <v>1.7468461922378131E-4</v>
      </c>
      <c r="V274" s="3">
        <f t="shared" si="260"/>
        <v>1.7468461922378131E-4</v>
      </c>
      <c r="W274" s="3">
        <f t="shared" si="260"/>
        <v>1.7468461922378131E-4</v>
      </c>
      <c r="X274" s="3">
        <f t="shared" si="260"/>
        <v>1.7468461922378131E-4</v>
      </c>
      <c r="Y274" s="3">
        <f t="shared" si="260"/>
        <v>1.7468461922378131E-4</v>
      </c>
      <c r="Z274" s="3">
        <f t="shared" si="260"/>
        <v>1.7468461922378131E-4</v>
      </c>
      <c r="AA274" s="3">
        <f t="shared" si="260"/>
        <v>1.7468461922378128E-4</v>
      </c>
      <c r="AB274" s="3">
        <f t="shared" si="260"/>
        <v>1.7468461922378117E-4</v>
      </c>
      <c r="AC274" s="3">
        <f t="shared" si="260"/>
        <v>1.7468461922377993E-4</v>
      </c>
      <c r="AD274" s="3">
        <f t="shared" si="260"/>
        <v>1.7468461922376757E-4</v>
      </c>
      <c r="AE274" s="3">
        <f t="shared" si="260"/>
        <v>1.7468461922364389E-4</v>
      </c>
      <c r="AF274" s="3">
        <f t="shared" si="260"/>
        <v>1.7468461922240711E-4</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2.0999278642033111E-4</v>
      </c>
      <c r="C276" s="3">
        <f t="shared" si="262"/>
        <v>2.0999278642033111E-4</v>
      </c>
      <c r="D276" s="3">
        <f t="shared" si="262"/>
        <v>2.0999278642033111E-4</v>
      </c>
      <c r="E276" s="3">
        <f t="shared" si="262"/>
        <v>2.0999278642033111E-4</v>
      </c>
      <c r="F276" s="3">
        <f t="shared" si="262"/>
        <v>2.0999278642033111E-4</v>
      </c>
      <c r="G276" s="3">
        <f t="shared" si="262"/>
        <v>2.0999278642033111E-4</v>
      </c>
      <c r="H276" s="3">
        <f t="shared" si="262"/>
        <v>2.0999278642033111E-4</v>
      </c>
      <c r="I276" s="3">
        <f t="shared" si="262"/>
        <v>2.0999278642033111E-4</v>
      </c>
      <c r="J276" s="3">
        <f t="shared" si="262"/>
        <v>2.0999278642033111E-4</v>
      </c>
      <c r="K276" s="3">
        <f t="shared" si="262"/>
        <v>2.0999278642033111E-4</v>
      </c>
      <c r="L276" s="3">
        <f t="shared" si="262"/>
        <v>2.0999278642033111E-4</v>
      </c>
      <c r="M276" s="3">
        <f t="shared" si="262"/>
        <v>2.0999278642033111E-4</v>
      </c>
      <c r="N276" s="3">
        <f t="shared" si="262"/>
        <v>2.0999278642033111E-4</v>
      </c>
      <c r="O276" s="3">
        <f t="shared" si="262"/>
        <v>2.0999278642033111E-4</v>
      </c>
      <c r="P276" s="3">
        <f t="shared" si="262"/>
        <v>2.0999278642033111E-4</v>
      </c>
      <c r="Q276" s="3">
        <f t="shared" si="262"/>
        <v>2.0999278642033111E-4</v>
      </c>
      <c r="R276" s="3">
        <f t="shared" si="262"/>
        <v>2.0999278642033111E-4</v>
      </c>
      <c r="S276" s="3">
        <f t="shared" si="262"/>
        <v>2.0999278642033111E-4</v>
      </c>
      <c r="T276" s="3">
        <f t="shared" si="262"/>
        <v>2.0999278642033111E-4</v>
      </c>
      <c r="U276" s="3">
        <f t="shared" si="262"/>
        <v>2.0999278642033111E-4</v>
      </c>
      <c r="V276" s="3">
        <f t="shared" si="262"/>
        <v>2.0999278642033111E-4</v>
      </c>
      <c r="W276" s="3">
        <f t="shared" si="262"/>
        <v>2.0999278642033111E-4</v>
      </c>
      <c r="X276" s="3">
        <f t="shared" si="262"/>
        <v>2.0999278642033111E-4</v>
      </c>
      <c r="Y276" s="3">
        <f t="shared" si="262"/>
        <v>2.0999278642033111E-4</v>
      </c>
      <c r="Z276" s="3">
        <f t="shared" si="262"/>
        <v>2.0999278642033111E-4</v>
      </c>
      <c r="AA276" s="3">
        <f t="shared" si="262"/>
        <v>2.0999278642033111E-4</v>
      </c>
      <c r="AB276" s="3">
        <f t="shared" si="262"/>
        <v>2.0999278642033111E-4</v>
      </c>
      <c r="AC276" s="3">
        <f t="shared" si="262"/>
        <v>2.0999278642033108E-4</v>
      </c>
      <c r="AD276" s="3">
        <f t="shared" si="262"/>
        <v>2.0999278642033095E-4</v>
      </c>
      <c r="AE276" s="3">
        <f t="shared" si="262"/>
        <v>2.0999278642032946E-4</v>
      </c>
      <c r="AF276" s="3">
        <f t="shared" si="262"/>
        <v>2.0999278642031458E-4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1.7320221207897527E-4</v>
      </c>
      <c r="C279" s="3">
        <f t="shared" si="265"/>
        <v>1.7320221207897527E-4</v>
      </c>
      <c r="D279" s="3">
        <f t="shared" si="265"/>
        <v>1.7320221207897527E-4</v>
      </c>
      <c r="E279" s="3">
        <f t="shared" si="265"/>
        <v>1.7320221207897527E-4</v>
      </c>
      <c r="F279" s="3">
        <f t="shared" si="265"/>
        <v>1.7320221207897527E-4</v>
      </c>
      <c r="G279" s="3">
        <f t="shared" si="265"/>
        <v>1.7320221207897527E-4</v>
      </c>
      <c r="H279" s="3">
        <f t="shared" si="265"/>
        <v>1.7320221207897527E-4</v>
      </c>
      <c r="I279" s="3">
        <f t="shared" si="265"/>
        <v>1.7320221207897527E-4</v>
      </c>
      <c r="J279" s="3">
        <f t="shared" si="265"/>
        <v>1.7320221207897527E-4</v>
      </c>
      <c r="K279" s="3">
        <f t="shared" si="265"/>
        <v>1.7320221207897527E-4</v>
      </c>
      <c r="L279" s="3">
        <f t="shared" si="265"/>
        <v>1.7320221207897527E-4</v>
      </c>
      <c r="M279" s="3">
        <f t="shared" si="265"/>
        <v>1.7320221207897527E-4</v>
      </c>
      <c r="N279" s="3">
        <f t="shared" si="265"/>
        <v>1.7320221207897527E-4</v>
      </c>
      <c r="O279" s="3">
        <f t="shared" si="265"/>
        <v>1.7320221207897527E-4</v>
      </c>
      <c r="P279" s="3">
        <f t="shared" si="265"/>
        <v>1.7320221207897527E-4</v>
      </c>
      <c r="Q279" s="3">
        <f t="shared" si="265"/>
        <v>1.7320221207897527E-4</v>
      </c>
      <c r="R279" s="3">
        <f t="shared" si="265"/>
        <v>1.7320221207897527E-4</v>
      </c>
      <c r="S279" s="3">
        <f t="shared" si="265"/>
        <v>1.7320221207897527E-4</v>
      </c>
      <c r="T279" s="3">
        <f t="shared" si="265"/>
        <v>1.7320221207897527E-4</v>
      </c>
      <c r="U279" s="3">
        <f t="shared" si="265"/>
        <v>1.7320221207897527E-4</v>
      </c>
      <c r="V279" s="3">
        <f t="shared" si="265"/>
        <v>1.7320221207897527E-4</v>
      </c>
      <c r="W279" s="3">
        <f t="shared" si="265"/>
        <v>1.7320221207897527E-4</v>
      </c>
      <c r="X279" s="3">
        <f t="shared" si="265"/>
        <v>1.7320221207897527E-4</v>
      </c>
      <c r="Y279" s="3">
        <f t="shared" si="265"/>
        <v>1.7320221207897527E-4</v>
      </c>
      <c r="Z279" s="3">
        <f t="shared" si="265"/>
        <v>1.7320221207897527E-4</v>
      </c>
      <c r="AA279" s="3">
        <f t="shared" si="265"/>
        <v>1.7320221207897527E-4</v>
      </c>
      <c r="AB279" s="3">
        <f t="shared" si="265"/>
        <v>1.7320221207897527E-4</v>
      </c>
      <c r="AC279" s="3">
        <f t="shared" si="265"/>
        <v>1.7320221207897527E-4</v>
      </c>
      <c r="AD279" s="3">
        <f t="shared" si="265"/>
        <v>1.7320221207897527E-4</v>
      </c>
      <c r="AE279" s="3">
        <f t="shared" si="265"/>
        <v>1.7320221207897527E-4</v>
      </c>
      <c r="AF279" s="3">
        <f t="shared" si="265"/>
        <v>1.7320221207897524E-4</v>
      </c>
      <c r="AG279" s="3"/>
      <c r="AH279" s="3"/>
    </row>
    <row r="280" spans="1:34" x14ac:dyDescent="0.25">
      <c r="A280" s="79">
        <f>AVERAGE(B280:AF280)</f>
        <v>6.1866304766140592E-2</v>
      </c>
      <c r="B280" s="80">
        <f>IF($D$61&lt;=B246,IF($E$61&gt;=B246,ABS((B248-B247)/B247),0),0)</f>
        <v>2.9956828364755351E-3</v>
      </c>
      <c r="C280" s="80">
        <f t="shared" ref="C280:AF280" si="266">IF($D$61&lt;=C246,IF($E$61&gt;=C246,ABS((C248-C247)/C247),0),0)</f>
        <v>3.1647591490793223E-3</v>
      </c>
      <c r="D280" s="80">
        <f t="shared" si="266"/>
        <v>4.8768863505585123E-3</v>
      </c>
      <c r="E280" s="80">
        <f t="shared" si="266"/>
        <v>1.8223133064943046E-2</v>
      </c>
      <c r="F280" s="80">
        <f t="shared" si="266"/>
        <v>4.7631039505180058E-2</v>
      </c>
      <c r="G280" s="80">
        <f t="shared" si="266"/>
        <v>6.8534502715018444E-2</v>
      </c>
      <c r="H280" s="80">
        <f t="shared" si="266"/>
        <v>8.9878269315290554E-2</v>
      </c>
      <c r="I280" s="80">
        <f t="shared" si="266"/>
        <v>0.11448851559278321</v>
      </c>
      <c r="J280" s="80">
        <f t="shared" si="266"/>
        <v>0.13913194198029033</v>
      </c>
      <c r="K280" s="80">
        <f t="shared" si="266"/>
        <v>0.14129736241507043</v>
      </c>
      <c r="L280" s="80">
        <f t="shared" si="266"/>
        <v>4.1104214468529188E-2</v>
      </c>
      <c r="M280" s="80">
        <f t="shared" si="266"/>
        <v>0.228281198941993</v>
      </c>
      <c r="N280" s="80">
        <f t="shared" si="266"/>
        <v>0.20240634550331119</v>
      </c>
      <c r="O280" s="80">
        <f t="shared" si="266"/>
        <v>0.17193185505456884</v>
      </c>
      <c r="P280" s="80">
        <f t="shared" si="266"/>
        <v>0.13162722947363351</v>
      </c>
      <c r="Q280" s="80">
        <f t="shared" si="266"/>
        <v>8.4926205645573197E-2</v>
      </c>
      <c r="R280" s="80">
        <f t="shared" si="266"/>
        <v>5.0258651380646835E-2</v>
      </c>
      <c r="S280" s="80">
        <f t="shared" si="266"/>
        <v>5.8297535755531565E-2</v>
      </c>
      <c r="T280" s="80">
        <f t="shared" si="266"/>
        <v>1.3104732763660367E-2</v>
      </c>
      <c r="U280" s="80">
        <f t="shared" si="266"/>
        <v>3.1959125339371355E-2</v>
      </c>
      <c r="V280" s="80">
        <f t="shared" si="266"/>
        <v>6.216686379758124E-2</v>
      </c>
      <c r="W280" s="80">
        <f t="shared" si="266"/>
        <v>7.6332263676831116E-2</v>
      </c>
      <c r="X280" s="80">
        <f t="shared" si="266"/>
        <v>7.6838720816365585E-2</v>
      </c>
      <c r="Y280" s="80">
        <f t="shared" si="266"/>
        <v>5.8398412208071827E-2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341.90699629781801</v>
      </c>
      <c r="C281" s="21">
        <f t="shared" ref="C281:AF281" si="267">(C248-C247)^2</f>
        <v>381.46196916678167</v>
      </c>
      <c r="D281" s="21">
        <f t="shared" si="267"/>
        <v>902.76353066048864</v>
      </c>
      <c r="E281" s="21">
        <f t="shared" si="267"/>
        <v>12276.500902874728</v>
      </c>
      <c r="F281" s="21">
        <f t="shared" si="267"/>
        <v>79227.799608588874</v>
      </c>
      <c r="G281" s="21">
        <f t="shared" si="267"/>
        <v>157671.5198986459</v>
      </c>
      <c r="H281" s="21">
        <f t="shared" si="267"/>
        <v>260640.29823060081</v>
      </c>
      <c r="I281" s="21">
        <f t="shared" si="267"/>
        <v>404225.8860502094</v>
      </c>
      <c r="J281" s="21">
        <f t="shared" si="267"/>
        <v>568323.95289113291</v>
      </c>
      <c r="K281" s="21">
        <f t="shared" si="267"/>
        <v>553748.37328201032</v>
      </c>
      <c r="L281" s="21">
        <f t="shared" si="267"/>
        <v>43990.700694869323</v>
      </c>
      <c r="M281" s="21">
        <f t="shared" si="267"/>
        <v>1269242.4327504376</v>
      </c>
      <c r="N281" s="21">
        <f t="shared" si="267"/>
        <v>933678.69654287456</v>
      </c>
      <c r="O281" s="21">
        <f t="shared" si="267"/>
        <v>624996.69925094966</v>
      </c>
      <c r="P281" s="21">
        <f t="shared" si="267"/>
        <v>332983.25375076133</v>
      </c>
      <c r="Q281" s="21">
        <f t="shared" si="267"/>
        <v>124391.03145944318</v>
      </c>
      <c r="R281" s="21">
        <f t="shared" si="267"/>
        <v>39159.401851454277</v>
      </c>
      <c r="S281" s="21">
        <f t="shared" si="267"/>
        <v>46219.523003608796</v>
      </c>
      <c r="T281" s="21">
        <f t="shared" si="267"/>
        <v>1941.2798542800542</v>
      </c>
      <c r="U281" s="21">
        <f t="shared" si="267"/>
        <v>9512.8218614257421</v>
      </c>
      <c r="V281" s="21">
        <f t="shared" si="267"/>
        <v>29907.5213834891</v>
      </c>
      <c r="W281" s="21">
        <f t="shared" si="267"/>
        <v>37828.159842013752</v>
      </c>
      <c r="X281" s="21">
        <f t="shared" si="267"/>
        <v>31907.506560171121</v>
      </c>
      <c r="Y281" s="21">
        <f t="shared" si="267"/>
        <v>15196.300075649409</v>
      </c>
      <c r="Z281" s="21">
        <f t="shared" si="267"/>
        <v>1030.8277811412663</v>
      </c>
      <c r="AA281" s="21">
        <f t="shared" si="267"/>
        <v>8648.4958054655726</v>
      </c>
      <c r="AB281" s="21">
        <f t="shared" si="267"/>
        <v>42881.657509566663</v>
      </c>
      <c r="AC281" s="21">
        <f t="shared" si="267"/>
        <v>63865.115914519236</v>
      </c>
      <c r="AD281" s="21">
        <f t="shared" si="267"/>
        <v>44578.151270723232</v>
      </c>
      <c r="AE281" s="21">
        <f t="shared" si="267"/>
        <v>15848.946425431146</v>
      </c>
      <c r="AF281" s="21">
        <f t="shared" si="267"/>
        <v>2258.4464881505442</v>
      </c>
      <c r="AG281" s="3"/>
      <c r="AH281" s="3"/>
    </row>
    <row r="282" spans="1:34" s="3" customFormat="1" x14ac:dyDescent="0.25">
      <c r="A282" s="71">
        <f>SUM(B282:AF282)</f>
        <v>5578695.7922416152</v>
      </c>
      <c r="B282" s="21">
        <f>IF($D$61&lt;=B246,IF($E$61&gt;=B246,ABS(B281),0),0)</f>
        <v>341.90699629781801</v>
      </c>
      <c r="C282" s="21">
        <f t="shared" ref="C282:AF282" si="268">IF($D$61&lt;=C246,IF($E$61&gt;=C246,ABS(C281),0),0)</f>
        <v>381.46196916678167</v>
      </c>
      <c r="D282" s="21">
        <f t="shared" si="268"/>
        <v>902.76353066048864</v>
      </c>
      <c r="E282" s="21">
        <f t="shared" si="268"/>
        <v>12276.500902874728</v>
      </c>
      <c r="F282" s="21">
        <f t="shared" si="268"/>
        <v>79227.799608588874</v>
      </c>
      <c r="G282" s="21">
        <f t="shared" si="268"/>
        <v>157671.5198986459</v>
      </c>
      <c r="H282" s="21">
        <f t="shared" si="268"/>
        <v>260640.29823060081</v>
      </c>
      <c r="I282" s="21">
        <f t="shared" si="268"/>
        <v>404225.8860502094</v>
      </c>
      <c r="J282" s="21">
        <f t="shared" si="268"/>
        <v>568323.95289113291</v>
      </c>
      <c r="K282" s="21">
        <f t="shared" si="268"/>
        <v>553748.37328201032</v>
      </c>
      <c r="L282" s="21">
        <f t="shared" si="268"/>
        <v>43990.700694869323</v>
      </c>
      <c r="M282" s="21">
        <f t="shared" si="268"/>
        <v>1269242.4327504376</v>
      </c>
      <c r="N282" s="21">
        <f t="shared" si="268"/>
        <v>933678.69654287456</v>
      </c>
      <c r="O282" s="21">
        <f t="shared" si="268"/>
        <v>624996.69925094966</v>
      </c>
      <c r="P282" s="21">
        <f t="shared" si="268"/>
        <v>332983.25375076133</v>
      </c>
      <c r="Q282" s="21">
        <f t="shared" si="268"/>
        <v>124391.03145944318</v>
      </c>
      <c r="R282" s="21">
        <f t="shared" si="268"/>
        <v>39159.401851454277</v>
      </c>
      <c r="S282" s="21">
        <f t="shared" si="268"/>
        <v>46219.523003608796</v>
      </c>
      <c r="T282" s="21">
        <f t="shared" si="268"/>
        <v>1941.2798542800542</v>
      </c>
      <c r="U282" s="21">
        <f t="shared" si="268"/>
        <v>9512.8218614257421</v>
      </c>
      <c r="V282" s="21">
        <f t="shared" si="268"/>
        <v>29907.5213834891</v>
      </c>
      <c r="W282" s="21">
        <f t="shared" si="268"/>
        <v>37828.159842013752</v>
      </c>
      <c r="X282" s="21">
        <f t="shared" si="268"/>
        <v>31907.506560171121</v>
      </c>
      <c r="Y282" s="21">
        <f t="shared" si="268"/>
        <v>15196.300075649409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6190.9489389752007</v>
      </c>
      <c r="C287" s="27">
        <f t="shared" ref="C287:AF287" si="269">($C$17+SUM(C288:C318))*$B$51</f>
        <v>6190.948389752105</v>
      </c>
      <c r="D287" s="27">
        <f t="shared" si="269"/>
        <v>6190.9428975281135</v>
      </c>
      <c r="E287" s="27">
        <f t="shared" si="269"/>
        <v>6190.8879759843003</v>
      </c>
      <c r="F287" s="27">
        <f t="shared" si="269"/>
        <v>6190.338830151245</v>
      </c>
      <c r="G287" s="27">
        <f t="shared" si="269"/>
        <v>6184.8543263966303</v>
      </c>
      <c r="H287" s="27">
        <f t="shared" si="269"/>
        <v>6130.6988529818236</v>
      </c>
      <c r="I287" s="27">
        <f t="shared" si="269"/>
        <v>5652.5662586344115</v>
      </c>
      <c r="J287" s="27">
        <f t="shared" si="269"/>
        <v>3991.7954966297116</v>
      </c>
      <c r="K287" s="27">
        <f t="shared" si="269"/>
        <v>3807.6486625247444</v>
      </c>
      <c r="L287" s="27">
        <f t="shared" si="269"/>
        <v>3807.6266866855699</v>
      </c>
      <c r="M287" s="27">
        <f t="shared" si="269"/>
        <v>3807.4069976467194</v>
      </c>
      <c r="N287" s="27">
        <f t="shared" si="269"/>
        <v>3805.2170094287308</v>
      </c>
      <c r="O287" s="27">
        <f t="shared" si="269"/>
        <v>3783.9925404667783</v>
      </c>
      <c r="P287" s="27">
        <f t="shared" si="269"/>
        <v>3626.632568979544</v>
      </c>
      <c r="Q287" s="27">
        <f t="shared" si="269"/>
        <v>3385.0625401446382</v>
      </c>
      <c r="R287" s="27">
        <f t="shared" si="269"/>
        <v>3243.3130575099726</v>
      </c>
      <c r="S287" s="27">
        <f t="shared" si="269"/>
        <v>3056.6177764128156</v>
      </c>
      <c r="T287" s="27">
        <f t="shared" si="269"/>
        <v>2851.3442957356483</v>
      </c>
      <c r="U287" s="27">
        <f t="shared" si="269"/>
        <v>2624.8792666104987</v>
      </c>
      <c r="V287" s="27">
        <f t="shared" si="269"/>
        <v>2367.3039419546567</v>
      </c>
      <c r="W287" s="27">
        <f t="shared" si="269"/>
        <v>2075.6150268345559</v>
      </c>
      <c r="X287" s="27">
        <f t="shared" si="269"/>
        <v>1731.3946970184015</v>
      </c>
      <c r="Y287" s="27">
        <f t="shared" si="269"/>
        <v>1345.1693446961726</v>
      </c>
      <c r="Z287" s="27">
        <f t="shared" si="269"/>
        <v>968.64589666323832</v>
      </c>
      <c r="AA287" s="27">
        <f t="shared" si="269"/>
        <v>672.57187924112145</v>
      </c>
      <c r="AB287" s="27">
        <f t="shared" si="269"/>
        <v>484.1142588819273</v>
      </c>
      <c r="AC287" s="27">
        <f t="shared" si="269"/>
        <v>383.66326806927867</v>
      </c>
      <c r="AD287" s="27">
        <f t="shared" si="269"/>
        <v>332.57581141156135</v>
      </c>
      <c r="AE287" s="27">
        <f t="shared" si="269"/>
        <v>304.06742717616902</v>
      </c>
      <c r="AF287" s="27">
        <f t="shared" si="269"/>
        <v>281.30781635924092</v>
      </c>
      <c r="AG287" s="27"/>
      <c r="AH287" s="27"/>
    </row>
    <row r="288" spans="1:34" x14ac:dyDescent="0.25">
      <c r="B288" s="3">
        <f t="shared" ref="B288:AF288" si="270">$C18*EXP(-B$285/$A18/EXP(-$F$126))</f>
        <v>0.38496486316281714</v>
      </c>
      <c r="C288" s="3">
        <f t="shared" si="270"/>
        <v>0.38496477444894256</v>
      </c>
      <c r="D288" s="3">
        <f t="shared" si="270"/>
        <v>0.38496388731132075</v>
      </c>
      <c r="E288" s="3">
        <f t="shared" si="270"/>
        <v>0.38495501604754273</v>
      </c>
      <c r="F288" s="3">
        <f t="shared" si="270"/>
        <v>0.38486631465280019</v>
      </c>
      <c r="G288" s="3">
        <f t="shared" si="270"/>
        <v>0.38398042405107685</v>
      </c>
      <c r="H288" s="3">
        <f t="shared" si="270"/>
        <v>0.37523290065568993</v>
      </c>
      <c r="I288" s="3">
        <f t="shared" si="270"/>
        <v>0.29800199916210257</v>
      </c>
      <c r="J288" s="3">
        <f t="shared" si="270"/>
        <v>2.9744169508057864E-2</v>
      </c>
      <c r="K288" s="3">
        <f t="shared" si="270"/>
        <v>2.9189627034495563E-12</v>
      </c>
      <c r="L288" s="3">
        <f t="shared" si="270"/>
        <v>2.4182184519493084E-112</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5.8157909381166654E-2</v>
      </c>
      <c r="C289" s="3">
        <f t="shared" si="271"/>
        <v>5.815790938116322E-2</v>
      </c>
      <c r="D289" s="3">
        <f t="shared" si="271"/>
        <v>5.8157909381128886E-2</v>
      </c>
      <c r="E289" s="3">
        <f t="shared" si="271"/>
        <v>5.8157909380785584E-2</v>
      </c>
      <c r="F289" s="3">
        <f t="shared" si="271"/>
        <v>5.8157909377352525E-2</v>
      </c>
      <c r="G289" s="3">
        <f t="shared" si="271"/>
        <v>5.8157909343021938E-2</v>
      </c>
      <c r="H289" s="3">
        <f t="shared" si="271"/>
        <v>5.8157908999716096E-2</v>
      </c>
      <c r="I289" s="3">
        <f t="shared" si="271"/>
        <v>5.8157905566657724E-2</v>
      </c>
      <c r="J289" s="3">
        <f t="shared" si="271"/>
        <v>5.8157871236085214E-2</v>
      </c>
      <c r="K289" s="3">
        <f t="shared" si="271"/>
        <v>5.8157527931474627E-2</v>
      </c>
      <c r="L289" s="3">
        <f t="shared" si="271"/>
        <v>5.8154094996825383E-2</v>
      </c>
      <c r="M289" s="3">
        <f t="shared" si="271"/>
        <v>5.8119776793558488E-2</v>
      </c>
      <c r="N289" s="3">
        <f t="shared" si="271"/>
        <v>5.7777706653476632E-2</v>
      </c>
      <c r="O289" s="3">
        <f t="shared" si="271"/>
        <v>5.4465803886515736E-2</v>
      </c>
      <c r="P289" s="3">
        <f t="shared" si="271"/>
        <v>3.0182840026978457E-2</v>
      </c>
      <c r="Q289" s="3">
        <f t="shared" si="271"/>
        <v>8.2436954909875126E-5</v>
      </c>
      <c r="R289" s="3">
        <f t="shared" si="271"/>
        <v>1.9043217808895576E-30</v>
      </c>
      <c r="S289" s="3">
        <f t="shared" si="271"/>
        <v>8.2399441764958113E-287</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1.8919132746280976E-2</v>
      </c>
      <c r="C290" s="3">
        <f t="shared" si="272"/>
        <v>1.8919132746280876E-2</v>
      </c>
      <c r="D290" s="3">
        <f t="shared" si="272"/>
        <v>1.8919132746279866E-2</v>
      </c>
      <c r="E290" s="3">
        <f t="shared" si="272"/>
        <v>1.8919132746269794E-2</v>
      </c>
      <c r="F290" s="3">
        <f t="shared" si="272"/>
        <v>1.8919132746169048E-2</v>
      </c>
      <c r="G290" s="3">
        <f t="shared" si="272"/>
        <v>1.8919132745161608E-2</v>
      </c>
      <c r="H290" s="3">
        <f t="shared" si="272"/>
        <v>1.8919132735087184E-2</v>
      </c>
      <c r="I290" s="3">
        <f t="shared" si="272"/>
        <v>1.8919132634342941E-2</v>
      </c>
      <c r="J290" s="3">
        <f t="shared" si="272"/>
        <v>1.8919131626900558E-2</v>
      </c>
      <c r="K290" s="3">
        <f t="shared" si="272"/>
        <v>1.8919121552479681E-2</v>
      </c>
      <c r="L290" s="3">
        <f t="shared" si="272"/>
        <v>1.8919020808565962E-2</v>
      </c>
      <c r="M290" s="3">
        <f t="shared" si="272"/>
        <v>1.8918013398933575E-2</v>
      </c>
      <c r="N290" s="3">
        <f t="shared" si="272"/>
        <v>1.8907942252506738E-2</v>
      </c>
      <c r="O290" s="3">
        <f t="shared" si="272"/>
        <v>1.880752519756658E-2</v>
      </c>
      <c r="P290" s="3">
        <f t="shared" si="272"/>
        <v>1.7832223691314378E-2</v>
      </c>
      <c r="Q290" s="3">
        <f t="shared" si="272"/>
        <v>1.0469935684858531E-2</v>
      </c>
      <c r="R290" s="3">
        <f t="shared" si="272"/>
        <v>5.0971700055891793E-5</v>
      </c>
      <c r="S290" s="3">
        <f t="shared" si="272"/>
        <v>3.8122394237586539E-28</v>
      </c>
      <c r="T290" s="3">
        <f t="shared" si="272"/>
        <v>2.0878085047435127E-259</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2.9962799778578724E-2</v>
      </c>
      <c r="C291" s="3">
        <f t="shared" si="273"/>
        <v>2.9962799778578707E-2</v>
      </c>
      <c r="D291" s="3">
        <f t="shared" si="273"/>
        <v>2.9962799778578564E-2</v>
      </c>
      <c r="E291" s="3">
        <f t="shared" si="273"/>
        <v>2.9962799778577125E-2</v>
      </c>
      <c r="F291" s="3">
        <f t="shared" si="273"/>
        <v>2.9962799778562733E-2</v>
      </c>
      <c r="G291" s="3">
        <f t="shared" si="273"/>
        <v>2.9962799778418803E-2</v>
      </c>
      <c r="H291" s="3">
        <f t="shared" si="273"/>
        <v>2.9962799776979514E-2</v>
      </c>
      <c r="I291" s="3">
        <f t="shared" si="273"/>
        <v>2.9962799762586624E-2</v>
      </c>
      <c r="J291" s="3">
        <f t="shared" si="273"/>
        <v>2.9962799618657728E-2</v>
      </c>
      <c r="K291" s="3">
        <f t="shared" si="273"/>
        <v>2.9962798179368824E-2</v>
      </c>
      <c r="L291" s="3">
        <f t="shared" si="273"/>
        <v>2.9962783786483579E-2</v>
      </c>
      <c r="M291" s="3">
        <f t="shared" si="273"/>
        <v>2.9962639858011356E-2</v>
      </c>
      <c r="N291" s="3">
        <f t="shared" si="273"/>
        <v>2.9961200611314E-2</v>
      </c>
      <c r="O291" s="3">
        <f t="shared" si="273"/>
        <v>2.994681194615138E-2</v>
      </c>
      <c r="P291" s="3">
        <f t="shared" si="273"/>
        <v>2.9803304800780629E-2</v>
      </c>
      <c r="Q291" s="3">
        <f t="shared" si="273"/>
        <v>2.8405518044913921E-2</v>
      </c>
      <c r="R291" s="3">
        <f t="shared" si="273"/>
        <v>1.7570560329862334E-2</v>
      </c>
      <c r="S291" s="3">
        <f t="shared" si="273"/>
        <v>1.4408361131469934E-4</v>
      </c>
      <c r="T291" s="3">
        <f t="shared" si="273"/>
        <v>1.981090527501902E-25</v>
      </c>
      <c r="U291" s="3">
        <f t="shared" si="273"/>
        <v>4.7841158138709642E-234</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3.3253137152511318E-2</v>
      </c>
      <c r="C292" s="3">
        <f t="shared" si="274"/>
        <v>3.3253137152511318E-2</v>
      </c>
      <c r="D292" s="3">
        <f t="shared" si="274"/>
        <v>3.3253137152511304E-2</v>
      </c>
      <c r="E292" s="3">
        <f t="shared" si="274"/>
        <v>3.3253137152511159E-2</v>
      </c>
      <c r="F292" s="3">
        <f t="shared" si="274"/>
        <v>3.3253137152509715E-2</v>
      </c>
      <c r="G292" s="3">
        <f t="shared" si="274"/>
        <v>3.3253137152495303E-2</v>
      </c>
      <c r="H292" s="3">
        <f t="shared" si="274"/>
        <v>3.3253137152351217E-2</v>
      </c>
      <c r="I292" s="3">
        <f t="shared" si="274"/>
        <v>3.3253137150910279E-2</v>
      </c>
      <c r="J292" s="3">
        <f t="shared" si="274"/>
        <v>3.325313713650091E-2</v>
      </c>
      <c r="K292" s="3">
        <f t="shared" si="274"/>
        <v>3.325313699240727E-2</v>
      </c>
      <c r="L292" s="3">
        <f t="shared" si="274"/>
        <v>3.3253135551470914E-2</v>
      </c>
      <c r="M292" s="3">
        <f t="shared" si="274"/>
        <v>3.3253121142110716E-2</v>
      </c>
      <c r="N292" s="3">
        <f t="shared" si="274"/>
        <v>3.3252977048852189E-2</v>
      </c>
      <c r="O292" s="3">
        <f t="shared" si="274"/>
        <v>3.3251536150607858E-2</v>
      </c>
      <c r="P292" s="3">
        <f t="shared" si="274"/>
        <v>3.3237130601706223E-2</v>
      </c>
      <c r="Q292" s="3">
        <f t="shared" si="274"/>
        <v>3.3093417916999199E-2</v>
      </c>
      <c r="R292" s="3">
        <f t="shared" si="274"/>
        <v>3.169002819615592E-2</v>
      </c>
      <c r="S292" s="3">
        <f t="shared" si="274"/>
        <v>2.0546253576187307E-2</v>
      </c>
      <c r="T292" s="3">
        <f t="shared" si="274"/>
        <v>2.6967011804694506E-4</v>
      </c>
      <c r="U292" s="3">
        <f t="shared" si="274"/>
        <v>4.091048614383688E-23</v>
      </c>
      <c r="V292" s="3">
        <f t="shared" si="274"/>
        <v>2.6415132331361545E-211</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3.5952334962287925E-2</v>
      </c>
      <c r="C293" s="3">
        <f t="shared" si="275"/>
        <v>3.5952334962287925E-2</v>
      </c>
      <c r="D293" s="3">
        <f t="shared" si="275"/>
        <v>3.5952334962287925E-2</v>
      </c>
      <c r="E293" s="3">
        <f t="shared" si="275"/>
        <v>3.5952334962287912E-2</v>
      </c>
      <c r="F293" s="3">
        <f t="shared" si="275"/>
        <v>3.5952334962287773E-2</v>
      </c>
      <c r="G293" s="3">
        <f t="shared" si="275"/>
        <v>3.5952334962286364E-2</v>
      </c>
      <c r="H293" s="3">
        <f t="shared" si="275"/>
        <v>3.5952334962272313E-2</v>
      </c>
      <c r="I293" s="3">
        <f t="shared" si="275"/>
        <v>3.5952334962131773E-2</v>
      </c>
      <c r="J293" s="3">
        <f t="shared" si="275"/>
        <v>3.5952334960726424E-2</v>
      </c>
      <c r="K293" s="3">
        <f t="shared" si="275"/>
        <v>3.5952334946672874E-2</v>
      </c>
      <c r="L293" s="3">
        <f t="shared" si="275"/>
        <v>3.595233480613743E-2</v>
      </c>
      <c r="M293" s="3">
        <f t="shared" si="275"/>
        <v>3.5952333400782986E-2</v>
      </c>
      <c r="N293" s="3">
        <f t="shared" si="275"/>
        <v>3.5952319347241579E-2</v>
      </c>
      <c r="O293" s="3">
        <f t="shared" si="275"/>
        <v>3.595217881212965E-2</v>
      </c>
      <c r="P293" s="3">
        <f t="shared" si="275"/>
        <v>3.5950773491223789E-2</v>
      </c>
      <c r="Q293" s="3">
        <f t="shared" si="275"/>
        <v>3.5936723303073639E-2</v>
      </c>
      <c r="R293" s="3">
        <f t="shared" si="275"/>
        <v>3.5796523075955773E-2</v>
      </c>
      <c r="S293" s="3">
        <f t="shared" si="275"/>
        <v>3.442425448242916E-2</v>
      </c>
      <c r="T293" s="3">
        <f t="shared" si="275"/>
        <v>2.3286355542158989E-2</v>
      </c>
      <c r="U293" s="3">
        <f t="shared" si="275"/>
        <v>4.6716610887002007E-4</v>
      </c>
      <c r="V293" s="3">
        <f t="shared" si="275"/>
        <v>4.9336618074070344E-21</v>
      </c>
      <c r="W293" s="3">
        <f t="shared" si="275"/>
        <v>8.5143176654330654E-191</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4.1559944347360683E-2</v>
      </c>
      <c r="C294" s="3">
        <f t="shared" si="276"/>
        <v>4.1559944347360683E-2</v>
      </c>
      <c r="D294" s="3">
        <f t="shared" si="276"/>
        <v>4.1559944347360683E-2</v>
      </c>
      <c r="E294" s="3">
        <f t="shared" si="276"/>
        <v>4.1559944347360683E-2</v>
      </c>
      <c r="F294" s="3">
        <f t="shared" si="276"/>
        <v>4.1559944347360663E-2</v>
      </c>
      <c r="G294" s="3">
        <f t="shared" si="276"/>
        <v>4.1559944347360524E-2</v>
      </c>
      <c r="H294" s="3">
        <f t="shared" si="276"/>
        <v>4.1559944347359053E-2</v>
      </c>
      <c r="I294" s="3">
        <f t="shared" si="276"/>
        <v>4.1559944347344398E-2</v>
      </c>
      <c r="J294" s="3">
        <f t="shared" si="276"/>
        <v>4.1559944347197855E-2</v>
      </c>
      <c r="K294" s="3">
        <f t="shared" si="276"/>
        <v>4.1559944345732368E-2</v>
      </c>
      <c r="L294" s="3">
        <f t="shared" si="276"/>
        <v>4.1559944331077556E-2</v>
      </c>
      <c r="M294" s="3">
        <f t="shared" si="276"/>
        <v>4.1559944184529407E-2</v>
      </c>
      <c r="N294" s="3">
        <f t="shared" si="276"/>
        <v>4.1559942719047983E-2</v>
      </c>
      <c r="O294" s="3">
        <f t="shared" si="276"/>
        <v>4.155992806423655E-2</v>
      </c>
      <c r="P294" s="3">
        <f t="shared" si="276"/>
        <v>4.1559781516406429E-2</v>
      </c>
      <c r="Q294" s="3">
        <f t="shared" si="276"/>
        <v>4.1558316066526366E-2</v>
      </c>
      <c r="R294" s="3">
        <f t="shared" si="276"/>
        <v>4.1543664409472943E-2</v>
      </c>
      <c r="S294" s="3">
        <f t="shared" si="276"/>
        <v>4.1397431643243138E-2</v>
      </c>
      <c r="T294" s="3">
        <f t="shared" si="276"/>
        <v>3.9963117601470949E-2</v>
      </c>
      <c r="U294" s="3">
        <f t="shared" si="276"/>
        <v>2.8087882165603501E-2</v>
      </c>
      <c r="V294" s="3">
        <f t="shared" si="276"/>
        <v>8.2625733736130453E-4</v>
      </c>
      <c r="W294" s="3">
        <f t="shared" si="276"/>
        <v>4.0093934409232998E-19</v>
      </c>
      <c r="X294" s="3">
        <f t="shared" si="276"/>
        <v>2.9020984399978888E-172</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4.609677170559115E-2</v>
      </c>
      <c r="C295" s="3">
        <f t="shared" si="277"/>
        <v>4.609677170559115E-2</v>
      </c>
      <c r="D295" s="3">
        <f t="shared" si="277"/>
        <v>4.609677170559115E-2</v>
      </c>
      <c r="E295" s="3">
        <f t="shared" si="277"/>
        <v>4.609677170559115E-2</v>
      </c>
      <c r="F295" s="3">
        <f t="shared" si="277"/>
        <v>4.609677170559115E-2</v>
      </c>
      <c r="G295" s="3">
        <f t="shared" si="277"/>
        <v>4.6096771705591136E-2</v>
      </c>
      <c r="H295" s="3">
        <f t="shared" si="277"/>
        <v>4.6096771705590983E-2</v>
      </c>
      <c r="I295" s="3">
        <f t="shared" si="277"/>
        <v>4.6096771705589519E-2</v>
      </c>
      <c r="J295" s="3">
        <f t="shared" si="277"/>
        <v>4.6096771705574857E-2</v>
      </c>
      <c r="K295" s="3">
        <f t="shared" si="277"/>
        <v>4.6096771705428224E-2</v>
      </c>
      <c r="L295" s="3">
        <f t="shared" si="277"/>
        <v>4.6096771703961925E-2</v>
      </c>
      <c r="M295" s="3">
        <f t="shared" si="277"/>
        <v>4.6096771689298939E-2</v>
      </c>
      <c r="N295" s="3">
        <f t="shared" si="277"/>
        <v>4.6096771542669064E-2</v>
      </c>
      <c r="O295" s="3">
        <f t="shared" si="277"/>
        <v>4.6096770076370315E-2</v>
      </c>
      <c r="P295" s="3">
        <f t="shared" si="277"/>
        <v>4.6096755413385357E-2</v>
      </c>
      <c r="Q295" s="3">
        <f t="shared" si="277"/>
        <v>4.6096608783792341E-2</v>
      </c>
      <c r="R295" s="3">
        <f t="shared" si="277"/>
        <v>4.6095142513514785E-2</v>
      </c>
      <c r="S295" s="3">
        <f t="shared" si="277"/>
        <v>4.6080482375697625E-2</v>
      </c>
      <c r="T295" s="3">
        <f t="shared" si="277"/>
        <v>4.5934137191747229E-2</v>
      </c>
      <c r="U295" s="3">
        <f t="shared" si="277"/>
        <v>4.4496005797900536E-2</v>
      </c>
      <c r="V295" s="3">
        <f t="shared" si="277"/>
        <v>3.2372458100983915E-2</v>
      </c>
      <c r="W295" s="3">
        <f t="shared" si="277"/>
        <v>1.344999648303763E-3</v>
      </c>
      <c r="X295" s="3">
        <f t="shared" si="277"/>
        <v>2.0615178716279911E-17</v>
      </c>
      <c r="Y295" s="3">
        <f t="shared" si="277"/>
        <v>1.4751508626156593E-155</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5.5576139774485327E-2</v>
      </c>
      <c r="C296" s="3">
        <f t="shared" si="278"/>
        <v>5.5576139774485327E-2</v>
      </c>
      <c r="D296" s="3">
        <f t="shared" si="278"/>
        <v>5.5576139774485327E-2</v>
      </c>
      <c r="E296" s="3">
        <f t="shared" si="278"/>
        <v>5.5576139774485327E-2</v>
      </c>
      <c r="F296" s="3">
        <f t="shared" si="278"/>
        <v>5.5576139774485327E-2</v>
      </c>
      <c r="G296" s="3">
        <f t="shared" si="278"/>
        <v>5.5576139774485327E-2</v>
      </c>
      <c r="H296" s="3">
        <f t="shared" si="278"/>
        <v>5.5576139774485306E-2</v>
      </c>
      <c r="I296" s="3">
        <f t="shared" si="278"/>
        <v>5.5576139774485146E-2</v>
      </c>
      <c r="J296" s="3">
        <f t="shared" si="278"/>
        <v>5.5576139774483557E-2</v>
      </c>
      <c r="K296" s="3">
        <f t="shared" si="278"/>
        <v>5.5576139774467605E-2</v>
      </c>
      <c r="L296" s="3">
        <f t="shared" si="278"/>
        <v>5.5576139774308135E-2</v>
      </c>
      <c r="M296" s="3">
        <f t="shared" si="278"/>
        <v>5.5576139772713411E-2</v>
      </c>
      <c r="N296" s="3">
        <f t="shared" si="278"/>
        <v>5.5576139756766112E-2</v>
      </c>
      <c r="O296" s="3">
        <f t="shared" si="278"/>
        <v>5.5576139597293198E-2</v>
      </c>
      <c r="P296" s="3">
        <f t="shared" si="278"/>
        <v>5.5576138002564085E-2</v>
      </c>
      <c r="Q296" s="3">
        <f t="shared" si="278"/>
        <v>5.557612205527545E-2</v>
      </c>
      <c r="R296" s="3">
        <f t="shared" si="278"/>
        <v>5.5575962582640775E-2</v>
      </c>
      <c r="S296" s="3">
        <f t="shared" si="278"/>
        <v>5.5574367881461674E-2</v>
      </c>
      <c r="T296" s="3">
        <f t="shared" si="278"/>
        <v>5.5558423386170723E-2</v>
      </c>
      <c r="U296" s="3">
        <f t="shared" si="278"/>
        <v>5.5399229816294637E-2</v>
      </c>
      <c r="V296" s="3">
        <f t="shared" si="278"/>
        <v>5.3832167564573166E-2</v>
      </c>
      <c r="W296" s="3">
        <f t="shared" si="278"/>
        <v>4.0403898203793406E-2</v>
      </c>
      <c r="X296" s="3">
        <f t="shared" si="278"/>
        <v>2.2921196239198915E-3</v>
      </c>
      <c r="Y296" s="3">
        <f t="shared" si="278"/>
        <v>7.9136600583635852E-16</v>
      </c>
      <c r="Z296" s="3">
        <f t="shared" si="278"/>
        <v>1.9044891522927285E-140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6.5368051844924516E-2</v>
      </c>
      <c r="C297" s="3">
        <f t="shared" si="279"/>
        <v>6.5368051844924516E-2</v>
      </c>
      <c r="D297" s="3">
        <f t="shared" si="279"/>
        <v>6.5368051844924516E-2</v>
      </c>
      <c r="E297" s="3">
        <f t="shared" si="279"/>
        <v>6.5368051844924516E-2</v>
      </c>
      <c r="F297" s="3">
        <f t="shared" si="279"/>
        <v>6.5368051844924516E-2</v>
      </c>
      <c r="G297" s="3">
        <f t="shared" si="279"/>
        <v>6.5368051844924516E-2</v>
      </c>
      <c r="H297" s="3">
        <f t="shared" si="279"/>
        <v>6.5368051844924516E-2</v>
      </c>
      <c r="I297" s="3">
        <f t="shared" si="279"/>
        <v>6.5368051844924488E-2</v>
      </c>
      <c r="J297" s="3">
        <f t="shared" si="279"/>
        <v>6.5368051844924321E-2</v>
      </c>
      <c r="K297" s="3">
        <f t="shared" si="279"/>
        <v>6.5368051844922642E-2</v>
      </c>
      <c r="L297" s="3">
        <f t="shared" si="279"/>
        <v>6.5368051844905711E-2</v>
      </c>
      <c r="M297" s="3">
        <f t="shared" si="279"/>
        <v>6.5368051844736513E-2</v>
      </c>
      <c r="N297" s="3">
        <f t="shared" si="279"/>
        <v>6.5368051843044478E-2</v>
      </c>
      <c r="O297" s="3">
        <f t="shared" si="279"/>
        <v>6.5368051826124068E-2</v>
      </c>
      <c r="P297" s="3">
        <f t="shared" si="279"/>
        <v>6.5368051656920043E-2</v>
      </c>
      <c r="Q297" s="3">
        <f t="shared" si="279"/>
        <v>6.536804996487984E-2</v>
      </c>
      <c r="R297" s="3">
        <f t="shared" si="279"/>
        <v>6.5368033044480175E-2</v>
      </c>
      <c r="S297" s="3">
        <f t="shared" si="279"/>
        <v>6.5367863840724433E-2</v>
      </c>
      <c r="T297" s="3">
        <f t="shared" si="279"/>
        <v>6.5366171827255709E-2</v>
      </c>
      <c r="U297" s="3">
        <f t="shared" si="279"/>
        <v>6.5349254101210799E-2</v>
      </c>
      <c r="V297" s="3">
        <f t="shared" si="279"/>
        <v>6.5180317474463664E-2</v>
      </c>
      <c r="W297" s="3">
        <f t="shared" si="279"/>
        <v>6.3514785700071616E-2</v>
      </c>
      <c r="X297" s="3">
        <f t="shared" si="279"/>
        <v>4.9029616201032571E-2</v>
      </c>
      <c r="Y297" s="3">
        <f t="shared" si="279"/>
        <v>3.683791648738049E-3</v>
      </c>
      <c r="Z297" s="3">
        <f t="shared" si="279"/>
        <v>2.1118385458882379E-14</v>
      </c>
      <c r="AA297" s="3">
        <f t="shared" si="279"/>
        <v>8.0968715082748299E-127</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6.6907973989911038E-2</v>
      </c>
      <c r="C298" s="3">
        <f t="shared" si="280"/>
        <v>6.6907973989911038E-2</v>
      </c>
      <c r="D298" s="3">
        <f t="shared" si="280"/>
        <v>6.6907973989911038E-2</v>
      </c>
      <c r="E298" s="3">
        <f t="shared" si="280"/>
        <v>6.6907973989911038E-2</v>
      </c>
      <c r="F298" s="3">
        <f t="shared" si="280"/>
        <v>6.6907973989911038E-2</v>
      </c>
      <c r="G298" s="3">
        <f t="shared" si="280"/>
        <v>6.6907973989911038E-2</v>
      </c>
      <c r="H298" s="3">
        <f t="shared" si="280"/>
        <v>6.6907973989911038E-2</v>
      </c>
      <c r="I298" s="3">
        <f t="shared" si="280"/>
        <v>6.6907973989911038E-2</v>
      </c>
      <c r="J298" s="3">
        <f t="shared" si="280"/>
        <v>6.6907973989911024E-2</v>
      </c>
      <c r="K298" s="3">
        <f t="shared" si="280"/>
        <v>6.6907973989910871E-2</v>
      </c>
      <c r="L298" s="3">
        <f t="shared" si="280"/>
        <v>6.6907973989909303E-2</v>
      </c>
      <c r="M298" s="3">
        <f t="shared" si="280"/>
        <v>6.6907973989893677E-2</v>
      </c>
      <c r="N298" s="3">
        <f t="shared" si="280"/>
        <v>6.690797398973744E-2</v>
      </c>
      <c r="O298" s="3">
        <f t="shared" si="280"/>
        <v>6.6907973988175135E-2</v>
      </c>
      <c r="P298" s="3">
        <f t="shared" si="280"/>
        <v>6.6907973972551937E-2</v>
      </c>
      <c r="Q298" s="3">
        <f t="shared" si="280"/>
        <v>6.6907973816320077E-2</v>
      </c>
      <c r="R298" s="3">
        <f t="shared" si="280"/>
        <v>6.6907972254001469E-2</v>
      </c>
      <c r="S298" s="3">
        <f t="shared" si="280"/>
        <v>6.6907956630817306E-2</v>
      </c>
      <c r="T298" s="3">
        <f t="shared" si="280"/>
        <v>6.6907800399176348E-2</v>
      </c>
      <c r="U298" s="3">
        <f t="shared" si="280"/>
        <v>6.6906238102830945E-2</v>
      </c>
      <c r="V298" s="3">
        <f t="shared" si="280"/>
        <v>6.6890617145614464E-2</v>
      </c>
      <c r="W298" s="3">
        <f t="shared" si="280"/>
        <v>6.6734608023979153E-2</v>
      </c>
      <c r="X298" s="3">
        <f t="shared" si="280"/>
        <v>6.5194389755765983E-2</v>
      </c>
      <c r="Y298" s="3">
        <f t="shared" si="280"/>
        <v>5.161801869495939E-2</v>
      </c>
      <c r="Z298" s="3">
        <f t="shared" si="280"/>
        <v>4.9970349978623804E-3</v>
      </c>
      <c r="AA298" s="3">
        <f t="shared" si="280"/>
        <v>3.6126259457737716E-13</v>
      </c>
      <c r="AB298" s="3">
        <f t="shared" si="280"/>
        <v>1.4090585913774844E-114</v>
      </c>
      <c r="AC298" s="3">
        <f t="shared" si="280"/>
        <v>0</v>
      </c>
      <c r="AD298" s="3">
        <f t="shared" si="280"/>
        <v>0</v>
      </c>
      <c r="AE298" s="3">
        <f t="shared" si="280"/>
        <v>0</v>
      </c>
      <c r="AF298" s="3">
        <f t="shared" si="280"/>
        <v>0</v>
      </c>
      <c r="AG298" s="3"/>
      <c r="AH298" s="3"/>
    </row>
    <row r="299" spans="2:34" x14ac:dyDescent="0.25">
      <c r="B299" s="3">
        <f t="shared" ref="B299:AF299" si="281">$C29*EXP(-B$285/$A29/EXP(-$F$126))</f>
        <v>5.3174535073566002E-2</v>
      </c>
      <c r="C299" s="3">
        <f t="shared" si="281"/>
        <v>5.3174535073566002E-2</v>
      </c>
      <c r="D299" s="3">
        <f t="shared" si="281"/>
        <v>5.3174535073566002E-2</v>
      </c>
      <c r="E299" s="3">
        <f t="shared" si="281"/>
        <v>5.3174535073566002E-2</v>
      </c>
      <c r="F299" s="3">
        <f t="shared" si="281"/>
        <v>5.3174535073566002E-2</v>
      </c>
      <c r="G299" s="3">
        <f t="shared" si="281"/>
        <v>5.3174535073566002E-2</v>
      </c>
      <c r="H299" s="3">
        <f t="shared" si="281"/>
        <v>5.3174535073566002E-2</v>
      </c>
      <c r="I299" s="3">
        <f t="shared" si="281"/>
        <v>5.3174535073566002E-2</v>
      </c>
      <c r="J299" s="3">
        <f t="shared" si="281"/>
        <v>5.3174535073566002E-2</v>
      </c>
      <c r="K299" s="3">
        <f t="shared" si="281"/>
        <v>5.3174535073565989E-2</v>
      </c>
      <c r="L299" s="3">
        <f t="shared" si="281"/>
        <v>5.3174535073565878E-2</v>
      </c>
      <c r="M299" s="3">
        <f t="shared" si="281"/>
        <v>5.3174535073564753E-2</v>
      </c>
      <c r="N299" s="3">
        <f t="shared" si="281"/>
        <v>5.3174535073553561E-2</v>
      </c>
      <c r="O299" s="3">
        <f t="shared" si="281"/>
        <v>5.3174535073441546E-2</v>
      </c>
      <c r="P299" s="3">
        <f t="shared" si="281"/>
        <v>5.3174535072321491E-2</v>
      </c>
      <c r="Q299" s="3">
        <f t="shared" si="281"/>
        <v>5.3174535061120867E-2</v>
      </c>
      <c r="R299" s="3">
        <f t="shared" si="281"/>
        <v>5.3174534949114678E-2</v>
      </c>
      <c r="S299" s="3">
        <f t="shared" si="281"/>
        <v>5.3174533829052788E-2</v>
      </c>
      <c r="T299" s="3">
        <f t="shared" si="281"/>
        <v>5.3174522628435167E-2</v>
      </c>
      <c r="U299" s="3">
        <f t="shared" si="281"/>
        <v>5.3174410622388729E-2</v>
      </c>
      <c r="V299" s="3">
        <f t="shared" si="281"/>
        <v>5.3173290574900237E-2</v>
      </c>
      <c r="W299" s="3">
        <f t="shared" si="281"/>
        <v>5.3162091397509562E-2</v>
      </c>
      <c r="X299" s="3">
        <f t="shared" si="281"/>
        <v>5.3050229271960576E-2</v>
      </c>
      <c r="Y299" s="3">
        <f t="shared" si="281"/>
        <v>5.1944472375838352E-2</v>
      </c>
      <c r="Z299" s="3">
        <f t="shared" si="281"/>
        <v>4.2078483597722247E-2</v>
      </c>
      <c r="AA299" s="3">
        <f t="shared" si="281"/>
        <v>5.1199709057120372E-3</v>
      </c>
      <c r="AB299" s="3">
        <f t="shared" si="281"/>
        <v>3.642014064434494E-12</v>
      </c>
      <c r="AC299" s="3">
        <f t="shared" si="281"/>
        <v>1.2080443359347651E-103</v>
      </c>
      <c r="AD299" s="3">
        <f t="shared" si="281"/>
        <v>0</v>
      </c>
      <c r="AE299" s="3">
        <f t="shared" si="281"/>
        <v>0</v>
      </c>
      <c r="AF299" s="3">
        <f t="shared" si="281"/>
        <v>0</v>
      </c>
      <c r="AG299" s="3"/>
      <c r="AH299" s="3"/>
    </row>
    <row r="300" spans="2:34" x14ac:dyDescent="0.25">
      <c r="B300" s="3">
        <f t="shared" ref="B300:AF300" si="282">$C30*EXP(-B$285/$A30/EXP(-$F$126))</f>
        <v>3.2923061735419888E-2</v>
      </c>
      <c r="C300" s="3">
        <f t="shared" si="282"/>
        <v>3.2923061735419888E-2</v>
      </c>
      <c r="D300" s="3">
        <f t="shared" si="282"/>
        <v>3.2923061735419888E-2</v>
      </c>
      <c r="E300" s="3">
        <f t="shared" si="282"/>
        <v>3.2923061735419888E-2</v>
      </c>
      <c r="F300" s="3">
        <f t="shared" si="282"/>
        <v>3.2923061735419888E-2</v>
      </c>
      <c r="G300" s="3">
        <f t="shared" si="282"/>
        <v>3.2923061735419888E-2</v>
      </c>
      <c r="H300" s="3">
        <f t="shared" si="282"/>
        <v>3.2923061735419888E-2</v>
      </c>
      <c r="I300" s="3">
        <f t="shared" si="282"/>
        <v>3.2923061735419888E-2</v>
      </c>
      <c r="J300" s="3">
        <f t="shared" si="282"/>
        <v>3.2923061735419888E-2</v>
      </c>
      <c r="K300" s="3">
        <f t="shared" si="282"/>
        <v>3.2923061735419888E-2</v>
      </c>
      <c r="L300" s="3">
        <f t="shared" si="282"/>
        <v>3.2923061735419881E-2</v>
      </c>
      <c r="M300" s="3">
        <f t="shared" si="282"/>
        <v>3.2923061735419819E-2</v>
      </c>
      <c r="N300" s="3">
        <f t="shared" si="282"/>
        <v>3.2923061735419194E-2</v>
      </c>
      <c r="O300" s="3">
        <f t="shared" si="282"/>
        <v>3.2923061735412935E-2</v>
      </c>
      <c r="P300" s="3">
        <f t="shared" si="282"/>
        <v>3.2923061735350374E-2</v>
      </c>
      <c r="Q300" s="3">
        <f t="shared" si="282"/>
        <v>3.2923061734724791E-2</v>
      </c>
      <c r="R300" s="3">
        <f t="shared" si="282"/>
        <v>3.2923061728468962E-2</v>
      </c>
      <c r="S300" s="3">
        <f t="shared" si="282"/>
        <v>3.2923061665910636E-2</v>
      </c>
      <c r="T300" s="3">
        <f t="shared" si="282"/>
        <v>3.2923061040327363E-2</v>
      </c>
      <c r="U300" s="3">
        <f t="shared" si="282"/>
        <v>3.2923054784495288E-2</v>
      </c>
      <c r="V300" s="3">
        <f t="shared" si="282"/>
        <v>3.2922992226239921E-2</v>
      </c>
      <c r="W300" s="3">
        <f t="shared" si="282"/>
        <v>3.2922366650224015E-2</v>
      </c>
      <c r="X300" s="3">
        <f t="shared" si="282"/>
        <v>3.2916111543795562E-2</v>
      </c>
      <c r="Y300" s="3">
        <f t="shared" si="282"/>
        <v>3.2853625806633757E-2</v>
      </c>
      <c r="Z300" s="3">
        <f t="shared" si="282"/>
        <v>3.2235255451512422E-2</v>
      </c>
      <c r="AA300" s="3">
        <f t="shared" si="282"/>
        <v>2.6656873708494896E-2</v>
      </c>
      <c r="AB300" s="3">
        <f t="shared" si="282"/>
        <v>3.9864855768343586E-3</v>
      </c>
      <c r="AC300" s="3">
        <f t="shared" si="282"/>
        <v>2.2304886837383284E-11</v>
      </c>
      <c r="AD300" s="3">
        <f t="shared" si="282"/>
        <v>6.706536535767719E-94</v>
      </c>
      <c r="AE300" s="3">
        <f t="shared" si="282"/>
        <v>0</v>
      </c>
      <c r="AF300" s="3">
        <f t="shared" si="282"/>
        <v>0</v>
      </c>
      <c r="AG300" s="3"/>
      <c r="AH300" s="3"/>
    </row>
    <row r="301" spans="2:34" x14ac:dyDescent="0.25">
      <c r="B301" s="3">
        <f t="shared" ref="B301:AF301" si="283">$C31*EXP(-B$285/$A31/EXP(-$F$126))</f>
        <v>1.6325787748200139E-2</v>
      </c>
      <c r="C301" s="3">
        <f t="shared" si="283"/>
        <v>1.6325787748200139E-2</v>
      </c>
      <c r="D301" s="3">
        <f t="shared" si="283"/>
        <v>1.6325787748200139E-2</v>
      </c>
      <c r="E301" s="3">
        <f t="shared" si="283"/>
        <v>1.6325787748200139E-2</v>
      </c>
      <c r="F301" s="3">
        <f t="shared" si="283"/>
        <v>1.6325787748200139E-2</v>
      </c>
      <c r="G301" s="3">
        <f t="shared" si="283"/>
        <v>1.6325787748200139E-2</v>
      </c>
      <c r="H301" s="3">
        <f t="shared" si="283"/>
        <v>1.6325787748200139E-2</v>
      </c>
      <c r="I301" s="3">
        <f t="shared" si="283"/>
        <v>1.6325787748200139E-2</v>
      </c>
      <c r="J301" s="3">
        <f t="shared" si="283"/>
        <v>1.6325787748200139E-2</v>
      </c>
      <c r="K301" s="3">
        <f t="shared" si="283"/>
        <v>1.6325787748200139E-2</v>
      </c>
      <c r="L301" s="3">
        <f t="shared" si="283"/>
        <v>1.6325787748200139E-2</v>
      </c>
      <c r="M301" s="3">
        <f t="shared" si="283"/>
        <v>1.6325787748200135E-2</v>
      </c>
      <c r="N301" s="3">
        <f t="shared" si="283"/>
        <v>1.6325787748200107E-2</v>
      </c>
      <c r="O301" s="3">
        <f t="shared" si="283"/>
        <v>1.6325787748199826E-2</v>
      </c>
      <c r="P301" s="3">
        <f t="shared" si="283"/>
        <v>1.632578774819703E-2</v>
      </c>
      <c r="Q301" s="3">
        <f t="shared" si="283"/>
        <v>1.6325787748169045E-2</v>
      </c>
      <c r="R301" s="3">
        <f t="shared" si="283"/>
        <v>1.632578774788921E-2</v>
      </c>
      <c r="S301" s="3">
        <f t="shared" si="283"/>
        <v>1.6325787745090834E-2</v>
      </c>
      <c r="T301" s="3">
        <f t="shared" si="283"/>
        <v>1.6325787717107101E-2</v>
      </c>
      <c r="U301" s="3">
        <f t="shared" si="283"/>
        <v>1.6325787437269774E-2</v>
      </c>
      <c r="V301" s="3">
        <f t="shared" si="283"/>
        <v>1.6325784638896734E-2</v>
      </c>
      <c r="W301" s="3">
        <f t="shared" si="283"/>
        <v>1.632575665519273E-2</v>
      </c>
      <c r="X301" s="3">
        <f t="shared" si="283"/>
        <v>1.6325476820790823E-2</v>
      </c>
      <c r="Y301" s="3">
        <f t="shared" si="283"/>
        <v>1.6322678740568388E-2</v>
      </c>
      <c r="Z301" s="3">
        <f t="shared" si="283"/>
        <v>1.6294724301284699E-2</v>
      </c>
      <c r="AA301" s="3">
        <f t="shared" si="283"/>
        <v>1.6017799559248667E-2</v>
      </c>
      <c r="AB301" s="3">
        <f t="shared" si="283"/>
        <v>1.3494637855393994E-2</v>
      </c>
      <c r="AC301" s="3">
        <f t="shared" si="283"/>
        <v>2.4307764997981082E-3</v>
      </c>
      <c r="AD301" s="3">
        <f t="shared" si="283"/>
        <v>8.7414399190347634E-11</v>
      </c>
      <c r="AE301" s="3">
        <f t="shared" si="283"/>
        <v>3.1620043000022133E-85</v>
      </c>
      <c r="AF301" s="3">
        <f t="shared" si="283"/>
        <v>0</v>
      </c>
      <c r="AG301" s="3"/>
      <c r="AH301" s="3"/>
    </row>
    <row r="302" spans="2:34" x14ac:dyDescent="0.25">
      <c r="B302" s="3">
        <f t="shared" ref="B302:AF302" si="284">$C32*EXP(-B$285/$A32/EXP(-$F$126))</f>
        <v>7.8974635041155969E-3</v>
      </c>
      <c r="C302" s="3">
        <f t="shared" si="284"/>
        <v>7.8974635041155969E-3</v>
      </c>
      <c r="D302" s="3">
        <f t="shared" si="284"/>
        <v>7.8974635041155969E-3</v>
      </c>
      <c r="E302" s="3">
        <f t="shared" si="284"/>
        <v>7.8974635041155969E-3</v>
      </c>
      <c r="F302" s="3">
        <f t="shared" si="284"/>
        <v>7.8974635041155969E-3</v>
      </c>
      <c r="G302" s="3">
        <f t="shared" si="284"/>
        <v>7.8974635041155969E-3</v>
      </c>
      <c r="H302" s="3">
        <f t="shared" si="284"/>
        <v>7.8974635041155969E-3</v>
      </c>
      <c r="I302" s="3">
        <f t="shared" si="284"/>
        <v>7.8974635041155969E-3</v>
      </c>
      <c r="J302" s="3">
        <f t="shared" si="284"/>
        <v>7.8974635041155969E-3</v>
      </c>
      <c r="K302" s="3">
        <f t="shared" si="284"/>
        <v>7.8974635041155969E-3</v>
      </c>
      <c r="L302" s="3">
        <f t="shared" si="284"/>
        <v>7.8974635041155969E-3</v>
      </c>
      <c r="M302" s="3">
        <f t="shared" si="284"/>
        <v>7.8974635041155969E-3</v>
      </c>
      <c r="N302" s="3">
        <f t="shared" si="284"/>
        <v>7.8974635041155952E-3</v>
      </c>
      <c r="O302" s="3">
        <f t="shared" si="284"/>
        <v>7.897463504115583E-3</v>
      </c>
      <c r="P302" s="3">
        <f t="shared" si="284"/>
        <v>7.8974635041154616E-3</v>
      </c>
      <c r="Q302" s="3">
        <f t="shared" si="284"/>
        <v>7.8974635041142403E-3</v>
      </c>
      <c r="R302" s="3">
        <f t="shared" si="284"/>
        <v>7.8974635041020279E-3</v>
      </c>
      <c r="S302" s="3">
        <f t="shared" si="284"/>
        <v>7.8974635039799155E-3</v>
      </c>
      <c r="T302" s="3">
        <f t="shared" si="284"/>
        <v>7.8974635027587742E-3</v>
      </c>
      <c r="U302" s="3">
        <f t="shared" si="284"/>
        <v>7.897463490547367E-3</v>
      </c>
      <c r="V302" s="3">
        <f t="shared" si="284"/>
        <v>7.8974633684332912E-3</v>
      </c>
      <c r="W302" s="3">
        <f t="shared" si="284"/>
        <v>7.8974621472926512E-3</v>
      </c>
      <c r="X302" s="3">
        <f t="shared" si="284"/>
        <v>7.8974499358966371E-3</v>
      </c>
      <c r="Y302" s="3">
        <f t="shared" si="284"/>
        <v>7.8973278229749894E-3</v>
      </c>
      <c r="Z302" s="3">
        <f t="shared" si="284"/>
        <v>7.8961067976019133E-3</v>
      </c>
      <c r="AA302" s="3">
        <f t="shared" si="284"/>
        <v>7.8839069222727976E-3</v>
      </c>
      <c r="AB302" s="3">
        <f t="shared" si="284"/>
        <v>7.7629400960340265E-3</v>
      </c>
      <c r="AC302" s="3">
        <f t="shared" si="284"/>
        <v>6.6507971225587279E-3</v>
      </c>
      <c r="AD302" s="3">
        <f t="shared" si="284"/>
        <v>1.4169298634568537E-3</v>
      </c>
      <c r="AE302" s="3">
        <f t="shared" si="284"/>
        <v>2.7295740963842141E-10</v>
      </c>
      <c r="AF302" s="3">
        <f t="shared" si="284"/>
        <v>1.9211453859134289E-77</v>
      </c>
      <c r="AG302" s="3"/>
      <c r="AH302" s="3"/>
    </row>
    <row r="303" spans="2:34" x14ac:dyDescent="0.25">
      <c r="B303" s="3">
        <f t="shared" ref="B303:AF303" si="285">$C33*EXP(-B$285/$A33/EXP(-$F$126))</f>
        <v>4.1550471728530186E-3</v>
      </c>
      <c r="C303" s="3">
        <f t="shared" si="285"/>
        <v>4.1550471728530186E-3</v>
      </c>
      <c r="D303" s="3">
        <f t="shared" si="285"/>
        <v>4.1550471728530186E-3</v>
      </c>
      <c r="E303" s="3">
        <f t="shared" si="285"/>
        <v>4.1550471728530186E-3</v>
      </c>
      <c r="F303" s="3">
        <f t="shared" si="285"/>
        <v>4.1550471728530186E-3</v>
      </c>
      <c r="G303" s="3">
        <f t="shared" si="285"/>
        <v>4.1550471728530186E-3</v>
      </c>
      <c r="H303" s="3">
        <f t="shared" si="285"/>
        <v>4.1550471728530186E-3</v>
      </c>
      <c r="I303" s="3">
        <f t="shared" si="285"/>
        <v>4.1550471728530186E-3</v>
      </c>
      <c r="J303" s="3">
        <f t="shared" si="285"/>
        <v>4.1550471728530186E-3</v>
      </c>
      <c r="K303" s="3">
        <f t="shared" si="285"/>
        <v>4.1550471728530186E-3</v>
      </c>
      <c r="L303" s="3">
        <f t="shared" si="285"/>
        <v>4.1550471728530186E-3</v>
      </c>
      <c r="M303" s="3">
        <f t="shared" si="285"/>
        <v>4.1550471728530186E-3</v>
      </c>
      <c r="N303" s="3">
        <f t="shared" si="285"/>
        <v>4.1550471728530186E-3</v>
      </c>
      <c r="O303" s="3">
        <f t="shared" si="285"/>
        <v>4.1550471728530177E-3</v>
      </c>
      <c r="P303" s="3">
        <f t="shared" si="285"/>
        <v>4.1550471728530125E-3</v>
      </c>
      <c r="Q303" s="3">
        <f t="shared" si="285"/>
        <v>4.1550471728529544E-3</v>
      </c>
      <c r="R303" s="3">
        <f t="shared" si="285"/>
        <v>4.155047172852375E-3</v>
      </c>
      <c r="S303" s="3">
        <f t="shared" si="285"/>
        <v>4.1550471728465785E-3</v>
      </c>
      <c r="T303" s="3">
        <f t="shared" si="285"/>
        <v>4.1550471727886222E-3</v>
      </c>
      <c r="U303" s="3">
        <f t="shared" si="285"/>
        <v>4.1550471722090598E-3</v>
      </c>
      <c r="V303" s="3">
        <f t="shared" si="285"/>
        <v>4.1550471664134302E-3</v>
      </c>
      <c r="W303" s="3">
        <f t="shared" si="285"/>
        <v>4.1550471084571307E-3</v>
      </c>
      <c r="X303" s="3">
        <f t="shared" si="285"/>
        <v>4.1550465288941853E-3</v>
      </c>
      <c r="Y303" s="3">
        <f t="shared" si="285"/>
        <v>4.155040733269175E-3</v>
      </c>
      <c r="Z303" s="3">
        <f t="shared" si="285"/>
        <v>4.1549827774636965E-3</v>
      </c>
      <c r="AA303" s="3">
        <f t="shared" si="285"/>
        <v>4.1544032638682563E-3</v>
      </c>
      <c r="AB303" s="3">
        <f t="shared" si="285"/>
        <v>4.148612571555352E-3</v>
      </c>
      <c r="AC303" s="3">
        <f t="shared" si="285"/>
        <v>4.0911477277829535E-3</v>
      </c>
      <c r="AD303" s="3">
        <f t="shared" si="285"/>
        <v>3.5585083478161684E-3</v>
      </c>
      <c r="AE303" s="3">
        <f t="shared" si="285"/>
        <v>8.8205620783554141E-4</v>
      </c>
      <c r="AF303" s="3">
        <f t="shared" si="285"/>
        <v>7.7228745386270779E-10</v>
      </c>
      <c r="AG303" s="3"/>
      <c r="AH303" s="3"/>
    </row>
    <row r="304" spans="2:34" x14ac:dyDescent="0.25">
      <c r="B304" s="3">
        <f t="shared" ref="B304:AF304" si="286">$C34*EXP(-B$285/$A34/EXP(-$F$126))</f>
        <v>4.2575321437709054E-3</v>
      </c>
      <c r="C304" s="3">
        <f t="shared" si="286"/>
        <v>4.2575321437709054E-3</v>
      </c>
      <c r="D304" s="3">
        <f t="shared" si="286"/>
        <v>4.2575321437709054E-3</v>
      </c>
      <c r="E304" s="3">
        <f t="shared" si="286"/>
        <v>4.2575321437709054E-3</v>
      </c>
      <c r="F304" s="3">
        <f t="shared" si="286"/>
        <v>4.2575321437709054E-3</v>
      </c>
      <c r="G304" s="3">
        <f t="shared" si="286"/>
        <v>4.2575321437709054E-3</v>
      </c>
      <c r="H304" s="3">
        <f t="shared" si="286"/>
        <v>4.2575321437709054E-3</v>
      </c>
      <c r="I304" s="3">
        <f t="shared" si="286"/>
        <v>4.2575321437709054E-3</v>
      </c>
      <c r="J304" s="3">
        <f t="shared" si="286"/>
        <v>4.2575321437709054E-3</v>
      </c>
      <c r="K304" s="3">
        <f t="shared" si="286"/>
        <v>4.2575321437709054E-3</v>
      </c>
      <c r="L304" s="3">
        <f t="shared" si="286"/>
        <v>4.2575321437709054E-3</v>
      </c>
      <c r="M304" s="3">
        <f t="shared" si="286"/>
        <v>4.2575321437709054E-3</v>
      </c>
      <c r="N304" s="3">
        <f t="shared" si="286"/>
        <v>4.2575321437709054E-3</v>
      </c>
      <c r="O304" s="3">
        <f t="shared" si="286"/>
        <v>4.2575321437709054E-3</v>
      </c>
      <c r="P304" s="3">
        <f t="shared" si="286"/>
        <v>4.2575321437709045E-3</v>
      </c>
      <c r="Q304" s="3">
        <f t="shared" si="286"/>
        <v>4.2575321437708993E-3</v>
      </c>
      <c r="R304" s="3">
        <f t="shared" si="286"/>
        <v>4.2575321437708456E-3</v>
      </c>
      <c r="S304" s="3">
        <f t="shared" si="286"/>
        <v>4.2575321437703104E-3</v>
      </c>
      <c r="T304" s="3">
        <f t="shared" si="286"/>
        <v>4.2575321437649527E-3</v>
      </c>
      <c r="U304" s="3">
        <f t="shared" si="286"/>
        <v>4.2575321437113818E-3</v>
      </c>
      <c r="V304" s="3">
        <f t="shared" si="286"/>
        <v>4.2575321431756732E-3</v>
      </c>
      <c r="W304" s="3">
        <f t="shared" si="286"/>
        <v>4.2575321378185791E-3</v>
      </c>
      <c r="X304" s="3">
        <f t="shared" si="286"/>
        <v>4.2575320842476467E-3</v>
      </c>
      <c r="Y304" s="3">
        <f t="shared" si="286"/>
        <v>4.2575315485383503E-3</v>
      </c>
      <c r="Z304" s="3">
        <f t="shared" si="286"/>
        <v>4.2575261914491016E-3</v>
      </c>
      <c r="AA304" s="3">
        <f t="shared" si="286"/>
        <v>4.2574726209273434E-3</v>
      </c>
      <c r="AB304" s="3">
        <f t="shared" si="286"/>
        <v>4.2569369527813167E-3</v>
      </c>
      <c r="AC304" s="3">
        <f t="shared" si="286"/>
        <v>4.2515839767505196E-3</v>
      </c>
      <c r="AD304" s="3">
        <f t="shared" si="286"/>
        <v>4.1984230400920848E-3</v>
      </c>
      <c r="AE304" s="3">
        <f t="shared" si="286"/>
        <v>3.7020352293424593E-3</v>
      </c>
      <c r="AF304" s="3">
        <f t="shared" si="286"/>
        <v>1.0519232475724128E-3</v>
      </c>
      <c r="AG304" s="3"/>
      <c r="AH304" s="3"/>
    </row>
    <row r="305" spans="1:34" x14ac:dyDescent="0.25">
      <c r="B305" s="3">
        <f t="shared" ref="B305:AF305" si="287">$C35*EXP(-B$285/$A35/EXP(-$F$126))</f>
        <v>9.5394971617709327E-4</v>
      </c>
      <c r="C305" s="3">
        <f t="shared" si="287"/>
        <v>9.5394971617709327E-4</v>
      </c>
      <c r="D305" s="3">
        <f t="shared" si="287"/>
        <v>9.5394971617709327E-4</v>
      </c>
      <c r="E305" s="3">
        <f t="shared" si="287"/>
        <v>9.5394971617709327E-4</v>
      </c>
      <c r="F305" s="3">
        <f t="shared" si="287"/>
        <v>9.5394971617709327E-4</v>
      </c>
      <c r="G305" s="3">
        <f t="shared" si="287"/>
        <v>9.5394971617709327E-4</v>
      </c>
      <c r="H305" s="3">
        <f t="shared" si="287"/>
        <v>9.5394971617709327E-4</v>
      </c>
      <c r="I305" s="3">
        <f t="shared" si="287"/>
        <v>9.5394971617709327E-4</v>
      </c>
      <c r="J305" s="3">
        <f t="shared" si="287"/>
        <v>9.5394971617709327E-4</v>
      </c>
      <c r="K305" s="3">
        <f t="shared" si="287"/>
        <v>9.5394971617709327E-4</v>
      </c>
      <c r="L305" s="3">
        <f t="shared" si="287"/>
        <v>9.5394971617709327E-4</v>
      </c>
      <c r="M305" s="3">
        <f t="shared" si="287"/>
        <v>9.5394971617709327E-4</v>
      </c>
      <c r="N305" s="3">
        <f t="shared" si="287"/>
        <v>9.5394971617709327E-4</v>
      </c>
      <c r="O305" s="3">
        <f t="shared" si="287"/>
        <v>9.5394971617709327E-4</v>
      </c>
      <c r="P305" s="3">
        <f t="shared" si="287"/>
        <v>9.5394971617709327E-4</v>
      </c>
      <c r="Q305" s="3">
        <f t="shared" si="287"/>
        <v>9.5394971617709316E-4</v>
      </c>
      <c r="R305" s="3">
        <f t="shared" si="287"/>
        <v>9.5394971617709207E-4</v>
      </c>
      <c r="S305" s="3">
        <f t="shared" si="287"/>
        <v>9.5394971617708123E-4</v>
      </c>
      <c r="T305" s="3">
        <f t="shared" si="287"/>
        <v>9.5394971617697292E-4</v>
      </c>
      <c r="U305" s="3">
        <f t="shared" si="287"/>
        <v>9.5394971617589013E-4</v>
      </c>
      <c r="V305" s="3">
        <f t="shared" si="287"/>
        <v>9.539497161650622E-4</v>
      </c>
      <c r="W305" s="3">
        <f t="shared" si="287"/>
        <v>9.5394971605678358E-4</v>
      </c>
      <c r="X305" s="3">
        <f t="shared" si="287"/>
        <v>9.5394971497399564E-4</v>
      </c>
      <c r="Y305" s="3">
        <f t="shared" si="287"/>
        <v>9.5394970414611777E-4</v>
      </c>
      <c r="Z305" s="3">
        <f t="shared" si="287"/>
        <v>9.539495958673451E-4</v>
      </c>
      <c r="AA305" s="3">
        <f t="shared" si="287"/>
        <v>9.5394851308029519E-4</v>
      </c>
      <c r="AB305" s="3">
        <f t="shared" si="287"/>
        <v>9.5393768527739134E-4</v>
      </c>
      <c r="AC305" s="3">
        <f t="shared" si="287"/>
        <v>9.5382941400768296E-4</v>
      </c>
      <c r="AD305" s="3">
        <f t="shared" si="287"/>
        <v>9.5274737695981242E-4</v>
      </c>
      <c r="AE305" s="3">
        <f t="shared" si="287"/>
        <v>9.4199428850861298E-4</v>
      </c>
      <c r="AF305" s="3">
        <f t="shared" si="287"/>
        <v>8.4091741719804244E-4</v>
      </c>
      <c r="AG305" s="3"/>
      <c r="AH305" s="3"/>
    </row>
    <row r="306" spans="1:34" x14ac:dyDescent="0.25">
      <c r="B306" s="3">
        <f t="shared" ref="B306:AF306" si="288">$C36*EXP(-B$285/$A36/EXP(-$F$126))</f>
        <v>4.0589760414466262E-3</v>
      </c>
      <c r="C306" s="3">
        <f t="shared" si="288"/>
        <v>4.0589760414466262E-3</v>
      </c>
      <c r="D306" s="3">
        <f t="shared" si="288"/>
        <v>4.0589760414466262E-3</v>
      </c>
      <c r="E306" s="3">
        <f t="shared" si="288"/>
        <v>4.0589760414466262E-3</v>
      </c>
      <c r="F306" s="3">
        <f t="shared" si="288"/>
        <v>4.0589760414466262E-3</v>
      </c>
      <c r="G306" s="3">
        <f t="shared" si="288"/>
        <v>4.0589760414466262E-3</v>
      </c>
      <c r="H306" s="3">
        <f t="shared" si="288"/>
        <v>4.0589760414466262E-3</v>
      </c>
      <c r="I306" s="3">
        <f t="shared" si="288"/>
        <v>4.0589760414466262E-3</v>
      </c>
      <c r="J306" s="3">
        <f t="shared" si="288"/>
        <v>4.0589760414466262E-3</v>
      </c>
      <c r="K306" s="3">
        <f t="shared" si="288"/>
        <v>4.0589760414466262E-3</v>
      </c>
      <c r="L306" s="3">
        <f t="shared" si="288"/>
        <v>4.0589760414466262E-3</v>
      </c>
      <c r="M306" s="3">
        <f t="shared" si="288"/>
        <v>4.0589760414466262E-3</v>
      </c>
      <c r="N306" s="3">
        <f t="shared" si="288"/>
        <v>4.0589760414466262E-3</v>
      </c>
      <c r="O306" s="3">
        <f t="shared" si="288"/>
        <v>4.0589760414466262E-3</v>
      </c>
      <c r="P306" s="3">
        <f t="shared" si="288"/>
        <v>4.0589760414466262E-3</v>
      </c>
      <c r="Q306" s="3">
        <f t="shared" si="288"/>
        <v>4.0589760414466262E-3</v>
      </c>
      <c r="R306" s="3">
        <f t="shared" si="288"/>
        <v>4.0589760414466254E-3</v>
      </c>
      <c r="S306" s="3">
        <f t="shared" si="288"/>
        <v>4.0589760414466219E-3</v>
      </c>
      <c r="T306" s="3">
        <f t="shared" si="288"/>
        <v>4.0589760414465803E-3</v>
      </c>
      <c r="U306" s="3">
        <f t="shared" si="288"/>
        <v>4.0589760414461639E-3</v>
      </c>
      <c r="V306" s="3">
        <f t="shared" si="288"/>
        <v>4.0589760414420084E-3</v>
      </c>
      <c r="W306" s="3">
        <f t="shared" si="288"/>
        <v>4.0589760414004479E-3</v>
      </c>
      <c r="X306" s="3">
        <f t="shared" si="288"/>
        <v>4.0589760409848429E-3</v>
      </c>
      <c r="Y306" s="3">
        <f t="shared" si="288"/>
        <v>4.0589760368287906E-3</v>
      </c>
      <c r="Z306" s="3">
        <f t="shared" si="288"/>
        <v>4.0589759952682734E-3</v>
      </c>
      <c r="AA306" s="3">
        <f t="shared" si="288"/>
        <v>4.0589755796631207E-3</v>
      </c>
      <c r="AB306" s="3">
        <f t="shared" si="288"/>
        <v>4.0589714236139406E-3</v>
      </c>
      <c r="AC306" s="3">
        <f t="shared" si="288"/>
        <v>4.0589298633561801E-3</v>
      </c>
      <c r="AD306" s="3">
        <f t="shared" si="288"/>
        <v>4.0585142841825629E-3</v>
      </c>
      <c r="AE306" s="3">
        <f t="shared" si="288"/>
        <v>4.0543608319585254E-3</v>
      </c>
      <c r="AF306" s="3">
        <f t="shared" si="288"/>
        <v>4.0130593770320092E-3</v>
      </c>
      <c r="AG306" s="3"/>
      <c r="AH306" s="3"/>
    </row>
    <row r="307" spans="1:34" x14ac:dyDescent="0.25">
      <c r="B307" s="3">
        <f t="shared" ref="B307:AF307" si="289">$C37*EXP(-B$285/$A37/EXP(-$F$126))</f>
        <v>1.8079022275700322E-3</v>
      </c>
      <c r="C307" s="3">
        <f t="shared" si="289"/>
        <v>1.8079022275700322E-3</v>
      </c>
      <c r="D307" s="3">
        <f t="shared" si="289"/>
        <v>1.8079022275700322E-3</v>
      </c>
      <c r="E307" s="3">
        <f t="shared" si="289"/>
        <v>1.8079022275700322E-3</v>
      </c>
      <c r="F307" s="3">
        <f t="shared" si="289"/>
        <v>1.8079022275700322E-3</v>
      </c>
      <c r="G307" s="3">
        <f t="shared" si="289"/>
        <v>1.8079022275700322E-3</v>
      </c>
      <c r="H307" s="3">
        <f t="shared" si="289"/>
        <v>1.8079022275700322E-3</v>
      </c>
      <c r="I307" s="3">
        <f t="shared" si="289"/>
        <v>1.8079022275700322E-3</v>
      </c>
      <c r="J307" s="3">
        <f t="shared" si="289"/>
        <v>1.8079022275700322E-3</v>
      </c>
      <c r="K307" s="3">
        <f t="shared" si="289"/>
        <v>1.8079022275700322E-3</v>
      </c>
      <c r="L307" s="3">
        <f t="shared" si="289"/>
        <v>1.8079022275700322E-3</v>
      </c>
      <c r="M307" s="3">
        <f t="shared" si="289"/>
        <v>1.8079022275700322E-3</v>
      </c>
      <c r="N307" s="3">
        <f t="shared" si="289"/>
        <v>1.8079022275700322E-3</v>
      </c>
      <c r="O307" s="3">
        <f t="shared" si="289"/>
        <v>1.8079022275700322E-3</v>
      </c>
      <c r="P307" s="3">
        <f t="shared" si="289"/>
        <v>1.8079022275700322E-3</v>
      </c>
      <c r="Q307" s="3">
        <f t="shared" si="289"/>
        <v>1.8079022275700322E-3</v>
      </c>
      <c r="R307" s="3">
        <f t="shared" si="289"/>
        <v>1.8079022275700322E-3</v>
      </c>
      <c r="S307" s="3">
        <f t="shared" si="289"/>
        <v>1.8079022275700319E-3</v>
      </c>
      <c r="T307" s="3">
        <f t="shared" si="289"/>
        <v>1.8079022275700304E-3</v>
      </c>
      <c r="U307" s="3">
        <f t="shared" si="289"/>
        <v>1.8079022275700137E-3</v>
      </c>
      <c r="V307" s="3">
        <f t="shared" si="289"/>
        <v>1.8079022275698468E-3</v>
      </c>
      <c r="W307" s="3">
        <f t="shared" si="289"/>
        <v>1.8079022275681767E-3</v>
      </c>
      <c r="X307" s="3">
        <f t="shared" si="289"/>
        <v>1.8079022275514778E-3</v>
      </c>
      <c r="Y307" s="3">
        <f t="shared" si="289"/>
        <v>1.8079022273844896E-3</v>
      </c>
      <c r="Z307" s="3">
        <f t="shared" si="289"/>
        <v>1.8079022257146068E-3</v>
      </c>
      <c r="AA307" s="3">
        <f t="shared" si="289"/>
        <v>1.807902209015779E-3</v>
      </c>
      <c r="AB307" s="3">
        <f t="shared" si="289"/>
        <v>1.8079020420275077E-3</v>
      </c>
      <c r="AC307" s="3">
        <f t="shared" si="289"/>
        <v>1.8079003721456449E-3</v>
      </c>
      <c r="AD307" s="3">
        <f t="shared" si="289"/>
        <v>1.8078836734118479E-3</v>
      </c>
      <c r="AE307" s="3">
        <f t="shared" si="289"/>
        <v>1.8077166945567563E-3</v>
      </c>
      <c r="AF307" s="3">
        <f t="shared" si="289"/>
        <v>1.8060477540038518E-3</v>
      </c>
      <c r="AG307" s="3"/>
      <c r="AH307" s="3"/>
    </row>
    <row r="308" spans="1:34" x14ac:dyDescent="0.25">
      <c r="B308" s="3">
        <f t="shared" ref="B308:AF308" si="290">$C38*EXP(-B$285/$A38/EXP(-$F$126))</f>
        <v>6.6593482592524332E-4</v>
      </c>
      <c r="C308" s="3">
        <f t="shared" si="290"/>
        <v>6.6593482592524332E-4</v>
      </c>
      <c r="D308" s="3">
        <f t="shared" si="290"/>
        <v>6.6593482592524332E-4</v>
      </c>
      <c r="E308" s="3">
        <f t="shared" si="290"/>
        <v>6.6593482592524332E-4</v>
      </c>
      <c r="F308" s="3">
        <f t="shared" si="290"/>
        <v>6.6593482592524332E-4</v>
      </c>
      <c r="G308" s="3">
        <f t="shared" si="290"/>
        <v>6.6593482592524332E-4</v>
      </c>
      <c r="H308" s="3">
        <f t="shared" si="290"/>
        <v>6.6593482592524332E-4</v>
      </c>
      <c r="I308" s="3">
        <f t="shared" si="290"/>
        <v>6.6593482592524332E-4</v>
      </c>
      <c r="J308" s="3">
        <f t="shared" si="290"/>
        <v>6.6593482592524332E-4</v>
      </c>
      <c r="K308" s="3">
        <f t="shared" si="290"/>
        <v>6.6593482592524332E-4</v>
      </c>
      <c r="L308" s="3">
        <f t="shared" si="290"/>
        <v>6.6593482592524332E-4</v>
      </c>
      <c r="M308" s="3">
        <f t="shared" si="290"/>
        <v>6.6593482592524332E-4</v>
      </c>
      <c r="N308" s="3">
        <f t="shared" si="290"/>
        <v>6.6593482592524332E-4</v>
      </c>
      <c r="O308" s="3">
        <f t="shared" si="290"/>
        <v>6.6593482592524332E-4</v>
      </c>
      <c r="P308" s="3">
        <f t="shared" si="290"/>
        <v>6.6593482592524332E-4</v>
      </c>
      <c r="Q308" s="3">
        <f t="shared" si="290"/>
        <v>6.6593482592524332E-4</v>
      </c>
      <c r="R308" s="3">
        <f t="shared" si="290"/>
        <v>6.6593482592524332E-4</v>
      </c>
      <c r="S308" s="3">
        <f t="shared" si="290"/>
        <v>6.6593482592524332E-4</v>
      </c>
      <c r="T308" s="3">
        <f t="shared" si="290"/>
        <v>6.6593482592524321E-4</v>
      </c>
      <c r="U308" s="3">
        <f t="shared" si="290"/>
        <v>6.6593482592524277E-4</v>
      </c>
      <c r="V308" s="3">
        <f t="shared" si="290"/>
        <v>6.6593482592523714E-4</v>
      </c>
      <c r="W308" s="3">
        <f t="shared" si="290"/>
        <v>6.6593482592518162E-4</v>
      </c>
      <c r="X308" s="3">
        <f t="shared" si="290"/>
        <v>6.6593482592462673E-4</v>
      </c>
      <c r="Y308" s="3">
        <f t="shared" si="290"/>
        <v>6.6593482591907811E-4</v>
      </c>
      <c r="Z308" s="3">
        <f t="shared" si="290"/>
        <v>6.6593482586359135E-4</v>
      </c>
      <c r="AA308" s="3">
        <f t="shared" si="290"/>
        <v>6.6593482530872378E-4</v>
      </c>
      <c r="AB308" s="3">
        <f t="shared" si="290"/>
        <v>6.6593481976004768E-4</v>
      </c>
      <c r="AC308" s="3">
        <f t="shared" si="290"/>
        <v>6.6593476427328981E-4</v>
      </c>
      <c r="AD308" s="3">
        <f t="shared" si="290"/>
        <v>6.6593420940596563E-4</v>
      </c>
      <c r="AE308" s="3">
        <f t="shared" si="290"/>
        <v>6.6592866075815087E-4</v>
      </c>
      <c r="AF308" s="3">
        <f t="shared" si="290"/>
        <v>6.658731768227023E-4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5.5929921649114952E-4</v>
      </c>
      <c r="C310" s="3">
        <f t="shared" si="292"/>
        <v>5.5929921649114952E-4</v>
      </c>
      <c r="D310" s="3">
        <f t="shared" si="292"/>
        <v>5.5929921649114952E-4</v>
      </c>
      <c r="E310" s="3">
        <f t="shared" si="292"/>
        <v>5.5929921649114952E-4</v>
      </c>
      <c r="F310" s="3">
        <f t="shared" si="292"/>
        <v>5.5929921649114952E-4</v>
      </c>
      <c r="G310" s="3">
        <f t="shared" si="292"/>
        <v>5.5929921649114952E-4</v>
      </c>
      <c r="H310" s="3">
        <f t="shared" si="292"/>
        <v>5.5929921649114952E-4</v>
      </c>
      <c r="I310" s="3">
        <f t="shared" si="292"/>
        <v>5.5929921649114952E-4</v>
      </c>
      <c r="J310" s="3">
        <f t="shared" si="292"/>
        <v>5.5929921649114952E-4</v>
      </c>
      <c r="K310" s="3">
        <f t="shared" si="292"/>
        <v>5.5929921649114952E-4</v>
      </c>
      <c r="L310" s="3">
        <f t="shared" si="292"/>
        <v>5.5929921649114952E-4</v>
      </c>
      <c r="M310" s="3">
        <f t="shared" si="292"/>
        <v>5.5929921649114952E-4</v>
      </c>
      <c r="N310" s="3">
        <f t="shared" si="292"/>
        <v>5.5929921649114952E-4</v>
      </c>
      <c r="O310" s="3">
        <f t="shared" si="292"/>
        <v>5.5929921649114952E-4</v>
      </c>
      <c r="P310" s="3">
        <f t="shared" si="292"/>
        <v>5.5929921649114952E-4</v>
      </c>
      <c r="Q310" s="3">
        <f t="shared" si="292"/>
        <v>5.5929921649114952E-4</v>
      </c>
      <c r="R310" s="3">
        <f t="shared" si="292"/>
        <v>5.5929921649114952E-4</v>
      </c>
      <c r="S310" s="3">
        <f t="shared" si="292"/>
        <v>5.5929921649114952E-4</v>
      </c>
      <c r="T310" s="3">
        <f t="shared" si="292"/>
        <v>5.5929921649114952E-4</v>
      </c>
      <c r="U310" s="3">
        <f t="shared" si="292"/>
        <v>5.5929921649114952E-4</v>
      </c>
      <c r="V310" s="3">
        <f t="shared" si="292"/>
        <v>5.5929921649114942E-4</v>
      </c>
      <c r="W310" s="3">
        <f t="shared" si="292"/>
        <v>5.5929921649114811E-4</v>
      </c>
      <c r="X310" s="3">
        <f t="shared" si="292"/>
        <v>5.5929921649113521E-4</v>
      </c>
      <c r="Y310" s="3">
        <f t="shared" si="292"/>
        <v>5.592992164910063E-4</v>
      </c>
      <c r="Z310" s="3">
        <f t="shared" si="292"/>
        <v>5.592992164897174E-4</v>
      </c>
      <c r="AA310" s="3">
        <f t="shared" si="292"/>
        <v>5.5929921647682851E-4</v>
      </c>
      <c r="AB310" s="3">
        <f t="shared" si="292"/>
        <v>5.5929921634793997E-4</v>
      </c>
      <c r="AC310" s="3">
        <f t="shared" si="292"/>
        <v>5.5929921505905333E-4</v>
      </c>
      <c r="AD310" s="3">
        <f t="shared" si="292"/>
        <v>5.5929920217018725E-4</v>
      </c>
      <c r="AE310" s="3">
        <f t="shared" si="292"/>
        <v>5.5929907328154292E-4</v>
      </c>
      <c r="AF310" s="3">
        <f t="shared" si="292"/>
        <v>5.5929778439673403E-4</v>
      </c>
      <c r="AG310" s="3"/>
      <c r="AH310" s="3"/>
    </row>
    <row r="311" spans="1:34" x14ac:dyDescent="0.25">
      <c r="B311" s="3">
        <f t="shared" ref="B311:AF311" si="293">$C41*EXP(-B$285/$A41/EXP(-$F$126))</f>
        <v>0</v>
      </c>
      <c r="C311" s="3">
        <f t="shared" si="293"/>
        <v>0</v>
      </c>
      <c r="D311" s="3">
        <f t="shared" si="293"/>
        <v>0</v>
      </c>
      <c r="E311" s="3">
        <f t="shared" si="293"/>
        <v>0</v>
      </c>
      <c r="F311" s="3">
        <f t="shared" si="293"/>
        <v>0</v>
      </c>
      <c r="G311" s="3">
        <f t="shared" si="293"/>
        <v>0</v>
      </c>
      <c r="H311" s="3">
        <f t="shared" si="293"/>
        <v>0</v>
      </c>
      <c r="I311" s="3">
        <f t="shared" si="293"/>
        <v>0</v>
      </c>
      <c r="J311" s="3">
        <f t="shared" si="293"/>
        <v>0</v>
      </c>
      <c r="K311" s="3">
        <f t="shared" si="293"/>
        <v>0</v>
      </c>
      <c r="L311" s="3">
        <f t="shared" si="293"/>
        <v>0</v>
      </c>
      <c r="M311" s="3">
        <f t="shared" si="293"/>
        <v>0</v>
      </c>
      <c r="N311" s="3">
        <f t="shared" si="293"/>
        <v>0</v>
      </c>
      <c r="O311" s="3">
        <f t="shared" si="293"/>
        <v>0</v>
      </c>
      <c r="P311" s="3">
        <f t="shared" si="293"/>
        <v>0</v>
      </c>
      <c r="Q311" s="3">
        <f t="shared" si="293"/>
        <v>0</v>
      </c>
      <c r="R311" s="3">
        <f t="shared" si="293"/>
        <v>0</v>
      </c>
      <c r="S311" s="3">
        <f t="shared" si="293"/>
        <v>0</v>
      </c>
      <c r="T311" s="3">
        <f t="shared" si="293"/>
        <v>0</v>
      </c>
      <c r="U311" s="3">
        <f t="shared" si="293"/>
        <v>0</v>
      </c>
      <c r="V311" s="3">
        <f t="shared" si="293"/>
        <v>0</v>
      </c>
      <c r="W311" s="3">
        <f t="shared" si="293"/>
        <v>0</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1.7201579278298637E-4</v>
      </c>
      <c r="C312" s="3">
        <f t="shared" si="294"/>
        <v>1.7201579278298637E-4</v>
      </c>
      <c r="D312" s="3">
        <f t="shared" si="294"/>
        <v>1.7201579278298637E-4</v>
      </c>
      <c r="E312" s="3">
        <f t="shared" si="294"/>
        <v>1.7201579278298637E-4</v>
      </c>
      <c r="F312" s="3">
        <f t="shared" si="294"/>
        <v>1.7201579278298637E-4</v>
      </c>
      <c r="G312" s="3">
        <f t="shared" si="294"/>
        <v>1.7201579278298637E-4</v>
      </c>
      <c r="H312" s="3">
        <f t="shared" si="294"/>
        <v>1.7201579278298637E-4</v>
      </c>
      <c r="I312" s="3">
        <f t="shared" si="294"/>
        <v>1.7201579278298637E-4</v>
      </c>
      <c r="J312" s="3">
        <f t="shared" si="294"/>
        <v>1.7201579278298637E-4</v>
      </c>
      <c r="K312" s="3">
        <f t="shared" si="294"/>
        <v>1.7201579278298637E-4</v>
      </c>
      <c r="L312" s="3">
        <f t="shared" si="294"/>
        <v>1.7201579278298637E-4</v>
      </c>
      <c r="M312" s="3">
        <f t="shared" si="294"/>
        <v>1.7201579278298637E-4</v>
      </c>
      <c r="N312" s="3">
        <f t="shared" si="294"/>
        <v>1.7201579278298637E-4</v>
      </c>
      <c r="O312" s="3">
        <f t="shared" si="294"/>
        <v>1.7201579278298637E-4</v>
      </c>
      <c r="P312" s="3">
        <f t="shared" si="294"/>
        <v>1.7201579278298637E-4</v>
      </c>
      <c r="Q312" s="3">
        <f t="shared" si="294"/>
        <v>1.7201579278298637E-4</v>
      </c>
      <c r="R312" s="3">
        <f t="shared" si="294"/>
        <v>1.7201579278298637E-4</v>
      </c>
      <c r="S312" s="3">
        <f t="shared" si="294"/>
        <v>1.7201579278298637E-4</v>
      </c>
      <c r="T312" s="3">
        <f t="shared" si="294"/>
        <v>1.7201579278298637E-4</v>
      </c>
      <c r="U312" s="3">
        <f t="shared" si="294"/>
        <v>1.7201579278298637E-4</v>
      </c>
      <c r="V312" s="3">
        <f t="shared" si="294"/>
        <v>1.7201579278298637E-4</v>
      </c>
      <c r="W312" s="3">
        <f t="shared" si="294"/>
        <v>1.7201579278298637E-4</v>
      </c>
      <c r="X312" s="3">
        <f t="shared" si="294"/>
        <v>1.7201579278298634E-4</v>
      </c>
      <c r="Y312" s="3">
        <f t="shared" si="294"/>
        <v>1.7201579278298593E-4</v>
      </c>
      <c r="Z312" s="3">
        <f t="shared" si="294"/>
        <v>1.7201579278298195E-4</v>
      </c>
      <c r="AA312" s="3">
        <f t="shared" si="294"/>
        <v>1.7201579278294232E-4</v>
      </c>
      <c r="AB312" s="3">
        <f t="shared" si="294"/>
        <v>1.7201579278254591E-4</v>
      </c>
      <c r="AC312" s="3">
        <f t="shared" si="294"/>
        <v>1.7201579277858188E-4</v>
      </c>
      <c r="AD312" s="3">
        <f t="shared" si="294"/>
        <v>1.7201579273894141E-4</v>
      </c>
      <c r="AE312" s="3">
        <f t="shared" si="294"/>
        <v>1.7201579234253669E-4</v>
      </c>
      <c r="AF312" s="3">
        <f t="shared" si="294"/>
        <v>1.7201578837848942E-4</v>
      </c>
      <c r="AG312" s="3"/>
      <c r="AH312" s="3"/>
    </row>
    <row r="313" spans="1:34" x14ac:dyDescent="0.25">
      <c r="B313" s="3">
        <f t="shared" ref="B313:AF313" si="295">$C43*EXP(-B$285/$A43/EXP(-$F$126))</f>
        <v>1.7468461922378131E-4</v>
      </c>
      <c r="C313" s="3">
        <f t="shared" si="295"/>
        <v>1.7468461922378131E-4</v>
      </c>
      <c r="D313" s="3">
        <f t="shared" si="295"/>
        <v>1.7468461922378131E-4</v>
      </c>
      <c r="E313" s="3">
        <f t="shared" si="295"/>
        <v>1.7468461922378131E-4</v>
      </c>
      <c r="F313" s="3">
        <f t="shared" si="295"/>
        <v>1.7468461922378131E-4</v>
      </c>
      <c r="G313" s="3">
        <f t="shared" si="295"/>
        <v>1.7468461922378131E-4</v>
      </c>
      <c r="H313" s="3">
        <f t="shared" si="295"/>
        <v>1.7468461922378131E-4</v>
      </c>
      <c r="I313" s="3">
        <f t="shared" si="295"/>
        <v>1.7468461922378131E-4</v>
      </c>
      <c r="J313" s="3">
        <f t="shared" si="295"/>
        <v>1.7468461922378131E-4</v>
      </c>
      <c r="K313" s="3">
        <f t="shared" si="295"/>
        <v>1.7468461922378131E-4</v>
      </c>
      <c r="L313" s="3">
        <f t="shared" si="295"/>
        <v>1.7468461922378131E-4</v>
      </c>
      <c r="M313" s="3">
        <f t="shared" si="295"/>
        <v>1.7468461922378131E-4</v>
      </c>
      <c r="N313" s="3">
        <f t="shared" si="295"/>
        <v>1.7468461922378131E-4</v>
      </c>
      <c r="O313" s="3">
        <f t="shared" si="295"/>
        <v>1.7468461922378131E-4</v>
      </c>
      <c r="P313" s="3">
        <f t="shared" si="295"/>
        <v>1.7468461922378131E-4</v>
      </c>
      <c r="Q313" s="3">
        <f t="shared" si="295"/>
        <v>1.7468461922378131E-4</v>
      </c>
      <c r="R313" s="3">
        <f t="shared" si="295"/>
        <v>1.7468461922378131E-4</v>
      </c>
      <c r="S313" s="3">
        <f t="shared" si="295"/>
        <v>1.7468461922378131E-4</v>
      </c>
      <c r="T313" s="3">
        <f t="shared" si="295"/>
        <v>1.7468461922378131E-4</v>
      </c>
      <c r="U313" s="3">
        <f t="shared" si="295"/>
        <v>1.7468461922378131E-4</v>
      </c>
      <c r="V313" s="3">
        <f t="shared" si="295"/>
        <v>1.7468461922378131E-4</v>
      </c>
      <c r="W313" s="3">
        <f t="shared" si="295"/>
        <v>1.7468461922378131E-4</v>
      </c>
      <c r="X313" s="3">
        <f t="shared" si="295"/>
        <v>1.7468461922378131E-4</v>
      </c>
      <c r="Y313" s="3">
        <f t="shared" si="295"/>
        <v>1.7468461922378128E-4</v>
      </c>
      <c r="Z313" s="3">
        <f t="shared" si="295"/>
        <v>1.7468461922378088E-4</v>
      </c>
      <c r="AA313" s="3">
        <f t="shared" si="295"/>
        <v>1.7468461922377684E-4</v>
      </c>
      <c r="AB313" s="3">
        <f t="shared" si="295"/>
        <v>1.7468461922373659E-4</v>
      </c>
      <c r="AC313" s="3">
        <f t="shared" si="295"/>
        <v>1.7468461922333402E-4</v>
      </c>
      <c r="AD313" s="3">
        <f t="shared" si="295"/>
        <v>1.7468461921930849E-4</v>
      </c>
      <c r="AE313" s="3">
        <f t="shared" si="295"/>
        <v>1.7468461917905298E-4</v>
      </c>
      <c r="AF313" s="3">
        <f t="shared" si="295"/>
        <v>1.7468461877649804E-4</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2.0999278642033111E-4</v>
      </c>
      <c r="C315" s="3">
        <f t="shared" si="297"/>
        <v>2.0999278642033111E-4</v>
      </c>
      <c r="D315" s="3">
        <f t="shared" si="297"/>
        <v>2.0999278642033111E-4</v>
      </c>
      <c r="E315" s="3">
        <f t="shared" si="297"/>
        <v>2.0999278642033111E-4</v>
      </c>
      <c r="F315" s="3">
        <f t="shared" si="297"/>
        <v>2.0999278642033111E-4</v>
      </c>
      <c r="G315" s="3">
        <f t="shared" si="297"/>
        <v>2.0999278642033111E-4</v>
      </c>
      <c r="H315" s="3">
        <f t="shared" si="297"/>
        <v>2.0999278642033111E-4</v>
      </c>
      <c r="I315" s="3">
        <f t="shared" si="297"/>
        <v>2.0999278642033111E-4</v>
      </c>
      <c r="J315" s="3">
        <f t="shared" si="297"/>
        <v>2.0999278642033111E-4</v>
      </c>
      <c r="K315" s="3">
        <f t="shared" si="297"/>
        <v>2.0999278642033111E-4</v>
      </c>
      <c r="L315" s="3">
        <f t="shared" si="297"/>
        <v>2.0999278642033111E-4</v>
      </c>
      <c r="M315" s="3">
        <f t="shared" si="297"/>
        <v>2.0999278642033111E-4</v>
      </c>
      <c r="N315" s="3">
        <f t="shared" si="297"/>
        <v>2.0999278642033111E-4</v>
      </c>
      <c r="O315" s="3">
        <f t="shared" si="297"/>
        <v>2.0999278642033111E-4</v>
      </c>
      <c r="P315" s="3">
        <f t="shared" si="297"/>
        <v>2.0999278642033111E-4</v>
      </c>
      <c r="Q315" s="3">
        <f t="shared" si="297"/>
        <v>2.0999278642033111E-4</v>
      </c>
      <c r="R315" s="3">
        <f t="shared" si="297"/>
        <v>2.0999278642033111E-4</v>
      </c>
      <c r="S315" s="3">
        <f t="shared" si="297"/>
        <v>2.0999278642033111E-4</v>
      </c>
      <c r="T315" s="3">
        <f t="shared" si="297"/>
        <v>2.0999278642033111E-4</v>
      </c>
      <c r="U315" s="3">
        <f t="shared" si="297"/>
        <v>2.0999278642033111E-4</v>
      </c>
      <c r="V315" s="3">
        <f t="shared" si="297"/>
        <v>2.0999278642033111E-4</v>
      </c>
      <c r="W315" s="3">
        <f t="shared" si="297"/>
        <v>2.0999278642033111E-4</v>
      </c>
      <c r="X315" s="3">
        <f t="shared" si="297"/>
        <v>2.0999278642033111E-4</v>
      </c>
      <c r="Y315" s="3">
        <f t="shared" si="297"/>
        <v>2.0999278642033111E-4</v>
      </c>
      <c r="Z315" s="3">
        <f t="shared" si="297"/>
        <v>2.0999278642033111E-4</v>
      </c>
      <c r="AA315" s="3">
        <f t="shared" si="297"/>
        <v>2.0999278642033106E-4</v>
      </c>
      <c r="AB315" s="3">
        <f t="shared" si="297"/>
        <v>2.0999278642033057E-4</v>
      </c>
      <c r="AC315" s="3">
        <f t="shared" si="297"/>
        <v>2.0999278642032572E-4</v>
      </c>
      <c r="AD315" s="3">
        <f t="shared" si="297"/>
        <v>2.0999278642027736E-4</v>
      </c>
      <c r="AE315" s="3">
        <f t="shared" si="297"/>
        <v>2.0999278641979343E-4</v>
      </c>
      <c r="AF315" s="3">
        <f t="shared" si="297"/>
        <v>2.099927864149542E-4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1.7320221207897527E-4</v>
      </c>
      <c r="C318" s="3">
        <f t="shared" si="300"/>
        <v>1.7320221207897527E-4</v>
      </c>
      <c r="D318" s="3">
        <f t="shared" si="300"/>
        <v>1.7320221207897527E-4</v>
      </c>
      <c r="E318" s="3">
        <f t="shared" si="300"/>
        <v>1.7320221207897527E-4</v>
      </c>
      <c r="F318" s="3">
        <f t="shared" si="300"/>
        <v>1.7320221207897527E-4</v>
      </c>
      <c r="G318" s="3">
        <f t="shared" si="300"/>
        <v>1.7320221207897527E-4</v>
      </c>
      <c r="H318" s="3">
        <f t="shared" si="300"/>
        <v>1.7320221207897527E-4</v>
      </c>
      <c r="I318" s="3">
        <f t="shared" si="300"/>
        <v>1.7320221207897527E-4</v>
      </c>
      <c r="J318" s="3">
        <f t="shared" si="300"/>
        <v>1.7320221207897527E-4</v>
      </c>
      <c r="K318" s="3">
        <f t="shared" si="300"/>
        <v>1.7320221207897527E-4</v>
      </c>
      <c r="L318" s="3">
        <f t="shared" si="300"/>
        <v>1.7320221207897527E-4</v>
      </c>
      <c r="M318" s="3">
        <f t="shared" si="300"/>
        <v>1.7320221207897527E-4</v>
      </c>
      <c r="N318" s="3">
        <f t="shared" si="300"/>
        <v>1.7320221207897527E-4</v>
      </c>
      <c r="O318" s="3">
        <f t="shared" si="300"/>
        <v>1.7320221207897527E-4</v>
      </c>
      <c r="P318" s="3">
        <f t="shared" si="300"/>
        <v>1.7320221207897527E-4</v>
      </c>
      <c r="Q318" s="3">
        <f t="shared" si="300"/>
        <v>1.7320221207897527E-4</v>
      </c>
      <c r="R318" s="3">
        <f t="shared" si="300"/>
        <v>1.7320221207897527E-4</v>
      </c>
      <c r="S318" s="3">
        <f t="shared" si="300"/>
        <v>1.7320221207897527E-4</v>
      </c>
      <c r="T318" s="3">
        <f t="shared" si="300"/>
        <v>1.7320221207897527E-4</v>
      </c>
      <c r="U318" s="3">
        <f t="shared" si="300"/>
        <v>1.7320221207897527E-4</v>
      </c>
      <c r="V318" s="3">
        <f t="shared" si="300"/>
        <v>1.7320221207897527E-4</v>
      </c>
      <c r="W318" s="3">
        <f t="shared" si="300"/>
        <v>1.7320221207897527E-4</v>
      </c>
      <c r="X318" s="3">
        <f t="shared" si="300"/>
        <v>1.7320221207897527E-4</v>
      </c>
      <c r="Y318" s="3">
        <f t="shared" si="300"/>
        <v>1.7320221207897527E-4</v>
      </c>
      <c r="Z318" s="3">
        <f t="shared" si="300"/>
        <v>1.7320221207897527E-4</v>
      </c>
      <c r="AA318" s="3">
        <f t="shared" si="300"/>
        <v>1.7320221207897527E-4</v>
      </c>
      <c r="AB318" s="3">
        <f t="shared" si="300"/>
        <v>1.7320221207897527E-4</v>
      </c>
      <c r="AC318" s="3">
        <f t="shared" si="300"/>
        <v>1.7320221207897527E-4</v>
      </c>
      <c r="AD318" s="3">
        <f t="shared" si="300"/>
        <v>1.7320221207897524E-4</v>
      </c>
      <c r="AE318" s="3">
        <f t="shared" si="300"/>
        <v>1.7320221207897484E-4</v>
      </c>
      <c r="AF318" s="3">
        <f t="shared" si="300"/>
        <v>1.7320221207897083E-4</v>
      </c>
      <c r="AG318" s="3"/>
      <c r="AH318" s="3"/>
    </row>
    <row r="319" spans="1:34" x14ac:dyDescent="0.25">
      <c r="A319" s="79">
        <f>AVERAGE(B319:AF319)</f>
        <v>2.2838643940377677E-2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0.16693470965529228</v>
      </c>
      <c r="M319" s="80">
        <f t="shared" si="301"/>
        <v>0.12586180048918419</v>
      </c>
      <c r="N319" s="80">
        <f t="shared" si="301"/>
        <v>7.8283071162998555E-2</v>
      </c>
      <c r="O319" s="80">
        <f t="shared" si="301"/>
        <v>3.7420301456907258E-2</v>
      </c>
      <c r="P319" s="80">
        <f t="shared" si="301"/>
        <v>3.4455685918611277E-2</v>
      </c>
      <c r="Q319" s="80">
        <f t="shared" si="301"/>
        <v>5.257527207344509E-2</v>
      </c>
      <c r="R319" s="80">
        <f t="shared" si="301"/>
        <v>3.3633746646986075E-2</v>
      </c>
      <c r="S319" s="80">
        <f t="shared" si="301"/>
        <v>3.1465021583735099E-3</v>
      </c>
      <c r="T319" s="80">
        <f t="shared" si="301"/>
        <v>3.3498774821014418E-2</v>
      </c>
      <c r="U319" s="80">
        <f t="shared" si="301"/>
        <v>6.4744041259117008E-2</v>
      </c>
      <c r="V319" s="80">
        <f t="shared" si="301"/>
        <v>7.7444056509778217E-2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10654.907423249375</v>
      </c>
      <c r="C320" s="21">
        <f t="shared" ref="C320:AF320" si="302">(C287-C286)^2</f>
        <v>94707.608535730265</v>
      </c>
      <c r="D320" s="21">
        <f t="shared" si="302"/>
        <v>180056.61499629758</v>
      </c>
      <c r="E320" s="21">
        <f t="shared" si="302"/>
        <v>290138.77971460973</v>
      </c>
      <c r="F320" s="21">
        <f t="shared" si="302"/>
        <v>441755.71431005368</v>
      </c>
      <c r="G320" s="21">
        <f t="shared" si="302"/>
        <v>631296.71847938152</v>
      </c>
      <c r="H320" s="21">
        <f t="shared" si="302"/>
        <v>796297.81151774782</v>
      </c>
      <c r="I320" s="21">
        <f t="shared" si="302"/>
        <v>333983.39105236292</v>
      </c>
      <c r="J320" s="21">
        <f t="shared" si="302"/>
        <v>840451.81462476531</v>
      </c>
      <c r="K320" s="21">
        <f t="shared" si="302"/>
        <v>884232.35604495194</v>
      </c>
      <c r="L320" s="21">
        <f t="shared" si="302"/>
        <v>582162.11044979608</v>
      </c>
      <c r="M320" s="21">
        <f t="shared" si="302"/>
        <v>300528.93306452711</v>
      </c>
      <c r="N320" s="21">
        <f t="shared" si="302"/>
        <v>104447.83474950853</v>
      </c>
      <c r="O320" s="21">
        <f t="shared" si="302"/>
        <v>21639.225422602216</v>
      </c>
      <c r="P320" s="21">
        <f t="shared" si="302"/>
        <v>16748.830724975061</v>
      </c>
      <c r="Q320" s="21">
        <f t="shared" si="302"/>
        <v>35286.37294371691</v>
      </c>
      <c r="R320" s="21">
        <f t="shared" si="302"/>
        <v>12742.209083373751</v>
      </c>
      <c r="S320" s="21">
        <f t="shared" si="302"/>
        <v>93.084134030452631</v>
      </c>
      <c r="T320" s="21">
        <f t="shared" si="302"/>
        <v>8541.5607999123131</v>
      </c>
      <c r="U320" s="21">
        <f t="shared" si="302"/>
        <v>25475.800350300178</v>
      </c>
      <c r="V320" s="21">
        <f t="shared" si="302"/>
        <v>28953.079931811946</v>
      </c>
      <c r="W320" s="21">
        <f t="shared" si="302"/>
        <v>19160.997852747641</v>
      </c>
      <c r="X320" s="21">
        <f t="shared" si="302"/>
        <v>3494.0258532942462</v>
      </c>
      <c r="Y320" s="21">
        <f t="shared" si="302"/>
        <v>1551.0702921650873</v>
      </c>
      <c r="Z320" s="21">
        <f t="shared" si="302"/>
        <v>11401.975906341509</v>
      </c>
      <c r="AA320" s="21">
        <f t="shared" si="302"/>
        <v>11667.850626456175</v>
      </c>
      <c r="AB320" s="21">
        <f t="shared" si="302"/>
        <v>4175.0635602552666</v>
      </c>
      <c r="AC320" s="21">
        <f t="shared" si="302"/>
        <v>227.13966582620273</v>
      </c>
      <c r="AD320" s="21">
        <f t="shared" si="302"/>
        <v>141.26974747012105</v>
      </c>
      <c r="AE320" s="21">
        <f t="shared" si="302"/>
        <v>499.28518848735473</v>
      </c>
      <c r="AF320" s="21">
        <f t="shared" si="302"/>
        <v>360.48829463519598</v>
      </c>
      <c r="AG320" s="3"/>
      <c r="AH320" s="3"/>
    </row>
    <row r="321" spans="1:34" x14ac:dyDescent="0.25">
      <c r="A321" s="71">
        <f>SUM(B321:AF321)</f>
        <v>1136619.0416545544</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582162.11044979608</v>
      </c>
      <c r="M321" s="60">
        <f t="shared" ref="M321" si="313">IF($A$64&lt;=M285,IF($B$64&gt;=M285,ABS(M320),0),0)</f>
        <v>300528.93306452711</v>
      </c>
      <c r="N321" s="60">
        <f t="shared" ref="N321" si="314">IF($A$64&lt;=N285,IF($B$64&gt;=N285,ABS(N320),0),0)</f>
        <v>104447.83474950853</v>
      </c>
      <c r="O321" s="60">
        <f t="shared" ref="O321" si="315">IF($A$64&lt;=O285,IF($B$64&gt;=O285,ABS(O320),0),0)</f>
        <v>21639.225422602216</v>
      </c>
      <c r="P321" s="60">
        <f t="shared" ref="P321" si="316">IF($A$64&lt;=P285,IF($B$64&gt;=P285,ABS(P320),0),0)</f>
        <v>16748.830724975061</v>
      </c>
      <c r="Q321" s="60">
        <f t="shared" ref="Q321" si="317">IF($A$64&lt;=Q285,IF($B$64&gt;=Q285,ABS(Q320),0),0)</f>
        <v>35286.37294371691</v>
      </c>
      <c r="R321" s="60">
        <f t="shared" ref="R321" si="318">IF($A$64&lt;=R285,IF($B$64&gt;=R285,ABS(R320),0),0)</f>
        <v>12742.209083373751</v>
      </c>
      <c r="S321" s="60">
        <f t="shared" ref="S321" si="319">IF($A$64&lt;=S285,IF($B$64&gt;=S285,ABS(S320),0),0)</f>
        <v>93.084134030452631</v>
      </c>
      <c r="T321" s="60">
        <f t="shared" ref="T321" si="320">IF($A$64&lt;=T285,IF($B$64&gt;=T285,ABS(T320),0),0)</f>
        <v>8541.5607999123131</v>
      </c>
      <c r="U321" s="60">
        <f t="shared" ref="U321" si="321">IF($A$64&lt;=U285,IF($B$64&gt;=U285,ABS(U320),0),0)</f>
        <v>25475.800350300178</v>
      </c>
      <c r="V321" s="60">
        <f t="shared" ref="V321" si="322">IF($A$64&lt;=V285,IF($B$64&gt;=V285,ABS(V320),0),0)</f>
        <v>28953.079931811946</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6024.055254755167</v>
      </c>
      <c r="C326" s="27">
        <f t="shared" ref="C326:AF326" si="333">($C$17+SUM(C327:C357))*$B$51</f>
        <v>4960.7978273599401</v>
      </c>
      <c r="D326" s="27">
        <f t="shared" si="333"/>
        <v>3809.326284547587</v>
      </c>
      <c r="E326" s="27">
        <f t="shared" si="333"/>
        <v>3807.6441809822913</v>
      </c>
      <c r="F326" s="27">
        <f t="shared" si="333"/>
        <v>3807.5818763608372</v>
      </c>
      <c r="G326" s="27">
        <f t="shared" si="333"/>
        <v>3806.9593859796405</v>
      </c>
      <c r="H326" s="27">
        <f t="shared" si="333"/>
        <v>3800.7897236636068</v>
      </c>
      <c r="I326" s="27">
        <f t="shared" si="333"/>
        <v>3744.290741820083</v>
      </c>
      <c r="J326" s="27">
        <f t="shared" si="333"/>
        <v>3482.4813599342629</v>
      </c>
      <c r="K326" s="27">
        <f t="shared" si="333"/>
        <v>3323.2061061376817</v>
      </c>
      <c r="L326" s="27">
        <f t="shared" si="333"/>
        <v>3156.5044721384365</v>
      </c>
      <c r="M326" s="27">
        <f t="shared" si="333"/>
        <v>2962.7205343452724</v>
      </c>
      <c r="N326" s="27">
        <f t="shared" si="333"/>
        <v>2751.2443838529612</v>
      </c>
      <c r="O326" s="27">
        <f t="shared" si="333"/>
        <v>2513.2795517254899</v>
      </c>
      <c r="P326" s="27">
        <f t="shared" si="333"/>
        <v>2245.2636452753513</v>
      </c>
      <c r="Q326" s="27">
        <f t="shared" si="333"/>
        <v>1934.1645911182809</v>
      </c>
      <c r="R326" s="27">
        <f t="shared" si="333"/>
        <v>1572.4947492249294</v>
      </c>
      <c r="S326" s="27">
        <f t="shared" si="333"/>
        <v>1187.0702555527359</v>
      </c>
      <c r="T326" s="27">
        <f t="shared" si="333"/>
        <v>839.05346688753082</v>
      </c>
      <c r="U326" s="27">
        <f t="shared" si="333"/>
        <v>584.72394187061764</v>
      </c>
      <c r="V326" s="27">
        <f t="shared" si="333"/>
        <v>433.72985603706866</v>
      </c>
      <c r="W326" s="27">
        <f t="shared" si="333"/>
        <v>357.15587920524126</v>
      </c>
      <c r="X326" s="27">
        <f t="shared" si="333"/>
        <v>318.04679403240527</v>
      </c>
      <c r="Y326" s="27">
        <f t="shared" si="333"/>
        <v>293.54937172504515</v>
      </c>
      <c r="Z326" s="27">
        <f t="shared" si="333"/>
        <v>273.68500235320408</v>
      </c>
      <c r="AA326" s="27">
        <f t="shared" si="333"/>
        <v>262.79030354874675</v>
      </c>
      <c r="AB326" s="27">
        <f t="shared" si="333"/>
        <v>242.81969317158351</v>
      </c>
      <c r="AC326" s="27">
        <f t="shared" si="333"/>
        <v>233.19679130772587</v>
      </c>
      <c r="AD326" s="27">
        <f t="shared" si="333"/>
        <v>229.49650538357466</v>
      </c>
      <c r="AE326" s="27">
        <f t="shared" si="333"/>
        <v>227.64542581319111</v>
      </c>
      <c r="AF326" s="27">
        <f t="shared" si="333"/>
        <v>225.89850866090566</v>
      </c>
      <c r="AG326" s="27"/>
      <c r="AH326" s="27"/>
    </row>
    <row r="327" spans="1:34" x14ac:dyDescent="0.25">
      <c r="B327" s="3">
        <f t="shared" ref="B327:AF327" si="334">$C18*EXP(-B$363/$A18/EXP(-$G$126))</f>
        <v>0.35800717423715911</v>
      </c>
      <c r="C327" s="3">
        <f t="shared" si="334"/>
        <v>0.18626333252816873</v>
      </c>
      <c r="D327" s="3">
        <f t="shared" si="334"/>
        <v>2.7069719795371454E-4</v>
      </c>
      <c r="E327" s="3">
        <f t="shared" si="334"/>
        <v>1.1377521761591497E-32</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5.8157908299629184E-2</v>
      </c>
      <c r="C328" s="3">
        <f t="shared" si="335"/>
        <v>5.8157898565789463E-2</v>
      </c>
      <c r="D328" s="3">
        <f t="shared" si="335"/>
        <v>5.8157801227481806E-2</v>
      </c>
      <c r="E328" s="3">
        <f t="shared" si="335"/>
        <v>5.8156827853365546E-2</v>
      </c>
      <c r="F328" s="3">
        <f t="shared" si="335"/>
        <v>5.814709500817087E-2</v>
      </c>
      <c r="G328" s="3">
        <f t="shared" si="335"/>
        <v>5.804985609756317E-2</v>
      </c>
      <c r="H328" s="3">
        <f t="shared" si="335"/>
        <v>5.7086365922868525E-2</v>
      </c>
      <c r="I328" s="3">
        <f t="shared" si="335"/>
        <v>4.8288630901920183E-2</v>
      </c>
      <c r="J328" s="3">
        <f t="shared" si="335"/>
        <v>9.0566971416099415E-3</v>
      </c>
      <c r="K328" s="3">
        <f t="shared" si="335"/>
        <v>4.8777481490107055E-10</v>
      </c>
      <c r="L328" s="3">
        <f t="shared" si="335"/>
        <v>1.0016468972177284E-82</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1.8919132714542899E-2</v>
      </c>
      <c r="C329" s="3">
        <f t="shared" si="336"/>
        <v>1.8919132428900115E-2</v>
      </c>
      <c r="D329" s="3">
        <f t="shared" si="336"/>
        <v>1.8919129572472489E-2</v>
      </c>
      <c r="E329" s="3">
        <f t="shared" si="336"/>
        <v>1.8919101008219977E-2</v>
      </c>
      <c r="F329" s="3">
        <f t="shared" si="336"/>
        <v>1.8918815368066798E-2</v>
      </c>
      <c r="G329" s="3">
        <f t="shared" si="336"/>
        <v>1.8915959203716609E-2</v>
      </c>
      <c r="H329" s="3">
        <f t="shared" si="336"/>
        <v>1.8887421265132782E-2</v>
      </c>
      <c r="I329" s="3">
        <f t="shared" si="336"/>
        <v>1.8604399182144873E-2</v>
      </c>
      <c r="J329" s="3">
        <f t="shared" si="336"/>
        <v>1.5997255199317228E-2</v>
      </c>
      <c r="K329" s="3">
        <f t="shared" si="336"/>
        <v>3.5346279739424712E-3</v>
      </c>
      <c r="L329" s="3">
        <f t="shared" si="336"/>
        <v>9.8022569462126252E-10</v>
      </c>
      <c r="M329" s="3">
        <f t="shared" si="336"/>
        <v>2.6372409136693704E-75</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2.9962799774044441E-2</v>
      </c>
      <c r="C330" s="3">
        <f t="shared" si="337"/>
        <v>2.9962799733235904E-2</v>
      </c>
      <c r="D330" s="3">
        <f t="shared" si="337"/>
        <v>2.996279932515054E-2</v>
      </c>
      <c r="E330" s="3">
        <f t="shared" si="337"/>
        <v>2.9962795244297204E-2</v>
      </c>
      <c r="F330" s="3">
        <f t="shared" si="337"/>
        <v>2.9962754435794395E-2</v>
      </c>
      <c r="G330" s="3">
        <f t="shared" si="337"/>
        <v>2.9962346353823208E-2</v>
      </c>
      <c r="H330" s="3">
        <f t="shared" si="337"/>
        <v>2.9958265839784989E-2</v>
      </c>
      <c r="I330" s="3">
        <f t="shared" si="337"/>
        <v>2.9917491251371258E-2</v>
      </c>
      <c r="J330" s="3">
        <f t="shared" si="337"/>
        <v>2.9512785223950729E-2</v>
      </c>
      <c r="K330" s="3">
        <f t="shared" si="337"/>
        <v>2.5754934124977272E-2</v>
      </c>
      <c r="L330" s="3">
        <f t="shared" si="337"/>
        <v>6.5972494294356011E-3</v>
      </c>
      <c r="M330" s="3">
        <f t="shared" si="337"/>
        <v>8.0239370462519654E-9</v>
      </c>
      <c r="N330" s="3">
        <f t="shared" si="337"/>
        <v>5.6837320664430618E-68</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3.3253137152057369E-2</v>
      </c>
      <c r="C331" s="3">
        <f t="shared" si="338"/>
        <v>3.3253137147971845E-2</v>
      </c>
      <c r="D331" s="3">
        <f t="shared" si="338"/>
        <v>3.3253137107116602E-2</v>
      </c>
      <c r="E331" s="3">
        <f t="shared" si="338"/>
        <v>3.3253136698564126E-2</v>
      </c>
      <c r="F331" s="3">
        <f t="shared" si="338"/>
        <v>3.3253132613039686E-2</v>
      </c>
      <c r="G331" s="3">
        <f t="shared" si="338"/>
        <v>3.3253091757822907E-2</v>
      </c>
      <c r="H331" s="3">
        <f t="shared" si="338"/>
        <v>3.3252683208415783E-2</v>
      </c>
      <c r="I331" s="3">
        <f t="shared" si="338"/>
        <v>3.324859799040477E-2</v>
      </c>
      <c r="J331" s="3">
        <f t="shared" si="338"/>
        <v>3.3207773403770895E-2</v>
      </c>
      <c r="K331" s="3">
        <f t="shared" si="338"/>
        <v>3.2802274382537265E-2</v>
      </c>
      <c r="L331" s="3">
        <f t="shared" si="338"/>
        <v>2.900988172979652E-2</v>
      </c>
      <c r="M331" s="3">
        <f t="shared" si="338"/>
        <v>8.4911393854834663E-3</v>
      </c>
      <c r="N331" s="3">
        <f t="shared" si="338"/>
        <v>3.9189172056857387E-8</v>
      </c>
      <c r="O331" s="3">
        <f t="shared" si="338"/>
        <v>1.7185701760111883E-61</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3.5952334962243648E-2</v>
      </c>
      <c r="C332" s="3">
        <f t="shared" si="339"/>
        <v>3.5952334961845189E-2</v>
      </c>
      <c r="D332" s="3">
        <f t="shared" si="339"/>
        <v>3.595233495786055E-2</v>
      </c>
      <c r="E332" s="3">
        <f t="shared" si="339"/>
        <v>3.5952334918014167E-2</v>
      </c>
      <c r="F332" s="3">
        <f t="shared" si="339"/>
        <v>3.5952334519550329E-2</v>
      </c>
      <c r="G332" s="3">
        <f t="shared" si="339"/>
        <v>3.5952330534912216E-2</v>
      </c>
      <c r="H332" s="3">
        <f t="shared" si="339"/>
        <v>3.5952290688555377E-2</v>
      </c>
      <c r="I332" s="3">
        <f t="shared" si="339"/>
        <v>3.5951892227415905E-2</v>
      </c>
      <c r="J332" s="3">
        <f t="shared" si="339"/>
        <v>3.5947907858902221E-2</v>
      </c>
      <c r="K332" s="3">
        <f t="shared" si="339"/>
        <v>3.5908088451913178E-2</v>
      </c>
      <c r="L332" s="3">
        <f t="shared" si="339"/>
        <v>3.5512312270383276E-2</v>
      </c>
      <c r="M332" s="3">
        <f t="shared" si="339"/>
        <v>3.1786711265764669E-2</v>
      </c>
      <c r="N332" s="3">
        <f t="shared" si="339"/>
        <v>1.049329924457372E-2</v>
      </c>
      <c r="O332" s="3">
        <f t="shared" si="339"/>
        <v>1.6127857183268339E-7</v>
      </c>
      <c r="P332" s="3">
        <f t="shared" si="339"/>
        <v>1.1863771615829279E-55</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4.1559944347356062E-2</v>
      </c>
      <c r="C333" s="3">
        <f t="shared" si="340"/>
        <v>4.1559944347314512E-2</v>
      </c>
      <c r="D333" s="3">
        <f t="shared" si="340"/>
        <v>4.1559944346899004E-2</v>
      </c>
      <c r="E333" s="3">
        <f t="shared" si="340"/>
        <v>4.1559944342743883E-2</v>
      </c>
      <c r="F333" s="3">
        <f t="shared" si="340"/>
        <v>4.1559944301192704E-2</v>
      </c>
      <c r="G333" s="3">
        <f t="shared" si="340"/>
        <v>4.1559943885680906E-2</v>
      </c>
      <c r="H333" s="3">
        <f t="shared" si="340"/>
        <v>4.155993973056317E-2</v>
      </c>
      <c r="I333" s="3">
        <f t="shared" si="340"/>
        <v>4.1559898179408632E-2</v>
      </c>
      <c r="J333" s="3">
        <f t="shared" si="340"/>
        <v>4.1559482670148036E-2</v>
      </c>
      <c r="K333" s="3">
        <f t="shared" si="340"/>
        <v>4.1555327806015993E-2</v>
      </c>
      <c r="L333" s="3">
        <f t="shared" si="340"/>
        <v>4.1513802003636538E-2</v>
      </c>
      <c r="M333" s="3">
        <f t="shared" si="340"/>
        <v>4.1100819447859038E-2</v>
      </c>
      <c r="N333" s="3">
        <f t="shared" si="340"/>
        <v>3.7190343633098651E-2</v>
      </c>
      <c r="O333" s="3">
        <f t="shared" si="340"/>
        <v>1.3684448389695389E-2</v>
      </c>
      <c r="P333" s="3">
        <f t="shared" si="340"/>
        <v>6.2258455717595836E-7</v>
      </c>
      <c r="Q333" s="3">
        <f t="shared" si="340"/>
        <v>2.3654230517484893E-50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4.6096771705590692E-2</v>
      </c>
      <c r="C334" s="3">
        <f t="shared" si="341"/>
        <v>4.6096771705586528E-2</v>
      </c>
      <c r="D334" s="3">
        <f t="shared" si="341"/>
        <v>4.6096771705544957E-2</v>
      </c>
      <c r="E334" s="3">
        <f t="shared" si="341"/>
        <v>4.6096771705129214E-2</v>
      </c>
      <c r="F334" s="3">
        <f t="shared" si="341"/>
        <v>4.6096771700971782E-2</v>
      </c>
      <c r="G334" s="3">
        <f t="shared" si="341"/>
        <v>4.609677165939742E-2</v>
      </c>
      <c r="H334" s="3">
        <f t="shared" si="341"/>
        <v>4.609677124365389E-2</v>
      </c>
      <c r="I334" s="3">
        <f t="shared" si="341"/>
        <v>4.6096767086218751E-2</v>
      </c>
      <c r="J334" s="3">
        <f t="shared" si="341"/>
        <v>4.6096725511888016E-2</v>
      </c>
      <c r="K334" s="3">
        <f t="shared" si="341"/>
        <v>4.6096309770642864E-2</v>
      </c>
      <c r="L334" s="3">
        <f t="shared" si="341"/>
        <v>4.6092152564409634E-2</v>
      </c>
      <c r="M334" s="3">
        <f t="shared" si="341"/>
        <v>4.6050601117022034E-2</v>
      </c>
      <c r="N334" s="3">
        <f t="shared" si="341"/>
        <v>4.5637141274965279E-2</v>
      </c>
      <c r="O334" s="3">
        <f t="shared" si="341"/>
        <v>4.1701311999536542E-2</v>
      </c>
      <c r="P334" s="3">
        <f t="shared" si="341"/>
        <v>1.6922424502694787E-2</v>
      </c>
      <c r="Q334" s="3">
        <f t="shared" si="341"/>
        <v>2.0492325640772966E-6</v>
      </c>
      <c r="R334" s="3">
        <f t="shared" si="341"/>
        <v>1.389561849711276E-45</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5.5576139774485278E-2</v>
      </c>
      <c r="C335" s="3">
        <f t="shared" si="342"/>
        <v>5.5576139774484827E-2</v>
      </c>
      <c r="D335" s="3">
        <f t="shared" si="342"/>
        <v>5.5576139774480303E-2</v>
      </c>
      <c r="E335" s="3">
        <f t="shared" si="342"/>
        <v>5.5576139774435089E-2</v>
      </c>
      <c r="F335" s="3">
        <f t="shared" si="342"/>
        <v>5.557613977398293E-2</v>
      </c>
      <c r="G335" s="3">
        <f t="shared" si="342"/>
        <v>5.5576139769461352E-2</v>
      </c>
      <c r="H335" s="3">
        <f t="shared" si="342"/>
        <v>5.5576139724245577E-2</v>
      </c>
      <c r="I335" s="3">
        <f t="shared" si="342"/>
        <v>5.5576139272087849E-2</v>
      </c>
      <c r="J335" s="3">
        <f t="shared" si="342"/>
        <v>5.5576134750510729E-2</v>
      </c>
      <c r="K335" s="3">
        <f t="shared" si="342"/>
        <v>5.5576089534759822E-2</v>
      </c>
      <c r="L335" s="3">
        <f t="shared" si="342"/>
        <v>5.5575637379273984E-2</v>
      </c>
      <c r="M335" s="3">
        <f t="shared" si="342"/>
        <v>5.5571116026736041E-2</v>
      </c>
      <c r="N335" s="3">
        <f t="shared" si="342"/>
        <v>5.552592272730926E-2</v>
      </c>
      <c r="O335" s="3">
        <f t="shared" si="342"/>
        <v>5.50760062530136E-2</v>
      </c>
      <c r="P335" s="3">
        <f t="shared" si="342"/>
        <v>5.0772553113909075E-2</v>
      </c>
      <c r="Q335" s="3">
        <f t="shared" si="342"/>
        <v>2.2505808687463959E-2</v>
      </c>
      <c r="R335" s="3">
        <f t="shared" si="342"/>
        <v>6.5909926120131917E-6</v>
      </c>
      <c r="S335" s="3">
        <f t="shared" si="342"/>
        <v>3.0585307078706016E-41</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6.5368051844924502E-2</v>
      </c>
      <c r="C336" s="3">
        <f t="shared" si="343"/>
        <v>6.536805184492446E-2</v>
      </c>
      <c r="D336" s="3">
        <f t="shared" si="343"/>
        <v>6.5368051844923988E-2</v>
      </c>
      <c r="E336" s="3">
        <f t="shared" si="343"/>
        <v>6.5368051844919187E-2</v>
      </c>
      <c r="F336" s="3">
        <f t="shared" si="343"/>
        <v>6.5368051844871211E-2</v>
      </c>
      <c r="G336" s="3">
        <f t="shared" si="343"/>
        <v>6.5368051844391456E-2</v>
      </c>
      <c r="H336" s="3">
        <f t="shared" si="343"/>
        <v>6.5368051839593974E-2</v>
      </c>
      <c r="I336" s="3">
        <f t="shared" si="343"/>
        <v>6.5368051791619114E-2</v>
      </c>
      <c r="J336" s="3">
        <f t="shared" si="343"/>
        <v>6.5368051311870512E-2</v>
      </c>
      <c r="K336" s="3">
        <f t="shared" si="343"/>
        <v>6.5368046514384701E-2</v>
      </c>
      <c r="L336" s="3">
        <f t="shared" si="343"/>
        <v>6.536799853954596E-2</v>
      </c>
      <c r="M336" s="3">
        <f t="shared" si="343"/>
        <v>6.5367518793095117E-2</v>
      </c>
      <c r="N336" s="3">
        <f t="shared" si="343"/>
        <v>6.5362721522233963E-2</v>
      </c>
      <c r="O336" s="3">
        <f t="shared" si="343"/>
        <v>6.5314768173096491E-2</v>
      </c>
      <c r="P336" s="3">
        <f t="shared" si="343"/>
        <v>6.4837165382368403E-2</v>
      </c>
      <c r="Q336" s="3">
        <f t="shared" si="343"/>
        <v>6.0249066057519771E-2</v>
      </c>
      <c r="R336" s="3">
        <f t="shared" si="343"/>
        <v>2.8921000567218427E-2</v>
      </c>
      <c r="S336" s="3">
        <f t="shared" si="343"/>
        <v>1.8786386903085175E-5</v>
      </c>
      <c r="T336" s="3">
        <f t="shared" si="343"/>
        <v>2.5127121851166485E-37</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6.6907973989911038E-2</v>
      </c>
      <c r="C337" s="3">
        <f t="shared" si="344"/>
        <v>6.6907973989911024E-2</v>
      </c>
      <c r="D337" s="3">
        <f t="shared" si="344"/>
        <v>6.6907973989910982E-2</v>
      </c>
      <c r="E337" s="3">
        <f t="shared" si="344"/>
        <v>6.6907973989910552E-2</v>
      </c>
      <c r="F337" s="3">
        <f t="shared" si="344"/>
        <v>6.6907973989906111E-2</v>
      </c>
      <c r="G337" s="3">
        <f t="shared" si="344"/>
        <v>6.6907973989861813E-2</v>
      </c>
      <c r="H337" s="3">
        <f t="shared" si="344"/>
        <v>6.6907973989418848E-2</v>
      </c>
      <c r="I337" s="3">
        <f t="shared" si="344"/>
        <v>6.6907973984989169E-2</v>
      </c>
      <c r="J337" s="3">
        <f t="shared" si="344"/>
        <v>6.6907973940692339E-2</v>
      </c>
      <c r="K337" s="3">
        <f t="shared" si="344"/>
        <v>6.6907973497724038E-2</v>
      </c>
      <c r="L337" s="3">
        <f t="shared" si="344"/>
        <v>6.6907969068041237E-2</v>
      </c>
      <c r="M337" s="3">
        <f t="shared" si="344"/>
        <v>6.6907924771229282E-2</v>
      </c>
      <c r="N337" s="3">
        <f t="shared" si="344"/>
        <v>6.6907481804722835E-2</v>
      </c>
      <c r="O337" s="3">
        <f t="shared" si="344"/>
        <v>6.6903052300952198E-2</v>
      </c>
      <c r="P337" s="3">
        <f t="shared" si="344"/>
        <v>6.6858773388698278E-2</v>
      </c>
      <c r="Q337" s="3">
        <f t="shared" si="344"/>
        <v>6.6417592868267802E-2</v>
      </c>
      <c r="R337" s="3">
        <f t="shared" si="344"/>
        <v>6.2162776241322465E-2</v>
      </c>
      <c r="S337" s="3">
        <f t="shared" si="344"/>
        <v>3.2062922638102093E-2</v>
      </c>
      <c r="T337" s="3">
        <f t="shared" si="344"/>
        <v>4.2729730817605695E-5</v>
      </c>
      <c r="U337" s="3">
        <f t="shared" si="344"/>
        <v>7.5509336577295673E-34</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5.3174535073566002E-2</v>
      </c>
      <c r="C338" s="3">
        <f t="shared" si="345"/>
        <v>5.3174535073566002E-2</v>
      </c>
      <c r="D338" s="3">
        <f t="shared" si="345"/>
        <v>5.3174535073565996E-2</v>
      </c>
      <c r="E338" s="3">
        <f t="shared" si="345"/>
        <v>5.3174535073565968E-2</v>
      </c>
      <c r="F338" s="3">
        <f t="shared" si="345"/>
        <v>5.3174535073565649E-2</v>
      </c>
      <c r="G338" s="3">
        <f t="shared" si="345"/>
        <v>5.3174535073562471E-2</v>
      </c>
      <c r="H338" s="3">
        <f t="shared" si="345"/>
        <v>5.3174535073530718E-2</v>
      </c>
      <c r="I338" s="3">
        <f t="shared" si="345"/>
        <v>5.3174535073213139E-2</v>
      </c>
      <c r="J338" s="3">
        <f t="shared" si="345"/>
        <v>5.3174535070037401E-2</v>
      </c>
      <c r="K338" s="3">
        <f t="shared" si="345"/>
        <v>5.3174535038279992E-2</v>
      </c>
      <c r="L338" s="3">
        <f t="shared" si="345"/>
        <v>5.3174534720705907E-2</v>
      </c>
      <c r="M338" s="3">
        <f t="shared" si="345"/>
        <v>5.3174531544965147E-2</v>
      </c>
      <c r="N338" s="3">
        <f t="shared" si="345"/>
        <v>5.3174499787567928E-2</v>
      </c>
      <c r="O338" s="3">
        <f t="shared" si="345"/>
        <v>5.3174182214638925E-2</v>
      </c>
      <c r="P338" s="3">
        <f t="shared" si="345"/>
        <v>5.3171006589661909E-2</v>
      </c>
      <c r="Q338" s="3">
        <f t="shared" si="345"/>
        <v>5.3139260768887309E-2</v>
      </c>
      <c r="R338" s="3">
        <f t="shared" si="345"/>
        <v>5.2822843159823191E-2</v>
      </c>
      <c r="S338" s="3">
        <f t="shared" si="345"/>
        <v>4.9760463747157972E-2</v>
      </c>
      <c r="T338" s="3">
        <f t="shared" si="345"/>
        <v>2.7384882324969315E-2</v>
      </c>
      <c r="U338" s="3">
        <f t="shared" si="345"/>
        <v>6.9787152494598371E-5</v>
      </c>
      <c r="V338" s="3">
        <f t="shared" si="345"/>
        <v>8.0616041758365484E-31</v>
      </c>
      <c r="W338" s="3">
        <f t="shared" si="345"/>
        <v>3.4109974341965341E-290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3.2923061735419888E-2</v>
      </c>
      <c r="C339" s="3">
        <f t="shared" si="346"/>
        <v>3.2923061735419888E-2</v>
      </c>
      <c r="D339" s="3">
        <f t="shared" si="346"/>
        <v>3.2923061735419888E-2</v>
      </c>
      <c r="E339" s="3">
        <f t="shared" si="346"/>
        <v>3.2923061735419881E-2</v>
      </c>
      <c r="F339" s="3">
        <f t="shared" si="346"/>
        <v>3.2923061735419867E-2</v>
      </c>
      <c r="G339" s="3">
        <f t="shared" si="346"/>
        <v>3.2923061735419694E-2</v>
      </c>
      <c r="H339" s="3">
        <f t="shared" si="346"/>
        <v>3.2923061735417918E-2</v>
      </c>
      <c r="I339" s="3">
        <f t="shared" si="346"/>
        <v>3.2923061735400182E-2</v>
      </c>
      <c r="J339" s="3">
        <f t="shared" si="346"/>
        <v>3.292306173522281E-2</v>
      </c>
      <c r="K339" s="3">
        <f t="shared" si="346"/>
        <v>3.2923061733449076E-2</v>
      </c>
      <c r="L339" s="3">
        <f t="shared" si="346"/>
        <v>3.2923061715711743E-2</v>
      </c>
      <c r="M339" s="3">
        <f t="shared" si="346"/>
        <v>3.2923061538338481E-2</v>
      </c>
      <c r="N339" s="3">
        <f t="shared" si="346"/>
        <v>3.2923059764605869E-2</v>
      </c>
      <c r="O339" s="3">
        <f t="shared" si="346"/>
        <v>3.2923042027284993E-2</v>
      </c>
      <c r="P339" s="3">
        <f t="shared" si="346"/>
        <v>3.2922864654601855E-2</v>
      </c>
      <c r="Q339" s="3">
        <f t="shared" si="346"/>
        <v>3.2921090980327278E-2</v>
      </c>
      <c r="R339" s="3">
        <f t="shared" si="346"/>
        <v>3.2903359492217232E-2</v>
      </c>
      <c r="S339" s="3">
        <f t="shared" si="346"/>
        <v>3.2726569028753948E-2</v>
      </c>
      <c r="T339" s="3">
        <f t="shared" si="346"/>
        <v>3.1010075688885693E-2</v>
      </c>
      <c r="U339" s="3">
        <f t="shared" si="346"/>
        <v>1.8093655422429342E-2</v>
      </c>
      <c r="V339" s="3">
        <f t="shared" si="346"/>
        <v>8.2748704985453019E-5</v>
      </c>
      <c r="W339" s="3">
        <f t="shared" si="346"/>
        <v>3.3121508693826289E-28</v>
      </c>
      <c r="X339" s="3">
        <f t="shared" si="346"/>
        <v>3.4962232833352187E-262</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1.6325787748200139E-2</v>
      </c>
      <c r="C340" s="3">
        <f t="shared" si="347"/>
        <v>1.6325787748200139E-2</v>
      </c>
      <c r="D340" s="3">
        <f t="shared" si="347"/>
        <v>1.6325787748200139E-2</v>
      </c>
      <c r="E340" s="3">
        <f t="shared" si="347"/>
        <v>1.6325787748200139E-2</v>
      </c>
      <c r="F340" s="3">
        <f t="shared" si="347"/>
        <v>1.6325787748200139E-2</v>
      </c>
      <c r="G340" s="3">
        <f t="shared" si="347"/>
        <v>1.6325787748200128E-2</v>
      </c>
      <c r="H340" s="3">
        <f t="shared" si="347"/>
        <v>1.6325787748200048E-2</v>
      </c>
      <c r="I340" s="3">
        <f t="shared" si="347"/>
        <v>1.6325787748199257E-2</v>
      </c>
      <c r="J340" s="3">
        <f t="shared" si="347"/>
        <v>1.6325787748191323E-2</v>
      </c>
      <c r="K340" s="3">
        <f t="shared" si="347"/>
        <v>1.632578774811198E-2</v>
      </c>
      <c r="L340" s="3">
        <f t="shared" si="347"/>
        <v>1.6325787747318549E-2</v>
      </c>
      <c r="M340" s="3">
        <f t="shared" si="347"/>
        <v>1.632578773938425E-2</v>
      </c>
      <c r="N340" s="3">
        <f t="shared" si="347"/>
        <v>1.6325787660041235E-2</v>
      </c>
      <c r="O340" s="3">
        <f t="shared" si="347"/>
        <v>1.6325786866611135E-2</v>
      </c>
      <c r="P340" s="3">
        <f t="shared" si="347"/>
        <v>1.6325778932312233E-2</v>
      </c>
      <c r="Q340" s="3">
        <f t="shared" si="347"/>
        <v>1.6325699589535329E-2</v>
      </c>
      <c r="R340" s="3">
        <f t="shared" si="347"/>
        <v>1.632490618297415E-2</v>
      </c>
      <c r="S340" s="3">
        <f t="shared" si="347"/>
        <v>1.6316974237768959E-2</v>
      </c>
      <c r="T340" s="3">
        <f t="shared" si="347"/>
        <v>1.6237866445582141E-2</v>
      </c>
      <c r="U340" s="3">
        <f t="shared" si="347"/>
        <v>1.5467578802097811E-2</v>
      </c>
      <c r="V340" s="3">
        <f t="shared" si="347"/>
        <v>9.513844733576346E-3</v>
      </c>
      <c r="W340" s="3">
        <f t="shared" si="347"/>
        <v>7.3738327168988534E-5</v>
      </c>
      <c r="X340" s="3">
        <f t="shared" si="347"/>
        <v>5.7685345242575459E-26</v>
      </c>
      <c r="Y340" s="3">
        <f t="shared" si="347"/>
        <v>4.9520799605888837E-237</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7.8974635041155969E-3</v>
      </c>
      <c r="C341" s="3">
        <f t="shared" si="348"/>
        <v>7.8974635041155969E-3</v>
      </c>
      <c r="D341" s="3">
        <f t="shared" si="348"/>
        <v>7.8974635041155969E-3</v>
      </c>
      <c r="E341" s="3">
        <f t="shared" si="348"/>
        <v>7.8974635041155969E-3</v>
      </c>
      <c r="F341" s="3">
        <f t="shared" si="348"/>
        <v>7.8974635041155969E-3</v>
      </c>
      <c r="G341" s="3">
        <f t="shared" si="348"/>
        <v>7.8974635041155969E-3</v>
      </c>
      <c r="H341" s="3">
        <f t="shared" si="348"/>
        <v>7.8974635041155934E-3</v>
      </c>
      <c r="I341" s="3">
        <f t="shared" si="348"/>
        <v>7.8974635041155587E-3</v>
      </c>
      <c r="J341" s="3">
        <f t="shared" si="348"/>
        <v>7.8974635041152118E-3</v>
      </c>
      <c r="K341" s="3">
        <f t="shared" si="348"/>
        <v>7.8974635041117493E-3</v>
      </c>
      <c r="L341" s="3">
        <f t="shared" si="348"/>
        <v>7.8974635040771259E-3</v>
      </c>
      <c r="M341" s="3">
        <f t="shared" si="348"/>
        <v>7.8974635037308942E-3</v>
      </c>
      <c r="N341" s="3">
        <f t="shared" si="348"/>
        <v>7.8974635002685614E-3</v>
      </c>
      <c r="O341" s="3">
        <f t="shared" si="348"/>
        <v>7.8974634656452363E-3</v>
      </c>
      <c r="P341" s="3">
        <f t="shared" si="348"/>
        <v>7.8974631194120067E-3</v>
      </c>
      <c r="Q341" s="3">
        <f t="shared" si="348"/>
        <v>7.8974596570805435E-3</v>
      </c>
      <c r="R341" s="3">
        <f t="shared" si="348"/>
        <v>7.8974250338493986E-3</v>
      </c>
      <c r="S341" s="3">
        <f t="shared" si="348"/>
        <v>7.8970788098863699E-3</v>
      </c>
      <c r="T341" s="3">
        <f t="shared" si="348"/>
        <v>7.8936174049635682E-3</v>
      </c>
      <c r="U341" s="3">
        <f t="shared" si="348"/>
        <v>7.8590866912428871E-3</v>
      </c>
      <c r="V341" s="3">
        <f t="shared" si="348"/>
        <v>7.5219794952119737E-3</v>
      </c>
      <c r="W341" s="3">
        <f t="shared" si="348"/>
        <v>4.8521341946274575E-3</v>
      </c>
      <c r="X341" s="3">
        <f t="shared" si="348"/>
        <v>6.052563955009052E-5</v>
      </c>
      <c r="Y341" s="3">
        <f t="shared" si="348"/>
        <v>5.5208407884150184E-24</v>
      </c>
      <c r="Z341" s="3">
        <f t="shared" si="348"/>
        <v>2.2012206665246224E-214</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4.1550471728530186E-3</v>
      </c>
      <c r="C342" s="3">
        <f t="shared" si="349"/>
        <v>4.1550471728530186E-3</v>
      </c>
      <c r="D342" s="3">
        <f t="shared" si="349"/>
        <v>4.1550471728530186E-3</v>
      </c>
      <c r="E342" s="3">
        <f t="shared" si="349"/>
        <v>4.1550471728530186E-3</v>
      </c>
      <c r="F342" s="3">
        <f t="shared" si="349"/>
        <v>4.1550471728530186E-3</v>
      </c>
      <c r="G342" s="3">
        <f t="shared" si="349"/>
        <v>4.1550471728530186E-3</v>
      </c>
      <c r="H342" s="3">
        <f t="shared" si="349"/>
        <v>4.1550471728530186E-3</v>
      </c>
      <c r="I342" s="3">
        <f t="shared" si="349"/>
        <v>4.1550471728530169E-3</v>
      </c>
      <c r="J342" s="3">
        <f t="shared" si="349"/>
        <v>4.1550471728530004E-3</v>
      </c>
      <c r="K342" s="3">
        <f t="shared" si="349"/>
        <v>4.1550471728528356E-3</v>
      </c>
      <c r="L342" s="3">
        <f t="shared" si="349"/>
        <v>4.1550471728511928E-3</v>
      </c>
      <c r="M342" s="3">
        <f t="shared" si="349"/>
        <v>4.1550471728347606E-3</v>
      </c>
      <c r="N342" s="3">
        <f t="shared" si="349"/>
        <v>4.1550471726704355E-3</v>
      </c>
      <c r="O342" s="3">
        <f t="shared" si="349"/>
        <v>4.1550471710271849E-3</v>
      </c>
      <c r="P342" s="3">
        <f t="shared" si="349"/>
        <v>4.1550471545946837E-3</v>
      </c>
      <c r="Q342" s="3">
        <f t="shared" si="349"/>
        <v>4.1550469902696726E-3</v>
      </c>
      <c r="R342" s="3">
        <f t="shared" si="349"/>
        <v>4.1550453470199193E-3</v>
      </c>
      <c r="S342" s="3">
        <f t="shared" si="349"/>
        <v>4.1550289145581279E-3</v>
      </c>
      <c r="T342" s="3">
        <f t="shared" si="349"/>
        <v>4.154864593514487E-3</v>
      </c>
      <c r="U342" s="3">
        <f t="shared" si="349"/>
        <v>4.1532217404525139E-3</v>
      </c>
      <c r="V342" s="3">
        <f t="shared" si="349"/>
        <v>4.1368288950375653E-3</v>
      </c>
      <c r="W342" s="3">
        <f t="shared" si="349"/>
        <v>3.9764172914661658E-3</v>
      </c>
      <c r="X342" s="3">
        <f t="shared" si="349"/>
        <v>2.6775396318471515E-3</v>
      </c>
      <c r="Y342" s="3">
        <f t="shared" si="349"/>
        <v>5.1306861503417893E-5</v>
      </c>
      <c r="Z342" s="3">
        <f t="shared" si="349"/>
        <v>3.4242925675966999E-22</v>
      </c>
      <c r="AA342" s="3">
        <f t="shared" si="349"/>
        <v>6.005165809593836E-194</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4.2575321437709054E-3</v>
      </c>
      <c r="C343" s="3">
        <f t="shared" si="350"/>
        <v>4.2575321437709054E-3</v>
      </c>
      <c r="D343" s="3">
        <f t="shared" si="350"/>
        <v>4.2575321437709054E-3</v>
      </c>
      <c r="E343" s="3">
        <f t="shared" si="350"/>
        <v>4.2575321437709054E-3</v>
      </c>
      <c r="F343" s="3">
        <f t="shared" si="350"/>
        <v>4.2575321437709054E-3</v>
      </c>
      <c r="G343" s="3">
        <f t="shared" si="350"/>
        <v>4.2575321437709054E-3</v>
      </c>
      <c r="H343" s="3">
        <f t="shared" si="350"/>
        <v>4.2575321437709054E-3</v>
      </c>
      <c r="I343" s="3">
        <f t="shared" si="350"/>
        <v>4.2575321437709054E-3</v>
      </c>
      <c r="J343" s="3">
        <f t="shared" si="350"/>
        <v>4.2575321437709037E-3</v>
      </c>
      <c r="K343" s="3">
        <f t="shared" si="350"/>
        <v>4.2575321437708881E-3</v>
      </c>
      <c r="L343" s="3">
        <f t="shared" si="350"/>
        <v>4.2575321437707363E-3</v>
      </c>
      <c r="M343" s="3">
        <f t="shared" si="350"/>
        <v>4.2575321437692175E-3</v>
      </c>
      <c r="N343" s="3">
        <f t="shared" si="350"/>
        <v>4.2575321437540291E-3</v>
      </c>
      <c r="O343" s="3">
        <f t="shared" si="350"/>
        <v>4.2575321436021376E-3</v>
      </c>
      <c r="P343" s="3">
        <f t="shared" si="350"/>
        <v>4.2575321420832268E-3</v>
      </c>
      <c r="Q343" s="3">
        <f t="shared" si="350"/>
        <v>4.2575321268941198E-3</v>
      </c>
      <c r="R343" s="3">
        <f t="shared" si="350"/>
        <v>4.2575319750030507E-3</v>
      </c>
      <c r="S343" s="3">
        <f t="shared" si="350"/>
        <v>4.2575304560926574E-3</v>
      </c>
      <c r="T343" s="3">
        <f t="shared" si="350"/>
        <v>4.2575152670185305E-3</v>
      </c>
      <c r="U343" s="3">
        <f t="shared" si="350"/>
        <v>4.2573633792575855E-3</v>
      </c>
      <c r="V343" s="3">
        <f t="shared" si="350"/>
        <v>4.2558447996407867E-3</v>
      </c>
      <c r="W343" s="3">
        <f t="shared" si="350"/>
        <v>4.2406887634403112E-3</v>
      </c>
      <c r="X343" s="3">
        <f t="shared" si="350"/>
        <v>4.0920654868944906E-3</v>
      </c>
      <c r="Y343" s="3">
        <f t="shared" si="350"/>
        <v>2.8642065474612463E-3</v>
      </c>
      <c r="Z343" s="3">
        <f t="shared" si="350"/>
        <v>8.0839182364845464E-5</v>
      </c>
      <c r="AA343" s="3">
        <f t="shared" si="350"/>
        <v>2.5929712592880048E-20</v>
      </c>
      <c r="AB343" s="3">
        <f t="shared" si="350"/>
        <v>2.9892043859471683E-175</v>
      </c>
      <c r="AC343" s="3">
        <f t="shared" si="350"/>
        <v>0</v>
      </c>
      <c r="AD343" s="3">
        <f t="shared" si="350"/>
        <v>0</v>
      </c>
      <c r="AE343" s="3">
        <f t="shared" si="350"/>
        <v>0</v>
      </c>
      <c r="AF343" s="3">
        <f t="shared" si="350"/>
        <v>0</v>
      </c>
      <c r="AG343" s="3"/>
      <c r="AH343" s="3"/>
    </row>
    <row r="344" spans="2:34" x14ac:dyDescent="0.25">
      <c r="B344" s="3">
        <f t="shared" ref="B344:AF344" si="351">$C35*EXP(-B$363/$A35/EXP(-$G$126))</f>
        <v>9.5394971617709327E-4</v>
      </c>
      <c r="C344" s="3">
        <f t="shared" si="351"/>
        <v>9.5394971617709327E-4</v>
      </c>
      <c r="D344" s="3">
        <f t="shared" si="351"/>
        <v>9.5394971617709327E-4</v>
      </c>
      <c r="E344" s="3">
        <f t="shared" si="351"/>
        <v>9.5394971617709327E-4</v>
      </c>
      <c r="F344" s="3">
        <f t="shared" si="351"/>
        <v>9.5394971617709327E-4</v>
      </c>
      <c r="G344" s="3">
        <f t="shared" si="351"/>
        <v>9.5394971617709327E-4</v>
      </c>
      <c r="H344" s="3">
        <f t="shared" si="351"/>
        <v>9.5394971617709327E-4</v>
      </c>
      <c r="I344" s="3">
        <f t="shared" si="351"/>
        <v>9.5394971617709327E-4</v>
      </c>
      <c r="J344" s="3">
        <f t="shared" si="351"/>
        <v>9.5394971617709327E-4</v>
      </c>
      <c r="K344" s="3">
        <f t="shared" si="351"/>
        <v>9.5394971617709294E-4</v>
      </c>
      <c r="L344" s="3">
        <f t="shared" si="351"/>
        <v>9.5394971617708991E-4</v>
      </c>
      <c r="M344" s="3">
        <f t="shared" si="351"/>
        <v>9.5394971617705911E-4</v>
      </c>
      <c r="N344" s="3">
        <f t="shared" si="351"/>
        <v>9.5394971617675218E-4</v>
      </c>
      <c r="O344" s="3">
        <f t="shared" si="351"/>
        <v>9.5394971617368215E-4</v>
      </c>
      <c r="P344" s="3">
        <f t="shared" si="351"/>
        <v>9.5394971614298156E-4</v>
      </c>
      <c r="Q344" s="3">
        <f t="shared" si="351"/>
        <v>9.5394971583597583E-4</v>
      </c>
      <c r="R344" s="3">
        <f t="shared" si="351"/>
        <v>9.5394971276591925E-4</v>
      </c>
      <c r="S344" s="3">
        <f t="shared" si="351"/>
        <v>9.5394968206535347E-4</v>
      </c>
      <c r="T344" s="3">
        <f t="shared" si="351"/>
        <v>9.5394937505975056E-4</v>
      </c>
      <c r="U344" s="3">
        <f t="shared" si="351"/>
        <v>9.539463050091552E-4</v>
      </c>
      <c r="V344" s="3">
        <f t="shared" si="351"/>
        <v>9.539156050466076E-4</v>
      </c>
      <c r="W344" s="3">
        <f t="shared" si="351"/>
        <v>9.5360865975523601E-4</v>
      </c>
      <c r="X344" s="3">
        <f t="shared" si="351"/>
        <v>9.5054463378777541E-4</v>
      </c>
      <c r="Y344" s="3">
        <f t="shared" si="351"/>
        <v>9.204406618236327E-4</v>
      </c>
      <c r="Z344" s="3">
        <f t="shared" si="351"/>
        <v>6.6715786780269877E-4</v>
      </c>
      <c r="AA344" s="3">
        <f t="shared" si="351"/>
        <v>2.6702798105777626E-5</v>
      </c>
      <c r="AB344" s="3">
        <f t="shared" si="351"/>
        <v>2.8173342400559899E-19</v>
      </c>
      <c r="AC344" s="3">
        <f t="shared" si="351"/>
        <v>4.815644135986271E-159</v>
      </c>
      <c r="AD344" s="3">
        <f t="shared" si="351"/>
        <v>0</v>
      </c>
      <c r="AE344" s="3">
        <f t="shared" si="351"/>
        <v>0</v>
      </c>
      <c r="AF344" s="3">
        <f t="shared" si="351"/>
        <v>0</v>
      </c>
      <c r="AG344" s="3"/>
      <c r="AH344" s="3"/>
    </row>
    <row r="345" spans="2:34" x14ac:dyDescent="0.25">
      <c r="B345" s="3">
        <f t="shared" ref="B345:AF345" si="352">$C36*EXP(-B$363/$A36/EXP(-$G$126))</f>
        <v>4.0589760414466262E-3</v>
      </c>
      <c r="C345" s="3">
        <f t="shared" si="352"/>
        <v>4.0589760414466262E-3</v>
      </c>
      <c r="D345" s="3">
        <f t="shared" si="352"/>
        <v>4.0589760414466262E-3</v>
      </c>
      <c r="E345" s="3">
        <f t="shared" si="352"/>
        <v>4.0589760414466262E-3</v>
      </c>
      <c r="F345" s="3">
        <f t="shared" si="352"/>
        <v>4.0589760414466262E-3</v>
      </c>
      <c r="G345" s="3">
        <f t="shared" si="352"/>
        <v>4.0589760414466262E-3</v>
      </c>
      <c r="H345" s="3">
        <f t="shared" si="352"/>
        <v>4.0589760414466262E-3</v>
      </c>
      <c r="I345" s="3">
        <f t="shared" si="352"/>
        <v>4.0589760414466262E-3</v>
      </c>
      <c r="J345" s="3">
        <f t="shared" si="352"/>
        <v>4.0589760414466262E-3</v>
      </c>
      <c r="K345" s="3">
        <f t="shared" si="352"/>
        <v>4.0589760414466262E-3</v>
      </c>
      <c r="L345" s="3">
        <f t="shared" si="352"/>
        <v>4.0589760414466245E-3</v>
      </c>
      <c r="M345" s="3">
        <f t="shared" si="352"/>
        <v>4.0589760414466132E-3</v>
      </c>
      <c r="N345" s="3">
        <f t="shared" si="352"/>
        <v>4.0589760414464953E-3</v>
      </c>
      <c r="O345" s="3">
        <f t="shared" si="352"/>
        <v>4.0589760414453174E-3</v>
      </c>
      <c r="P345" s="3">
        <f t="shared" si="352"/>
        <v>4.0589760414335334E-3</v>
      </c>
      <c r="Q345" s="3">
        <f t="shared" si="352"/>
        <v>4.0589760413156954E-3</v>
      </c>
      <c r="R345" s="3">
        <f t="shared" si="352"/>
        <v>4.0589760401373194E-3</v>
      </c>
      <c r="S345" s="3">
        <f t="shared" si="352"/>
        <v>4.0589760283535571E-3</v>
      </c>
      <c r="T345" s="3">
        <f t="shared" si="352"/>
        <v>4.0589759105159337E-3</v>
      </c>
      <c r="U345" s="3">
        <f t="shared" si="352"/>
        <v>4.0589747321398877E-3</v>
      </c>
      <c r="V345" s="3">
        <f t="shared" si="352"/>
        <v>4.0589629483982429E-3</v>
      </c>
      <c r="W345" s="3">
        <f t="shared" si="352"/>
        <v>4.0588451128633239E-3</v>
      </c>
      <c r="X345" s="3">
        <f t="shared" si="352"/>
        <v>4.0576669456459866E-3</v>
      </c>
      <c r="Y345" s="3">
        <f t="shared" si="352"/>
        <v>4.0459040664652729E-3</v>
      </c>
      <c r="Z345" s="3">
        <f t="shared" si="352"/>
        <v>3.9301345430327057E-3</v>
      </c>
      <c r="AA345" s="3">
        <f t="shared" si="352"/>
        <v>2.9398541881683802E-3</v>
      </c>
      <c r="AB345" s="3">
        <f t="shared" si="352"/>
        <v>1.6125363599084274E-4</v>
      </c>
      <c r="AC345" s="3">
        <f t="shared" si="352"/>
        <v>3.97508820079846E-17</v>
      </c>
      <c r="AD345" s="3">
        <f t="shared" si="352"/>
        <v>3.2939674497457335E-143</v>
      </c>
      <c r="AE345" s="3">
        <f t="shared" si="352"/>
        <v>0</v>
      </c>
      <c r="AF345" s="3">
        <f t="shared" si="352"/>
        <v>0</v>
      </c>
      <c r="AG345" s="3"/>
      <c r="AH345" s="3"/>
    </row>
    <row r="346" spans="2:34" x14ac:dyDescent="0.25">
      <c r="B346" s="3">
        <f t="shared" ref="B346:AF346" si="353">$C37*EXP(-B$363/$A37/EXP(-$G$126))</f>
        <v>1.8079022275700322E-3</v>
      </c>
      <c r="C346" s="3">
        <f t="shared" si="353"/>
        <v>1.8079022275700322E-3</v>
      </c>
      <c r="D346" s="3">
        <f t="shared" si="353"/>
        <v>1.8079022275700322E-3</v>
      </c>
      <c r="E346" s="3">
        <f t="shared" si="353"/>
        <v>1.8079022275700322E-3</v>
      </c>
      <c r="F346" s="3">
        <f t="shared" si="353"/>
        <v>1.8079022275700322E-3</v>
      </c>
      <c r="G346" s="3">
        <f t="shared" si="353"/>
        <v>1.8079022275700322E-3</v>
      </c>
      <c r="H346" s="3">
        <f t="shared" si="353"/>
        <v>1.8079022275700322E-3</v>
      </c>
      <c r="I346" s="3">
        <f t="shared" si="353"/>
        <v>1.8079022275700322E-3</v>
      </c>
      <c r="J346" s="3">
        <f t="shared" si="353"/>
        <v>1.8079022275700322E-3</v>
      </c>
      <c r="K346" s="3">
        <f t="shared" si="353"/>
        <v>1.8079022275700322E-3</v>
      </c>
      <c r="L346" s="3">
        <f t="shared" si="353"/>
        <v>1.8079022275700322E-3</v>
      </c>
      <c r="M346" s="3">
        <f t="shared" si="353"/>
        <v>1.8079022275700315E-3</v>
      </c>
      <c r="N346" s="3">
        <f t="shared" si="353"/>
        <v>1.807902227570027E-3</v>
      </c>
      <c r="O346" s="3">
        <f t="shared" si="353"/>
        <v>1.8079022275699795E-3</v>
      </c>
      <c r="P346" s="3">
        <f t="shared" si="353"/>
        <v>1.8079022275695061E-3</v>
      </c>
      <c r="Q346" s="3">
        <f t="shared" si="353"/>
        <v>1.8079022275647714E-3</v>
      </c>
      <c r="R346" s="3">
        <f t="shared" si="353"/>
        <v>1.8079022275174247E-3</v>
      </c>
      <c r="S346" s="3">
        <f t="shared" si="353"/>
        <v>1.8079022270439584E-3</v>
      </c>
      <c r="T346" s="3">
        <f t="shared" si="353"/>
        <v>1.8079022223092959E-3</v>
      </c>
      <c r="U346" s="3">
        <f t="shared" si="353"/>
        <v>1.8079021749626719E-3</v>
      </c>
      <c r="V346" s="3">
        <f t="shared" si="353"/>
        <v>1.8079017014964989E-3</v>
      </c>
      <c r="W346" s="3">
        <f t="shared" si="353"/>
        <v>1.807896966841589E-3</v>
      </c>
      <c r="X346" s="3">
        <f t="shared" si="353"/>
        <v>1.8078496209744522E-3</v>
      </c>
      <c r="Y346" s="3">
        <f t="shared" si="353"/>
        <v>1.8073762304928243E-3</v>
      </c>
      <c r="Z346" s="3">
        <f t="shared" si="353"/>
        <v>1.8026491380478504E-3</v>
      </c>
      <c r="AA346" s="3">
        <f t="shared" si="353"/>
        <v>1.7560528956478811E-3</v>
      </c>
      <c r="AB346" s="3">
        <f t="shared" si="353"/>
        <v>1.3514546490086246E-3</v>
      </c>
      <c r="AC346" s="3">
        <f t="shared" si="353"/>
        <v>9.8500924581131378E-5</v>
      </c>
      <c r="AD346" s="3">
        <f t="shared" si="353"/>
        <v>4.167049039956754E-16</v>
      </c>
      <c r="AE346" s="3">
        <f t="shared" si="353"/>
        <v>7.6508846806624543E-130</v>
      </c>
      <c r="AF346" s="3">
        <f t="shared" si="353"/>
        <v>0</v>
      </c>
      <c r="AG346" s="3"/>
      <c r="AH346" s="3"/>
    </row>
    <row r="347" spans="2:34" x14ac:dyDescent="0.25">
      <c r="B347" s="3">
        <f t="shared" ref="B347:AF347" si="354">$C38*EXP(-B$363/$A38/EXP(-$G$126))</f>
        <v>6.6593482592524332E-4</v>
      </c>
      <c r="C347" s="3">
        <f t="shared" si="354"/>
        <v>6.6593482592524332E-4</v>
      </c>
      <c r="D347" s="3">
        <f t="shared" si="354"/>
        <v>6.6593482592524332E-4</v>
      </c>
      <c r="E347" s="3">
        <f t="shared" si="354"/>
        <v>6.6593482592524332E-4</v>
      </c>
      <c r="F347" s="3">
        <f t="shared" si="354"/>
        <v>6.6593482592524332E-4</v>
      </c>
      <c r="G347" s="3">
        <f t="shared" si="354"/>
        <v>6.6593482592524332E-4</v>
      </c>
      <c r="H347" s="3">
        <f t="shared" si="354"/>
        <v>6.6593482592524332E-4</v>
      </c>
      <c r="I347" s="3">
        <f t="shared" si="354"/>
        <v>6.6593482592524332E-4</v>
      </c>
      <c r="J347" s="3">
        <f t="shared" si="354"/>
        <v>6.6593482592524332E-4</v>
      </c>
      <c r="K347" s="3">
        <f t="shared" si="354"/>
        <v>6.6593482592524332E-4</v>
      </c>
      <c r="L347" s="3">
        <f t="shared" si="354"/>
        <v>6.6593482592524332E-4</v>
      </c>
      <c r="M347" s="3">
        <f t="shared" si="354"/>
        <v>6.6593482592524332E-4</v>
      </c>
      <c r="N347" s="3">
        <f t="shared" si="354"/>
        <v>6.6593482592524321E-4</v>
      </c>
      <c r="O347" s="3">
        <f t="shared" si="354"/>
        <v>6.6593482592524158E-4</v>
      </c>
      <c r="P347" s="3">
        <f t="shared" si="354"/>
        <v>6.6593482592522586E-4</v>
      </c>
      <c r="Q347" s="3">
        <f t="shared" si="354"/>
        <v>6.6593482592506854E-4</v>
      </c>
      <c r="R347" s="3">
        <f t="shared" si="354"/>
        <v>6.6593482592349526E-4</v>
      </c>
      <c r="S347" s="3">
        <f t="shared" si="354"/>
        <v>6.6593482590776294E-4</v>
      </c>
      <c r="T347" s="3">
        <f t="shared" si="354"/>
        <v>6.6593482575043989E-4</v>
      </c>
      <c r="U347" s="3">
        <f t="shared" si="354"/>
        <v>6.659348241772092E-4</v>
      </c>
      <c r="V347" s="3">
        <f t="shared" si="354"/>
        <v>6.6593480844490279E-4</v>
      </c>
      <c r="W347" s="3">
        <f t="shared" si="354"/>
        <v>6.6593465112185866E-4</v>
      </c>
      <c r="X347" s="3">
        <f t="shared" si="354"/>
        <v>6.6593307789346084E-4</v>
      </c>
      <c r="Y347" s="3">
        <f t="shared" si="354"/>
        <v>6.6591734581389708E-4</v>
      </c>
      <c r="Z347" s="3">
        <f t="shared" si="354"/>
        <v>6.6576004545791721E-4</v>
      </c>
      <c r="AA347" s="3">
        <f t="shared" si="354"/>
        <v>6.6418908407825232E-4</v>
      </c>
      <c r="AB347" s="3">
        <f t="shared" si="354"/>
        <v>6.4868191444430133E-4</v>
      </c>
      <c r="AC347" s="3">
        <f t="shared" si="354"/>
        <v>5.1219148044281937E-4</v>
      </c>
      <c r="AD347" s="3">
        <f t="shared" si="354"/>
        <v>4.8243405391316774E-5</v>
      </c>
      <c r="AE347" s="3">
        <f t="shared" si="354"/>
        <v>2.6515145421599027E-15</v>
      </c>
      <c r="AF347" s="3">
        <f t="shared" si="354"/>
        <v>6.6689058478736118E-118</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5.5929921649114952E-4</v>
      </c>
      <c r="C349" s="3">
        <f t="shared" si="356"/>
        <v>5.5929921649114952E-4</v>
      </c>
      <c r="D349" s="3">
        <f t="shared" si="356"/>
        <v>5.5929921649114952E-4</v>
      </c>
      <c r="E349" s="3">
        <f t="shared" si="356"/>
        <v>5.5929921649114952E-4</v>
      </c>
      <c r="F349" s="3">
        <f t="shared" si="356"/>
        <v>5.5929921649114952E-4</v>
      </c>
      <c r="G349" s="3">
        <f t="shared" si="356"/>
        <v>5.5929921649114952E-4</v>
      </c>
      <c r="H349" s="3">
        <f t="shared" si="356"/>
        <v>5.5929921649114952E-4</v>
      </c>
      <c r="I349" s="3">
        <f t="shared" si="356"/>
        <v>5.5929921649114952E-4</v>
      </c>
      <c r="J349" s="3">
        <f t="shared" si="356"/>
        <v>5.5929921649114952E-4</v>
      </c>
      <c r="K349" s="3">
        <f t="shared" si="356"/>
        <v>5.5929921649114952E-4</v>
      </c>
      <c r="L349" s="3">
        <f t="shared" si="356"/>
        <v>5.5929921649114952E-4</v>
      </c>
      <c r="M349" s="3">
        <f t="shared" si="356"/>
        <v>5.5929921649114952E-4</v>
      </c>
      <c r="N349" s="3">
        <f t="shared" si="356"/>
        <v>5.5929921649114952E-4</v>
      </c>
      <c r="O349" s="3">
        <f t="shared" si="356"/>
        <v>5.5929921649114942E-4</v>
      </c>
      <c r="P349" s="3">
        <f t="shared" si="356"/>
        <v>5.5929921649114909E-4</v>
      </c>
      <c r="Q349" s="3">
        <f t="shared" si="356"/>
        <v>5.5929921649114551E-4</v>
      </c>
      <c r="R349" s="3">
        <f t="shared" si="356"/>
        <v>5.5929921649110887E-4</v>
      </c>
      <c r="S349" s="3">
        <f t="shared" si="356"/>
        <v>5.5929921649074349E-4</v>
      </c>
      <c r="T349" s="3">
        <f t="shared" si="356"/>
        <v>5.5929921648708908E-4</v>
      </c>
      <c r="U349" s="3">
        <f t="shared" si="356"/>
        <v>5.5929921645054496E-4</v>
      </c>
      <c r="V349" s="3">
        <f t="shared" si="356"/>
        <v>5.5929921608510356E-4</v>
      </c>
      <c r="W349" s="3">
        <f t="shared" si="356"/>
        <v>5.5929921243068955E-4</v>
      </c>
      <c r="X349" s="3">
        <f t="shared" si="356"/>
        <v>5.5929917588655063E-4</v>
      </c>
      <c r="Y349" s="3">
        <f t="shared" si="356"/>
        <v>5.5929881044529384E-4</v>
      </c>
      <c r="Z349" s="3">
        <f t="shared" si="356"/>
        <v>5.5929515604585768E-4</v>
      </c>
      <c r="AA349" s="3">
        <f t="shared" si="356"/>
        <v>5.5925861336473095E-4</v>
      </c>
      <c r="AB349" s="3">
        <f t="shared" si="356"/>
        <v>5.5889331784517995E-4</v>
      </c>
      <c r="AC349" s="3">
        <f t="shared" si="356"/>
        <v>5.5525346013624271E-4</v>
      </c>
      <c r="AD349" s="3">
        <f t="shared" si="356"/>
        <v>5.2013351368475314E-4</v>
      </c>
      <c r="AE349" s="3">
        <f t="shared" si="356"/>
        <v>2.7061413454896119E-4</v>
      </c>
      <c r="AF349" s="3">
        <f t="shared" si="356"/>
        <v>3.9328453407755378E-7</v>
      </c>
      <c r="AG349" s="3"/>
      <c r="AH349" s="3"/>
    </row>
    <row r="350" spans="2:34" x14ac:dyDescent="0.25">
      <c r="B350" s="3">
        <f t="shared" ref="B350:AF350" si="357">$C41*EXP(-B$363/$A41/EXP(-$G$126))</f>
        <v>0</v>
      </c>
      <c r="C350" s="3">
        <f t="shared" si="357"/>
        <v>0</v>
      </c>
      <c r="D350" s="3">
        <f t="shared" si="357"/>
        <v>0</v>
      </c>
      <c r="E350" s="3">
        <f t="shared" si="357"/>
        <v>0</v>
      </c>
      <c r="F350" s="3">
        <f t="shared" si="357"/>
        <v>0</v>
      </c>
      <c r="G350" s="3">
        <f t="shared" si="357"/>
        <v>0</v>
      </c>
      <c r="H350" s="3">
        <f t="shared" si="357"/>
        <v>0</v>
      </c>
      <c r="I350" s="3">
        <f t="shared" si="357"/>
        <v>0</v>
      </c>
      <c r="J350" s="3">
        <f t="shared" si="357"/>
        <v>0</v>
      </c>
      <c r="K350" s="3">
        <f t="shared" si="357"/>
        <v>0</v>
      </c>
      <c r="L350" s="3">
        <f t="shared" si="357"/>
        <v>0</v>
      </c>
      <c r="M350" s="3">
        <f t="shared" si="357"/>
        <v>0</v>
      </c>
      <c r="N350" s="3">
        <f t="shared" si="357"/>
        <v>0</v>
      </c>
      <c r="O350" s="3">
        <f t="shared" si="357"/>
        <v>0</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1.7201579278298637E-4</v>
      </c>
      <c r="C351" s="3">
        <f t="shared" si="358"/>
        <v>1.7201579278298637E-4</v>
      </c>
      <c r="D351" s="3">
        <f t="shared" si="358"/>
        <v>1.7201579278298637E-4</v>
      </c>
      <c r="E351" s="3">
        <f t="shared" si="358"/>
        <v>1.7201579278298637E-4</v>
      </c>
      <c r="F351" s="3">
        <f t="shared" si="358"/>
        <v>1.7201579278298637E-4</v>
      </c>
      <c r="G351" s="3">
        <f t="shared" si="358"/>
        <v>1.7201579278298637E-4</v>
      </c>
      <c r="H351" s="3">
        <f t="shared" si="358"/>
        <v>1.7201579278298637E-4</v>
      </c>
      <c r="I351" s="3">
        <f t="shared" si="358"/>
        <v>1.7201579278298637E-4</v>
      </c>
      <c r="J351" s="3">
        <f t="shared" si="358"/>
        <v>1.7201579278298637E-4</v>
      </c>
      <c r="K351" s="3">
        <f t="shared" si="358"/>
        <v>1.7201579278298637E-4</v>
      </c>
      <c r="L351" s="3">
        <f t="shared" si="358"/>
        <v>1.7201579278298637E-4</v>
      </c>
      <c r="M351" s="3">
        <f t="shared" si="358"/>
        <v>1.7201579278298637E-4</v>
      </c>
      <c r="N351" s="3">
        <f t="shared" si="358"/>
        <v>1.7201579278298637E-4</v>
      </c>
      <c r="O351" s="3">
        <f t="shared" si="358"/>
        <v>1.7201579278298637E-4</v>
      </c>
      <c r="P351" s="3">
        <f t="shared" si="358"/>
        <v>1.7201579278298637E-4</v>
      </c>
      <c r="Q351" s="3">
        <f t="shared" si="358"/>
        <v>1.7201579278298634E-4</v>
      </c>
      <c r="R351" s="3">
        <f t="shared" si="358"/>
        <v>1.7201579278298623E-4</v>
      </c>
      <c r="S351" s="3">
        <f t="shared" si="358"/>
        <v>1.7201579278298512E-4</v>
      </c>
      <c r="T351" s="3">
        <f t="shared" si="358"/>
        <v>1.7201579278297387E-4</v>
      </c>
      <c r="U351" s="3">
        <f t="shared" si="358"/>
        <v>1.7201579278286149E-4</v>
      </c>
      <c r="V351" s="3">
        <f t="shared" si="358"/>
        <v>1.7201579278173755E-4</v>
      </c>
      <c r="W351" s="3">
        <f t="shared" si="358"/>
        <v>1.7201579277049817E-4</v>
      </c>
      <c r="X351" s="3">
        <f t="shared" si="358"/>
        <v>1.7201579265810452E-4</v>
      </c>
      <c r="Y351" s="3">
        <f t="shared" si="358"/>
        <v>1.720157915341678E-4</v>
      </c>
      <c r="Z351" s="3">
        <f t="shared" si="358"/>
        <v>1.7201578029480105E-4</v>
      </c>
      <c r="AA351" s="3">
        <f t="shared" si="358"/>
        <v>1.7201566790117406E-4</v>
      </c>
      <c r="AB351" s="3">
        <f t="shared" si="358"/>
        <v>1.7201454396894311E-4</v>
      </c>
      <c r="AC351" s="3">
        <f t="shared" si="358"/>
        <v>1.7200330505052686E-4</v>
      </c>
      <c r="AD351" s="3">
        <f t="shared" si="358"/>
        <v>1.7189095624591051E-4</v>
      </c>
      <c r="AE351" s="3">
        <f t="shared" si="358"/>
        <v>1.7077149640945993E-4</v>
      </c>
      <c r="AF351" s="3">
        <f t="shared" si="358"/>
        <v>1.5997014848473137E-4</v>
      </c>
      <c r="AG351" s="3"/>
      <c r="AH351" s="3"/>
    </row>
    <row r="352" spans="2:34" x14ac:dyDescent="0.25">
      <c r="B352" s="3">
        <f t="shared" ref="B352:AF352" si="359">$C43*EXP(-B$363/$A43/EXP(-$G$126))</f>
        <v>1.7468461922378131E-4</v>
      </c>
      <c r="C352" s="3">
        <f t="shared" si="359"/>
        <v>1.7468461922378131E-4</v>
      </c>
      <c r="D352" s="3">
        <f t="shared" si="359"/>
        <v>1.7468461922378131E-4</v>
      </c>
      <c r="E352" s="3">
        <f t="shared" si="359"/>
        <v>1.7468461922378131E-4</v>
      </c>
      <c r="F352" s="3">
        <f t="shared" si="359"/>
        <v>1.7468461922378131E-4</v>
      </c>
      <c r="G352" s="3">
        <f t="shared" si="359"/>
        <v>1.7468461922378131E-4</v>
      </c>
      <c r="H352" s="3">
        <f t="shared" si="359"/>
        <v>1.7468461922378131E-4</v>
      </c>
      <c r="I352" s="3">
        <f t="shared" si="359"/>
        <v>1.7468461922378131E-4</v>
      </c>
      <c r="J352" s="3">
        <f t="shared" si="359"/>
        <v>1.7468461922378131E-4</v>
      </c>
      <c r="K352" s="3">
        <f t="shared" si="359"/>
        <v>1.7468461922378131E-4</v>
      </c>
      <c r="L352" s="3">
        <f t="shared" si="359"/>
        <v>1.7468461922378131E-4</v>
      </c>
      <c r="M352" s="3">
        <f t="shared" si="359"/>
        <v>1.7468461922378131E-4</v>
      </c>
      <c r="N352" s="3">
        <f t="shared" si="359"/>
        <v>1.7468461922378131E-4</v>
      </c>
      <c r="O352" s="3">
        <f t="shared" si="359"/>
        <v>1.7468461922378131E-4</v>
      </c>
      <c r="P352" s="3">
        <f t="shared" si="359"/>
        <v>1.7468461922378131E-4</v>
      </c>
      <c r="Q352" s="3">
        <f t="shared" si="359"/>
        <v>1.7468461922378131E-4</v>
      </c>
      <c r="R352" s="3">
        <f t="shared" si="359"/>
        <v>1.7468461922378128E-4</v>
      </c>
      <c r="S352" s="3">
        <f t="shared" si="359"/>
        <v>1.7468461922378117E-4</v>
      </c>
      <c r="T352" s="3">
        <f t="shared" si="359"/>
        <v>1.7468461922378004E-4</v>
      </c>
      <c r="U352" s="3">
        <f t="shared" si="359"/>
        <v>1.7468461922376863E-4</v>
      </c>
      <c r="V352" s="3">
        <f t="shared" si="359"/>
        <v>1.7468461922365449E-4</v>
      </c>
      <c r="W352" s="3">
        <f t="shared" si="359"/>
        <v>1.7468461922251312E-4</v>
      </c>
      <c r="X352" s="3">
        <f t="shared" si="359"/>
        <v>1.7468461921109937E-4</v>
      </c>
      <c r="Y352" s="3">
        <f t="shared" si="359"/>
        <v>1.7468461909696191E-4</v>
      </c>
      <c r="Z352" s="3">
        <f t="shared" si="359"/>
        <v>1.7468461795558732E-4</v>
      </c>
      <c r="AA352" s="3">
        <f t="shared" si="359"/>
        <v>1.7468460654184169E-4</v>
      </c>
      <c r="AB352" s="3">
        <f t="shared" si="359"/>
        <v>1.7468449240442665E-4</v>
      </c>
      <c r="AC352" s="3">
        <f t="shared" si="359"/>
        <v>1.7468335103437791E-4</v>
      </c>
      <c r="AD352" s="3">
        <f t="shared" si="359"/>
        <v>1.7467193774404991E-4</v>
      </c>
      <c r="AE352" s="3">
        <f t="shared" si="359"/>
        <v>1.7455784584680524E-4</v>
      </c>
      <c r="AF352" s="3">
        <f t="shared" si="359"/>
        <v>1.734210175817785E-4</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2.0999278642033111E-4</v>
      </c>
      <c r="C354" s="3">
        <f t="shared" si="361"/>
        <v>2.0999278642033111E-4</v>
      </c>
      <c r="D354" s="3">
        <f t="shared" si="361"/>
        <v>2.0999278642033111E-4</v>
      </c>
      <c r="E354" s="3">
        <f t="shared" si="361"/>
        <v>2.0999278642033111E-4</v>
      </c>
      <c r="F354" s="3">
        <f t="shared" si="361"/>
        <v>2.0999278642033111E-4</v>
      </c>
      <c r="G354" s="3">
        <f t="shared" si="361"/>
        <v>2.0999278642033111E-4</v>
      </c>
      <c r="H354" s="3">
        <f t="shared" si="361"/>
        <v>2.0999278642033111E-4</v>
      </c>
      <c r="I354" s="3">
        <f t="shared" si="361"/>
        <v>2.0999278642033111E-4</v>
      </c>
      <c r="J354" s="3">
        <f t="shared" si="361"/>
        <v>2.0999278642033111E-4</v>
      </c>
      <c r="K354" s="3">
        <f t="shared" si="361"/>
        <v>2.0999278642033111E-4</v>
      </c>
      <c r="L354" s="3">
        <f t="shared" si="361"/>
        <v>2.0999278642033111E-4</v>
      </c>
      <c r="M354" s="3">
        <f t="shared" si="361"/>
        <v>2.0999278642033111E-4</v>
      </c>
      <c r="N354" s="3">
        <f t="shared" si="361"/>
        <v>2.0999278642033111E-4</v>
      </c>
      <c r="O354" s="3">
        <f t="shared" si="361"/>
        <v>2.0999278642033111E-4</v>
      </c>
      <c r="P354" s="3">
        <f t="shared" si="361"/>
        <v>2.0999278642033111E-4</v>
      </c>
      <c r="Q354" s="3">
        <f t="shared" si="361"/>
        <v>2.0999278642033111E-4</v>
      </c>
      <c r="R354" s="3">
        <f t="shared" si="361"/>
        <v>2.0999278642033111E-4</v>
      </c>
      <c r="S354" s="3">
        <f t="shared" si="361"/>
        <v>2.0999278642033111E-4</v>
      </c>
      <c r="T354" s="3">
        <f t="shared" si="361"/>
        <v>2.0999278642033108E-4</v>
      </c>
      <c r="U354" s="3">
        <f t="shared" si="361"/>
        <v>2.0999278642033095E-4</v>
      </c>
      <c r="V354" s="3">
        <f t="shared" si="361"/>
        <v>2.0999278642032959E-4</v>
      </c>
      <c r="W354" s="3">
        <f t="shared" si="361"/>
        <v>2.0999278642031585E-4</v>
      </c>
      <c r="X354" s="3">
        <f t="shared" si="361"/>
        <v>2.0999278642017867E-4</v>
      </c>
      <c r="Y354" s="3">
        <f t="shared" si="361"/>
        <v>2.0999278641880659E-4</v>
      </c>
      <c r="Z354" s="3">
        <f t="shared" si="361"/>
        <v>2.0999278640508584E-4</v>
      </c>
      <c r="AA354" s="3">
        <f t="shared" si="361"/>
        <v>2.0999278626787832E-4</v>
      </c>
      <c r="AB354" s="3">
        <f t="shared" si="361"/>
        <v>2.0999278489580313E-4</v>
      </c>
      <c r="AC354" s="3">
        <f t="shared" si="361"/>
        <v>2.0999277117505165E-4</v>
      </c>
      <c r="AD354" s="3">
        <f t="shared" si="361"/>
        <v>2.0999263396758643E-4</v>
      </c>
      <c r="AE354" s="3">
        <f t="shared" si="361"/>
        <v>2.0999126189786478E-4</v>
      </c>
      <c r="AF354" s="3">
        <f t="shared" si="361"/>
        <v>2.0997754169371142E-4</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1.7320221207897527E-4</v>
      </c>
      <c r="C357" s="3">
        <f t="shared" si="364"/>
        <v>1.7320221207897527E-4</v>
      </c>
      <c r="D357" s="3">
        <f t="shared" si="364"/>
        <v>1.7320221207897527E-4</v>
      </c>
      <c r="E357" s="3">
        <f t="shared" si="364"/>
        <v>1.7320221207897527E-4</v>
      </c>
      <c r="F357" s="3">
        <f t="shared" si="364"/>
        <v>1.7320221207897527E-4</v>
      </c>
      <c r="G357" s="3">
        <f t="shared" si="364"/>
        <v>1.7320221207897527E-4</v>
      </c>
      <c r="H357" s="3">
        <f t="shared" si="364"/>
        <v>1.7320221207897527E-4</v>
      </c>
      <c r="I357" s="3">
        <f t="shared" si="364"/>
        <v>1.7320221207897527E-4</v>
      </c>
      <c r="J357" s="3">
        <f t="shared" si="364"/>
        <v>1.7320221207897527E-4</v>
      </c>
      <c r="K357" s="3">
        <f t="shared" si="364"/>
        <v>1.7320221207897527E-4</v>
      </c>
      <c r="L357" s="3">
        <f t="shared" si="364"/>
        <v>1.7320221207897527E-4</v>
      </c>
      <c r="M357" s="3">
        <f t="shared" si="364"/>
        <v>1.7320221207897527E-4</v>
      </c>
      <c r="N357" s="3">
        <f t="shared" si="364"/>
        <v>1.7320221207897527E-4</v>
      </c>
      <c r="O357" s="3">
        <f t="shared" si="364"/>
        <v>1.7320221207897527E-4</v>
      </c>
      <c r="P357" s="3">
        <f t="shared" si="364"/>
        <v>1.7320221207897527E-4</v>
      </c>
      <c r="Q357" s="3">
        <f t="shared" si="364"/>
        <v>1.7320221207897527E-4</v>
      </c>
      <c r="R357" s="3">
        <f t="shared" si="364"/>
        <v>1.7320221207897527E-4</v>
      </c>
      <c r="S357" s="3">
        <f t="shared" si="364"/>
        <v>1.7320221207897527E-4</v>
      </c>
      <c r="T357" s="3">
        <f t="shared" si="364"/>
        <v>1.7320221207897527E-4</v>
      </c>
      <c r="U357" s="3">
        <f t="shared" si="364"/>
        <v>1.7320221207897527E-4</v>
      </c>
      <c r="V357" s="3">
        <f t="shared" si="364"/>
        <v>1.7320221207897527E-4</v>
      </c>
      <c r="W357" s="3">
        <f t="shared" si="364"/>
        <v>1.7320221207897524E-4</v>
      </c>
      <c r="X357" s="3">
        <f t="shared" si="364"/>
        <v>1.7320221207897514E-4</v>
      </c>
      <c r="Y357" s="3">
        <f t="shared" si="364"/>
        <v>1.7320221207897402E-4</v>
      </c>
      <c r="Z357" s="3">
        <f t="shared" si="364"/>
        <v>1.7320221207896269E-4</v>
      </c>
      <c r="AA357" s="3">
        <f t="shared" si="364"/>
        <v>1.7320221207884953E-4</v>
      </c>
      <c r="AB357" s="3">
        <f t="shared" si="364"/>
        <v>1.7320221207771784E-4</v>
      </c>
      <c r="AC357" s="3">
        <f t="shared" si="364"/>
        <v>1.7320221206640097E-4</v>
      </c>
      <c r="AD357" s="3">
        <f t="shared" si="364"/>
        <v>1.7320221195323211E-4</v>
      </c>
      <c r="AE357" s="3">
        <f t="shared" si="364"/>
        <v>1.7320221082154342E-4</v>
      </c>
      <c r="AF357" s="3">
        <f t="shared" si="364"/>
        <v>1.7320219950465703E-4</v>
      </c>
      <c r="AG357" s="3"/>
      <c r="AH357" s="3"/>
    </row>
    <row r="358" spans="1:34" x14ac:dyDescent="0.25">
      <c r="A358" s="79">
        <f>AVERAGE(B358:AF358)</f>
        <v>1.0162689957253427E-2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9.587974809046787E-3</v>
      </c>
      <c r="M358" s="80">
        <f t="shared" si="365"/>
        <v>1.1426889216396429E-2</v>
      </c>
      <c r="N358" s="80">
        <f t="shared" si="365"/>
        <v>1.215182198450326E-2</v>
      </c>
      <c r="O358" s="80">
        <f t="shared" si="365"/>
        <v>1.3883387790101025E-2</v>
      </c>
      <c r="P358" s="80">
        <f t="shared" si="365"/>
        <v>1.4271678334177995E-2</v>
      </c>
      <c r="Q358" s="80">
        <f t="shared" si="365"/>
        <v>5.7712070479052401E-3</v>
      </c>
      <c r="R358" s="80">
        <f t="shared" si="365"/>
        <v>1.6444180068128315E-2</v>
      </c>
      <c r="S358" s="80">
        <f t="shared" si="365"/>
        <v>3.7047753645517038E-2</v>
      </c>
      <c r="T358" s="80">
        <f t="shared" si="365"/>
        <v>4.8775614508528721E-2</v>
      </c>
      <c r="U358" s="80">
        <f t="shared" si="365"/>
        <v>6.2413096972325166E-2</v>
      </c>
      <c r="V358" s="80">
        <f t="shared" si="365"/>
        <v>8.3269784298226249E-2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935112.53688212542</v>
      </c>
      <c r="C359" s="21">
        <f t="shared" ref="C359:AF359" si="366">(C326-C325)^2</f>
        <v>12538.21567528935</v>
      </c>
      <c r="D359" s="21">
        <f t="shared" si="366"/>
        <v>766102.21548016637</v>
      </c>
      <c r="E359" s="21">
        <f t="shared" si="366"/>
        <v>476824.81097283092</v>
      </c>
      <c r="F359" s="21">
        <f t="shared" si="366"/>
        <v>220815.23260481583</v>
      </c>
      <c r="G359" s="21">
        <f t="shared" si="366"/>
        <v>62558.16181889084</v>
      </c>
      <c r="H359" s="21">
        <f t="shared" si="366"/>
        <v>4960.2965503910382</v>
      </c>
      <c r="I359" s="21">
        <f t="shared" si="366"/>
        <v>2355.7812152887086</v>
      </c>
      <c r="J359" s="21">
        <f t="shared" si="366"/>
        <v>1864.355111355665</v>
      </c>
      <c r="K359" s="21">
        <f t="shared" si="366"/>
        <v>1152.1514880383115</v>
      </c>
      <c r="L359" s="21">
        <f t="shared" si="366"/>
        <v>933.75894911143871</v>
      </c>
      <c r="M359" s="21">
        <f t="shared" si="366"/>
        <v>1172.7888328489853</v>
      </c>
      <c r="N359" s="21">
        <f t="shared" si="366"/>
        <v>1145.4093641501313</v>
      </c>
      <c r="O359" s="21">
        <f t="shared" si="366"/>
        <v>1252.0335154359693</v>
      </c>
      <c r="P359" s="21">
        <f t="shared" si="366"/>
        <v>1056.7452800274752</v>
      </c>
      <c r="Q359" s="21">
        <f t="shared" si="366"/>
        <v>126.05134818399885</v>
      </c>
      <c r="R359" s="21">
        <f t="shared" si="366"/>
        <v>647.19594624244655</v>
      </c>
      <c r="S359" s="21">
        <f t="shared" si="366"/>
        <v>1798.370193859439</v>
      </c>
      <c r="T359" s="21">
        <f t="shared" si="366"/>
        <v>1522.7184502966938</v>
      </c>
      <c r="U359" s="21">
        <f t="shared" si="366"/>
        <v>1179.9575614663227</v>
      </c>
      <c r="V359" s="21">
        <f t="shared" si="366"/>
        <v>1111.5788028848845</v>
      </c>
      <c r="W359" s="21">
        <f t="shared" si="366"/>
        <v>1137.3495081202921</v>
      </c>
      <c r="X359" s="21">
        <f t="shared" si="366"/>
        <v>1051.4376641867836</v>
      </c>
      <c r="Y359" s="21">
        <f t="shared" si="366"/>
        <v>830.66278356001112</v>
      </c>
      <c r="Z359" s="21">
        <f t="shared" si="366"/>
        <v>496.02493984407903</v>
      </c>
      <c r="AA359" s="21">
        <f t="shared" si="366"/>
        <v>319.05884450487724</v>
      </c>
      <c r="AB359" s="21">
        <f t="shared" si="366"/>
        <v>90.491849701797165</v>
      </c>
      <c r="AC359" s="21">
        <f t="shared" si="366"/>
        <v>68.226270467871785</v>
      </c>
      <c r="AD359" s="21">
        <f t="shared" si="366"/>
        <v>32.195500674066516</v>
      </c>
      <c r="AE359" s="21">
        <f t="shared" si="366"/>
        <v>20.325990075572765</v>
      </c>
      <c r="AF359" s="21">
        <f t="shared" si="366"/>
        <v>8.2530402750033165</v>
      </c>
      <c r="AG359" s="3"/>
      <c r="AH359" s="3"/>
    </row>
    <row r="360" spans="1:34" x14ac:dyDescent="0.25">
      <c r="A360" s="71">
        <f>SUM(B360:AF360)</f>
        <v>11946.608244507785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933.75894911143871</v>
      </c>
      <c r="M360" s="60">
        <f t="shared" si="367"/>
        <v>1172.7888328489853</v>
      </c>
      <c r="N360" s="60">
        <f t="shared" si="367"/>
        <v>1145.4093641501313</v>
      </c>
      <c r="O360" s="60">
        <f t="shared" si="367"/>
        <v>1252.0335154359693</v>
      </c>
      <c r="P360" s="60">
        <f t="shared" si="367"/>
        <v>1056.7452800274752</v>
      </c>
      <c r="Q360" s="60">
        <f t="shared" si="367"/>
        <v>126.05134818399885</v>
      </c>
      <c r="R360" s="60">
        <f t="shared" si="367"/>
        <v>647.19594624244655</v>
      </c>
      <c r="S360" s="60">
        <f t="shared" si="367"/>
        <v>1798.370193859439</v>
      </c>
      <c r="T360" s="60">
        <f t="shared" si="367"/>
        <v>1522.7184502966938</v>
      </c>
      <c r="U360" s="60">
        <f t="shared" si="367"/>
        <v>1179.9575614663227</v>
      </c>
      <c r="V360" s="60">
        <f t="shared" si="367"/>
        <v>1111.5788028848845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3798.2343986766746</v>
      </c>
      <c r="C365" s="27">
        <f t="shared" ref="C365:AF365" si="368">($C$17+SUM(C366:C396))*$B$51</f>
        <v>3723.2016208949162</v>
      </c>
      <c r="D365" s="27">
        <f t="shared" si="368"/>
        <v>3446.9929797628856</v>
      </c>
      <c r="E365" s="27">
        <f t="shared" si="368"/>
        <v>3302.9463093920867</v>
      </c>
      <c r="F365" s="27">
        <f t="shared" si="368"/>
        <v>3128.5952026131536</v>
      </c>
      <c r="G365" s="27">
        <f t="shared" si="368"/>
        <v>2931.455887680826</v>
      </c>
      <c r="H365" s="27">
        <f t="shared" si="368"/>
        <v>2716.4710589714955</v>
      </c>
      <c r="I365" s="27">
        <f t="shared" si="368"/>
        <v>2473.4152575142089</v>
      </c>
      <c r="J365" s="27">
        <f t="shared" si="368"/>
        <v>2200.4021498639677</v>
      </c>
      <c r="K365" s="27">
        <f t="shared" si="368"/>
        <v>1881.3851947698017</v>
      </c>
      <c r="L365" s="27">
        <f t="shared" si="368"/>
        <v>1513.6652485490104</v>
      </c>
      <c r="M365" s="27">
        <f t="shared" si="368"/>
        <v>1130.7841213000556</v>
      </c>
      <c r="N365" s="27">
        <f t="shared" si="368"/>
        <v>796.77526880205244</v>
      </c>
      <c r="O365" s="27">
        <f t="shared" si="368"/>
        <v>559.66897714157926</v>
      </c>
      <c r="P365" s="27">
        <f t="shared" si="368"/>
        <v>421.52615431723405</v>
      </c>
      <c r="Q365" s="27">
        <f t="shared" si="368"/>
        <v>351.27347218009561</v>
      </c>
      <c r="R365" s="27">
        <f t="shared" si="368"/>
        <v>314.8136290069404</v>
      </c>
      <c r="S365" s="27">
        <f t="shared" si="368"/>
        <v>290.72237748557887</v>
      </c>
      <c r="T365" s="27">
        <f t="shared" si="368"/>
        <v>272.46897042952691</v>
      </c>
      <c r="U365" s="27">
        <f t="shared" si="368"/>
        <v>260.46065763679729</v>
      </c>
      <c r="V365" s="27">
        <f t="shared" si="368"/>
        <v>241.20722451389244</v>
      </c>
      <c r="W365" s="27">
        <f t="shared" si="368"/>
        <v>232.4822697716609</v>
      </c>
      <c r="X365" s="27">
        <f t="shared" si="368"/>
        <v>229.22155694810476</v>
      </c>
      <c r="Y365" s="27">
        <f t="shared" si="368"/>
        <v>227.24101956314198</v>
      </c>
      <c r="Z365" s="27">
        <f t="shared" si="368"/>
        <v>225.86651673774955</v>
      </c>
      <c r="AA365" s="27">
        <f t="shared" si="368"/>
        <v>225.20130396242618</v>
      </c>
      <c r="AB365" s="27">
        <f t="shared" si="368"/>
        <v>224.21721558414666</v>
      </c>
      <c r="AC365" s="27">
        <f t="shared" si="368"/>
        <v>223.70841608408264</v>
      </c>
      <c r="AD365" s="27">
        <f t="shared" si="368"/>
        <v>223.00941987257502</v>
      </c>
      <c r="AE365" s="27">
        <f t="shared" si="368"/>
        <v>222.52149843263712</v>
      </c>
      <c r="AF365" s="27">
        <f t="shared" si="368"/>
        <v>222.43008921356912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5.668745730788019E-2</v>
      </c>
      <c r="C367" s="3">
        <f t="shared" si="370"/>
        <v>4.5018466322723091E-2</v>
      </c>
      <c r="D367" s="3">
        <f t="shared" si="370"/>
        <v>4.491877222052883E-3</v>
      </c>
      <c r="E367" s="3">
        <f t="shared" si="370"/>
        <v>4.393389346368408E-13</v>
      </c>
      <c r="F367" s="3">
        <f t="shared" si="370"/>
        <v>3.5197988722895657E-113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1.8875477404074855E-2</v>
      </c>
      <c r="C368" s="3">
        <f t="shared" si="371"/>
        <v>1.8487084547614024E-2</v>
      </c>
      <c r="D368" s="3">
        <f t="shared" si="371"/>
        <v>1.5016656755876337E-2</v>
      </c>
      <c r="E368" s="3">
        <f t="shared" si="371"/>
        <v>1.8776797371625063E-3</v>
      </c>
      <c r="F368" s="3">
        <f t="shared" si="371"/>
        <v>1.7543012644244979E-12</v>
      </c>
      <c r="G368" s="3">
        <f t="shared" si="371"/>
        <v>8.8905933007587891E-103</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2.9956556374445321E-2</v>
      </c>
      <c r="C369" s="3">
        <f t="shared" si="372"/>
        <v>2.9900424247462976E-2</v>
      </c>
      <c r="D369" s="3">
        <f t="shared" si="372"/>
        <v>2.9344855452982568E-2</v>
      </c>
      <c r="E369" s="3">
        <f t="shared" si="372"/>
        <v>2.4326420878930912E-2</v>
      </c>
      <c r="F369" s="3">
        <f t="shared" si="372"/>
        <v>3.7285556856554978E-3</v>
      </c>
      <c r="G369" s="3">
        <f t="shared" si="372"/>
        <v>2.6678708789626531E-11</v>
      </c>
      <c r="H369" s="3">
        <f t="shared" si="372"/>
        <v>9.3844005362224797E-93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3.3252512038203785E-2</v>
      </c>
      <c r="C370" s="3">
        <f t="shared" si="373"/>
        <v>3.3246886538218383E-2</v>
      </c>
      <c r="D370" s="3">
        <f t="shared" si="373"/>
        <v>3.3190683855033931E-2</v>
      </c>
      <c r="E370" s="3">
        <f t="shared" si="373"/>
        <v>3.2633856087534323E-2</v>
      </c>
      <c r="F370" s="3">
        <f t="shared" si="373"/>
        <v>2.7554359970846789E-2</v>
      </c>
      <c r="G370" s="3">
        <f t="shared" si="373"/>
        <v>5.0746917258281269E-3</v>
      </c>
      <c r="H370" s="3">
        <f t="shared" si="373"/>
        <v>2.2782587090320547E-10</v>
      </c>
      <c r="I370" s="3">
        <f t="shared" si="373"/>
        <v>7.5776890289977342E-84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3.5952273993968831E-2</v>
      </c>
      <c r="C371" s="3">
        <f t="shared" si="374"/>
        <v>3.5951725283749507E-2</v>
      </c>
      <c r="D371" s="3">
        <f t="shared" si="374"/>
        <v>3.5946238642133595E-2</v>
      </c>
      <c r="E371" s="3">
        <f t="shared" si="374"/>
        <v>3.5891418257706892E-2</v>
      </c>
      <c r="F371" s="3">
        <f t="shared" si="374"/>
        <v>3.5347791698106708E-2</v>
      </c>
      <c r="G371" s="3">
        <f t="shared" si="374"/>
        <v>3.0344428221223962E-2</v>
      </c>
      <c r="H371" s="3">
        <f t="shared" si="374"/>
        <v>6.595468841604407E-3</v>
      </c>
      <c r="I371" s="3">
        <f t="shared" si="374"/>
        <v>1.552075407750957E-9</v>
      </c>
      <c r="J371" s="3">
        <f t="shared" si="374"/>
        <v>8.0832174977888271E-76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4.1559937989675728E-2</v>
      </c>
      <c r="C372" s="3">
        <f t="shared" si="375"/>
        <v>4.1559880770554863E-2</v>
      </c>
      <c r="D372" s="3">
        <f t="shared" si="375"/>
        <v>4.1559308583679053E-2</v>
      </c>
      <c r="E372" s="3">
        <f t="shared" si="375"/>
        <v>4.1553587148178625E-2</v>
      </c>
      <c r="F372" s="3">
        <f t="shared" si="375"/>
        <v>4.149641609687714E-2</v>
      </c>
      <c r="G372" s="3">
        <f t="shared" si="375"/>
        <v>4.0929013975770069E-2</v>
      </c>
      <c r="H372" s="3">
        <f t="shared" si="375"/>
        <v>3.5664669641878935E-2</v>
      </c>
      <c r="I372" s="3">
        <f t="shared" si="375"/>
        <v>9.0013456652621535E-3</v>
      </c>
      <c r="J372" s="3">
        <f t="shared" si="375"/>
        <v>9.4406039789821921E-9</v>
      </c>
      <c r="K372" s="3">
        <f t="shared" si="375"/>
        <v>1.5202786038561777E-68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4.609677106946803E-2</v>
      </c>
      <c r="C373" s="3">
        <f t="shared" si="376"/>
        <v>4.6096765344360364E-2</v>
      </c>
      <c r="D373" s="3">
        <f t="shared" si="376"/>
        <v>4.6096708093322815E-2</v>
      </c>
      <c r="E373" s="3">
        <f t="shared" si="376"/>
        <v>4.6096135586858024E-2</v>
      </c>
      <c r="F373" s="3">
        <f t="shared" si="376"/>
        <v>4.6090410913264761E-2</v>
      </c>
      <c r="G373" s="3">
        <f t="shared" si="376"/>
        <v>4.6033203264826697E-2</v>
      </c>
      <c r="H373" s="3">
        <f t="shared" si="376"/>
        <v>4.5465017627509173E-2</v>
      </c>
      <c r="I373" s="3">
        <f t="shared" si="376"/>
        <v>4.0154944909293264E-2</v>
      </c>
      <c r="J373" s="3">
        <f t="shared" si="376"/>
        <v>1.1597269258288811E-2</v>
      </c>
      <c r="K373" s="3">
        <f t="shared" si="376"/>
        <v>4.6829853695341012E-8</v>
      </c>
      <c r="L373" s="3">
        <f t="shared" si="376"/>
        <v>5.3975093841130028E-62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5.5576139705301335E-2</v>
      </c>
      <c r="C374" s="3">
        <f t="shared" si="377"/>
        <v>5.5576139082645373E-2</v>
      </c>
      <c r="D374" s="3">
        <f t="shared" si="377"/>
        <v>5.5576132856086209E-2</v>
      </c>
      <c r="E374" s="3">
        <f t="shared" si="377"/>
        <v>5.5576070590532926E-2</v>
      </c>
      <c r="F374" s="3">
        <f t="shared" si="377"/>
        <v>5.5575447938836876E-2</v>
      </c>
      <c r="G374" s="3">
        <f t="shared" si="377"/>
        <v>5.5569221805540012E-2</v>
      </c>
      <c r="H374" s="3">
        <f t="shared" si="377"/>
        <v>5.550699882303263E-2</v>
      </c>
      <c r="I374" s="3">
        <f t="shared" si="377"/>
        <v>5.4888588194000332E-2</v>
      </c>
      <c r="J374" s="3">
        <f t="shared" si="377"/>
        <v>4.9071032942808936E-2</v>
      </c>
      <c r="K374" s="3">
        <f t="shared" si="377"/>
        <v>1.6005033829677193E-2</v>
      </c>
      <c r="L374" s="3">
        <f t="shared" si="377"/>
        <v>2.1805726537057486E-7</v>
      </c>
      <c r="M374" s="3">
        <f t="shared" si="377"/>
        <v>4.8051860810277805E-56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6.5368051837583957E-2</v>
      </c>
      <c r="C375" s="3">
        <f t="shared" si="378"/>
        <v>6.5368051771518887E-2</v>
      </c>
      <c r="D375" s="3">
        <f t="shared" si="378"/>
        <v>6.5368051110868172E-2</v>
      </c>
      <c r="E375" s="3">
        <f t="shared" si="378"/>
        <v>6.5368044504361525E-2</v>
      </c>
      <c r="F375" s="3">
        <f t="shared" si="378"/>
        <v>6.5367978439331703E-2</v>
      </c>
      <c r="G375" s="3">
        <f t="shared" si="378"/>
        <v>6.5367317792705729E-2</v>
      </c>
      <c r="H375" s="3">
        <f t="shared" si="378"/>
        <v>6.5360711693663226E-2</v>
      </c>
      <c r="I375" s="3">
        <f t="shared" si="378"/>
        <v>6.5294687411221006E-2</v>
      </c>
      <c r="J375" s="3">
        <f t="shared" si="378"/>
        <v>6.4638101695347464E-2</v>
      </c>
      <c r="K375" s="3">
        <f t="shared" si="378"/>
        <v>5.8424641690435528E-2</v>
      </c>
      <c r="L375" s="3">
        <f t="shared" si="378"/>
        <v>2.1265260080566672E-2</v>
      </c>
      <c r="M375" s="3">
        <f t="shared" si="378"/>
        <v>8.6779493082728226E-7</v>
      </c>
      <c r="N375" s="3">
        <f t="shared" si="378"/>
        <v>1.1114276872801571E-50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6.690797398923326E-2</v>
      </c>
      <c r="C376" s="3">
        <f t="shared" si="379"/>
        <v>6.6907973983133251E-2</v>
      </c>
      <c r="D376" s="3">
        <f t="shared" si="379"/>
        <v>6.6907973922133102E-2</v>
      </c>
      <c r="E376" s="3">
        <f t="shared" si="379"/>
        <v>6.6907973312131705E-2</v>
      </c>
      <c r="F376" s="3">
        <f t="shared" si="379"/>
        <v>6.6907967212118044E-2</v>
      </c>
      <c r="G376" s="3">
        <f t="shared" si="379"/>
        <v>6.6907906212011994E-2</v>
      </c>
      <c r="H376" s="3">
        <f t="shared" si="379"/>
        <v>6.6907296214010217E-2</v>
      </c>
      <c r="I376" s="3">
        <f t="shared" si="379"/>
        <v>6.6901196539857849E-2</v>
      </c>
      <c r="J376" s="3">
        <f t="shared" si="379"/>
        <v>6.6840230374547893E-2</v>
      </c>
      <c r="K376" s="3">
        <f t="shared" si="379"/>
        <v>6.6233616053670299E-2</v>
      </c>
      <c r="L376" s="3">
        <f t="shared" si="379"/>
        <v>6.0462172403713293E-2</v>
      </c>
      <c r="M376" s="3">
        <f t="shared" si="379"/>
        <v>2.4296099553551134E-2</v>
      </c>
      <c r="N376" s="3">
        <f t="shared" si="379"/>
        <v>2.6672558097495822E-6</v>
      </c>
      <c r="O376" s="3">
        <f t="shared" si="379"/>
        <v>6.7818125720874441E-46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5.3174535073517409E-2</v>
      </c>
      <c r="C377" s="3">
        <f t="shared" si="380"/>
        <v>5.3174535073080086E-2</v>
      </c>
      <c r="D377" s="3">
        <f t="shared" si="380"/>
        <v>5.3174535068706848E-2</v>
      </c>
      <c r="E377" s="3">
        <f t="shared" si="380"/>
        <v>5.3174535024974455E-2</v>
      </c>
      <c r="F377" s="3">
        <f t="shared" si="380"/>
        <v>5.3174534587650521E-2</v>
      </c>
      <c r="G377" s="3">
        <f t="shared" si="380"/>
        <v>5.3174530214411417E-2</v>
      </c>
      <c r="H377" s="3">
        <f t="shared" si="380"/>
        <v>5.3174486482040123E-2</v>
      </c>
      <c r="I377" s="3">
        <f t="shared" si="380"/>
        <v>5.3174049160305367E-2</v>
      </c>
      <c r="J377" s="3">
        <f t="shared" si="380"/>
        <v>5.3169676140769E-2</v>
      </c>
      <c r="K377" s="3">
        <f t="shared" si="380"/>
        <v>5.3125965720503467E-2</v>
      </c>
      <c r="L377" s="3">
        <f t="shared" si="380"/>
        <v>5.2690833023324599E-2</v>
      </c>
      <c r="M377" s="3">
        <f t="shared" si="380"/>
        <v>4.8530787017427038E-2</v>
      </c>
      <c r="N377" s="3">
        <f t="shared" si="380"/>
        <v>2.1322593637564696E-2</v>
      </c>
      <c r="O377" s="3">
        <f t="shared" si="380"/>
        <v>5.7156679463542255E-6</v>
      </c>
      <c r="P377" s="3">
        <f t="shared" si="380"/>
        <v>1.0948045439546294E-41</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3.2923061735417175E-2</v>
      </c>
      <c r="C378" s="3">
        <f t="shared" si="381"/>
        <v>3.292306173539275E-2</v>
      </c>
      <c r="D378" s="3">
        <f t="shared" si="381"/>
        <v>3.2923061735148494E-2</v>
      </c>
      <c r="E378" s="3">
        <f t="shared" si="381"/>
        <v>3.2923061732705927E-2</v>
      </c>
      <c r="F378" s="3">
        <f t="shared" si="381"/>
        <v>3.2923061708280264E-2</v>
      </c>
      <c r="G378" s="3">
        <f t="shared" si="381"/>
        <v>3.2923061464023642E-2</v>
      </c>
      <c r="H378" s="3">
        <f t="shared" si="381"/>
        <v>3.2923059021457507E-2</v>
      </c>
      <c r="I378" s="3">
        <f t="shared" si="381"/>
        <v>3.2923034595806144E-2</v>
      </c>
      <c r="J378" s="3">
        <f t="shared" si="381"/>
        <v>3.2922790340289193E-2</v>
      </c>
      <c r="K378" s="3">
        <f t="shared" si="381"/>
        <v>3.292034788478454E-2</v>
      </c>
      <c r="L378" s="3">
        <f t="shared" si="381"/>
        <v>3.2895933293485675E-2</v>
      </c>
      <c r="M378" s="3">
        <f t="shared" si="381"/>
        <v>3.2652781025600271E-2</v>
      </c>
      <c r="N378" s="3">
        <f t="shared" si="381"/>
        <v>3.0317948551647159E-2</v>
      </c>
      <c r="O378" s="3">
        <f t="shared" si="381"/>
        <v>1.4437638690078476E-2</v>
      </c>
      <c r="P378" s="3">
        <f t="shared" si="381"/>
        <v>8.6588405888608356E-6</v>
      </c>
      <c r="Q378" s="3">
        <f t="shared" si="381"/>
        <v>5.2130932720624854E-38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1.6325787748200017E-2</v>
      </c>
      <c r="C379" s="3">
        <f t="shared" si="382"/>
        <v>1.6325787748198924E-2</v>
      </c>
      <c r="D379" s="3">
        <f t="shared" si="382"/>
        <v>1.6325787748187999E-2</v>
      </c>
      <c r="E379" s="3">
        <f t="shared" si="382"/>
        <v>1.6325787748078736E-2</v>
      </c>
      <c r="F379" s="3">
        <f t="shared" si="382"/>
        <v>1.6325787746986124E-2</v>
      </c>
      <c r="G379" s="3">
        <f t="shared" si="382"/>
        <v>1.6325787736059982E-2</v>
      </c>
      <c r="H379" s="3">
        <f t="shared" si="382"/>
        <v>1.6325787626798552E-2</v>
      </c>
      <c r="I379" s="3">
        <f t="shared" si="382"/>
        <v>1.632578653418432E-2</v>
      </c>
      <c r="J379" s="3">
        <f t="shared" si="382"/>
        <v>1.6325775608046014E-2</v>
      </c>
      <c r="K379" s="3">
        <f t="shared" si="382"/>
        <v>1.6325666347065112E-2</v>
      </c>
      <c r="L379" s="3">
        <f t="shared" si="382"/>
        <v>1.6324573777473161E-2</v>
      </c>
      <c r="M379" s="3">
        <f t="shared" si="382"/>
        <v>1.631365210226414E-2</v>
      </c>
      <c r="N379" s="3">
        <f t="shared" si="382"/>
        <v>1.6204836427372585E-2</v>
      </c>
      <c r="O379" s="3">
        <f t="shared" si="382"/>
        <v>1.5155811760184211E-2</v>
      </c>
      <c r="P379" s="3">
        <f t="shared" si="382"/>
        <v>7.7611256090064128E-3</v>
      </c>
      <c r="Q379" s="3">
        <f t="shared" si="382"/>
        <v>9.6245361799615408E-6</v>
      </c>
      <c r="R379" s="3">
        <f t="shared" si="382"/>
        <v>8.2781021424186608E-35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7.8974635041155917E-3</v>
      </c>
      <c r="C380" s="3">
        <f t="shared" si="383"/>
        <v>7.8974635041155448E-3</v>
      </c>
      <c r="D380" s="3">
        <f t="shared" si="383"/>
        <v>7.8974635041150678E-3</v>
      </c>
      <c r="E380" s="3">
        <f t="shared" si="383"/>
        <v>7.897463504110299E-3</v>
      </c>
      <c r="F380" s="3">
        <f t="shared" si="383"/>
        <v>7.8974635040626202E-3</v>
      </c>
      <c r="G380" s="3">
        <f t="shared" si="383"/>
        <v>7.8974635035858314E-3</v>
      </c>
      <c r="H380" s="3">
        <f t="shared" si="383"/>
        <v>7.8974634988179335E-3</v>
      </c>
      <c r="I380" s="3">
        <f t="shared" si="383"/>
        <v>7.897463451138953E-3</v>
      </c>
      <c r="J380" s="3">
        <f t="shared" si="383"/>
        <v>7.8974629743491856E-3</v>
      </c>
      <c r="K380" s="3">
        <f t="shared" si="383"/>
        <v>7.8974582064530764E-3</v>
      </c>
      <c r="L380" s="3">
        <f t="shared" si="383"/>
        <v>7.897410527650299E-3</v>
      </c>
      <c r="M380" s="3">
        <f t="shared" si="383"/>
        <v>7.8969337554538992E-3</v>
      </c>
      <c r="N380" s="3">
        <f t="shared" si="383"/>
        <v>7.8921676162721152E-3</v>
      </c>
      <c r="O380" s="3">
        <f t="shared" si="383"/>
        <v>7.8446641496874771E-3</v>
      </c>
      <c r="P380" s="3">
        <f t="shared" si="383"/>
        <v>7.3850748608707464E-3</v>
      </c>
      <c r="Q380" s="3">
        <f t="shared" si="383"/>
        <v>4.0379447437634552E-3</v>
      </c>
      <c r="R380" s="3">
        <f t="shared" si="383"/>
        <v>9.6430644194964526E-6</v>
      </c>
      <c r="S380" s="3">
        <f t="shared" si="383"/>
        <v>5.8178434630382774E-32</v>
      </c>
      <c r="T380" s="3">
        <f t="shared" si="383"/>
        <v>3.7173347312152272E-294</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4.1550471728530177E-3</v>
      </c>
      <c r="C381" s="3">
        <f t="shared" si="384"/>
        <v>4.155047172853016E-3</v>
      </c>
      <c r="D381" s="3">
        <f t="shared" si="384"/>
        <v>4.1550471728529935E-3</v>
      </c>
      <c r="E381" s="3">
        <f t="shared" si="384"/>
        <v>4.1550471728527671E-3</v>
      </c>
      <c r="F381" s="3">
        <f t="shared" si="384"/>
        <v>4.1550471728505041E-3</v>
      </c>
      <c r="G381" s="3">
        <f t="shared" si="384"/>
        <v>4.1550471728278755E-3</v>
      </c>
      <c r="H381" s="3">
        <f t="shared" si="384"/>
        <v>4.1550471726015869E-3</v>
      </c>
      <c r="I381" s="3">
        <f t="shared" si="384"/>
        <v>4.1550471703387052E-3</v>
      </c>
      <c r="J381" s="3">
        <f t="shared" si="384"/>
        <v>4.155047147709888E-3</v>
      </c>
      <c r="K381" s="3">
        <f t="shared" si="384"/>
        <v>4.1550469214217166E-3</v>
      </c>
      <c r="L381" s="3">
        <f t="shared" si="384"/>
        <v>4.1550446585406882E-3</v>
      </c>
      <c r="M381" s="3">
        <f t="shared" si="384"/>
        <v>4.1550220297981817E-3</v>
      </c>
      <c r="N381" s="3">
        <f t="shared" si="384"/>
        <v>4.1547957491511007E-3</v>
      </c>
      <c r="O381" s="3">
        <f t="shared" si="384"/>
        <v>4.1525336203424449E-3</v>
      </c>
      <c r="P381" s="3">
        <f t="shared" si="384"/>
        <v>4.1299799621168495E-3</v>
      </c>
      <c r="Q381" s="3">
        <f t="shared" si="384"/>
        <v>3.911072050317153E-3</v>
      </c>
      <c r="R381" s="3">
        <f t="shared" si="384"/>
        <v>2.2686867666185727E-3</v>
      </c>
      <c r="S381" s="3">
        <f t="shared" si="384"/>
        <v>9.7850207078177546E-6</v>
      </c>
      <c r="T381" s="3">
        <f t="shared" si="384"/>
        <v>2.1798864006474316E-29</v>
      </c>
      <c r="U381" s="3">
        <f t="shared" si="384"/>
        <v>6.5637947376569654E-266</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4.2575321437709054E-3</v>
      </c>
      <c r="C382" s="3">
        <f t="shared" si="385"/>
        <v>4.2575321437709054E-3</v>
      </c>
      <c r="D382" s="3">
        <f t="shared" si="385"/>
        <v>4.2575321437709028E-3</v>
      </c>
      <c r="E382" s="3">
        <f t="shared" si="385"/>
        <v>4.257532143770882E-3</v>
      </c>
      <c r="F382" s="3">
        <f t="shared" si="385"/>
        <v>4.257532143770673E-3</v>
      </c>
      <c r="G382" s="3">
        <f t="shared" si="385"/>
        <v>4.2575321437685809E-3</v>
      </c>
      <c r="H382" s="3">
        <f t="shared" si="385"/>
        <v>4.2575321437476644E-3</v>
      </c>
      <c r="I382" s="3">
        <f t="shared" si="385"/>
        <v>4.2575321435384993E-3</v>
      </c>
      <c r="J382" s="3">
        <f t="shared" si="385"/>
        <v>4.2575321414468426E-3</v>
      </c>
      <c r="K382" s="3">
        <f t="shared" si="385"/>
        <v>4.2575321205302738E-3</v>
      </c>
      <c r="L382" s="3">
        <f t="shared" si="385"/>
        <v>4.2575319113645968E-3</v>
      </c>
      <c r="M382" s="3">
        <f t="shared" si="385"/>
        <v>4.2575298197083918E-3</v>
      </c>
      <c r="N382" s="3">
        <f t="shared" si="385"/>
        <v>4.2575089032028572E-3</v>
      </c>
      <c r="O382" s="3">
        <f t="shared" si="385"/>
        <v>4.2572997437991811E-3</v>
      </c>
      <c r="P382" s="3">
        <f t="shared" si="385"/>
        <v>4.2552087148267732E-3</v>
      </c>
      <c r="Q382" s="3">
        <f t="shared" si="385"/>
        <v>4.234354828958042E-3</v>
      </c>
      <c r="R382" s="3">
        <f t="shared" si="385"/>
        <v>4.0313551610771502E-3</v>
      </c>
      <c r="S382" s="3">
        <f t="shared" si="385"/>
        <v>2.4665458384181766E-3</v>
      </c>
      <c r="T382" s="3">
        <f t="shared" si="385"/>
        <v>1.8133034534234736E-5</v>
      </c>
      <c r="U382" s="3">
        <f t="shared" si="385"/>
        <v>8.3614860018150941E-27</v>
      </c>
      <c r="V382" s="3">
        <f t="shared" si="385"/>
        <v>3.6342370433623639E-240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9.5394971617709327E-4</v>
      </c>
      <c r="C383" s="3">
        <f t="shared" si="386"/>
        <v>9.5394971617709327E-4</v>
      </c>
      <c r="D383" s="3">
        <f t="shared" si="386"/>
        <v>9.5394971617709327E-4</v>
      </c>
      <c r="E383" s="3">
        <f t="shared" si="386"/>
        <v>9.5394971617709283E-4</v>
      </c>
      <c r="F383" s="3">
        <f t="shared" si="386"/>
        <v>9.539497161770886E-4</v>
      </c>
      <c r="G383" s="3">
        <f t="shared" si="386"/>
        <v>9.5394971617704621E-4</v>
      </c>
      <c r="H383" s="3">
        <f t="shared" si="386"/>
        <v>9.5394971617662359E-4</v>
      </c>
      <c r="I383" s="3">
        <f t="shared" si="386"/>
        <v>9.5394971617239585E-4</v>
      </c>
      <c r="J383" s="3">
        <f t="shared" si="386"/>
        <v>9.539497161301188E-4</v>
      </c>
      <c r="K383" s="3">
        <f t="shared" si="386"/>
        <v>9.5394971570734836E-4</v>
      </c>
      <c r="L383" s="3">
        <f t="shared" si="386"/>
        <v>9.5394971147964435E-4</v>
      </c>
      <c r="M383" s="3">
        <f t="shared" si="386"/>
        <v>9.539496692026056E-4</v>
      </c>
      <c r="N383" s="3">
        <f t="shared" si="386"/>
        <v>9.5394924643232067E-4</v>
      </c>
      <c r="O383" s="3">
        <f t="shared" si="386"/>
        <v>9.5394501873977643E-4</v>
      </c>
      <c r="P383" s="3">
        <f t="shared" si="386"/>
        <v>9.5390274284481156E-4</v>
      </c>
      <c r="Q383" s="3">
        <f t="shared" si="386"/>
        <v>9.5348008692599877E-4</v>
      </c>
      <c r="R383" s="3">
        <f t="shared" si="386"/>
        <v>9.4926381394695063E-4</v>
      </c>
      <c r="S383" s="3">
        <f t="shared" si="386"/>
        <v>9.0811303621039666E-4</v>
      </c>
      <c r="T383" s="3">
        <f t="shared" si="386"/>
        <v>5.8300160880324424E-4</v>
      </c>
      <c r="U383" s="3">
        <f t="shared" si="386"/>
        <v>6.9337500796542189E-6</v>
      </c>
      <c r="V383" s="3">
        <f t="shared" si="386"/>
        <v>3.9260198457450521E-25</v>
      </c>
      <c r="W383" s="3">
        <f t="shared" si="386"/>
        <v>1.3298282598642104E-217</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4.0589760414466262E-3</v>
      </c>
      <c r="C384" s="3">
        <f t="shared" si="387"/>
        <v>4.0589760414466262E-3</v>
      </c>
      <c r="D384" s="3">
        <f t="shared" si="387"/>
        <v>4.0589760414466262E-3</v>
      </c>
      <c r="E384" s="3">
        <f t="shared" si="387"/>
        <v>4.0589760414466262E-3</v>
      </c>
      <c r="F384" s="3">
        <f t="shared" si="387"/>
        <v>4.0589760414466245E-3</v>
      </c>
      <c r="G384" s="3">
        <f t="shared" si="387"/>
        <v>4.058976041446608E-3</v>
      </c>
      <c r="H384" s="3">
        <f t="shared" si="387"/>
        <v>4.0589760414464458E-3</v>
      </c>
      <c r="I384" s="3">
        <f t="shared" si="387"/>
        <v>4.058976041444823E-3</v>
      </c>
      <c r="J384" s="3">
        <f t="shared" si="387"/>
        <v>4.0589760414285964E-3</v>
      </c>
      <c r="K384" s="3">
        <f t="shared" si="387"/>
        <v>4.0589760412663243E-3</v>
      </c>
      <c r="L384" s="3">
        <f t="shared" si="387"/>
        <v>4.0589760396436102E-3</v>
      </c>
      <c r="M384" s="3">
        <f t="shared" si="387"/>
        <v>4.0589760234164629E-3</v>
      </c>
      <c r="N384" s="3">
        <f t="shared" si="387"/>
        <v>4.0589758611449976E-3</v>
      </c>
      <c r="O384" s="3">
        <f t="shared" si="387"/>
        <v>4.0589742384307039E-3</v>
      </c>
      <c r="P384" s="3">
        <f t="shared" si="387"/>
        <v>4.0589580113234418E-3</v>
      </c>
      <c r="Q384" s="3">
        <f t="shared" si="387"/>
        <v>4.058795743818816E-3</v>
      </c>
      <c r="R384" s="3">
        <f t="shared" si="387"/>
        <v>4.0571734255185872E-3</v>
      </c>
      <c r="S384" s="3">
        <f t="shared" si="387"/>
        <v>4.040985864406741E-3</v>
      </c>
      <c r="T384" s="3">
        <f t="shared" si="387"/>
        <v>3.8826203090931077E-3</v>
      </c>
      <c r="U384" s="3">
        <f t="shared" si="387"/>
        <v>2.6031597966662242E-3</v>
      </c>
      <c r="V384" s="3">
        <f t="shared" si="387"/>
        <v>4.7781512510029894E-5</v>
      </c>
      <c r="W384" s="3">
        <f t="shared" si="387"/>
        <v>2.074199571938279E-22</v>
      </c>
      <c r="X384" s="3">
        <f t="shared" si="387"/>
        <v>4.9289795046399901E-196</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1.8079022275700322E-3</v>
      </c>
      <c r="C385" s="3">
        <f t="shared" si="388"/>
        <v>1.8079022275700322E-3</v>
      </c>
      <c r="D385" s="3">
        <f t="shared" si="388"/>
        <v>1.8079022275700322E-3</v>
      </c>
      <c r="E385" s="3">
        <f t="shared" si="388"/>
        <v>1.8079022275700322E-3</v>
      </c>
      <c r="F385" s="3">
        <f t="shared" si="388"/>
        <v>1.8079022275700322E-3</v>
      </c>
      <c r="G385" s="3">
        <f t="shared" si="388"/>
        <v>1.8079022275700313E-3</v>
      </c>
      <c r="H385" s="3">
        <f t="shared" si="388"/>
        <v>1.807902227570025E-3</v>
      </c>
      <c r="I385" s="3">
        <f t="shared" si="388"/>
        <v>1.8079022275699597E-3</v>
      </c>
      <c r="J385" s="3">
        <f t="shared" si="388"/>
        <v>1.8079022275693077E-3</v>
      </c>
      <c r="K385" s="3">
        <f t="shared" si="388"/>
        <v>1.8079022275627877E-3</v>
      </c>
      <c r="L385" s="3">
        <f t="shared" si="388"/>
        <v>1.8079022274975877E-3</v>
      </c>
      <c r="M385" s="3">
        <f t="shared" si="388"/>
        <v>1.8079022268455884E-3</v>
      </c>
      <c r="N385" s="3">
        <f t="shared" si="388"/>
        <v>1.8079022203255943E-3</v>
      </c>
      <c r="O385" s="3">
        <f t="shared" si="388"/>
        <v>1.8079021551256533E-3</v>
      </c>
      <c r="P385" s="3">
        <f t="shared" si="388"/>
        <v>1.8079015031263748E-3</v>
      </c>
      <c r="Q385" s="3">
        <f t="shared" si="388"/>
        <v>1.8078949831465225E-3</v>
      </c>
      <c r="R385" s="3">
        <f t="shared" si="388"/>
        <v>1.8078297846412289E-3</v>
      </c>
      <c r="S385" s="3">
        <f t="shared" si="388"/>
        <v>1.8071779288940258E-3</v>
      </c>
      <c r="T385" s="3">
        <f t="shared" si="388"/>
        <v>1.8006722847579376E-3</v>
      </c>
      <c r="U385" s="3">
        <f t="shared" si="388"/>
        <v>1.736890110870937E-3</v>
      </c>
      <c r="V385" s="3">
        <f t="shared" si="388"/>
        <v>1.2110134482378125E-3</v>
      </c>
      <c r="W385" s="3">
        <f t="shared" si="388"/>
        <v>3.2878742661417809E-5</v>
      </c>
      <c r="X385" s="3">
        <f t="shared" si="388"/>
        <v>7.1544713928105162E-21</v>
      </c>
      <c r="Y385" s="3">
        <f t="shared" si="388"/>
        <v>1.7029467029033077E-177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6.6593482592524332E-4</v>
      </c>
      <c r="C386" s="3">
        <f t="shared" si="389"/>
        <v>6.6593482592524332E-4</v>
      </c>
      <c r="D386" s="3">
        <f t="shared" si="389"/>
        <v>6.6593482592524332E-4</v>
      </c>
      <c r="E386" s="3">
        <f t="shared" si="389"/>
        <v>6.6593482592524332E-4</v>
      </c>
      <c r="F386" s="3">
        <f t="shared" si="389"/>
        <v>6.6593482592524332E-4</v>
      </c>
      <c r="G386" s="3">
        <f t="shared" si="389"/>
        <v>6.6593482592524332E-4</v>
      </c>
      <c r="H386" s="3">
        <f t="shared" si="389"/>
        <v>6.659348259252431E-4</v>
      </c>
      <c r="I386" s="3">
        <f t="shared" si="389"/>
        <v>6.6593482592524082E-4</v>
      </c>
      <c r="J386" s="3">
        <f t="shared" si="389"/>
        <v>6.6593482592521925E-4</v>
      </c>
      <c r="K386" s="3">
        <f t="shared" si="389"/>
        <v>6.6593482592500262E-4</v>
      </c>
      <c r="L386" s="3">
        <f t="shared" si="389"/>
        <v>6.6593482592283606E-4</v>
      </c>
      <c r="M386" s="3">
        <f t="shared" si="389"/>
        <v>6.6593482590117153E-4</v>
      </c>
      <c r="N386" s="3">
        <f t="shared" si="389"/>
        <v>6.659348256845256E-4</v>
      </c>
      <c r="O386" s="3">
        <f t="shared" si="389"/>
        <v>6.6593482351806599E-4</v>
      </c>
      <c r="P386" s="3">
        <f t="shared" si="389"/>
        <v>6.6593480185347075E-4</v>
      </c>
      <c r="Q386" s="3">
        <f t="shared" si="389"/>
        <v>6.6593458520755643E-4</v>
      </c>
      <c r="R386" s="3">
        <f t="shared" si="389"/>
        <v>6.6593241875229038E-4</v>
      </c>
      <c r="S386" s="3">
        <f t="shared" si="389"/>
        <v>6.6591075458726748E-4</v>
      </c>
      <c r="T386" s="3">
        <f t="shared" si="389"/>
        <v>6.6569415169617167E-4</v>
      </c>
      <c r="U386" s="3">
        <f t="shared" si="389"/>
        <v>6.6353199403714131E-4</v>
      </c>
      <c r="V386" s="3">
        <f t="shared" si="389"/>
        <v>6.4229292306085012E-4</v>
      </c>
      <c r="W386" s="3">
        <f t="shared" si="389"/>
        <v>4.6392291167532705E-4</v>
      </c>
      <c r="X386" s="3">
        <f t="shared" si="389"/>
        <v>1.7929685318447967E-5</v>
      </c>
      <c r="Y386" s="3">
        <f t="shared" si="389"/>
        <v>1.3330336929645783E-19</v>
      </c>
      <c r="Z386" s="3">
        <f t="shared" si="389"/>
        <v>6.8790064695376108E-161</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5.5929921649114952E-4</v>
      </c>
      <c r="C388" s="3">
        <f t="shared" si="391"/>
        <v>5.5929921649114952E-4</v>
      </c>
      <c r="D388" s="3">
        <f t="shared" si="391"/>
        <v>5.5929921649114952E-4</v>
      </c>
      <c r="E388" s="3">
        <f t="shared" si="391"/>
        <v>5.5929921649114952E-4</v>
      </c>
      <c r="F388" s="3">
        <f t="shared" si="391"/>
        <v>5.5929921649114952E-4</v>
      </c>
      <c r="G388" s="3">
        <f t="shared" si="391"/>
        <v>5.5929921649114952E-4</v>
      </c>
      <c r="H388" s="3">
        <f t="shared" si="391"/>
        <v>5.5929921649114952E-4</v>
      </c>
      <c r="I388" s="3">
        <f t="shared" si="391"/>
        <v>5.5929921649114942E-4</v>
      </c>
      <c r="J388" s="3">
        <f t="shared" si="391"/>
        <v>5.5929921649114898E-4</v>
      </c>
      <c r="K388" s="3">
        <f t="shared" si="391"/>
        <v>5.5929921649114389E-4</v>
      </c>
      <c r="L388" s="3">
        <f t="shared" si="391"/>
        <v>5.5929921649109369E-4</v>
      </c>
      <c r="M388" s="3">
        <f t="shared" si="391"/>
        <v>5.592992164905904E-4</v>
      </c>
      <c r="N388" s="3">
        <f t="shared" si="391"/>
        <v>5.5929921648555797E-4</v>
      </c>
      <c r="O388" s="3">
        <f t="shared" si="391"/>
        <v>5.5929921643523386E-4</v>
      </c>
      <c r="P388" s="3">
        <f t="shared" si="391"/>
        <v>5.5929921593199296E-4</v>
      </c>
      <c r="Q388" s="3">
        <f t="shared" si="391"/>
        <v>5.5929921089958401E-4</v>
      </c>
      <c r="R388" s="3">
        <f t="shared" si="391"/>
        <v>5.5929916057549623E-4</v>
      </c>
      <c r="S388" s="3">
        <f t="shared" si="391"/>
        <v>5.5929865733486803E-4</v>
      </c>
      <c r="T388" s="3">
        <f t="shared" si="391"/>
        <v>5.5929362495348999E-4</v>
      </c>
      <c r="U388" s="3">
        <f t="shared" si="391"/>
        <v>5.5924330363002516E-4</v>
      </c>
      <c r="V388" s="3">
        <f t="shared" si="391"/>
        <v>5.5874033934398906E-4</v>
      </c>
      <c r="W388" s="3">
        <f t="shared" si="391"/>
        <v>5.537355086652632E-4</v>
      </c>
      <c r="X388" s="3">
        <f t="shared" si="391"/>
        <v>5.0608776712577892E-4</v>
      </c>
      <c r="Y388" s="3">
        <f t="shared" si="391"/>
        <v>2.0580716992265726E-4</v>
      </c>
      <c r="Z388" s="3">
        <f t="shared" si="391"/>
        <v>2.5456993299467432E-8</v>
      </c>
      <c r="AA388" s="3">
        <f t="shared" si="391"/>
        <v>2.1343870836273074E-47</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0</v>
      </c>
      <c r="C389" s="3">
        <f t="shared" si="392"/>
        <v>0</v>
      </c>
      <c r="D389" s="3">
        <f t="shared" si="392"/>
        <v>0</v>
      </c>
      <c r="E389" s="3">
        <f t="shared" si="392"/>
        <v>0</v>
      </c>
      <c r="F389" s="3">
        <f t="shared" si="392"/>
        <v>0</v>
      </c>
      <c r="G389" s="3">
        <f t="shared" si="392"/>
        <v>0</v>
      </c>
      <c r="H389" s="3">
        <f t="shared" si="392"/>
        <v>0</v>
      </c>
      <c r="I389" s="3">
        <f t="shared" si="392"/>
        <v>0</v>
      </c>
      <c r="J389" s="3">
        <f t="shared" si="392"/>
        <v>0</v>
      </c>
      <c r="K389" s="3">
        <f t="shared" si="392"/>
        <v>0</v>
      </c>
      <c r="L389" s="3">
        <f t="shared" si="392"/>
        <v>0</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1.7201579278298637E-4</v>
      </c>
      <c r="C390" s="3">
        <f t="shared" si="393"/>
        <v>1.7201579278298637E-4</v>
      </c>
      <c r="D390" s="3">
        <f t="shared" si="393"/>
        <v>1.7201579278298637E-4</v>
      </c>
      <c r="E390" s="3">
        <f t="shared" si="393"/>
        <v>1.7201579278298637E-4</v>
      </c>
      <c r="F390" s="3">
        <f t="shared" si="393"/>
        <v>1.7201579278298637E-4</v>
      </c>
      <c r="G390" s="3">
        <f t="shared" si="393"/>
        <v>1.7201579278298637E-4</v>
      </c>
      <c r="H390" s="3">
        <f t="shared" si="393"/>
        <v>1.7201579278298637E-4</v>
      </c>
      <c r="I390" s="3">
        <f t="shared" si="393"/>
        <v>1.7201579278298637E-4</v>
      </c>
      <c r="J390" s="3">
        <f t="shared" si="393"/>
        <v>1.7201579278298637E-4</v>
      </c>
      <c r="K390" s="3">
        <f t="shared" si="393"/>
        <v>1.7201579278298634E-4</v>
      </c>
      <c r="L390" s="3">
        <f t="shared" si="393"/>
        <v>1.720157927829862E-4</v>
      </c>
      <c r="M390" s="3">
        <f t="shared" si="393"/>
        <v>1.7201579278298466E-4</v>
      </c>
      <c r="N390" s="3">
        <f t="shared" si="393"/>
        <v>1.7201579278296918E-4</v>
      </c>
      <c r="O390" s="3">
        <f t="shared" si="393"/>
        <v>1.7201579278281438E-4</v>
      </c>
      <c r="P390" s="3">
        <f t="shared" si="393"/>
        <v>1.7201579278126666E-4</v>
      </c>
      <c r="Q390" s="3">
        <f t="shared" si="393"/>
        <v>1.7201579276578918E-4</v>
      </c>
      <c r="R390" s="3">
        <f t="shared" si="393"/>
        <v>1.7201579261101445E-4</v>
      </c>
      <c r="S390" s="3">
        <f t="shared" si="393"/>
        <v>1.7201579106326719E-4</v>
      </c>
      <c r="T390" s="3">
        <f t="shared" si="393"/>
        <v>1.720157755857954E-4</v>
      </c>
      <c r="U390" s="3">
        <f t="shared" si="393"/>
        <v>1.7201562081115408E-4</v>
      </c>
      <c r="V390" s="3">
        <f t="shared" si="393"/>
        <v>1.720140730724003E-4</v>
      </c>
      <c r="W390" s="3">
        <f t="shared" si="393"/>
        <v>1.719985964507737E-4</v>
      </c>
      <c r="X390" s="3">
        <f t="shared" si="393"/>
        <v>1.7184390680013048E-4</v>
      </c>
      <c r="Y390" s="3">
        <f t="shared" si="393"/>
        <v>1.7030464142739015E-4</v>
      </c>
      <c r="Z390" s="3">
        <f t="shared" si="393"/>
        <v>1.5565029578633395E-4</v>
      </c>
      <c r="AA390" s="3">
        <f t="shared" si="393"/>
        <v>6.3297216321469473E-5</v>
      </c>
      <c r="AB390" s="3">
        <f t="shared" si="393"/>
        <v>7.8294493451133895E-9</v>
      </c>
      <c r="AC390" s="3">
        <f t="shared" si="393"/>
        <v>6.5644341252483654E-48</v>
      </c>
      <c r="AD390" s="3">
        <f t="shared" si="393"/>
        <v>0</v>
      </c>
      <c r="AE390" s="3">
        <f t="shared" si="393"/>
        <v>0</v>
      </c>
      <c r="AF390" s="3">
        <f t="shared" si="393"/>
        <v>0</v>
      </c>
      <c r="AG390" s="3"/>
      <c r="AH390" s="3"/>
    </row>
    <row r="391" spans="1:34" x14ac:dyDescent="0.25">
      <c r="B391" s="3">
        <f t="shared" ref="B391:AF391" si="394">$C43*EXP(-B$363/$A43/EXP(-$H$126))</f>
        <v>1.7468461922378131E-4</v>
      </c>
      <c r="C391" s="3">
        <f t="shared" si="394"/>
        <v>1.7468461922378131E-4</v>
      </c>
      <c r="D391" s="3">
        <f t="shared" si="394"/>
        <v>1.7468461922378131E-4</v>
      </c>
      <c r="E391" s="3">
        <f t="shared" si="394"/>
        <v>1.7468461922378131E-4</v>
      </c>
      <c r="F391" s="3">
        <f t="shared" si="394"/>
        <v>1.7468461922378131E-4</v>
      </c>
      <c r="G391" s="3">
        <f t="shared" si="394"/>
        <v>1.7468461922378131E-4</v>
      </c>
      <c r="H391" s="3">
        <f t="shared" si="394"/>
        <v>1.7468461922378131E-4</v>
      </c>
      <c r="I391" s="3">
        <f t="shared" si="394"/>
        <v>1.7468461922378131E-4</v>
      </c>
      <c r="J391" s="3">
        <f t="shared" si="394"/>
        <v>1.7468461922378131E-4</v>
      </c>
      <c r="K391" s="3">
        <f t="shared" si="394"/>
        <v>1.7468461922378131E-4</v>
      </c>
      <c r="L391" s="3">
        <f t="shared" si="394"/>
        <v>1.7468461922378128E-4</v>
      </c>
      <c r="M391" s="3">
        <f t="shared" si="394"/>
        <v>1.7468461922378115E-4</v>
      </c>
      <c r="N391" s="3">
        <f t="shared" si="394"/>
        <v>1.7468461922377958E-4</v>
      </c>
      <c r="O391" s="3">
        <f t="shared" si="394"/>
        <v>1.7468461922376385E-4</v>
      </c>
      <c r="P391" s="3">
        <f t="shared" si="394"/>
        <v>1.7468461922360667E-4</v>
      </c>
      <c r="Q391" s="3">
        <f t="shared" si="394"/>
        <v>1.746846192220349E-4</v>
      </c>
      <c r="R391" s="3">
        <f t="shared" si="394"/>
        <v>1.7468461920631731E-4</v>
      </c>
      <c r="S391" s="3">
        <f t="shared" si="394"/>
        <v>1.7468461904914125E-4</v>
      </c>
      <c r="T391" s="3">
        <f t="shared" si="394"/>
        <v>1.7468461747738068E-4</v>
      </c>
      <c r="U391" s="3">
        <f t="shared" si="394"/>
        <v>1.7468460175977578E-4</v>
      </c>
      <c r="V391" s="3">
        <f t="shared" si="394"/>
        <v>1.7468444458380465E-4</v>
      </c>
      <c r="W391" s="3">
        <f t="shared" si="394"/>
        <v>1.7468287283187135E-4</v>
      </c>
      <c r="X391" s="3">
        <f t="shared" si="394"/>
        <v>1.7466715609033281E-4</v>
      </c>
      <c r="Y391" s="3">
        <f t="shared" si="394"/>
        <v>1.7451006642848674E-4</v>
      </c>
      <c r="Z391" s="3">
        <f t="shared" si="394"/>
        <v>1.7294691934081948E-4</v>
      </c>
      <c r="AA391" s="3">
        <f t="shared" si="394"/>
        <v>1.5806521140653048E-4</v>
      </c>
      <c r="AB391" s="3">
        <f t="shared" si="394"/>
        <v>6.4279273153661473E-5</v>
      </c>
      <c r="AC391" s="3">
        <f t="shared" si="394"/>
        <v>7.9509233161426942E-9</v>
      </c>
      <c r="AD391" s="3">
        <f t="shared" si="394"/>
        <v>6.6662813747298229E-48</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2.0999278642033111E-4</v>
      </c>
      <c r="C393" s="3">
        <f t="shared" si="396"/>
        <v>2.0999278642033111E-4</v>
      </c>
      <c r="D393" s="3">
        <f t="shared" si="396"/>
        <v>2.0999278642033111E-4</v>
      </c>
      <c r="E393" s="3">
        <f t="shared" si="396"/>
        <v>2.0999278642033111E-4</v>
      </c>
      <c r="F393" s="3">
        <f t="shared" si="396"/>
        <v>2.0999278642033111E-4</v>
      </c>
      <c r="G393" s="3">
        <f t="shared" si="396"/>
        <v>2.0999278642033111E-4</v>
      </c>
      <c r="H393" s="3">
        <f t="shared" si="396"/>
        <v>2.0999278642033111E-4</v>
      </c>
      <c r="I393" s="3">
        <f t="shared" si="396"/>
        <v>2.0999278642033111E-4</v>
      </c>
      <c r="J393" s="3">
        <f t="shared" si="396"/>
        <v>2.0999278642033111E-4</v>
      </c>
      <c r="K393" s="3">
        <f t="shared" si="396"/>
        <v>2.0999278642033111E-4</v>
      </c>
      <c r="L393" s="3">
        <f t="shared" si="396"/>
        <v>2.0999278642033111E-4</v>
      </c>
      <c r="M393" s="3">
        <f t="shared" si="396"/>
        <v>2.0999278642033111E-4</v>
      </c>
      <c r="N393" s="3">
        <f t="shared" si="396"/>
        <v>2.0999278642033108E-4</v>
      </c>
      <c r="O393" s="3">
        <f t="shared" si="396"/>
        <v>2.0999278642033089E-4</v>
      </c>
      <c r="P393" s="3">
        <f t="shared" si="396"/>
        <v>2.0999278642032902E-4</v>
      </c>
      <c r="Q393" s="3">
        <f t="shared" si="396"/>
        <v>2.0999278642031013E-4</v>
      </c>
      <c r="R393" s="3">
        <f t="shared" si="396"/>
        <v>2.0999278642012118E-4</v>
      </c>
      <c r="S393" s="3">
        <f t="shared" si="396"/>
        <v>2.0999278641823171E-4</v>
      </c>
      <c r="T393" s="3">
        <f t="shared" si="396"/>
        <v>2.0999278639933719E-4</v>
      </c>
      <c r="U393" s="3">
        <f t="shared" si="396"/>
        <v>2.0999278621039189E-4</v>
      </c>
      <c r="V393" s="3">
        <f t="shared" si="396"/>
        <v>2.0999278432093886E-4</v>
      </c>
      <c r="W393" s="3">
        <f t="shared" si="396"/>
        <v>2.0999276542640961E-4</v>
      </c>
      <c r="X393" s="3">
        <f t="shared" si="396"/>
        <v>2.0999257648121063E-4</v>
      </c>
      <c r="Y393" s="3">
        <f t="shared" si="396"/>
        <v>2.0999068703857109E-4</v>
      </c>
      <c r="Z393" s="3">
        <f t="shared" si="396"/>
        <v>2.0997179354718192E-4</v>
      </c>
      <c r="AA393" s="3">
        <f t="shared" si="396"/>
        <v>2.0978295210278075E-4</v>
      </c>
      <c r="AB393" s="3">
        <f t="shared" si="396"/>
        <v>2.079038535651839E-4</v>
      </c>
      <c r="AC393" s="3">
        <f t="shared" si="396"/>
        <v>1.90014177131728E-4</v>
      </c>
      <c r="AD393" s="3">
        <f t="shared" si="396"/>
        <v>7.7271735420042829E-5</v>
      </c>
      <c r="AE393" s="3">
        <f t="shared" si="396"/>
        <v>9.5580054454152054E-9</v>
      </c>
      <c r="AF393" s="3">
        <f t="shared" si="396"/>
        <v>8.01370496819845E-48</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1.7320221207897527E-4</v>
      </c>
      <c r="C396" s="3">
        <f t="shared" si="399"/>
        <v>1.7320221207897527E-4</v>
      </c>
      <c r="D396" s="3">
        <f t="shared" si="399"/>
        <v>1.7320221207897527E-4</v>
      </c>
      <c r="E396" s="3">
        <f t="shared" si="399"/>
        <v>1.7320221207897527E-4</v>
      </c>
      <c r="F396" s="3">
        <f t="shared" si="399"/>
        <v>1.7320221207897527E-4</v>
      </c>
      <c r="G396" s="3">
        <f t="shared" si="399"/>
        <v>1.7320221207897527E-4</v>
      </c>
      <c r="H396" s="3">
        <f t="shared" si="399"/>
        <v>1.7320221207897527E-4</v>
      </c>
      <c r="I396" s="3">
        <f t="shared" si="399"/>
        <v>1.7320221207897527E-4</v>
      </c>
      <c r="J396" s="3">
        <f t="shared" si="399"/>
        <v>1.7320221207897527E-4</v>
      </c>
      <c r="K396" s="3">
        <f t="shared" si="399"/>
        <v>1.7320221207897527E-4</v>
      </c>
      <c r="L396" s="3">
        <f t="shared" si="399"/>
        <v>1.7320221207897527E-4</v>
      </c>
      <c r="M396" s="3">
        <f t="shared" si="399"/>
        <v>1.7320221207897527E-4</v>
      </c>
      <c r="N396" s="3">
        <f t="shared" si="399"/>
        <v>1.7320221207897527E-4</v>
      </c>
      <c r="O396" s="3">
        <f t="shared" si="399"/>
        <v>1.7320221207897527E-4</v>
      </c>
      <c r="P396" s="3">
        <f t="shared" si="399"/>
        <v>1.7320221207897527E-4</v>
      </c>
      <c r="Q396" s="3">
        <f t="shared" si="399"/>
        <v>1.7320221207897524E-4</v>
      </c>
      <c r="R396" s="3">
        <f t="shared" si="399"/>
        <v>1.7320221207897511E-4</v>
      </c>
      <c r="S396" s="3">
        <f t="shared" si="399"/>
        <v>1.7320221207897354E-4</v>
      </c>
      <c r="T396" s="3">
        <f t="shared" si="399"/>
        <v>1.7320221207895798E-4</v>
      </c>
      <c r="U396" s="3">
        <f t="shared" si="399"/>
        <v>1.7320221207880212E-4</v>
      </c>
      <c r="V396" s="3">
        <f t="shared" si="399"/>
        <v>1.7320221207724369E-4</v>
      </c>
      <c r="W396" s="3">
        <f t="shared" si="399"/>
        <v>1.7320221206165948E-4</v>
      </c>
      <c r="X396" s="3">
        <f t="shared" si="399"/>
        <v>1.7320221190581723E-4</v>
      </c>
      <c r="Y396" s="3">
        <f t="shared" si="399"/>
        <v>1.7320221034739492E-4</v>
      </c>
      <c r="Z396" s="3">
        <f t="shared" si="399"/>
        <v>1.7320219476317264E-4</v>
      </c>
      <c r="AA396" s="3">
        <f t="shared" si="399"/>
        <v>1.732020389210269E-4</v>
      </c>
      <c r="AB396" s="3">
        <f t="shared" si="399"/>
        <v>1.7320048050728162E-4</v>
      </c>
      <c r="AC396" s="3">
        <f t="shared" si="399"/>
        <v>1.7318489714102282E-4</v>
      </c>
      <c r="AD396" s="3">
        <f t="shared" si="399"/>
        <v>1.7302914057214239E-4</v>
      </c>
      <c r="AE396" s="3">
        <f t="shared" si="399"/>
        <v>1.7147925865012873E-4</v>
      </c>
      <c r="AF396" s="3">
        <f t="shared" si="399"/>
        <v>1.5672383974040717E-4</v>
      </c>
      <c r="AG396" s="3"/>
      <c r="AH396" s="3"/>
    </row>
    <row r="397" spans="1:34" x14ac:dyDescent="0.25">
      <c r="A397" s="79">
        <f>AVERAGE(B397:AF397)</f>
        <v>2.6030574289065514E-4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2.1890497443931021E-4</v>
      </c>
      <c r="M397" s="80">
        <f t="shared" si="400"/>
        <v>5.2458815426424752E-4</v>
      </c>
      <c r="N397" s="80">
        <f t="shared" si="400"/>
        <v>7.9976718536689257E-4</v>
      </c>
      <c r="O397" s="80">
        <f t="shared" si="400"/>
        <v>1.3025837038765464E-3</v>
      </c>
      <c r="P397" s="80">
        <f t="shared" si="400"/>
        <v>1.4688773572257997E-3</v>
      </c>
      <c r="Q397" s="80">
        <f t="shared" si="400"/>
        <v>1.3816502118375168E-3</v>
      </c>
      <c r="R397" s="80">
        <f t="shared" si="400"/>
        <v>1.0147734576898141E-3</v>
      </c>
      <c r="S397" s="80">
        <f t="shared" si="400"/>
        <v>6.847969596196357E-4</v>
      </c>
      <c r="T397" s="80">
        <f t="shared" si="400"/>
        <v>3.8217385672202283E-4</v>
      </c>
      <c r="U397" s="80">
        <f t="shared" si="400"/>
        <v>1.9221794982734292E-4</v>
      </c>
      <c r="V397" s="80">
        <f t="shared" si="400"/>
        <v>9.9144218741180698E-5</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4217.6687562859488</v>
      </c>
      <c r="C398" s="21">
        <f t="shared" ref="C398:AF398" si="401">(C365-C364)^2</f>
        <v>7059.1491146344351</v>
      </c>
      <c r="D398" s="21">
        <f t="shared" si="401"/>
        <v>493.07653690812458</v>
      </c>
      <c r="E398" s="21">
        <f t="shared" si="401"/>
        <v>13.226589886098877</v>
      </c>
      <c r="F398" s="21">
        <f t="shared" si="401"/>
        <v>0.23177048273560141</v>
      </c>
      <c r="G398" s="21">
        <f t="shared" si="401"/>
        <v>8.8287986101359996E-3</v>
      </c>
      <c r="H398" s="21">
        <f t="shared" si="401"/>
        <v>1.7679258019752072E-6</v>
      </c>
      <c r="I398" s="21">
        <f t="shared" si="401"/>
        <v>5.7520702662294367E-3</v>
      </c>
      <c r="J398" s="21">
        <f t="shared" si="401"/>
        <v>4.4155167554136921E-3</v>
      </c>
      <c r="K398" s="21">
        <f t="shared" si="401"/>
        <v>6.8311190954869996E-2</v>
      </c>
      <c r="L398" s="21">
        <f t="shared" si="401"/>
        <v>0.10984014592695762</v>
      </c>
      <c r="M398" s="21">
        <f t="shared" si="401"/>
        <v>0.35151254573559382</v>
      </c>
      <c r="N398" s="21">
        <f t="shared" si="401"/>
        <v>0.40671838073472411</v>
      </c>
      <c r="O398" s="21">
        <f t="shared" si="401"/>
        <v>0.53008202327147513</v>
      </c>
      <c r="P398" s="21">
        <f t="shared" si="401"/>
        <v>0.38450050430790067</v>
      </c>
      <c r="Q398" s="21">
        <f t="shared" si="401"/>
        <v>0.23490251421143077</v>
      </c>
      <c r="R398" s="21">
        <f t="shared" si="401"/>
        <v>0.10226502259111508</v>
      </c>
      <c r="S398" s="21">
        <f t="shared" si="401"/>
        <v>3.9580927480541608E-2</v>
      </c>
      <c r="T398" s="21">
        <f t="shared" si="401"/>
        <v>1.0851457327778301E-2</v>
      </c>
      <c r="U398" s="21">
        <f t="shared" si="401"/>
        <v>2.5055622943094915E-3</v>
      </c>
      <c r="V398" s="21">
        <f t="shared" si="401"/>
        <v>5.7200724877709021E-4</v>
      </c>
      <c r="W398" s="21">
        <f t="shared" si="401"/>
        <v>3.6759970261990852E-4</v>
      </c>
      <c r="X398" s="21">
        <f t="shared" si="401"/>
        <v>3.7555057356044449E-5</v>
      </c>
      <c r="Y398" s="21">
        <f t="shared" si="401"/>
        <v>1.4904019868025809E-4</v>
      </c>
      <c r="Z398" s="21">
        <f t="shared" si="401"/>
        <v>4.317631713922185E-3</v>
      </c>
      <c r="AA398" s="21">
        <f t="shared" si="401"/>
        <v>1.665073374919173E-2</v>
      </c>
      <c r="AB398" s="21">
        <f t="shared" si="401"/>
        <v>2.8178972695741617E-2</v>
      </c>
      <c r="AC398" s="21">
        <f t="shared" si="401"/>
        <v>4.5113667841324333E-2</v>
      </c>
      <c r="AD398" s="21">
        <f t="shared" si="401"/>
        <v>7.2986276094360356E-2</v>
      </c>
      <c r="AE398" s="21">
        <f t="shared" si="401"/>
        <v>3.2700665441239445E-2</v>
      </c>
      <c r="AF398" s="21">
        <f t="shared" si="401"/>
        <v>9.1279864951810047E-4</v>
      </c>
      <c r="AG398" s="3"/>
      <c r="AH398" s="3"/>
    </row>
    <row r="399" spans="1:34" x14ac:dyDescent="0.25">
      <c r="A399" s="71">
        <f>SUM(B399:AF399)</f>
        <v>2.1733310911306041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0.10984014592695762</v>
      </c>
      <c r="M399" s="60">
        <f t="shared" ref="M399" si="412">IF($A$64&lt;=M363,IF($B$64&gt;=M363,ABS(M398),0),0)</f>
        <v>0.35151254573559382</v>
      </c>
      <c r="N399" s="60">
        <f t="shared" ref="N399" si="413">IF($A$64&lt;=N363,IF($B$64&gt;=N363,ABS(N398),0),0)</f>
        <v>0.40671838073472411</v>
      </c>
      <c r="O399" s="60">
        <f t="shared" ref="O399" si="414">IF($A$64&lt;=O363,IF($B$64&gt;=O363,ABS(O398),0),0)</f>
        <v>0.53008202327147513</v>
      </c>
      <c r="P399" s="60">
        <f t="shared" ref="P399" si="415">IF($A$64&lt;=P363,IF($B$64&gt;=P363,ABS(P398),0),0)</f>
        <v>0.38450050430790067</v>
      </c>
      <c r="Q399" s="60">
        <f t="shared" ref="Q399" si="416">IF($A$64&lt;=Q363,IF($B$64&gt;=Q363,ABS(Q398),0),0)</f>
        <v>0.23490251421143077</v>
      </c>
      <c r="R399" s="60">
        <f t="shared" ref="R399" si="417">IF($A$64&lt;=R363,IF($B$64&gt;=R363,ABS(R398),0),0)</f>
        <v>0.10226502259111508</v>
      </c>
      <c r="S399" s="60">
        <f t="shared" ref="S399" si="418">IF($A$64&lt;=S363,IF($B$64&gt;=S363,ABS(S398),0),0)</f>
        <v>3.9580927480541608E-2</v>
      </c>
      <c r="T399" s="60">
        <f t="shared" ref="T399" si="419">IF($A$64&lt;=T363,IF($B$64&gt;=T363,ABS(T398),0),0)</f>
        <v>1.0851457327778301E-2</v>
      </c>
      <c r="U399" s="60">
        <f t="shared" ref="U399" si="420">IF($A$64&lt;=U363,IF($B$64&gt;=U363,ABS(U398),0),0)</f>
        <v>2.5055622943094915E-3</v>
      </c>
      <c r="V399" s="60">
        <f t="shared" ref="V399" si="421">IF($A$64&lt;=V363,IF($B$64&gt;=V363,ABS(V398),0),0)</f>
        <v>5.7200724877709021E-4</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-57.849695376367158</v>
      </c>
      <c r="C403" s="107">
        <f t="shared" ref="C403:H403" si="432">IF(C125=$B$2,0,C126)</f>
        <v>-46.11051752249567</v>
      </c>
      <c r="D403" s="107">
        <f t="shared" si="432"/>
        <v>-41.17116132313857</v>
      </c>
      <c r="E403" s="107">
        <f t="shared" si="432"/>
        <v>-34.778704363444611</v>
      </c>
      <c r="F403" s="107">
        <f t="shared" si="432"/>
        <v>-28.993396251697032</v>
      </c>
      <c r="G403" s="107">
        <f t="shared" si="432"/>
        <v>-14.135728697584064</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7.5196308035056324E-41</v>
      </c>
      <c r="C404" s="3">
        <f t="shared" ref="C404:H419" si="433">$A404/EXP(-C$403)</f>
        <v>9.4288056127567843E-36</v>
      </c>
      <c r="D404" s="3">
        <f t="shared" si="433"/>
        <v>1.3170183432946665E-33</v>
      </c>
      <c r="E404" s="3">
        <f t="shared" si="433"/>
        <v>7.8668452506541216E-31</v>
      </c>
      <c r="F404" s="3">
        <f t="shared" si="433"/>
        <v>2.5605189613539007E-28</v>
      </c>
      <c r="G404" s="3">
        <f t="shared" si="433"/>
        <v>7.2599065247443934E-22</v>
      </c>
      <c r="H404" s="3">
        <f t="shared" si="433"/>
        <v>1.0000000000000001E-15</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7.5196308035056324E-40</v>
      </c>
      <c r="C405" s="3">
        <f t="shared" si="433"/>
        <v>9.4288056127567838E-35</v>
      </c>
      <c r="D405" s="3">
        <f t="shared" si="433"/>
        <v>1.3170183432946663E-32</v>
      </c>
      <c r="E405" s="3">
        <f t="shared" si="433"/>
        <v>7.8668452506541218E-30</v>
      </c>
      <c r="F405" s="3">
        <f t="shared" si="433"/>
        <v>2.5605189613539006E-27</v>
      </c>
      <c r="G405" s="3">
        <f t="shared" si="433"/>
        <v>7.2599065247443936E-21</v>
      </c>
      <c r="H405" s="3">
        <f t="shared" si="433"/>
        <v>1E-14</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7.519630803505632E-39</v>
      </c>
      <c r="C406" s="3">
        <f t="shared" si="433"/>
        <v>9.4288056127567842E-34</v>
      </c>
      <c r="D406" s="3">
        <f t="shared" si="433"/>
        <v>1.3170183432946664E-31</v>
      </c>
      <c r="E406" s="3">
        <f t="shared" si="433"/>
        <v>7.8668452506541221E-29</v>
      </c>
      <c r="F406" s="3">
        <f t="shared" si="433"/>
        <v>2.5605189613539008E-26</v>
      </c>
      <c r="G406" s="3">
        <f t="shared" si="433"/>
        <v>7.2599065247443936E-20</v>
      </c>
      <c r="H406" s="3">
        <f t="shared" si="433"/>
        <v>1E-13</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7.5196308035056318E-38</v>
      </c>
      <c r="C407" s="3">
        <f t="shared" si="433"/>
        <v>9.4288056127567832E-33</v>
      </c>
      <c r="D407" s="3">
        <f t="shared" si="433"/>
        <v>1.3170183432946663E-30</v>
      </c>
      <c r="E407" s="3">
        <f t="shared" si="433"/>
        <v>7.8668452506541208E-28</v>
      </c>
      <c r="F407" s="3">
        <f t="shared" si="433"/>
        <v>2.5605189613539007E-25</v>
      </c>
      <c r="G407" s="3">
        <f t="shared" si="433"/>
        <v>7.2599065247443931E-19</v>
      </c>
      <c r="H407" s="3">
        <f t="shared" si="433"/>
        <v>9.9999999999999998E-13</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7.5196308035056312E-37</v>
      </c>
      <c r="C408" s="3">
        <f t="shared" si="433"/>
        <v>9.4288056127567835E-32</v>
      </c>
      <c r="D408" s="3">
        <f t="shared" si="433"/>
        <v>1.3170183432946661E-29</v>
      </c>
      <c r="E408" s="3">
        <f t="shared" si="433"/>
        <v>7.8668452506541208E-27</v>
      </c>
      <c r="F408" s="3">
        <f t="shared" si="433"/>
        <v>2.5605189613539006E-24</v>
      </c>
      <c r="G408" s="3">
        <f t="shared" si="433"/>
        <v>7.2599065247443927E-18</v>
      </c>
      <c r="H408" s="3">
        <f t="shared" si="433"/>
        <v>9.9999999999999994E-12</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7.5196308035056325E-36</v>
      </c>
      <c r="C409" s="3">
        <f t="shared" si="433"/>
        <v>9.4288056127567846E-31</v>
      </c>
      <c r="D409" s="3">
        <f t="shared" si="433"/>
        <v>1.3170183432946663E-28</v>
      </c>
      <c r="E409" s="3">
        <f t="shared" si="433"/>
        <v>7.8668452506541222E-26</v>
      </c>
      <c r="F409" s="3">
        <f t="shared" si="433"/>
        <v>2.5605189613539007E-23</v>
      </c>
      <c r="G409" s="3">
        <f t="shared" si="433"/>
        <v>7.259906524744393E-17</v>
      </c>
      <c r="H409" s="3">
        <f t="shared" si="433"/>
        <v>1E-10</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7.5196308035056325E-35</v>
      </c>
      <c r="C410" s="3">
        <f t="shared" si="433"/>
        <v>9.4288056127567839E-30</v>
      </c>
      <c r="D410" s="3">
        <f t="shared" si="433"/>
        <v>1.3170183432946664E-27</v>
      </c>
      <c r="E410" s="3">
        <f t="shared" si="433"/>
        <v>7.8668452506541222E-25</v>
      </c>
      <c r="F410" s="3">
        <f t="shared" si="433"/>
        <v>2.5605189613539008E-22</v>
      </c>
      <c r="G410" s="3">
        <f t="shared" si="433"/>
        <v>7.259906524744393E-16</v>
      </c>
      <c r="H410" s="3">
        <f t="shared" si="433"/>
        <v>1.0000000000000001E-9</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7.5196308035056325E-34</v>
      </c>
      <c r="C411" s="3">
        <f t="shared" si="433"/>
        <v>9.4288056127567844E-29</v>
      </c>
      <c r="D411" s="3">
        <f t="shared" si="433"/>
        <v>1.3170183432946663E-26</v>
      </c>
      <c r="E411" s="3">
        <f t="shared" si="433"/>
        <v>7.8668452506541218E-24</v>
      </c>
      <c r="F411" s="3">
        <f t="shared" si="433"/>
        <v>2.5605189613539008E-21</v>
      </c>
      <c r="G411" s="3">
        <f t="shared" si="433"/>
        <v>7.2599065247443924E-15</v>
      </c>
      <c r="H411" s="3">
        <f t="shared" si="433"/>
        <v>1E-8</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7.5196308035056318E-33</v>
      </c>
      <c r="C412" s="3">
        <f t="shared" si="433"/>
        <v>9.428805612756784E-28</v>
      </c>
      <c r="D412" s="3">
        <f t="shared" si="433"/>
        <v>1.3170183432946662E-25</v>
      </c>
      <c r="E412" s="3">
        <f t="shared" si="433"/>
        <v>7.8668452506541207E-23</v>
      </c>
      <c r="F412" s="3">
        <f t="shared" si="433"/>
        <v>2.5605189613539005E-20</v>
      </c>
      <c r="G412" s="3">
        <f t="shared" si="433"/>
        <v>7.259906524744393E-14</v>
      </c>
      <c r="H412" s="3">
        <f t="shared" si="433"/>
        <v>9.9999999999999995E-8</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7.5196308035056321E-32</v>
      </c>
      <c r="C413" s="3">
        <f t="shared" si="433"/>
        <v>9.4288056127567829E-27</v>
      </c>
      <c r="D413" s="3">
        <f t="shared" si="433"/>
        <v>1.3170183432946663E-24</v>
      </c>
      <c r="E413" s="3">
        <f t="shared" si="433"/>
        <v>7.8668452506541209E-22</v>
      </c>
      <c r="F413" s="3">
        <f t="shared" si="433"/>
        <v>2.5605189613539005E-19</v>
      </c>
      <c r="G413" s="3">
        <f t="shared" si="433"/>
        <v>7.259906524744392E-13</v>
      </c>
      <c r="H413" s="3">
        <f t="shared" si="433"/>
        <v>9.9999999999999995E-7</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7.5196308035056327E-31</v>
      </c>
      <c r="C414" s="3">
        <f t="shared" si="433"/>
        <v>9.4288056127567846E-26</v>
      </c>
      <c r="D414" s="3">
        <f t="shared" si="433"/>
        <v>1.3170183432946663E-23</v>
      </c>
      <c r="E414" s="3">
        <f t="shared" si="433"/>
        <v>7.8668452506541214E-21</v>
      </c>
      <c r="F414" s="3">
        <f t="shared" si="433"/>
        <v>2.560518961353901E-18</v>
      </c>
      <c r="G414" s="3">
        <f t="shared" si="433"/>
        <v>7.2599065247443934E-12</v>
      </c>
      <c r="H414" s="3">
        <f t="shared" si="433"/>
        <v>1.0000000000000001E-5</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7.5196308035056317E-30</v>
      </c>
      <c r="C415" s="3">
        <f t="shared" si="433"/>
        <v>9.4288056127567844E-25</v>
      </c>
      <c r="D415" s="3">
        <f t="shared" si="433"/>
        <v>1.3170183432946664E-22</v>
      </c>
      <c r="E415" s="3">
        <f t="shared" si="433"/>
        <v>7.8668452506541218E-20</v>
      </c>
      <c r="F415" s="3">
        <f t="shared" si="433"/>
        <v>2.5605189613539007E-17</v>
      </c>
      <c r="G415" s="3">
        <f t="shared" si="433"/>
        <v>7.259906524744393E-11</v>
      </c>
      <c r="H415" s="3">
        <f t="shared" si="433"/>
        <v>1E-4</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7.5196308035056322E-29</v>
      </c>
      <c r="C416" s="3">
        <f t="shared" si="433"/>
        <v>9.428805612756784E-24</v>
      </c>
      <c r="D416" s="3">
        <f t="shared" si="433"/>
        <v>1.3170183432946664E-21</v>
      </c>
      <c r="E416" s="3">
        <f t="shared" si="433"/>
        <v>7.8668452506541218E-19</v>
      </c>
      <c r="F416" s="3">
        <f t="shared" si="433"/>
        <v>2.5605189613539009E-16</v>
      </c>
      <c r="G416" s="3">
        <f t="shared" si="433"/>
        <v>7.2599065247443935E-10</v>
      </c>
      <c r="H416" s="3">
        <f t="shared" si="433"/>
        <v>1E-3</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7.5196308035056322E-28</v>
      </c>
      <c r="C417" s="3">
        <f t="shared" si="433"/>
        <v>9.428805612756784E-23</v>
      </c>
      <c r="D417" s="3">
        <f t="shared" si="433"/>
        <v>1.3170183432946663E-20</v>
      </c>
      <c r="E417" s="3">
        <f t="shared" si="433"/>
        <v>7.8668452506541216E-18</v>
      </c>
      <c r="F417" s="3">
        <f t="shared" si="433"/>
        <v>2.5605189613539009E-15</v>
      </c>
      <c r="G417" s="3">
        <f t="shared" si="433"/>
        <v>7.2599065247443926E-9</v>
      </c>
      <c r="H417" s="3">
        <f t="shared" si="433"/>
        <v>0.01</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7.519630803505633E-27</v>
      </c>
      <c r="C418" s="3">
        <f t="shared" si="433"/>
        <v>9.4288056127567835E-22</v>
      </c>
      <c r="D418" s="3">
        <f t="shared" si="433"/>
        <v>1.3170183432946665E-19</v>
      </c>
      <c r="E418" s="3">
        <f t="shared" si="433"/>
        <v>7.8668452506541222E-17</v>
      </c>
      <c r="F418" s="3">
        <f t="shared" si="433"/>
        <v>2.5605189613539007E-14</v>
      </c>
      <c r="G418" s="3">
        <f t="shared" si="433"/>
        <v>7.2599065247443931E-8</v>
      </c>
      <c r="H418" s="3">
        <f t="shared" si="433"/>
        <v>0.1</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7.5196308035056324E-26</v>
      </c>
      <c r="C419" s="3">
        <f t="shared" si="433"/>
        <v>9.4288056127567843E-21</v>
      </c>
      <c r="D419" s="3">
        <f t="shared" si="433"/>
        <v>1.3170183432946663E-18</v>
      </c>
      <c r="E419" s="3">
        <f t="shared" si="433"/>
        <v>7.8668452506541212E-16</v>
      </c>
      <c r="F419" s="3">
        <f t="shared" si="433"/>
        <v>2.5605189613539006E-13</v>
      </c>
      <c r="G419" s="3">
        <f t="shared" si="433"/>
        <v>7.2599065247443923E-7</v>
      </c>
      <c r="H419" s="3">
        <f t="shared" si="433"/>
        <v>1</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7.5196308035056317E-25</v>
      </c>
      <c r="C420" s="3">
        <f t="shared" si="434"/>
        <v>9.428805612756784E-20</v>
      </c>
      <c r="D420" s="3">
        <f t="shared" si="434"/>
        <v>1.3170183432946663E-17</v>
      </c>
      <c r="E420" s="3">
        <f t="shared" si="434"/>
        <v>7.8668452506541208E-15</v>
      </c>
      <c r="F420" s="3">
        <f t="shared" si="434"/>
        <v>2.5605189613539008E-12</v>
      </c>
      <c r="G420" s="3">
        <f t="shared" si="434"/>
        <v>7.259906524744393E-6</v>
      </c>
      <c r="H420" s="3">
        <f t="shared" si="434"/>
        <v>10</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7.5196308035056326E-24</v>
      </c>
      <c r="C421" s="3">
        <f t="shared" si="434"/>
        <v>9.428805612756784E-19</v>
      </c>
      <c r="D421" s="3">
        <f t="shared" si="434"/>
        <v>1.3170183432946664E-16</v>
      </c>
      <c r="E421" s="3">
        <f t="shared" si="434"/>
        <v>7.8668452506541214E-14</v>
      </c>
      <c r="F421" s="3">
        <f t="shared" si="434"/>
        <v>2.5605189613539006E-11</v>
      </c>
      <c r="G421" s="3">
        <f t="shared" si="434"/>
        <v>7.2599065247443923E-5</v>
      </c>
      <c r="H421" s="3">
        <f t="shared" si="434"/>
        <v>100</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7.519630803505632E-23</v>
      </c>
      <c r="C422" s="3">
        <f t="shared" si="434"/>
        <v>9.428805612756784E-18</v>
      </c>
      <c r="D422" s="3">
        <f t="shared" si="434"/>
        <v>1.3170183432946663E-15</v>
      </c>
      <c r="E422" s="3">
        <f t="shared" si="434"/>
        <v>7.8668452506541212E-13</v>
      </c>
      <c r="F422" s="3">
        <f t="shared" si="434"/>
        <v>2.5605189613539005E-10</v>
      </c>
      <c r="G422" s="3">
        <f t="shared" si="434"/>
        <v>7.2599065247443931E-4</v>
      </c>
      <c r="H422" s="3">
        <f t="shared" si="434"/>
        <v>1000</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7.5196308035056318E-22</v>
      </c>
      <c r="C423" s="3">
        <f t="shared" si="434"/>
        <v>9.4288056127567843E-17</v>
      </c>
      <c r="D423" s="3">
        <f t="shared" si="434"/>
        <v>1.3170183432946663E-14</v>
      </c>
      <c r="E423" s="3">
        <f t="shared" si="434"/>
        <v>7.8668452506541212E-12</v>
      </c>
      <c r="F423" s="3">
        <f t="shared" si="434"/>
        <v>2.5605189613539008E-9</v>
      </c>
      <c r="G423" s="3">
        <f t="shared" si="434"/>
        <v>7.2599065247443929E-3</v>
      </c>
      <c r="H423" s="3">
        <f t="shared" si="434"/>
        <v>10000</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7.5196308035056322E-21</v>
      </c>
      <c r="C424" s="3">
        <f t="shared" si="434"/>
        <v>9.4288056127567836E-16</v>
      </c>
      <c r="D424" s="3">
        <f t="shared" si="434"/>
        <v>1.3170183432946663E-13</v>
      </c>
      <c r="E424" s="3">
        <f t="shared" si="434"/>
        <v>7.8668452506541208E-11</v>
      </c>
      <c r="F424" s="3">
        <f t="shared" si="434"/>
        <v>2.5605189613539005E-8</v>
      </c>
      <c r="G424" s="3">
        <f t="shared" si="434"/>
        <v>7.2599065247443931E-2</v>
      </c>
      <c r="H424" s="3">
        <f t="shared" si="434"/>
        <v>100000</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7.5196308035056316E-20</v>
      </c>
      <c r="C425" s="3">
        <f t="shared" si="434"/>
        <v>9.4288056127567844E-15</v>
      </c>
      <c r="D425" s="3">
        <f t="shared" si="434"/>
        <v>1.3170183432946664E-12</v>
      </c>
      <c r="E425" s="3">
        <f t="shared" si="434"/>
        <v>7.8668452506541211E-10</v>
      </c>
      <c r="F425" s="3">
        <f t="shared" si="434"/>
        <v>2.5605189613539008E-7</v>
      </c>
      <c r="G425" s="3">
        <f t="shared" si="434"/>
        <v>0.72599065247443928</v>
      </c>
      <c r="H425" s="3">
        <f t="shared" si="434"/>
        <v>1000000</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7.5196308035056321E-19</v>
      </c>
      <c r="C426" s="3">
        <f t="shared" si="434"/>
        <v>9.4288056127567837E-14</v>
      </c>
      <c r="D426" s="3">
        <f t="shared" si="434"/>
        <v>1.3170183432946663E-11</v>
      </c>
      <c r="E426" s="3">
        <f t="shared" si="434"/>
        <v>7.8668452506541209E-9</v>
      </c>
      <c r="F426" s="3">
        <f t="shared" si="434"/>
        <v>2.5605189613539005E-6</v>
      </c>
      <c r="G426" s="3">
        <f t="shared" si="434"/>
        <v>7.2599065247443928</v>
      </c>
      <c r="H426" s="3">
        <f t="shared" si="434"/>
        <v>10000000</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7.5196308035056322E-18</v>
      </c>
      <c r="C427" s="3">
        <f t="shared" si="434"/>
        <v>9.4288056127567842E-13</v>
      </c>
      <c r="D427" s="3">
        <f t="shared" si="434"/>
        <v>1.3170183432946664E-10</v>
      </c>
      <c r="E427" s="3">
        <f t="shared" si="434"/>
        <v>7.8668452506541212E-8</v>
      </c>
      <c r="F427" s="3">
        <f t="shared" si="434"/>
        <v>2.5605189613539008E-5</v>
      </c>
      <c r="G427" s="3">
        <f t="shared" si="434"/>
        <v>72.599065247443932</v>
      </c>
      <c r="H427" s="3">
        <f t="shared" si="434"/>
        <v>100000000</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7.5196308035056316E-17</v>
      </c>
      <c r="C428" s="3">
        <f t="shared" si="434"/>
        <v>9.428805612756783E-12</v>
      </c>
      <c r="D428" s="3">
        <f t="shared" si="434"/>
        <v>1.3170183432946663E-9</v>
      </c>
      <c r="E428" s="3">
        <f t="shared" si="434"/>
        <v>7.8668452506541212E-7</v>
      </c>
      <c r="F428" s="3">
        <f t="shared" si="434"/>
        <v>2.5605189613539005E-4</v>
      </c>
      <c r="G428" s="3">
        <f t="shared" si="434"/>
        <v>725.99065247443923</v>
      </c>
      <c r="H428" s="3">
        <f t="shared" si="434"/>
        <v>1000000000</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7.5196308035056321E-16</v>
      </c>
      <c r="C429" s="3">
        <f t="shared" si="434"/>
        <v>9.428805612756784E-11</v>
      </c>
      <c r="D429" s="3">
        <f t="shared" si="434"/>
        <v>1.3170183432946664E-8</v>
      </c>
      <c r="E429" s="3">
        <f t="shared" si="434"/>
        <v>7.8668452506541206E-6</v>
      </c>
      <c r="F429" s="3">
        <f t="shared" si="434"/>
        <v>2.5605189613539005E-3</v>
      </c>
      <c r="G429" s="3">
        <f t="shared" si="434"/>
        <v>7259.9065247443932</v>
      </c>
      <c r="H429" s="3">
        <f t="shared" si="434"/>
        <v>10000000000</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7.5196308035056325E-15</v>
      </c>
      <c r="C430" s="3">
        <f t="shared" si="434"/>
        <v>9.4288056127567832E-10</v>
      </c>
      <c r="D430" s="3">
        <f t="shared" si="434"/>
        <v>1.3170183432946662E-7</v>
      </c>
      <c r="E430" s="3">
        <f t="shared" si="434"/>
        <v>7.8668452506541216E-5</v>
      </c>
      <c r="F430" s="3">
        <f t="shared" si="434"/>
        <v>2.5605189613539008E-2</v>
      </c>
      <c r="G430" s="3">
        <f t="shared" si="434"/>
        <v>72599.065247443927</v>
      </c>
      <c r="H430" s="3">
        <f t="shared" si="434"/>
        <v>100000000000</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7.5196308035056316E-14</v>
      </c>
      <c r="C431" s="3">
        <f t="shared" si="434"/>
        <v>9.4288056127567832E-9</v>
      </c>
      <c r="D431" s="3">
        <f t="shared" si="434"/>
        <v>1.3170183432946662E-6</v>
      </c>
      <c r="E431" s="3">
        <f t="shared" si="434"/>
        <v>7.8668452506541211E-4</v>
      </c>
      <c r="F431" s="3">
        <f t="shared" si="434"/>
        <v>0.25605189613539009</v>
      </c>
      <c r="G431" s="3">
        <f t="shared" si="434"/>
        <v>725990.65247443924</v>
      </c>
      <c r="H431" s="3">
        <f t="shared" si="434"/>
        <v>1000000000000</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7.5196308035056318E-13</v>
      </c>
      <c r="C432" s="3">
        <f t="shared" si="434"/>
        <v>9.4288056127567842E-8</v>
      </c>
      <c r="D432" s="3">
        <f t="shared" si="434"/>
        <v>1.3170183432946662E-5</v>
      </c>
      <c r="E432" s="3">
        <f t="shared" si="434"/>
        <v>7.8668452506541215E-3</v>
      </c>
      <c r="F432" s="3">
        <f t="shared" si="434"/>
        <v>2.5605189613539006</v>
      </c>
      <c r="G432" s="3">
        <f t="shared" si="434"/>
        <v>7259906.5247443924</v>
      </c>
      <c r="H432" s="3">
        <f t="shared" si="434"/>
        <v>10000000000000</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7.5196308035056322E-12</v>
      </c>
      <c r="C433" s="3">
        <f t="shared" si="434"/>
        <v>9.4288056127567842E-7</v>
      </c>
      <c r="D433" s="3">
        <f t="shared" si="434"/>
        <v>1.3170183432946664E-4</v>
      </c>
      <c r="E433" s="3">
        <f t="shared" si="434"/>
        <v>7.8668452506541212E-2</v>
      </c>
      <c r="F433" s="3">
        <f t="shared" si="434"/>
        <v>25.605189613539007</v>
      </c>
      <c r="G433" s="3">
        <f t="shared" si="434"/>
        <v>72599065.247443929</v>
      </c>
      <c r="H433" s="3">
        <f t="shared" si="434"/>
        <v>100000000000000</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7.5196308035056325E-11</v>
      </c>
      <c r="C434" s="3">
        <f t="shared" si="434"/>
        <v>9.428805612756784E-6</v>
      </c>
      <c r="D434" s="3">
        <f t="shared" si="434"/>
        <v>1.3170183432946662E-3</v>
      </c>
      <c r="E434" s="3">
        <f t="shared" si="434"/>
        <v>0.78668452506541209</v>
      </c>
      <c r="F434" s="3">
        <f t="shared" si="434"/>
        <v>256.05189613539005</v>
      </c>
      <c r="G434" s="3">
        <f t="shared" si="434"/>
        <v>725990652.47443926</v>
      </c>
      <c r="H434" s="3">
        <f t="shared" si="434"/>
        <v>1000000000000000</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-57.849695376367158</v>
      </c>
      <c r="M1" s="54">
        <v>1</v>
      </c>
      <c r="N1" s="56">
        <f>INDEX($H$217:$P$217,1,Q1)</f>
        <v>0.51083501193027681</v>
      </c>
      <c r="O1" s="11"/>
      <c r="P1" s="55">
        <v>1</v>
      </c>
      <c r="Q1" s="11">
        <v>2</v>
      </c>
    </row>
    <row r="2" spans="1:17" x14ac:dyDescent="0.25">
      <c r="A2" s="11">
        <f>'Mastercurve bestimmen'!M119</f>
        <v>0</v>
      </c>
      <c r="B2" s="11">
        <f>'Mastercurve bestimmen'!N119</f>
        <v>-46.11051752249567</v>
      </c>
      <c r="M2" s="54">
        <v>2</v>
      </c>
      <c r="N2" s="56">
        <f t="shared" ref="N2:N9" si="0">INDEX($H$217:$P$217,1,Q2)</f>
        <v>1.3565666233303445E-2</v>
      </c>
      <c r="O2" s="11"/>
      <c r="P2" s="55">
        <v>2</v>
      </c>
      <c r="Q2" s="11">
        <f>Q1+1</f>
        <v>3</v>
      </c>
    </row>
    <row r="3" spans="1:17" x14ac:dyDescent="0.25">
      <c r="A3" s="11">
        <f>'Mastercurve bestimmen'!M120</f>
        <v>25</v>
      </c>
      <c r="B3" s="11">
        <f>'Mastercurve bestimmen'!N120</f>
        <v>-41.17116132313857</v>
      </c>
      <c r="M3" s="54">
        <v>3</v>
      </c>
      <c r="N3" s="56">
        <f t="shared" si="0"/>
        <v>6.1379704894991326E-4</v>
      </c>
      <c r="O3" s="11"/>
      <c r="P3" s="55">
        <v>3</v>
      </c>
      <c r="Q3" s="11">
        <f t="shared" ref="Q3:Q8" si="1">Q2+1</f>
        <v>4</v>
      </c>
    </row>
    <row r="4" spans="1:17" x14ac:dyDescent="0.25">
      <c r="A4" s="11">
        <f>'Mastercurve bestimmen'!M121</f>
        <v>50</v>
      </c>
      <c r="B4" s="11">
        <f>'Mastercurve bestimmen'!N121</f>
        <v>-34.778704363444611</v>
      </c>
      <c r="M4" s="54">
        <v>4</v>
      </c>
      <c r="N4" s="56">
        <f t="shared" si="0"/>
        <v>1.3079342111006026E-5</v>
      </c>
      <c r="O4" s="11"/>
      <c r="P4" s="55">
        <v>4</v>
      </c>
      <c r="Q4" s="11">
        <f t="shared" si="1"/>
        <v>5</v>
      </c>
    </row>
    <row r="5" spans="1:17" x14ac:dyDescent="0.25">
      <c r="A5" s="11">
        <f>'Mastercurve bestimmen'!M122</f>
        <v>80</v>
      </c>
      <c r="B5" s="11">
        <f>'Mastercurve bestimmen'!N122</f>
        <v>-28.993396251697032</v>
      </c>
      <c r="M5" s="54">
        <v>5</v>
      </c>
      <c r="N5" s="56">
        <f t="shared" si="0"/>
        <v>1.4342110879878539E-7</v>
      </c>
      <c r="O5" s="11"/>
      <c r="P5" s="55">
        <v>5</v>
      </c>
      <c r="Q5" s="11">
        <f t="shared" si="1"/>
        <v>6</v>
      </c>
    </row>
    <row r="6" spans="1:17" x14ac:dyDescent="0.25">
      <c r="A6" s="11">
        <f>'Mastercurve bestimmen'!M123</f>
        <v>125</v>
      </c>
      <c r="B6" s="11">
        <f>'Mastercurve bestimmen'!N123</f>
        <v>-14.135728697584064</v>
      </c>
      <c r="M6" s="54">
        <v>6</v>
      </c>
      <c r="N6" s="56">
        <f t="shared" si="0"/>
        <v>8.5069441345277894E-10</v>
      </c>
      <c r="O6" s="11"/>
      <c r="P6" s="55">
        <v>6</v>
      </c>
      <c r="Q6" s="11">
        <f t="shared" si="1"/>
        <v>7</v>
      </c>
    </row>
    <row r="7" spans="1:17" x14ac:dyDescent="0.25">
      <c r="A7" s="11">
        <f>'Mastercurve bestimmen'!M124</f>
        <v>160</v>
      </c>
      <c r="B7" s="11">
        <f>'Mastercurve bestimmen'!N124</f>
        <v>0</v>
      </c>
      <c r="M7" s="54">
        <v>7</v>
      </c>
      <c r="N7" s="56">
        <f t="shared" si="0"/>
        <v>2.6044159266875563E-12</v>
      </c>
      <c r="O7" s="11"/>
      <c r="P7" s="55">
        <v>7</v>
      </c>
      <c r="Q7" s="11">
        <f t="shared" si="1"/>
        <v>8</v>
      </c>
    </row>
    <row r="8" spans="1:17" x14ac:dyDescent="0.25">
      <c r="A8" s="11"/>
      <c r="B8" s="11"/>
      <c r="M8" s="54">
        <v>8</v>
      </c>
      <c r="N8" s="56">
        <f t="shared" si="0"/>
        <v>3.2313260052019152E-15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-57.849695376367158</v>
      </c>
      <c r="E15" s="11">
        <f>A15-'Mastercurve bestimmen'!$B$2</f>
        <v>-200</v>
      </c>
      <c r="F15" s="11">
        <f>B15</f>
        <v>-57.849695376367158</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-57.580514650528961</v>
      </c>
      <c r="E16" s="11">
        <f>A16-'Mastercurve bestimmen'!$B$2</f>
        <v>-199</v>
      </c>
      <c r="F16" s="11">
        <f t="shared" ref="F16:F79" si="4">B16</f>
        <v>-57.580514650528961</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-57.311242747503123</v>
      </c>
      <c r="E17" s="11">
        <f>A17-'Mastercurve bestimmen'!$B$2</f>
        <v>-198</v>
      </c>
      <c r="F17" s="11">
        <f t="shared" si="4"/>
        <v>-57.311242747503123</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-57.041788490101979</v>
      </c>
      <c r="E18" s="11">
        <f>A18-'Mastercurve bestimmen'!$B$2</f>
        <v>-197</v>
      </c>
      <c r="F18" s="11">
        <f t="shared" si="4"/>
        <v>-57.041788490101979</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-56.772060701137889</v>
      </c>
      <c r="E19" s="11">
        <f>A19-'Mastercurve bestimmen'!$B$2</f>
        <v>-196</v>
      </c>
      <c r="F19" s="11">
        <f t="shared" si="4"/>
        <v>-56.772060701137889</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-56.501968203423203</v>
      </c>
      <c r="E20" s="11">
        <f>A20-'Mastercurve bestimmen'!$B$2</f>
        <v>-195</v>
      </c>
      <c r="F20" s="11">
        <f t="shared" si="4"/>
        <v>-56.501968203423203</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-56.231419819770267</v>
      </c>
      <c r="E21" s="11">
        <f>A21-'Mastercurve bestimmen'!$B$2</f>
        <v>-194</v>
      </c>
      <c r="F21" s="11">
        <f t="shared" si="4"/>
        <v>-56.231419819770267</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-55.960324372991437</v>
      </c>
      <c r="E22" s="11">
        <f>A22-'Mastercurve bestimmen'!$B$2</f>
        <v>-193</v>
      </c>
      <c r="F22" s="11">
        <f t="shared" si="4"/>
        <v>-55.960324372991437</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-55.688590685899051</v>
      </c>
      <c r="E23" s="11">
        <f>A23-'Mastercurve bestimmen'!$B$2</f>
        <v>-192</v>
      </c>
      <c r="F23" s="11">
        <f t="shared" si="4"/>
        <v>-55.688590685899051</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-55.416127581305474</v>
      </c>
      <c r="E24" s="11">
        <f>A24-'Mastercurve bestimmen'!$B$2</f>
        <v>-191</v>
      </c>
      <c r="F24" s="11">
        <f t="shared" si="4"/>
        <v>-55.416127581305474</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-55.142843882023058</v>
      </c>
      <c r="E25" s="11">
        <f>A25-'Mastercurve bestimmen'!$B$2</f>
        <v>-190</v>
      </c>
      <c r="F25" s="11">
        <f t="shared" si="4"/>
        <v>-55.142843882023058</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-54.868648410864139</v>
      </c>
      <c r="E26" s="11">
        <f>A26-'Mastercurve bestimmen'!$B$2</f>
        <v>-189</v>
      </c>
      <c r="F26" s="11">
        <f t="shared" si="4"/>
        <v>-54.868648410864139</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-54.593449990641084</v>
      </c>
      <c r="E27" s="11">
        <f>A27-'Mastercurve bestimmen'!$B$2</f>
        <v>-188</v>
      </c>
      <c r="F27" s="11">
        <f t="shared" si="4"/>
        <v>-54.593449990641084</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-54.317157444166227</v>
      </c>
      <c r="E28" s="11">
        <f>A28-'Mastercurve bestimmen'!$B$2</f>
        <v>-187</v>
      </c>
      <c r="F28" s="11">
        <f t="shared" si="4"/>
        <v>-54.317157444166227</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-54.039679594251922</v>
      </c>
      <c r="E29" s="11">
        <f>A29-'Mastercurve bestimmen'!$B$2</f>
        <v>-186</v>
      </c>
      <c r="F29" s="11">
        <f t="shared" si="4"/>
        <v>-54.039679594251922</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-53.76092526371054</v>
      </c>
      <c r="E30" s="11">
        <f>A30-'Mastercurve bestimmen'!$B$2</f>
        <v>-185</v>
      </c>
      <c r="F30" s="11">
        <f t="shared" si="4"/>
        <v>-53.76092526371054</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-53.480803275354397</v>
      </c>
      <c r="E31" s="11">
        <f>A31-'Mastercurve bestimmen'!$B$2</f>
        <v>-184</v>
      </c>
      <c r="F31" s="11">
        <f t="shared" si="4"/>
        <v>-53.480803275354397</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-53.199222451995873</v>
      </c>
      <c r="E32" s="11">
        <f>A32-'Mastercurve bestimmen'!$B$2</f>
        <v>-183</v>
      </c>
      <c r="F32" s="11">
        <f t="shared" si="4"/>
        <v>-53.199222451995873</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-52.916091616447304</v>
      </c>
      <c r="E33" s="11">
        <f>A33-'Mastercurve bestimmen'!$B$2</f>
        <v>-182</v>
      </c>
      <c r="F33" s="11">
        <f t="shared" si="4"/>
        <v>-52.916091616447304</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-52.631319591521049</v>
      </c>
      <c r="E34" s="11">
        <f>A34-'Mastercurve bestimmen'!$B$2</f>
        <v>-181</v>
      </c>
      <c r="F34" s="11">
        <f t="shared" si="4"/>
        <v>-52.631319591521049</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-52.344815200029444</v>
      </c>
      <c r="E35" s="11">
        <f>A35-'Mastercurve bestimmen'!$B$2</f>
        <v>-180</v>
      </c>
      <c r="F35" s="11">
        <f t="shared" si="4"/>
        <v>-52.344815200029444</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-52.056487264784856</v>
      </c>
      <c r="E36" s="11">
        <f>A36-'Mastercurve bestimmen'!$B$2</f>
        <v>-179</v>
      </c>
      <c r="F36" s="11">
        <f t="shared" si="4"/>
        <v>-52.056487264784856</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-51.766244608599621</v>
      </c>
      <c r="E37" s="11">
        <f>A37-'Mastercurve bestimmen'!$B$2</f>
        <v>-178</v>
      </c>
      <c r="F37" s="11">
        <f t="shared" si="4"/>
        <v>-51.766244608599621</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-51.473996054286104</v>
      </c>
      <c r="E38" s="11">
        <f>A38-'Mastercurve bestimmen'!$B$2</f>
        <v>-177</v>
      </c>
      <c r="F38" s="11">
        <f t="shared" si="4"/>
        <v>-51.473996054286104</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-51.17965042465665</v>
      </c>
      <c r="E39" s="11">
        <f>A39-'Mastercurve bestimmen'!$B$2</f>
        <v>-176</v>
      </c>
      <c r="F39" s="11">
        <f t="shared" si="4"/>
        <v>-51.17965042465665</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-50.883116542523609</v>
      </c>
      <c r="E40" s="11">
        <f>A40-'Mastercurve bestimmen'!$B$2</f>
        <v>-175</v>
      </c>
      <c r="F40" s="11">
        <f t="shared" si="4"/>
        <v>-50.883116542523609</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-50.584303230699319</v>
      </c>
      <c r="E41" s="11">
        <f>A41-'Mastercurve bestimmen'!$B$2</f>
        <v>-174</v>
      </c>
      <c r="F41" s="11">
        <f t="shared" si="4"/>
        <v>-50.584303230699319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-50.283119311996145</v>
      </c>
      <c r="E42" s="11">
        <f>A42-'Mastercurve bestimmen'!$B$2</f>
        <v>-173</v>
      </c>
      <c r="F42" s="11">
        <f t="shared" si="4"/>
        <v>-50.283119311996145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-49.979473609226446</v>
      </c>
      <c r="E43" s="11">
        <f>A43-'Mastercurve bestimmen'!$B$2</f>
        <v>-172</v>
      </c>
      <c r="F43" s="11">
        <f t="shared" si="4"/>
        <v>-49.979473609226446</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-49.67327494520255</v>
      </c>
      <c r="E44" s="11">
        <f>A44-'Mastercurve bestimmen'!$B$2</f>
        <v>-171</v>
      </c>
      <c r="F44" s="11">
        <f t="shared" si="4"/>
        <v>-49.67327494520255</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-49.364432142736817</v>
      </c>
      <c r="E45" s="11">
        <f>A45-'Mastercurve bestimmen'!$B$2</f>
        <v>-170</v>
      </c>
      <c r="F45" s="11">
        <f t="shared" si="4"/>
        <v>-49.364432142736817</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-49.052854024641604</v>
      </c>
      <c r="E46" s="11">
        <f>A46-'Mastercurve bestimmen'!$B$2</f>
        <v>-169</v>
      </c>
      <c r="F46" s="11">
        <f t="shared" si="4"/>
        <v>-49.052854024641604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-48.738449413729256</v>
      </c>
      <c r="E47" s="11">
        <f>A47-'Mastercurve bestimmen'!$B$2</f>
        <v>-168</v>
      </c>
      <c r="F47" s="11">
        <f t="shared" si="4"/>
        <v>-48.738449413729256</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-48.421127132812124</v>
      </c>
      <c r="E48" s="11">
        <f>A48-'Mastercurve bestimmen'!$B$2</f>
        <v>-167</v>
      </c>
      <c r="F48" s="11">
        <f t="shared" si="4"/>
        <v>-48.421127132812124</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-48.100796004702559</v>
      </c>
      <c r="E49" s="11">
        <f>A49-'Mastercurve bestimmen'!$B$2</f>
        <v>-166</v>
      </c>
      <c r="F49" s="11">
        <f t="shared" si="4"/>
        <v>-48.100796004702559</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-47.777364852212905</v>
      </c>
      <c r="E50" s="11">
        <f>A50-'Mastercurve bestimmen'!$B$2</f>
        <v>-165</v>
      </c>
      <c r="F50" s="11">
        <f t="shared" si="4"/>
        <v>-47.777364852212905</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-47.45074249815552</v>
      </c>
      <c r="E51" s="11">
        <f>A51-'Mastercurve bestimmen'!$B$2</f>
        <v>-164</v>
      </c>
      <c r="F51" s="11">
        <f t="shared" si="4"/>
        <v>-47.45074249815552</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-47.120837765342756</v>
      </c>
      <c r="E52" s="11">
        <f>A52-'Mastercurve bestimmen'!$B$2</f>
        <v>-163</v>
      </c>
      <c r="F52" s="11">
        <f t="shared" si="4"/>
        <v>-47.120837765342756</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-46.787559476586956</v>
      </c>
      <c r="E53" s="11">
        <f>A53-'Mastercurve bestimmen'!$B$2</f>
        <v>-162</v>
      </c>
      <c r="F53" s="11">
        <f t="shared" si="4"/>
        <v>-46.787559476586956</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-46.45081645470048</v>
      </c>
      <c r="E54" s="11">
        <f>A54-'Mastercurve bestimmen'!$B$2</f>
        <v>-161</v>
      </c>
      <c r="F54" s="11">
        <f t="shared" si="4"/>
        <v>-46.45081645470048</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-46.11051752249567</v>
      </c>
      <c r="E55" s="11">
        <f>A55-'Mastercurve bestimmen'!$B$2</f>
        <v>-160</v>
      </c>
      <c r="F55" s="11">
        <f t="shared" si="4"/>
        <v>-46.11051752249567</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-45.958610492032349</v>
      </c>
      <c r="E56" s="11">
        <f>A56-'Mastercurve bestimmen'!$B$2</f>
        <v>-159</v>
      </c>
      <c r="F56" s="11">
        <f t="shared" si="4"/>
        <v>-45.958610492032349</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-45.803038083991503</v>
      </c>
      <c r="E57" s="11">
        <f>A57-'Mastercurve bestimmen'!$B$2</f>
        <v>-158</v>
      </c>
      <c r="F57" s="11">
        <f t="shared" si="4"/>
        <v>-45.803038083991503</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-45.643782008301628</v>
      </c>
      <c r="E58" s="11">
        <f>A58-'Mastercurve bestimmen'!$B$2</f>
        <v>-157</v>
      </c>
      <c r="F58" s="11">
        <f t="shared" si="4"/>
        <v>-45.643782008301628</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-45.48082397489118</v>
      </c>
      <c r="E59" s="11">
        <f>A59-'Mastercurve bestimmen'!$B$2</f>
        <v>-156</v>
      </c>
      <c r="F59" s="11">
        <f t="shared" si="4"/>
        <v>-45.48082397489118</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-45.314145693688616</v>
      </c>
      <c r="E60" s="11">
        <f>A60-'Mastercurve bestimmen'!$B$2</f>
        <v>-155</v>
      </c>
      <c r="F60" s="11">
        <f t="shared" si="4"/>
        <v>-45.314145693688616</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-45.143728874622433</v>
      </c>
      <c r="E61" s="11">
        <f>A61-'Mastercurve bestimmen'!$B$2</f>
        <v>-154</v>
      </c>
      <c r="F61" s="11">
        <f t="shared" si="4"/>
        <v>-45.143728874622433</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-44.969555227621086</v>
      </c>
      <c r="E62" s="11">
        <f>A62-'Mastercurve bestimmen'!$B$2</f>
        <v>-153</v>
      </c>
      <c r="F62" s="11">
        <f t="shared" si="4"/>
        <v>-44.969555227621086</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-44.791606462613032</v>
      </c>
      <c r="E63" s="11">
        <f>A63-'Mastercurve bestimmen'!$B$2</f>
        <v>-152</v>
      </c>
      <c r="F63" s="11">
        <f t="shared" si="4"/>
        <v>-44.791606462613032</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-44.609864289526755</v>
      </c>
      <c r="E64" s="11">
        <f>A64-'Mastercurve bestimmen'!$B$2</f>
        <v>-151</v>
      </c>
      <c r="F64" s="11">
        <f t="shared" si="4"/>
        <v>-44.609864289526755</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-44.424310418290723</v>
      </c>
      <c r="E65" s="11">
        <f>A65-'Mastercurve bestimmen'!$B$2</f>
        <v>-150</v>
      </c>
      <c r="F65" s="11">
        <f t="shared" si="4"/>
        <v>-44.424310418290723</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-44.234926558833408</v>
      </c>
      <c r="E66" s="11">
        <f>A66-'Mastercurve bestimmen'!$B$2</f>
        <v>-149</v>
      </c>
      <c r="F66" s="11">
        <f t="shared" si="4"/>
        <v>-44.234926558833408</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-44.041694421083271</v>
      </c>
      <c r="E67" s="11">
        <f>A67-'Mastercurve bestimmen'!$B$2</f>
        <v>-148</v>
      </c>
      <c r="F67" s="11">
        <f t="shared" si="4"/>
        <v>-44.041694421083271</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-43.84459571496879</v>
      </c>
      <c r="E68" s="11">
        <f>A68-'Mastercurve bestimmen'!$B$2</f>
        <v>-147</v>
      </c>
      <c r="F68" s="11">
        <f t="shared" si="4"/>
        <v>-43.84459571496879</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-43.64361215041842</v>
      </c>
      <c r="E69" s="11">
        <f>A69-'Mastercurve bestimmen'!$B$2</f>
        <v>-146</v>
      </c>
      <c r="F69" s="11">
        <f t="shared" si="4"/>
        <v>-43.64361215041842</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-43.438725437360645</v>
      </c>
      <c r="E70" s="11">
        <f>A70-'Mastercurve bestimmen'!$B$2</f>
        <v>-145</v>
      </c>
      <c r="F70" s="11">
        <f t="shared" si="4"/>
        <v>-43.438725437360645</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-43.229917285723928</v>
      </c>
      <c r="E71" s="11">
        <f>A71-'Mastercurve bestimmen'!$B$2</f>
        <v>-144</v>
      </c>
      <c r="F71" s="11">
        <f t="shared" si="4"/>
        <v>-43.229917285723928</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-43.017169405436739</v>
      </c>
      <c r="E72" s="11">
        <f>A72-'Mastercurve bestimmen'!$B$2</f>
        <v>-143</v>
      </c>
      <c r="F72" s="11">
        <f t="shared" si="4"/>
        <v>-43.017169405436739</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-42.800463506427548</v>
      </c>
      <c r="E73" s="11">
        <f>A73-'Mastercurve bestimmen'!$B$2</f>
        <v>-142</v>
      </c>
      <c r="F73" s="11">
        <f t="shared" si="4"/>
        <v>-42.800463506427548</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-42.57978129862483</v>
      </c>
      <c r="E74" s="11">
        <f>A74-'Mastercurve bestimmen'!$B$2</f>
        <v>-141</v>
      </c>
      <c r="F74" s="11">
        <f t="shared" si="4"/>
        <v>-42.57978129862483</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-42.355104491957036</v>
      </c>
      <c r="E75" s="11">
        <f>A75-'Mastercurve bestimmen'!$B$2</f>
        <v>-140</v>
      </c>
      <c r="F75" s="11">
        <f t="shared" si="4"/>
        <v>-42.355104491957036</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-42.126414796352663</v>
      </c>
      <c r="E76" s="11">
        <f>A76-'Mastercurve bestimmen'!$B$2</f>
        <v>-139</v>
      </c>
      <c r="F76" s="11">
        <f t="shared" si="4"/>
        <v>-42.126414796352663</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-41.893693921740152</v>
      </c>
      <c r="E77" s="11">
        <f>A77-'Mastercurve bestimmen'!$B$2</f>
        <v>-138</v>
      </c>
      <c r="F77" s="11">
        <f t="shared" si="4"/>
        <v>-41.893693921740152</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-41.656923578047994</v>
      </c>
      <c r="E78" s="11">
        <f>A78-'Mastercurve bestimmen'!$B$2</f>
        <v>-137</v>
      </c>
      <c r="F78" s="11">
        <f t="shared" si="4"/>
        <v>-41.656923578047994</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-41.416085475204639</v>
      </c>
      <c r="E79" s="11">
        <f>A79-'Mastercurve bestimmen'!$B$2</f>
        <v>-136</v>
      </c>
      <c r="F79" s="11">
        <f t="shared" si="4"/>
        <v>-41.416085475204639</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-41.17116132313857</v>
      </c>
      <c r="E80" s="11">
        <f>A80-'Mastercurve bestimmen'!$B$2</f>
        <v>-135</v>
      </c>
      <c r="F80" s="11">
        <f t="shared" ref="F80:F143" si="10">B80</f>
        <v>-41.17116132313857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-40.922204006901367</v>
      </c>
      <c r="E81" s="11">
        <f>A81-'Mastercurve bestimmen'!$B$2</f>
        <v>-134</v>
      </c>
      <c r="F81" s="11">
        <f t="shared" si="10"/>
        <v>-40.922204006901367</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-40.669551112037034</v>
      </c>
      <c r="E82" s="11">
        <f>A82-'Mastercurve bestimmen'!$B$2</f>
        <v>-133</v>
      </c>
      <c r="F82" s="11">
        <f t="shared" si="10"/>
        <v>-40.669551112037034</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-40.413611399212684</v>
      </c>
      <c r="E83" s="11">
        <f>A83-'Mastercurve bestimmen'!$B$2</f>
        <v>-132</v>
      </c>
      <c r="F83" s="11">
        <f t="shared" si="10"/>
        <v>-40.413611399212684</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-40.154793629095451</v>
      </c>
      <c r="E84" s="11">
        <f>A84-'Mastercurve bestimmen'!$B$2</f>
        <v>-131</v>
      </c>
      <c r="F84" s="11">
        <f t="shared" si="10"/>
        <v>-40.154793629095451</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-39.893506562352442</v>
      </c>
      <c r="E85" s="11">
        <f>A85-'Mastercurve bestimmen'!$B$2</f>
        <v>-130</v>
      </c>
      <c r="F85" s="11">
        <f t="shared" si="10"/>
        <v>-39.893506562352442</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-39.630158959650799</v>
      </c>
      <c r="E86" s="11">
        <f>A86-'Mastercurve bestimmen'!$B$2</f>
        <v>-129</v>
      </c>
      <c r="F86" s="11">
        <f t="shared" si="10"/>
        <v>-39.630158959650799</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-39.365159581657608</v>
      </c>
      <c r="E87" s="11">
        <f>A87-'Mastercurve bestimmen'!$B$2</f>
        <v>-128</v>
      </c>
      <c r="F87" s="11">
        <f t="shared" si="10"/>
        <v>-39.365159581657608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-39.098917189040009</v>
      </c>
      <c r="E88" s="11">
        <f>A88-'Mastercurve bestimmen'!$B$2</f>
        <v>-127</v>
      </c>
      <c r="F88" s="11">
        <f t="shared" si="10"/>
        <v>-39.098917189040009</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-38.831840542465116</v>
      </c>
      <c r="E89" s="11">
        <f>A89-'Mastercurve bestimmen'!$B$2</f>
        <v>-126</v>
      </c>
      <c r="F89" s="11">
        <f t="shared" si="10"/>
        <v>-38.831840542465116</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-38.564338402600058</v>
      </c>
      <c r="E90" s="11">
        <f>A90-'Mastercurve bestimmen'!$B$2</f>
        <v>-125</v>
      </c>
      <c r="F90" s="11">
        <f t="shared" si="10"/>
        <v>-38.564338402600058</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-38.296819530111947</v>
      </c>
      <c r="E91" s="11">
        <f>A91-'Mastercurve bestimmen'!$B$2</f>
        <v>-124</v>
      </c>
      <c r="F91" s="11">
        <f t="shared" si="10"/>
        <v>-38.296819530111947</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-38.029692685667889</v>
      </c>
      <c r="E92" s="11">
        <f>A92-'Mastercurve bestimmen'!$B$2</f>
        <v>-123</v>
      </c>
      <c r="F92" s="11">
        <f t="shared" si="10"/>
        <v>-38.029692685667889</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-37.763366629935021</v>
      </c>
      <c r="E93" s="11">
        <f>A93-'Mastercurve bestimmen'!$B$2</f>
        <v>-122</v>
      </c>
      <c r="F93" s="11">
        <f t="shared" si="10"/>
        <v>-37.763366629935021</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-37.498250123580469</v>
      </c>
      <c r="E94" s="11">
        <f>A94-'Mastercurve bestimmen'!$B$2</f>
        <v>-121</v>
      </c>
      <c r="F94" s="11">
        <f t="shared" si="10"/>
        <v>-37.498250123580469</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-37.234751927271333</v>
      </c>
      <c r="E95" s="11">
        <f>A95-'Mastercurve bestimmen'!$B$2</f>
        <v>-120</v>
      </c>
      <c r="F95" s="11">
        <f t="shared" si="10"/>
        <v>-37.234751927271333</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-36.97328080167474</v>
      </c>
      <c r="E96" s="11">
        <f>A96-'Mastercurve bestimmen'!$B$2</f>
        <v>-119</v>
      </c>
      <c r="F96" s="11">
        <f t="shared" si="10"/>
        <v>-36.97328080167474</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-36.714245507457811</v>
      </c>
      <c r="E97" s="11">
        <f>A97-'Mastercurve bestimmen'!$B$2</f>
        <v>-118</v>
      </c>
      <c r="F97" s="11">
        <f t="shared" si="10"/>
        <v>-36.714245507457811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-36.458054805287667</v>
      </c>
      <c r="E98" s="11">
        <f>A98-'Mastercurve bestimmen'!$B$2</f>
        <v>-117</v>
      </c>
      <c r="F98" s="11">
        <f t="shared" si="10"/>
        <v>-36.458054805287667</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-36.205117455831427</v>
      </c>
      <c r="E99" s="11">
        <f>A99-'Mastercurve bestimmen'!$B$2</f>
        <v>-116</v>
      </c>
      <c r="F99" s="11">
        <f t="shared" si="10"/>
        <v>-36.205117455831427</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-35.955842219756207</v>
      </c>
      <c r="E100" s="11">
        <f>A100-'Mastercurve bestimmen'!$B$2</f>
        <v>-115</v>
      </c>
      <c r="F100" s="11">
        <f t="shared" si="10"/>
        <v>-35.955842219756207</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-35.710637857729125</v>
      </c>
      <c r="E101" s="11">
        <f>A101-'Mastercurve bestimmen'!$B$2</f>
        <v>-114</v>
      </c>
      <c r="F101" s="11">
        <f t="shared" si="10"/>
        <v>-35.710637857729125</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-35.469913130417304</v>
      </c>
      <c r="E102" s="11">
        <f>A102-'Mastercurve bestimmen'!$B$2</f>
        <v>-113</v>
      </c>
      <c r="F102" s="11">
        <f t="shared" si="10"/>
        <v>-35.469913130417304</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-35.23407679848787</v>
      </c>
      <c r="E103" s="11">
        <f>A103-'Mastercurve bestimmen'!$B$2</f>
        <v>-112</v>
      </c>
      <c r="F103" s="11">
        <f t="shared" si="10"/>
        <v>-35.23407679848787</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-35.003537622607929</v>
      </c>
      <c r="E104" s="11">
        <f>A104-'Mastercurve bestimmen'!$B$2</f>
        <v>-111</v>
      </c>
      <c r="F104" s="11">
        <f t="shared" si="10"/>
        <v>-35.003537622607929</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-34.778704363444611</v>
      </c>
      <c r="E105" s="11">
        <f>A105-'Mastercurve bestimmen'!$B$2</f>
        <v>-110</v>
      </c>
      <c r="F105" s="11">
        <f t="shared" si="10"/>
        <v>-34.778704363444611</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-34.559847966312482</v>
      </c>
      <c r="E106" s="11">
        <f>A106-'Mastercurve bestimmen'!$B$2</f>
        <v>-109</v>
      </c>
      <c r="F106" s="11">
        <f t="shared" si="10"/>
        <v>-34.559847966312482</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-34.34668811511586</v>
      </c>
      <c r="E107" s="11">
        <f>A107-'Mastercurve bestimmen'!$B$2</f>
        <v>-108</v>
      </c>
      <c r="F107" s="11">
        <f t="shared" si="10"/>
        <v>-34.34668811511586</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-34.138806678406581</v>
      </c>
      <c r="E108" s="11">
        <f>A108-'Mastercurve bestimmen'!$B$2</f>
        <v>-107</v>
      </c>
      <c r="F108" s="11">
        <f t="shared" si="10"/>
        <v>-34.138806678406581</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-33.935785524736389</v>
      </c>
      <c r="E109" s="11">
        <f>A109-'Mastercurve bestimmen'!$B$2</f>
        <v>-106</v>
      </c>
      <c r="F109" s="11">
        <f t="shared" si="10"/>
        <v>-33.935785524736389</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-33.737206522657097</v>
      </c>
      <c r="E110" s="11">
        <f>A110-'Mastercurve bestimmen'!$B$2</f>
        <v>-105</v>
      </c>
      <c r="F110" s="11">
        <f t="shared" si="10"/>
        <v>-33.737206522657097</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-33.542651540720485</v>
      </c>
      <c r="E111" s="11">
        <f>A111-'Mastercurve bestimmen'!$B$2</f>
        <v>-104</v>
      </c>
      <c r="F111" s="11">
        <f t="shared" si="10"/>
        <v>-33.542651540720485</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-33.351702447478345</v>
      </c>
      <c r="E112" s="11">
        <f>A112-'Mastercurve bestimmen'!$B$2</f>
        <v>-103</v>
      </c>
      <c r="F112" s="11">
        <f t="shared" si="10"/>
        <v>-33.351702447478345</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-33.163941111482458</v>
      </c>
      <c r="E113" s="11">
        <f>A113-'Mastercurve bestimmen'!$B$2</f>
        <v>-102</v>
      </c>
      <c r="F113" s="11">
        <f t="shared" si="10"/>
        <v>-33.163941111482458</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-32.97894940128463</v>
      </c>
      <c r="E114" s="11">
        <f>A114-'Mastercurve bestimmen'!$B$2</f>
        <v>-101</v>
      </c>
      <c r="F114" s="11">
        <f t="shared" si="10"/>
        <v>-32.97894940128463</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-32.796309185436634</v>
      </c>
      <c r="E115" s="11">
        <f>A115-'Mastercurve bestimmen'!$B$2</f>
        <v>-100</v>
      </c>
      <c r="F115" s="11">
        <f t="shared" si="10"/>
        <v>-32.796309185436634</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-32.615602332490269</v>
      </c>
      <c r="E116" s="11">
        <f>A116-'Mastercurve bestimmen'!$B$2</f>
        <v>-99</v>
      </c>
      <c r="F116" s="11">
        <f t="shared" si="10"/>
        <v>-32.615602332490269</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-32.436410710997308</v>
      </c>
      <c r="E117" s="11">
        <f>A117-'Mastercurve bestimmen'!$B$2</f>
        <v>-98</v>
      </c>
      <c r="F117" s="11">
        <f t="shared" si="10"/>
        <v>-32.436410710997308</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-32.258316189509557</v>
      </c>
      <c r="E118" s="11">
        <f>A118-'Mastercurve bestimmen'!$B$2</f>
        <v>-97</v>
      </c>
      <c r="F118" s="11">
        <f t="shared" si="10"/>
        <v>-32.258316189509557</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-32.080900636578797</v>
      </c>
      <c r="E119" s="11">
        <f>A119-'Mastercurve bestimmen'!$B$2</f>
        <v>-96</v>
      </c>
      <c r="F119" s="11">
        <f t="shared" si="10"/>
        <v>-32.080900636578797</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-31.903745920756812</v>
      </c>
      <c r="E120" s="11">
        <f>A120-'Mastercurve bestimmen'!$B$2</f>
        <v>-95</v>
      </c>
      <c r="F120" s="11">
        <f t="shared" si="10"/>
        <v>-31.903745920756812</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-31.726433910595404</v>
      </c>
      <c r="E121" s="11">
        <f>A121-'Mastercurve bestimmen'!$B$2</f>
        <v>-94</v>
      </c>
      <c r="F121" s="11">
        <f t="shared" si="10"/>
        <v>-31.726433910595404</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-31.548546474646351</v>
      </c>
      <c r="E122" s="11">
        <f>A122-'Mastercurve bestimmen'!$B$2</f>
        <v>-93</v>
      </c>
      <c r="F122" s="11">
        <f t="shared" si="10"/>
        <v>-31.548546474646351</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-31.369665481461439</v>
      </c>
      <c r="E123" s="11">
        <f>A123-'Mastercurve bestimmen'!$B$2</f>
        <v>-92</v>
      </c>
      <c r="F123" s="11">
        <f t="shared" si="10"/>
        <v>-31.369665481461439</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-31.189372799592469</v>
      </c>
      <c r="E124" s="11">
        <f>A124-'Mastercurve bestimmen'!$B$2</f>
        <v>-91</v>
      </c>
      <c r="F124" s="11">
        <f t="shared" si="10"/>
        <v>-31.189372799592469</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-31.00725029759122</v>
      </c>
      <c r="E125" s="11">
        <f>A125-'Mastercurve bestimmen'!$B$2</f>
        <v>-90</v>
      </c>
      <c r="F125" s="11">
        <f t="shared" si="10"/>
        <v>-31.00725029759122</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-30.822879844009478</v>
      </c>
      <c r="E126" s="11">
        <f>A126-'Mastercurve bestimmen'!$B$2</f>
        <v>-89</v>
      </c>
      <c r="F126" s="11">
        <f t="shared" si="10"/>
        <v>-30.822879844009478</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-30.635843307399043</v>
      </c>
      <c r="E127" s="11">
        <f>A127-'Mastercurve bestimmen'!$B$2</f>
        <v>-88</v>
      </c>
      <c r="F127" s="11">
        <f t="shared" si="10"/>
        <v>-30.635843307399043</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-30.445722556311697</v>
      </c>
      <c r="E128" s="11">
        <f>A128-'Mastercurve bestimmen'!$B$2</f>
        <v>-87</v>
      </c>
      <c r="F128" s="11">
        <f t="shared" si="10"/>
        <v>-30.445722556311697</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-30.252099459299227</v>
      </c>
      <c r="E129" s="11">
        <f>A129-'Mastercurve bestimmen'!$B$2</f>
        <v>-86</v>
      </c>
      <c r="F129" s="11">
        <f t="shared" si="10"/>
        <v>-30.252099459299227</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-30.05455588491343</v>
      </c>
      <c r="E130" s="11">
        <f>A130-'Mastercurve bestimmen'!$B$2</f>
        <v>-85</v>
      </c>
      <c r="F130" s="11">
        <f t="shared" si="10"/>
        <v>-30.05455588491343</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-29.852673701706081</v>
      </c>
      <c r="E131" s="11">
        <f>A131-'Mastercurve bestimmen'!$B$2</f>
        <v>-84</v>
      </c>
      <c r="F131" s="11">
        <f t="shared" si="10"/>
        <v>-29.852673701706081</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-29.64603477822898</v>
      </c>
      <c r="E132" s="11">
        <f>A132-'Mastercurve bestimmen'!$B$2</f>
        <v>-83</v>
      </c>
      <c r="F132" s="11">
        <f t="shared" si="10"/>
        <v>-29.64603477822898</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-29.434220983033917</v>
      </c>
      <c r="E133" s="11">
        <f>A133-'Mastercurve bestimmen'!$B$2</f>
        <v>-82</v>
      </c>
      <c r="F133" s="11">
        <f t="shared" si="10"/>
        <v>-29.434220983033917</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-29.216814184672668</v>
      </c>
      <c r="E134" s="11">
        <f>A134-'Mastercurve bestimmen'!$B$2</f>
        <v>-81</v>
      </c>
      <c r="F134" s="11">
        <f t="shared" si="10"/>
        <v>-29.216814184672668</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-28.993396251697032</v>
      </c>
      <c r="E135" s="11">
        <f>A135-'Mastercurve bestimmen'!$B$2</f>
        <v>-80</v>
      </c>
      <c r="F135" s="11">
        <f t="shared" si="10"/>
        <v>-28.993396251697032</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-28.763639013319299</v>
      </c>
      <c r="E136" s="11">
        <f>A136-'Mastercurve bestimmen'!$B$2</f>
        <v>-79</v>
      </c>
      <c r="F136" s="11">
        <f t="shared" si="10"/>
        <v>-28.763639013319299</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-28.527574141393778</v>
      </c>
      <c r="E137" s="11">
        <f>A137-'Mastercurve bestimmen'!$B$2</f>
        <v>-78</v>
      </c>
      <c r="F137" s="11">
        <f t="shared" si="10"/>
        <v>-28.527574141393778</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-28.285323268435281</v>
      </c>
      <c r="E138" s="11">
        <f>A138-'Mastercurve bestimmen'!$B$2</f>
        <v>-77</v>
      </c>
      <c r="F138" s="11">
        <f t="shared" si="10"/>
        <v>-28.285323268435281</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-28.037008026958624</v>
      </c>
      <c r="E139" s="11">
        <f>A139-'Mastercurve bestimmen'!$B$2</f>
        <v>-76</v>
      </c>
      <c r="F139" s="11">
        <f t="shared" si="10"/>
        <v>-28.037008026958624</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-27.782750049478622</v>
      </c>
      <c r="E140" s="11">
        <f>A140-'Mastercurve bestimmen'!$B$2</f>
        <v>-75</v>
      </c>
      <c r="F140" s="11">
        <f t="shared" si="10"/>
        <v>-27.782750049478622</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-27.522670968510077</v>
      </c>
      <c r="E141" s="11">
        <f>A141-'Mastercurve bestimmen'!$B$2</f>
        <v>-74</v>
      </c>
      <c r="F141" s="11">
        <f t="shared" si="10"/>
        <v>-27.522670968510077</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-27.256892416567808</v>
      </c>
      <c r="E142" s="11">
        <f>A142-'Mastercurve bestimmen'!$B$2</f>
        <v>-73</v>
      </c>
      <c r="F142" s="11">
        <f t="shared" si="10"/>
        <v>-27.256892416567808</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-26.985536026166635</v>
      </c>
      <c r="E143" s="11">
        <f>A143-'Mastercurve bestimmen'!$B$2</f>
        <v>-72</v>
      </c>
      <c r="F143" s="11">
        <f t="shared" si="10"/>
        <v>-26.985536026166635</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-26.708723429821358</v>
      </c>
      <c r="E144" s="11">
        <f>A144-'Mastercurve bestimmen'!$B$2</f>
        <v>-71</v>
      </c>
      <c r="F144" s="11">
        <f t="shared" ref="F144:F207" si="15">B144</f>
        <v>-26.708723429821358</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-26.426576260046801</v>
      </c>
      <c r="E145" s="11">
        <f>A145-'Mastercurve bestimmen'!$B$2</f>
        <v>-70</v>
      </c>
      <c r="F145" s="11">
        <f t="shared" si="15"/>
        <v>-26.426576260046801</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-26.139216149357768</v>
      </c>
      <c r="E146" s="11">
        <f>A146-'Mastercurve bestimmen'!$B$2</f>
        <v>-69</v>
      </c>
      <c r="F146" s="11">
        <f t="shared" si="15"/>
        <v>-26.139216149357768</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-25.846764730269079</v>
      </c>
      <c r="E147" s="11">
        <f>A147-'Mastercurve bestimmen'!$B$2</f>
        <v>-68</v>
      </c>
      <c r="F147" s="11">
        <f t="shared" si="15"/>
        <v>-25.846764730269079</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-25.549343635295546</v>
      </c>
      <c r="E148" s="11">
        <f>A148-'Mastercurve bestimmen'!$B$2</f>
        <v>-67</v>
      </c>
      <c r="F148" s="11">
        <f t="shared" si="15"/>
        <v>-25.549343635295546</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-25.247074496951974</v>
      </c>
      <c r="E149" s="11">
        <f>A149-'Mastercurve bestimmen'!$B$2</f>
        <v>-66</v>
      </c>
      <c r="F149" s="11">
        <f t="shared" si="15"/>
        <v>-25.247074496951974</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-24.940078947753186</v>
      </c>
      <c r="E150" s="11">
        <f>A150-'Mastercurve bestimmen'!$B$2</f>
        <v>-65</v>
      </c>
      <c r="F150" s="11">
        <f t="shared" si="15"/>
        <v>-24.940078947753186</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-24.62847862021399</v>
      </c>
      <c r="E151" s="11">
        <f>A151-'Mastercurve bestimmen'!$B$2</f>
        <v>-64</v>
      </c>
      <c r="F151" s="11">
        <f t="shared" si="15"/>
        <v>-24.62847862021399</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-24.312395146849198</v>
      </c>
      <c r="E152" s="11">
        <f>A152-'Mastercurve bestimmen'!$B$2</f>
        <v>-63</v>
      </c>
      <c r="F152" s="11">
        <f t="shared" si="15"/>
        <v>-24.312395146849198</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-23.991950160173623</v>
      </c>
      <c r="E153" s="11">
        <f>A153-'Mastercurve bestimmen'!$B$2</f>
        <v>-62</v>
      </c>
      <c r="F153" s="11">
        <f t="shared" si="15"/>
        <v>-23.991950160173623</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-23.667265292702083</v>
      </c>
      <c r="E154" s="11">
        <f>A154-'Mastercurve bestimmen'!$B$2</f>
        <v>-61</v>
      </c>
      <c r="F154" s="11">
        <f t="shared" si="15"/>
        <v>-23.667265292702083</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-23.338462176949385</v>
      </c>
      <c r="E155" s="11">
        <f>A155-'Mastercurve bestimmen'!$B$2</f>
        <v>-60</v>
      </c>
      <c r="F155" s="11">
        <f t="shared" si="15"/>
        <v>-23.338462176949385</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-23.005662445430346</v>
      </c>
      <c r="E156" s="11">
        <f>A156-'Mastercurve bestimmen'!$B$2</f>
        <v>-59</v>
      </c>
      <c r="F156" s="11">
        <f t="shared" si="15"/>
        <v>-23.005662445430346</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-22.668987730659776</v>
      </c>
      <c r="E157" s="11">
        <f>A157-'Mastercurve bestimmen'!$B$2</f>
        <v>-58</v>
      </c>
      <c r="F157" s="11">
        <f t="shared" si="15"/>
        <v>-22.668987730659776</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-22.32855966515249</v>
      </c>
      <c r="E158" s="11">
        <f>A158-'Mastercurve bestimmen'!$B$2</f>
        <v>-57</v>
      </c>
      <c r="F158" s="11">
        <f t="shared" si="15"/>
        <v>-22.32855966515249</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-21.984499881423297</v>
      </c>
      <c r="E159" s="11">
        <f>A159-'Mastercurve bestimmen'!$B$2</f>
        <v>-56</v>
      </c>
      <c r="F159" s="11">
        <f t="shared" si="15"/>
        <v>-21.984499881423297</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-21.636930011987015</v>
      </c>
      <c r="E160" s="11">
        <f>A160-'Mastercurve bestimmen'!$B$2</f>
        <v>-55</v>
      </c>
      <c r="F160" s="11">
        <f t="shared" si="15"/>
        <v>-21.636930011987015</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-21.285971689358455</v>
      </c>
      <c r="E161" s="11">
        <f>A161-'Mastercurve bestimmen'!$B$2</f>
        <v>-54</v>
      </c>
      <c r="F161" s="11">
        <f t="shared" si="15"/>
        <v>-21.285971689358455</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-20.931746546052427</v>
      </c>
      <c r="E162" s="11">
        <f>A162-'Mastercurve bestimmen'!$B$2</f>
        <v>-53</v>
      </c>
      <c r="F162" s="11">
        <f t="shared" si="15"/>
        <v>-20.931746546052427</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-20.574376214583751</v>
      </c>
      <c r="E163" s="11">
        <f>A163-'Mastercurve bestimmen'!$B$2</f>
        <v>-52</v>
      </c>
      <c r="F163" s="11">
        <f t="shared" si="15"/>
        <v>-20.574376214583751</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-20.213982327467232</v>
      </c>
      <c r="E164" s="11">
        <f>A164-'Mastercurve bestimmen'!$B$2</f>
        <v>-51</v>
      </c>
      <c r="F164" s="11">
        <f t="shared" si="15"/>
        <v>-20.213982327467232</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-19.850686517217689</v>
      </c>
      <c r="E165" s="11">
        <f>A165-'Mastercurve bestimmen'!$B$2</f>
        <v>-50</v>
      </c>
      <c r="F165" s="11">
        <f t="shared" si="15"/>
        <v>-19.850686517217689</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-19.484610416349927</v>
      </c>
      <c r="E166" s="11">
        <f>A166-'Mastercurve bestimmen'!$B$2</f>
        <v>-49</v>
      </c>
      <c r="F166" s="11">
        <f t="shared" si="15"/>
        <v>-19.484610416349927</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-19.115875657378766</v>
      </c>
      <c r="E167" s="11">
        <f>A167-'Mastercurve bestimmen'!$B$2</f>
        <v>-48</v>
      </c>
      <c r="F167" s="11">
        <f t="shared" si="15"/>
        <v>-19.115875657378766</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-18.74460387281902</v>
      </c>
      <c r="E168" s="11">
        <f>A168-'Mastercurve bestimmen'!$B$2</f>
        <v>-47</v>
      </c>
      <c r="F168" s="11">
        <f t="shared" si="15"/>
        <v>-18.74460387281902</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-18.370916695185493</v>
      </c>
      <c r="E169" s="11">
        <f>A169-'Mastercurve bestimmen'!$B$2</f>
        <v>-46</v>
      </c>
      <c r="F169" s="11">
        <f t="shared" si="15"/>
        <v>-18.370916695185493</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-17.994935756993009</v>
      </c>
      <c r="E170" s="11">
        <f>A170-'Mastercurve bestimmen'!$B$2</f>
        <v>-45</v>
      </c>
      <c r="F170" s="11">
        <f t="shared" si="15"/>
        <v>-17.994935756993009</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-17.616782690756374</v>
      </c>
      <c r="E171" s="11">
        <f>A171-'Mastercurve bestimmen'!$B$2</f>
        <v>-44</v>
      </c>
      <c r="F171" s="11">
        <f t="shared" si="15"/>
        <v>-17.616782690756374</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-17.236579128990403</v>
      </c>
      <c r="E172" s="11">
        <f>A172-'Mastercurve bestimmen'!$B$2</f>
        <v>-43</v>
      </c>
      <c r="F172" s="11">
        <f t="shared" si="15"/>
        <v>-17.236579128990403</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-16.854446704209906</v>
      </c>
      <c r="E173" s="11">
        <f>A173-'Mastercurve bestimmen'!$B$2</f>
        <v>-42</v>
      </c>
      <c r="F173" s="11">
        <f t="shared" si="15"/>
        <v>-16.854446704209906</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-16.470507048929701</v>
      </c>
      <c r="E174" s="11">
        <f>A174-'Mastercurve bestimmen'!$B$2</f>
        <v>-41</v>
      </c>
      <c r="F174" s="11">
        <f t="shared" si="15"/>
        <v>-16.470507048929701</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-16.084881795664597</v>
      </c>
      <c r="E175" s="11">
        <f>A175-'Mastercurve bestimmen'!$B$2</f>
        <v>-40</v>
      </c>
      <c r="F175" s="11">
        <f t="shared" si="15"/>
        <v>-16.084881795664597</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-15.697692576929409</v>
      </c>
      <c r="E176" s="11">
        <f>A176-'Mastercurve bestimmen'!$B$2</f>
        <v>-39</v>
      </c>
      <c r="F176" s="11">
        <f t="shared" si="15"/>
        <v>-15.697692576929409</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-15.309061025238949</v>
      </c>
      <c r="E177" s="11">
        <f>A177-'Mastercurve bestimmen'!$B$2</f>
        <v>-38</v>
      </c>
      <c r="F177" s="11">
        <f t="shared" si="15"/>
        <v>-15.309061025238949</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-14.919108773108029</v>
      </c>
      <c r="E178" s="11">
        <f>A178-'Mastercurve bestimmen'!$B$2</f>
        <v>-37</v>
      </c>
      <c r="F178" s="11">
        <f t="shared" si="15"/>
        <v>-14.919108773108029</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-14.527957453051464</v>
      </c>
      <c r="E179" s="11">
        <f>A179-'Mastercurve bestimmen'!$B$2</f>
        <v>-36</v>
      </c>
      <c r="F179" s="11">
        <f t="shared" si="15"/>
        <v>-14.527957453051464</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-14.135728697584064</v>
      </c>
      <c r="E180" s="11">
        <f>A180-'Mastercurve bestimmen'!$B$2</f>
        <v>-35</v>
      </c>
      <c r="F180" s="11">
        <f t="shared" si="15"/>
        <v>-14.135728697584064</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-13.742528418577203</v>
      </c>
      <c r="E181" s="11">
        <f>A181-'Mastercurve bestimmen'!$B$2</f>
        <v>-34</v>
      </c>
      <c r="F181" s="11">
        <f t="shared" si="15"/>
        <v>-13.742528418577203</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-13.348399645328495</v>
      </c>
      <c r="E182" s="11">
        <f>A182-'Mastercurve bestimmen'!$B$2</f>
        <v>-33</v>
      </c>
      <c r="F182" s="11">
        <f t="shared" si="15"/>
        <v>-13.348399645328495</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-12.953369686492112</v>
      </c>
      <c r="E183" s="11">
        <f>A183-'Mastercurve bestimmen'!$B$2</f>
        <v>-32</v>
      </c>
      <c r="F183" s="11">
        <f t="shared" si="15"/>
        <v>-12.953369686492112</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-12.557465850722222</v>
      </c>
      <c r="E184" s="11">
        <f>A184-'Mastercurve bestimmen'!$B$2</f>
        <v>-31</v>
      </c>
      <c r="F184" s="11">
        <f t="shared" si="15"/>
        <v>-12.557465850722222</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-12.160715446673002</v>
      </c>
      <c r="E185" s="11">
        <f>A185-'Mastercurve bestimmen'!$B$2</f>
        <v>-30</v>
      </c>
      <c r="F185" s="11">
        <f t="shared" si="15"/>
        <v>-12.160715446673002</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-11.76314578299862</v>
      </c>
      <c r="E186" s="11">
        <f>A186-'Mastercurve bestimmen'!$B$2</f>
        <v>-29</v>
      </c>
      <c r="F186" s="11">
        <f t="shared" si="15"/>
        <v>-11.76314578299862</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-11.364784168353252</v>
      </c>
      <c r="E187" s="11">
        <f>A187-'Mastercurve bestimmen'!$B$2</f>
        <v>-28</v>
      </c>
      <c r="F187" s="11">
        <f t="shared" si="15"/>
        <v>-11.364784168353252</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-10.965657911391064</v>
      </c>
      <c r="E188" s="11">
        <f>A188-'Mastercurve bestimmen'!$B$2</f>
        <v>-27</v>
      </c>
      <c r="F188" s="11">
        <f t="shared" si="15"/>
        <v>-10.965657911391064</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-10.565794320766235</v>
      </c>
      <c r="E189" s="11">
        <f>A189-'Mastercurve bestimmen'!$B$2</f>
        <v>-26</v>
      </c>
      <c r="F189" s="11">
        <f t="shared" si="15"/>
        <v>-10.565794320766235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-10.165220705132931</v>
      </c>
      <c r="E190" s="11">
        <f>A190-'Mastercurve bestimmen'!$B$2</f>
        <v>-25</v>
      </c>
      <c r="F190" s="11">
        <f t="shared" si="15"/>
        <v>-10.165220705132931</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-9.7639643731453294</v>
      </c>
      <c r="E191" s="11">
        <f>A191-'Mastercurve bestimmen'!$B$2</f>
        <v>-24</v>
      </c>
      <c r="F191" s="11">
        <f t="shared" si="15"/>
        <v>-9.7639643731453294</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-9.362052633457596</v>
      </c>
      <c r="E192" s="11">
        <f>A192-'Mastercurve bestimmen'!$B$2</f>
        <v>-23</v>
      </c>
      <c r="F192" s="11">
        <f t="shared" si="15"/>
        <v>-9.362052633457596</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-8.9595127947239082</v>
      </c>
      <c r="E193" s="11">
        <f>A193-'Mastercurve bestimmen'!$B$2</f>
        <v>-22</v>
      </c>
      <c r="F193" s="11">
        <f t="shared" si="15"/>
        <v>-8.9595127947239082</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-8.5563721655984359</v>
      </c>
      <c r="E194" s="11">
        <f>A194-'Mastercurve bestimmen'!$B$2</f>
        <v>-21</v>
      </c>
      <c r="F194" s="11">
        <f t="shared" si="15"/>
        <v>-8.5563721655984359</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-8.1526580547353529</v>
      </c>
      <c r="E195" s="11">
        <f>A195-'Mastercurve bestimmen'!$B$2</f>
        <v>-20</v>
      </c>
      <c r="F195" s="11">
        <f t="shared" si="15"/>
        <v>-8.1526580547353529</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-7.748397770788829</v>
      </c>
      <c r="E196" s="11">
        <f>A196-'Mastercurve bestimmen'!$B$2</f>
        <v>-19</v>
      </c>
      <c r="F196" s="11">
        <f t="shared" si="15"/>
        <v>-7.748397770788829</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-7.343618622413036</v>
      </c>
      <c r="E197" s="11">
        <f>A197-'Mastercurve bestimmen'!$B$2</f>
        <v>-18</v>
      </c>
      <c r="F197" s="11">
        <f t="shared" si="15"/>
        <v>-7.343618622413036</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-6.9383479182621475</v>
      </c>
      <c r="E198" s="11">
        <f>A198-'Mastercurve bestimmen'!$B$2</f>
        <v>-17</v>
      </c>
      <c r="F198" s="11">
        <f t="shared" si="15"/>
        <v>-6.9383479182621475</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-6.5326129669903352</v>
      </c>
      <c r="E199" s="11">
        <f>A199-'Mastercurve bestimmen'!$B$2</f>
        <v>-16</v>
      </c>
      <c r="F199" s="11">
        <f t="shared" si="15"/>
        <v>-6.5326129669903352</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-6.1264410772517701</v>
      </c>
      <c r="E200" s="11">
        <f>A200-'Mastercurve bestimmen'!$B$2</f>
        <v>-15</v>
      </c>
      <c r="F200" s="11">
        <f t="shared" si="15"/>
        <v>-6.1264410772517701</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-5.7198595577006248</v>
      </c>
      <c r="E201" s="11">
        <f>A201-'Mastercurve bestimmen'!$B$2</f>
        <v>-14</v>
      </c>
      <c r="F201" s="11">
        <f t="shared" si="15"/>
        <v>-5.7198595577006248</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-5.312895716991072</v>
      </c>
      <c r="E202" s="11">
        <f>A202-'Mastercurve bestimmen'!$B$2</f>
        <v>-13</v>
      </c>
      <c r="F202" s="11">
        <f t="shared" si="15"/>
        <v>-5.312895716991072</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-4.9055768637772825</v>
      </c>
      <c r="E203" s="11">
        <f>A203-'Mastercurve bestimmen'!$B$2</f>
        <v>-12</v>
      </c>
      <c r="F203" s="11">
        <f t="shared" si="15"/>
        <v>-4.9055768637772825</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-4.4979303067134282</v>
      </c>
      <c r="E204" s="11">
        <f>A204-'Mastercurve bestimmen'!$B$2</f>
        <v>-11</v>
      </c>
      <c r="F204" s="11">
        <f t="shared" si="15"/>
        <v>-4.4979303067134282</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-4.0899833544536817</v>
      </c>
      <c r="E205" s="11">
        <f>A205-'Mastercurve bestimmen'!$B$2</f>
        <v>-10</v>
      </c>
      <c r="F205" s="11">
        <f t="shared" si="15"/>
        <v>-4.0899833544536817</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-3.6817633156522165</v>
      </c>
      <c r="E206" s="11">
        <f>A206-'Mastercurve bestimmen'!$B$2</f>
        <v>-9</v>
      </c>
      <c r="F206" s="11">
        <f t="shared" si="15"/>
        <v>-3.6817633156522165</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-3.2732974989632022</v>
      </c>
      <c r="E207" s="11">
        <f>A207-'Mastercurve bestimmen'!$B$2</f>
        <v>-8</v>
      </c>
      <c r="F207" s="11">
        <f t="shared" si="15"/>
        <v>-3.2732974989632022</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-2.8646132130408124</v>
      </c>
      <c r="E208" s="11">
        <f>A208-'Mastercurve bestimmen'!$B$2</f>
        <v>-7</v>
      </c>
      <c r="F208" s="11">
        <f t="shared" ref="F208:F215" si="21">B208</f>
        <v>-2.8646132130408124</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-2.4557377665392184</v>
      </c>
      <c r="E209" s="11">
        <f>A209-'Mastercurve bestimmen'!$B$2</f>
        <v>-6</v>
      </c>
      <c r="F209" s="11">
        <f t="shared" si="21"/>
        <v>-2.4557377665392184</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-2.0466984681125919</v>
      </c>
      <c r="E210" s="11">
        <f>A210-'Mastercurve bestimmen'!$B$2</f>
        <v>-5</v>
      </c>
      <c r="F210" s="11">
        <f t="shared" si="21"/>
        <v>-2.0466984681125919</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-1.6375226264151055</v>
      </c>
      <c r="E211" s="11">
        <f>A211-'Mastercurve bestimmen'!$B$2</f>
        <v>-4</v>
      </c>
      <c r="F211" s="11">
        <f t="shared" si="21"/>
        <v>-1.6375226264151055</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-1.2282375501009313</v>
      </c>
      <c r="E212" s="11">
        <f>A212-'Mastercurve bestimmen'!$B$2</f>
        <v>-3</v>
      </c>
      <c r="F212" s="11">
        <f t="shared" si="21"/>
        <v>-1.2282375501009313</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-0.81887054782424085</v>
      </c>
      <c r="E213" s="11">
        <f>A213-'Mastercurve bestimmen'!$B$2</f>
        <v>-2</v>
      </c>
      <c r="F213" s="11">
        <f t="shared" si="21"/>
        <v>-0.81887054782424085</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-0.40944892823920642</v>
      </c>
      <c r="E214" s="11">
        <f>A214-'Mastercurve bestimmen'!$B$2</f>
        <v>-1</v>
      </c>
      <c r="F214" s="11">
        <f t="shared" si="21"/>
        <v>-0.40944892823920642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0.51083501193027681</v>
      </c>
      <c r="J217" s="98">
        <v>1.3565666233303445E-2</v>
      </c>
      <c r="K217" s="98">
        <v>6.1379704894991326E-4</v>
      </c>
      <c r="L217" s="98">
        <v>1.3079342111006026E-5</v>
      </c>
      <c r="M217" s="98">
        <v>1.4342110879878539E-7</v>
      </c>
      <c r="N217" s="98">
        <v>8.5069441345277894E-10</v>
      </c>
      <c r="O217" s="98">
        <v>2.6044159266875563E-12</v>
      </c>
      <c r="P217" s="98">
        <v>3.2313260052019152E-15</v>
      </c>
    </row>
    <row r="218" spans="1:16" x14ac:dyDescent="0.25">
      <c r="G218" s="11"/>
      <c r="H218" s="11">
        <v>0</v>
      </c>
      <c r="I218" s="11">
        <v>1.4403989512632134E-2</v>
      </c>
      <c r="J218" s="11">
        <v>1.4285041593430907E-3</v>
      </c>
      <c r="K218" s="3">
        <v>5.420154820618553E-5</v>
      </c>
      <c r="L218" s="3">
        <v>1.0332643030693732E-6</v>
      </c>
      <c r="M218" s="3">
        <v>1.0878304237705476E-8</v>
      </c>
      <c r="N218" s="3">
        <v>6.4176588394821462E-11</v>
      </c>
      <c r="O218" s="11">
        <v>1.9868080735383618E-13</v>
      </c>
      <c r="P218" s="11">
        <v>2.5120493651528837E-16</v>
      </c>
    </row>
    <row r="219" spans="1:16" x14ac:dyDescent="0.25">
      <c r="G219" s="11"/>
      <c r="H219" s="11">
        <v>0.99997044237859833</v>
      </c>
      <c r="I219" s="11">
        <v>0.19670040672414324</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-57.611009960872252</v>
      </c>
      <c r="G222">
        <f>F15</f>
        <v>-57.849695376367158</v>
      </c>
    </row>
    <row r="223" spans="1:16" x14ac:dyDescent="0.25">
      <c r="E223" s="11">
        <f t="shared" ref="E223:E286" si="25">E16</f>
        <v>-199</v>
      </c>
      <c r="F223" s="11">
        <f t="shared" ref="F223:F286" si="26">$H$217*0+E223*$I$217+E223^2*$J$217+E223^3*$K$217+E223^4*$L$217+E223^5*$M$217+E223^6*$N$217+E223^7*$O$217+E223^8*$P$217</f>
        <v>-57.468064198694265</v>
      </c>
      <c r="G223" s="11">
        <f t="shared" ref="G223:G286" si="27">F16</f>
        <v>-57.580514650528961</v>
      </c>
    </row>
    <row r="224" spans="1:16" x14ac:dyDescent="0.25">
      <c r="E224" s="11">
        <f t="shared" si="25"/>
        <v>-198</v>
      </c>
      <c r="F224" s="11">
        <f t="shared" si="26"/>
        <v>-57.296510632239915</v>
      </c>
      <c r="G224" s="11">
        <f t="shared" si="27"/>
        <v>-57.311242747503123</v>
      </c>
    </row>
    <row r="225" spans="5:7" x14ac:dyDescent="0.25">
      <c r="E225" s="11">
        <f t="shared" si="25"/>
        <v>-197</v>
      </c>
      <c r="F225" s="11">
        <f t="shared" si="26"/>
        <v>-57.09981298862931</v>
      </c>
      <c r="G225" s="11">
        <f t="shared" si="27"/>
        <v>-57.041788490101979</v>
      </c>
    </row>
    <row r="226" spans="5:7" x14ac:dyDescent="0.25">
      <c r="E226" s="11">
        <f t="shared" si="25"/>
        <v>-196</v>
      </c>
      <c r="F226" s="11">
        <f t="shared" si="26"/>
        <v>-56.881160765999994</v>
      </c>
      <c r="G226" s="11">
        <f t="shared" si="27"/>
        <v>-56.772060701137889</v>
      </c>
    </row>
    <row r="227" spans="5:7" x14ac:dyDescent="0.25">
      <c r="E227" s="11">
        <f t="shared" si="25"/>
        <v>-195</v>
      </c>
      <c r="F227" s="11">
        <f t="shared" si="26"/>
        <v>-56.64348427414825</v>
      </c>
      <c r="G227" s="11">
        <f t="shared" si="27"/>
        <v>-56.501968203423203</v>
      </c>
    </row>
    <row r="228" spans="5:7" x14ac:dyDescent="0.25">
      <c r="E228" s="11">
        <f t="shared" si="25"/>
        <v>-194</v>
      </c>
      <c r="F228" s="11">
        <f t="shared" si="26"/>
        <v>-56.389469120380454</v>
      </c>
      <c r="G228" s="11">
        <f t="shared" si="27"/>
        <v>-56.231419819770267</v>
      </c>
    </row>
    <row r="229" spans="5:7" x14ac:dyDescent="0.25">
      <c r="E229" s="11">
        <f t="shared" si="25"/>
        <v>-193</v>
      </c>
      <c r="F229" s="11">
        <f t="shared" si="26"/>
        <v>-56.121570153007269</v>
      </c>
      <c r="G229" s="11">
        <f t="shared" si="27"/>
        <v>-55.960324372991437</v>
      </c>
    </row>
    <row r="230" spans="5:7" x14ac:dyDescent="0.25">
      <c r="E230" s="11">
        <f t="shared" si="25"/>
        <v>-192</v>
      </c>
      <c r="F230" s="11">
        <f t="shared" si="26"/>
        <v>-55.84202487479979</v>
      </c>
      <c r="G230" s="11">
        <f t="shared" si="27"/>
        <v>-55.688590685899051</v>
      </c>
    </row>
    <row r="231" spans="5:7" x14ac:dyDescent="0.25">
      <c r="E231" s="11">
        <f t="shared" si="25"/>
        <v>-191</v>
      </c>
      <c r="F231" s="11">
        <f t="shared" si="26"/>
        <v>-55.552866338737658</v>
      </c>
      <c r="G231" s="11">
        <f t="shared" si="27"/>
        <v>-55.416127581305474</v>
      </c>
    </row>
    <row r="232" spans="5:7" x14ac:dyDescent="0.25">
      <c r="E232" s="11">
        <f t="shared" si="25"/>
        <v>-190</v>
      </c>
      <c r="F232" s="11">
        <f t="shared" si="26"/>
        <v>-55.255935538004451</v>
      </c>
      <c r="G232" s="11">
        <f t="shared" si="27"/>
        <v>-55.142843882023058</v>
      </c>
    </row>
    <row r="233" spans="5:7" x14ac:dyDescent="0.25">
      <c r="E233" s="11">
        <f t="shared" si="25"/>
        <v>-189</v>
      </c>
      <c r="F233" s="11">
        <f t="shared" si="26"/>
        <v>-54.952893302286611</v>
      </c>
      <c r="G233" s="11">
        <f t="shared" si="27"/>
        <v>-54.868648410864139</v>
      </c>
    </row>
    <row r="234" spans="5:7" x14ac:dyDescent="0.25">
      <c r="E234" s="11">
        <f t="shared" si="25"/>
        <v>-188</v>
      </c>
      <c r="F234" s="11">
        <f t="shared" si="26"/>
        <v>-54.645231712108398</v>
      </c>
      <c r="G234" s="11">
        <f t="shared" si="27"/>
        <v>-54.593449990641084</v>
      </c>
    </row>
    <row r="235" spans="5:7" x14ac:dyDescent="0.25">
      <c r="E235" s="11">
        <f t="shared" si="25"/>
        <v>-187</v>
      </c>
      <c r="F235" s="11">
        <f t="shared" si="26"/>
        <v>-54.334285042957163</v>
      </c>
      <c r="G235" s="11">
        <f t="shared" si="27"/>
        <v>-54.317157444166227</v>
      </c>
    </row>
    <row r="236" spans="5:7" x14ac:dyDescent="0.25">
      <c r="E236" s="11">
        <f t="shared" si="25"/>
        <v>-186</v>
      </c>
      <c r="F236" s="11">
        <f t="shared" si="26"/>
        <v>-54.021240250756819</v>
      </c>
      <c r="G236" s="11">
        <f t="shared" si="27"/>
        <v>-54.039679594251922</v>
      </c>
    </row>
    <row r="237" spans="5:7" x14ac:dyDescent="0.25">
      <c r="E237" s="11">
        <f t="shared" si="25"/>
        <v>-185</v>
      </c>
      <c r="F237" s="11">
        <f t="shared" si="26"/>
        <v>-53.707147010111839</v>
      </c>
      <c r="G237" s="11">
        <f t="shared" si="27"/>
        <v>-53.76092526371054</v>
      </c>
    </row>
    <row r="238" spans="5:7" x14ac:dyDescent="0.25">
      <c r="E238" s="11">
        <f t="shared" si="25"/>
        <v>-184</v>
      </c>
      <c r="F238" s="11">
        <f t="shared" si="26"/>
        <v>-53.392927316631358</v>
      </c>
      <c r="G238" s="11">
        <f t="shared" si="27"/>
        <v>-53.480803275354397</v>
      </c>
    </row>
    <row r="239" spans="5:7" x14ac:dyDescent="0.25">
      <c r="E239" s="11">
        <f t="shared" si="25"/>
        <v>-183</v>
      </c>
      <c r="F239" s="11">
        <f t="shared" si="26"/>
        <v>-53.079384664453301</v>
      </c>
      <c r="G239" s="11">
        <f t="shared" si="27"/>
        <v>-53.199222451995873</v>
      </c>
    </row>
    <row r="240" spans="5:7" x14ac:dyDescent="0.25">
      <c r="E240" s="11">
        <f t="shared" si="25"/>
        <v>-182</v>
      </c>
      <c r="F240" s="11">
        <f t="shared" si="26"/>
        <v>-52.767212810104866</v>
      </c>
      <c r="G240" s="11">
        <f t="shared" si="27"/>
        <v>-52.916091616447304</v>
      </c>
    </row>
    <row r="241" spans="5:7" x14ac:dyDescent="0.25">
      <c r="E241" s="11">
        <f t="shared" si="25"/>
        <v>-181</v>
      </c>
      <c r="F241" s="11">
        <f t="shared" si="26"/>
        <v>-52.457004133555984</v>
      </c>
      <c r="G241" s="11">
        <f t="shared" si="27"/>
        <v>-52.631319591521049</v>
      </c>
    </row>
    <row r="242" spans="5:7" x14ac:dyDescent="0.25">
      <c r="E242" s="11">
        <f t="shared" si="25"/>
        <v>-180</v>
      </c>
      <c r="F242" s="11">
        <f t="shared" si="26"/>
        <v>-52.149257607214167</v>
      </c>
      <c r="G242" s="11">
        <f t="shared" si="27"/>
        <v>-52.344815200029444</v>
      </c>
    </row>
    <row r="243" spans="5:7" x14ac:dyDescent="0.25">
      <c r="E243" s="11">
        <f t="shared" si="25"/>
        <v>-179</v>
      </c>
      <c r="F243" s="11">
        <f t="shared" si="26"/>
        <v>-51.844386383620986</v>
      </c>
      <c r="G243" s="11">
        <f t="shared" si="27"/>
        <v>-52.056487264784856</v>
      </c>
    </row>
    <row r="244" spans="5:7" x14ac:dyDescent="0.25">
      <c r="E244" s="11">
        <f t="shared" si="25"/>
        <v>-178</v>
      </c>
      <c r="F244" s="11">
        <f t="shared" si="26"/>
        <v>-51.542725012231131</v>
      </c>
      <c r="G244" s="11">
        <f t="shared" si="27"/>
        <v>-51.766244608599621</v>
      </c>
    </row>
    <row r="245" spans="5:7" x14ac:dyDescent="0.25">
      <c r="E245" s="11">
        <f t="shared" si="25"/>
        <v>-177</v>
      </c>
      <c r="F245" s="11">
        <f t="shared" si="26"/>
        <v>-51.244536295772832</v>
      </c>
      <c r="G245" s="11">
        <f t="shared" si="27"/>
        <v>-51.473996054286104</v>
      </c>
    </row>
    <row r="246" spans="5:7" x14ac:dyDescent="0.25">
      <c r="E246" s="11">
        <f t="shared" si="25"/>
        <v>-176</v>
      </c>
      <c r="F246" s="11">
        <f t="shared" si="26"/>
        <v>-50.95001779639324</v>
      </c>
      <c r="G246" s="11">
        <f t="shared" si="27"/>
        <v>-51.17965042465665</v>
      </c>
    </row>
    <row r="247" spans="5:7" x14ac:dyDescent="0.25">
      <c r="E247" s="11">
        <f t="shared" si="25"/>
        <v>-175</v>
      </c>
      <c r="F247" s="11">
        <f t="shared" si="26"/>
        <v>-50.659308001765567</v>
      </c>
      <c r="G247" s="11">
        <f t="shared" si="27"/>
        <v>-50.883116542523609</v>
      </c>
    </row>
    <row r="248" spans="5:7" x14ac:dyDescent="0.25">
      <c r="E248" s="11">
        <f t="shared" si="25"/>
        <v>-174</v>
      </c>
      <c r="F248" s="11">
        <f t="shared" si="26"/>
        <v>-50.372492161096034</v>
      </c>
      <c r="G248" s="11">
        <f t="shared" si="27"/>
        <v>-50.584303230699319</v>
      </c>
    </row>
    <row r="249" spans="5:7" x14ac:dyDescent="0.25">
      <c r="E249" s="11">
        <f t="shared" si="25"/>
        <v>-173</v>
      </c>
      <c r="F249" s="11">
        <f t="shared" si="26"/>
        <v>-50.089607800954582</v>
      </c>
      <c r="G249" s="11">
        <f t="shared" si="27"/>
        <v>-50.283119311996145</v>
      </c>
    </row>
    <row r="250" spans="5:7" x14ac:dyDescent="0.25">
      <c r="E250" s="11">
        <f t="shared" si="25"/>
        <v>-172</v>
      </c>
      <c r="F250" s="11">
        <f t="shared" si="26"/>
        <v>-49.810649930628642</v>
      </c>
      <c r="G250" s="11">
        <f t="shared" si="27"/>
        <v>-49.979473609226446</v>
      </c>
    </row>
    <row r="251" spans="5:7" x14ac:dyDescent="0.25">
      <c r="E251" s="11">
        <f t="shared" si="25"/>
        <v>-171</v>
      </c>
      <c r="F251" s="11">
        <f t="shared" si="26"/>
        <v>-49.535575946650624</v>
      </c>
      <c r="G251" s="11">
        <f t="shared" si="27"/>
        <v>-49.67327494520255</v>
      </c>
    </row>
    <row r="252" spans="5:7" x14ac:dyDescent="0.25">
      <c r="E252" s="11">
        <f t="shared" si="25"/>
        <v>-170</v>
      </c>
      <c r="F252" s="11">
        <f t="shared" si="26"/>
        <v>-49.264310245948764</v>
      </c>
      <c r="G252" s="11">
        <f t="shared" si="27"/>
        <v>-49.364432142736817</v>
      </c>
    </row>
    <row r="253" spans="5:7" x14ac:dyDescent="0.25">
      <c r="E253" s="11">
        <f t="shared" si="25"/>
        <v>-169</v>
      </c>
      <c r="F253" s="11">
        <f t="shared" si="26"/>
        <v>-48.996748556945477</v>
      </c>
      <c r="G253" s="11">
        <f t="shared" si="27"/>
        <v>-49.052854024641604</v>
      </c>
    </row>
    <row r="254" spans="5:7" x14ac:dyDescent="0.25">
      <c r="E254" s="11">
        <f t="shared" si="25"/>
        <v>-168</v>
      </c>
      <c r="F254" s="11">
        <f t="shared" si="26"/>
        <v>-48.732761997906891</v>
      </c>
      <c r="G254" s="11">
        <f t="shared" si="27"/>
        <v>-48.738449413729256</v>
      </c>
    </row>
    <row r="255" spans="5:7" x14ac:dyDescent="0.25">
      <c r="E255" s="11">
        <f t="shared" si="25"/>
        <v>-167</v>
      </c>
      <c r="F255" s="11">
        <f t="shared" si="26"/>
        <v>-48.472200871509358</v>
      </c>
      <c r="G255" s="11">
        <f t="shared" si="27"/>
        <v>-48.421127132812124</v>
      </c>
    </row>
    <row r="256" spans="5:7" x14ac:dyDescent="0.25">
      <c r="E256" s="11">
        <f t="shared" si="25"/>
        <v>-166</v>
      </c>
      <c r="F256" s="11">
        <f t="shared" si="26"/>
        <v>-48.214898204711062</v>
      </c>
      <c r="G256" s="11">
        <f t="shared" si="27"/>
        <v>-48.100796004702559</v>
      </c>
    </row>
    <row r="257" spans="5:7" x14ac:dyDescent="0.25">
      <c r="E257" s="11">
        <f t="shared" si="25"/>
        <v>-165</v>
      </c>
      <c r="F257" s="11">
        <f t="shared" si="26"/>
        <v>-47.960673042629423</v>
      </c>
      <c r="G257" s="11">
        <f t="shared" si="27"/>
        <v>-47.777364852212905</v>
      </c>
    </row>
    <row r="258" spans="5:7" x14ac:dyDescent="0.25">
      <c r="E258" s="11">
        <f t="shared" si="25"/>
        <v>-164</v>
      </c>
      <c r="F258" s="11">
        <f t="shared" si="26"/>
        <v>-47.709333505252289</v>
      </c>
      <c r="G258" s="11">
        <f t="shared" si="27"/>
        <v>-47.45074249815552</v>
      </c>
    </row>
    <row r="259" spans="5:7" x14ac:dyDescent="0.25">
      <c r="E259" s="11">
        <f t="shared" si="25"/>
        <v>-163</v>
      </c>
      <c r="F259" s="11">
        <f t="shared" si="26"/>
        <v>-47.460679615394383</v>
      </c>
      <c r="G259" s="11">
        <f t="shared" si="27"/>
        <v>-47.120837765342756</v>
      </c>
    </row>
    <row r="260" spans="5:7" x14ac:dyDescent="0.25">
      <c r="E260" s="11">
        <f t="shared" si="25"/>
        <v>-162</v>
      </c>
      <c r="F260" s="11">
        <f t="shared" si="26"/>
        <v>-47.214505906509203</v>
      </c>
      <c r="G260" s="11">
        <f t="shared" si="27"/>
        <v>-46.787559476586956</v>
      </c>
    </row>
    <row r="261" spans="5:7" x14ac:dyDescent="0.25">
      <c r="E261" s="11">
        <f t="shared" si="25"/>
        <v>-161</v>
      </c>
      <c r="F261" s="11">
        <f t="shared" si="26"/>
        <v>-46.970603818509744</v>
      </c>
      <c r="G261" s="11">
        <f t="shared" si="27"/>
        <v>-46.45081645470048</v>
      </c>
    </row>
    <row r="262" spans="5:7" x14ac:dyDescent="0.25">
      <c r="E262" s="11">
        <f t="shared" si="25"/>
        <v>-160</v>
      </c>
      <c r="F262" s="11">
        <f t="shared" si="26"/>
        <v>-46.72876388986424</v>
      </c>
      <c r="G262" s="11">
        <f t="shared" si="27"/>
        <v>-46.11051752249567</v>
      </c>
    </row>
    <row r="263" spans="5:7" x14ac:dyDescent="0.25">
      <c r="E263" s="11">
        <f t="shared" si="25"/>
        <v>-159</v>
      </c>
      <c r="F263" s="11">
        <f t="shared" si="26"/>
        <v>-46.48877775398978</v>
      </c>
      <c r="G263" s="11">
        <f t="shared" si="27"/>
        <v>-45.958610492032349</v>
      </c>
    </row>
    <row r="264" spans="5:7" x14ac:dyDescent="0.25">
      <c r="E264" s="11">
        <f t="shared" si="25"/>
        <v>-158</v>
      </c>
      <c r="F264" s="11">
        <f t="shared" si="26"/>
        <v>-46.250439947835048</v>
      </c>
      <c r="G264" s="11">
        <f t="shared" si="27"/>
        <v>-45.803038083991503</v>
      </c>
    </row>
    <row r="265" spans="5:7" x14ac:dyDescent="0.25">
      <c r="E265" s="11">
        <f t="shared" si="25"/>
        <v>-157</v>
      </c>
      <c r="F265" s="11">
        <f t="shared" si="26"/>
        <v>-46.013549540482472</v>
      </c>
      <c r="G265" s="11">
        <f t="shared" si="27"/>
        <v>-45.643782008301628</v>
      </c>
    </row>
    <row r="266" spans="5:7" x14ac:dyDescent="0.25">
      <c r="E266" s="11">
        <f t="shared" si="25"/>
        <v>-156</v>
      </c>
      <c r="F266" s="11">
        <f t="shared" si="26"/>
        <v>-45.777911589377027</v>
      </c>
      <c r="G266" s="11">
        <f t="shared" si="27"/>
        <v>-45.48082397489118</v>
      </c>
    </row>
    <row r="267" spans="5:7" x14ac:dyDescent="0.25">
      <c r="E267" s="11">
        <f t="shared" si="25"/>
        <v>-155</v>
      </c>
      <c r="F267" s="11">
        <f t="shared" si="26"/>
        <v>-45.54333843174004</v>
      </c>
      <c r="G267" s="11">
        <f t="shared" si="27"/>
        <v>-45.314145693688616</v>
      </c>
    </row>
    <row r="268" spans="5:7" x14ac:dyDescent="0.25">
      <c r="E268" s="11">
        <f t="shared" si="25"/>
        <v>-154</v>
      </c>
      <c r="F268" s="11">
        <f t="shared" si="26"/>
        <v>-45.309650818549017</v>
      </c>
      <c r="G268" s="11">
        <f t="shared" si="27"/>
        <v>-45.143728874622433</v>
      </c>
    </row>
    <row r="269" spans="5:7" x14ac:dyDescent="0.25">
      <c r="E269" s="11">
        <f t="shared" si="25"/>
        <v>-153</v>
      </c>
      <c r="F269" s="11">
        <f t="shared" si="26"/>
        <v>-45.076678898346245</v>
      </c>
      <c r="G269" s="11">
        <f t="shared" si="27"/>
        <v>-44.969555227621086</v>
      </c>
    </row>
    <row r="270" spans="5:7" x14ac:dyDescent="0.25">
      <c r="E270" s="11">
        <f t="shared" si="25"/>
        <v>-152</v>
      </c>
      <c r="F270" s="11">
        <f t="shared" si="26"/>
        <v>-44.844263058001616</v>
      </c>
      <c r="G270" s="11">
        <f t="shared" si="27"/>
        <v>-44.791606462613032</v>
      </c>
    </row>
    <row r="271" spans="5:7" x14ac:dyDescent="0.25">
      <c r="E271" s="11">
        <f t="shared" si="25"/>
        <v>-151</v>
      </c>
      <c r="F271" s="11">
        <f t="shared" si="26"/>
        <v>-44.612254627460516</v>
      </c>
      <c r="G271" s="11">
        <f t="shared" si="27"/>
        <v>-44.609864289526755</v>
      </c>
    </row>
    <row r="272" spans="5:7" x14ac:dyDescent="0.25">
      <c r="E272" s="11">
        <f t="shared" si="25"/>
        <v>-150</v>
      </c>
      <c r="F272" s="11">
        <f t="shared" si="26"/>
        <v>-44.3805164553238</v>
      </c>
      <c r="G272" s="11">
        <f t="shared" si="27"/>
        <v>-44.424310418290723</v>
      </c>
    </row>
    <row r="273" spans="5:7" x14ac:dyDescent="0.25">
      <c r="E273" s="11">
        <f t="shared" si="25"/>
        <v>-149</v>
      </c>
      <c r="F273" s="11">
        <f t="shared" si="26"/>
        <v>-44.148923361996822</v>
      </c>
      <c r="G273" s="11">
        <f t="shared" si="27"/>
        <v>-44.234926558833408</v>
      </c>
    </row>
    <row r="274" spans="5:7" x14ac:dyDescent="0.25">
      <c r="E274" s="11">
        <f t="shared" si="25"/>
        <v>-148</v>
      </c>
      <c r="F274" s="11">
        <f t="shared" si="26"/>
        <v>-43.917362477051938</v>
      </c>
      <c r="G274" s="11">
        <f t="shared" si="27"/>
        <v>-44.041694421083271</v>
      </c>
    </row>
    <row r="275" spans="5:7" x14ac:dyDescent="0.25">
      <c r="E275" s="11">
        <f t="shared" si="25"/>
        <v>-147</v>
      </c>
      <c r="F275" s="11">
        <f t="shared" si="26"/>
        <v>-43.6857334672668</v>
      </c>
      <c r="G275" s="11">
        <f t="shared" si="27"/>
        <v>-43.84459571496879</v>
      </c>
    </row>
    <row r="276" spans="5:7" x14ac:dyDescent="0.25">
      <c r="E276" s="11">
        <f t="shared" si="25"/>
        <v>-146</v>
      </c>
      <c r="F276" s="11">
        <f t="shared" si="26"/>
        <v>-43.453948661670893</v>
      </c>
      <c r="G276" s="11">
        <f t="shared" si="27"/>
        <v>-43.64361215041842</v>
      </c>
    </row>
    <row r="277" spans="5:7" x14ac:dyDescent="0.25">
      <c r="E277" s="11">
        <f t="shared" si="25"/>
        <v>-145</v>
      </c>
      <c r="F277" s="11">
        <f t="shared" si="26"/>
        <v>-43.221933079862993</v>
      </c>
      <c r="G277" s="11">
        <f t="shared" si="27"/>
        <v>-43.438725437360645</v>
      </c>
    </row>
    <row r="278" spans="5:7" x14ac:dyDescent="0.25">
      <c r="E278" s="11">
        <f t="shared" si="25"/>
        <v>-144</v>
      </c>
      <c r="F278" s="11">
        <f t="shared" si="26"/>
        <v>-42.989624369654166</v>
      </c>
      <c r="G278" s="11">
        <f t="shared" si="27"/>
        <v>-43.229917285723928</v>
      </c>
    </row>
    <row r="279" spans="5:7" x14ac:dyDescent="0.25">
      <c r="E279" s="11">
        <f t="shared" si="25"/>
        <v>-143</v>
      </c>
      <c r="F279" s="11">
        <f t="shared" si="26"/>
        <v>-42.756972660028055</v>
      </c>
      <c r="G279" s="11">
        <f t="shared" si="27"/>
        <v>-43.017169405436739</v>
      </c>
    </row>
    <row r="280" spans="5:7" x14ac:dyDescent="0.25">
      <c r="E280" s="11">
        <f t="shared" si="25"/>
        <v>-142</v>
      </c>
      <c r="F280" s="11">
        <f t="shared" si="26"/>
        <v>-42.523940335215116</v>
      </c>
      <c r="G280" s="11">
        <f t="shared" si="27"/>
        <v>-42.800463506427548</v>
      </c>
    </row>
    <row r="281" spans="5:7" x14ac:dyDescent="0.25">
      <c r="E281" s="11">
        <f t="shared" si="25"/>
        <v>-141</v>
      </c>
      <c r="F281" s="11">
        <f t="shared" si="26"/>
        <v>-42.290501735612509</v>
      </c>
      <c r="G281" s="11">
        <f t="shared" si="27"/>
        <v>-42.57978129862483</v>
      </c>
    </row>
    <row r="282" spans="5:7" x14ac:dyDescent="0.25">
      <c r="E282" s="11">
        <f t="shared" si="25"/>
        <v>-140</v>
      </c>
      <c r="F282" s="11">
        <f t="shared" si="26"/>
        <v>-42.056642791095157</v>
      </c>
      <c r="G282" s="11">
        <f t="shared" si="27"/>
        <v>-42.355104491957036</v>
      </c>
    </row>
    <row r="283" spans="5:7" x14ac:dyDescent="0.25">
      <c r="E283" s="11">
        <f t="shared" si="25"/>
        <v>-139</v>
      </c>
      <c r="F283" s="11">
        <f t="shared" si="26"/>
        <v>-41.822360592183145</v>
      </c>
      <c r="G283" s="11">
        <f t="shared" si="27"/>
        <v>-42.126414796352663</v>
      </c>
    </row>
    <row r="284" spans="5:7" x14ac:dyDescent="0.25">
      <c r="E284" s="11">
        <f t="shared" si="25"/>
        <v>-138</v>
      </c>
      <c r="F284" s="11">
        <f t="shared" si="26"/>
        <v>-41.587662904342494</v>
      </c>
      <c r="G284" s="11">
        <f t="shared" si="27"/>
        <v>-41.893693921740152</v>
      </c>
    </row>
    <row r="285" spans="5:7" x14ac:dyDescent="0.25">
      <c r="E285" s="11">
        <f t="shared" si="25"/>
        <v>-137</v>
      </c>
      <c r="F285" s="11">
        <f t="shared" si="26"/>
        <v>-41.352567630626879</v>
      </c>
      <c r="G285" s="11">
        <f t="shared" si="27"/>
        <v>-41.656923578047994</v>
      </c>
    </row>
    <row r="286" spans="5:7" x14ac:dyDescent="0.25">
      <c r="E286" s="11">
        <f t="shared" si="25"/>
        <v>-136</v>
      </c>
      <c r="F286" s="11">
        <f t="shared" si="26"/>
        <v>-41.117102227700798</v>
      </c>
      <c r="G286" s="11">
        <f t="shared" si="27"/>
        <v>-41.416085475204639</v>
      </c>
    </row>
    <row r="287" spans="5:7" x14ac:dyDescent="0.25">
      <c r="E287" s="11">
        <f t="shared" ref="E287:E350" si="28">E80</f>
        <v>-135</v>
      </c>
      <c r="F287" s="11">
        <f t="shared" ref="F287:F350" si="29">$H$217*0+E287*$I$217+E287^2*$J$217+E287^3*$K$217+E287^4*$L$217+E287^5*$M$217+E287^6*$N$217+E287^7*$O$217+E287^8*$P$217</f>
        <v>-40.881303080153771</v>
      </c>
      <c r="G287" s="11">
        <f t="shared" ref="G287:G350" si="30">F80</f>
        <v>-41.17116132313857</v>
      </c>
    </row>
    <row r="288" spans="5:7" x14ac:dyDescent="0.25">
      <c r="E288" s="11">
        <f t="shared" si="28"/>
        <v>-134</v>
      </c>
      <c r="F288" s="11">
        <f t="shared" si="29"/>
        <v>-40.645214837892638</v>
      </c>
      <c r="G288" s="11">
        <f t="shared" si="30"/>
        <v>-40.922204006901367</v>
      </c>
    </row>
    <row r="289" spans="5:7" x14ac:dyDescent="0.25">
      <c r="E289" s="11">
        <f t="shared" si="28"/>
        <v>-133</v>
      </c>
      <c r="F289" s="11">
        <f t="shared" si="29"/>
        <v>-40.40888972130341</v>
      </c>
      <c r="G289" s="11">
        <f t="shared" si="30"/>
        <v>-40.669551112037034</v>
      </c>
    </row>
    <row r="290" spans="5:7" x14ac:dyDescent="0.25">
      <c r="E290" s="11">
        <f t="shared" si="28"/>
        <v>-132</v>
      </c>
      <c r="F290" s="11">
        <f t="shared" si="29"/>
        <v>-40.172386798649313</v>
      </c>
      <c r="G290" s="11">
        <f t="shared" si="30"/>
        <v>-40.413611399212684</v>
      </c>
    </row>
    <row r="291" spans="5:7" x14ac:dyDescent="0.25">
      <c r="E291" s="11">
        <f t="shared" si="28"/>
        <v>-131</v>
      </c>
      <c r="F291" s="11">
        <f t="shared" si="29"/>
        <v>-39.935771240169572</v>
      </c>
      <c r="G291" s="11">
        <f t="shared" si="30"/>
        <v>-40.154793629095451</v>
      </c>
    </row>
    <row r="292" spans="5:7" x14ac:dyDescent="0.25">
      <c r="E292" s="11">
        <f t="shared" si="28"/>
        <v>-130</v>
      </c>
      <c r="F292" s="11">
        <f t="shared" si="29"/>
        <v>-39.699113553092786</v>
      </c>
      <c r="G292" s="11">
        <f t="shared" si="30"/>
        <v>-39.893506562352442</v>
      </c>
    </row>
    <row r="293" spans="5:7" x14ac:dyDescent="0.25">
      <c r="E293" s="11">
        <f t="shared" si="28"/>
        <v>-129</v>
      </c>
      <c r="F293" s="11">
        <f t="shared" si="29"/>
        <v>-39.46248880172908</v>
      </c>
      <c r="G293" s="11">
        <f t="shared" si="30"/>
        <v>-39.630158959650799</v>
      </c>
    </row>
    <row r="294" spans="5:7" x14ac:dyDescent="0.25">
      <c r="E294" s="11">
        <f t="shared" si="28"/>
        <v>-128</v>
      </c>
      <c r="F294" s="11">
        <f t="shared" si="29"/>
        <v>-39.225975816649537</v>
      </c>
      <c r="G294" s="11">
        <f t="shared" si="30"/>
        <v>-39.365159581657608</v>
      </c>
    </row>
    <row r="295" spans="5:7" x14ac:dyDescent="0.25">
      <c r="E295" s="11">
        <f t="shared" si="28"/>
        <v>-127</v>
      </c>
      <c r="F295" s="11">
        <f t="shared" si="29"/>
        <v>-38.989656396800001</v>
      </c>
      <c r="G295" s="11">
        <f t="shared" si="30"/>
        <v>-39.098917189040009</v>
      </c>
    </row>
    <row r="296" spans="5:7" x14ac:dyDescent="0.25">
      <c r="E296" s="11">
        <f t="shared" si="28"/>
        <v>-126</v>
      </c>
      <c r="F296" s="11">
        <f t="shared" si="29"/>
        <v>-38.753614508339155</v>
      </c>
      <c r="G296" s="11">
        <f t="shared" si="30"/>
        <v>-38.831840542465116</v>
      </c>
    </row>
    <row r="297" spans="5:7" x14ac:dyDescent="0.25">
      <c r="E297" s="11">
        <f t="shared" si="28"/>
        <v>-125</v>
      </c>
      <c r="F297" s="11">
        <f t="shared" si="29"/>
        <v>-38.517935483776711</v>
      </c>
      <c r="G297" s="11">
        <f t="shared" si="30"/>
        <v>-38.564338402600058</v>
      </c>
    </row>
    <row r="298" spans="5:7" x14ac:dyDescent="0.25">
      <c r="E298" s="11">
        <f t="shared" si="28"/>
        <v>-124</v>
      </c>
      <c r="F298" s="11">
        <f t="shared" si="29"/>
        <v>-38.282705224924769</v>
      </c>
      <c r="G298" s="11">
        <f t="shared" si="30"/>
        <v>-38.296819530111947</v>
      </c>
    </row>
    <row r="299" spans="5:7" x14ac:dyDescent="0.25">
      <c r="E299" s="11">
        <f t="shared" si="28"/>
        <v>-123</v>
      </c>
      <c r="F299" s="11">
        <f t="shared" si="29"/>
        <v>-38.048009412995469</v>
      </c>
      <c r="G299" s="11">
        <f t="shared" si="30"/>
        <v>-38.029692685667889</v>
      </c>
    </row>
    <row r="300" spans="5:7" x14ac:dyDescent="0.25">
      <c r="E300" s="11">
        <f t="shared" si="28"/>
        <v>-122</v>
      </c>
      <c r="F300" s="11">
        <f t="shared" si="29"/>
        <v>-37.813932729090311</v>
      </c>
      <c r="G300" s="11">
        <f t="shared" si="30"/>
        <v>-37.763366629935021</v>
      </c>
    </row>
    <row r="301" spans="5:7" x14ac:dyDescent="0.25">
      <c r="E301" s="11">
        <f t="shared" si="28"/>
        <v>-121</v>
      </c>
      <c r="F301" s="11">
        <f t="shared" si="29"/>
        <v>-37.580558088159137</v>
      </c>
      <c r="G301" s="11">
        <f t="shared" si="30"/>
        <v>-37.498250123580469</v>
      </c>
    </row>
    <row r="302" spans="5:7" x14ac:dyDescent="0.25">
      <c r="E302" s="11">
        <f t="shared" si="28"/>
        <v>-120</v>
      </c>
      <c r="F302" s="11">
        <f t="shared" si="29"/>
        <v>-37.347965889401451</v>
      </c>
      <c r="G302" s="11">
        <f t="shared" si="30"/>
        <v>-37.234751927271333</v>
      </c>
    </row>
    <row r="303" spans="5:7" x14ac:dyDescent="0.25">
      <c r="E303" s="11">
        <f t="shared" si="28"/>
        <v>-119</v>
      </c>
      <c r="F303" s="11">
        <f t="shared" si="29"/>
        <v>-37.11623328594456</v>
      </c>
      <c r="G303" s="11">
        <f t="shared" si="30"/>
        <v>-36.97328080167474</v>
      </c>
    </row>
    <row r="304" spans="5:7" x14ac:dyDescent="0.25">
      <c r="E304" s="11">
        <f t="shared" si="28"/>
        <v>-118</v>
      </c>
      <c r="F304" s="11">
        <f t="shared" si="29"/>
        <v>-36.885433476496402</v>
      </c>
      <c r="G304" s="11">
        <f t="shared" si="30"/>
        <v>-36.714245507457811</v>
      </c>
    </row>
    <row r="305" spans="5:7" x14ac:dyDescent="0.25">
      <c r="E305" s="11">
        <f t="shared" si="28"/>
        <v>-117</v>
      </c>
      <c r="F305" s="11">
        <f t="shared" si="29"/>
        <v>-36.655635021550097</v>
      </c>
      <c r="G305" s="11">
        <f t="shared" si="30"/>
        <v>-36.458054805287667</v>
      </c>
    </row>
    <row r="306" spans="5:7" x14ac:dyDescent="0.25">
      <c r="E306" s="11">
        <f t="shared" si="28"/>
        <v>-116</v>
      </c>
      <c r="F306" s="11">
        <f t="shared" si="29"/>
        <v>-36.426901186586065</v>
      </c>
      <c r="G306" s="11">
        <f t="shared" si="30"/>
        <v>-36.205117455831427</v>
      </c>
    </row>
    <row r="307" spans="5:7" x14ac:dyDescent="0.25">
      <c r="E307" s="11">
        <f t="shared" si="28"/>
        <v>-115</v>
      </c>
      <c r="F307" s="11">
        <f t="shared" si="29"/>
        <v>-36.199289314576745</v>
      </c>
      <c r="G307" s="11">
        <f t="shared" si="30"/>
        <v>-35.955842219756207</v>
      </c>
    </row>
    <row r="308" spans="5:7" x14ac:dyDescent="0.25">
      <c r="E308" s="11">
        <f t="shared" si="28"/>
        <v>-114</v>
      </c>
      <c r="F308" s="11">
        <f t="shared" si="29"/>
        <v>-35.972850229985113</v>
      </c>
      <c r="G308" s="11">
        <f t="shared" si="30"/>
        <v>-35.710637857729125</v>
      </c>
    </row>
    <row r="309" spans="5:7" x14ac:dyDescent="0.25">
      <c r="E309" s="11">
        <f t="shared" si="28"/>
        <v>-113</v>
      </c>
      <c r="F309" s="11">
        <f t="shared" si="29"/>
        <v>-35.747627676300851</v>
      </c>
      <c r="G309" s="11">
        <f t="shared" si="30"/>
        <v>-35.469913130417304</v>
      </c>
    </row>
    <row r="310" spans="5:7" x14ac:dyDescent="0.25">
      <c r="E310" s="11">
        <f t="shared" si="28"/>
        <v>-112</v>
      </c>
      <c r="F310" s="11">
        <f t="shared" si="29"/>
        <v>-35.523657789045103</v>
      </c>
      <c r="G310" s="11">
        <f t="shared" si="30"/>
        <v>-35.23407679848787</v>
      </c>
    </row>
    <row r="311" spans="5:7" x14ac:dyDescent="0.25">
      <c r="E311" s="11">
        <f t="shared" si="28"/>
        <v>-111</v>
      </c>
      <c r="F311" s="11">
        <f t="shared" si="29"/>
        <v>-35.300968606025052</v>
      </c>
      <c r="G311" s="11">
        <f t="shared" si="30"/>
        <v>-35.003537622607929</v>
      </c>
    </row>
    <row r="312" spans="5:7" x14ac:dyDescent="0.25">
      <c r="E312" s="11">
        <f t="shared" si="28"/>
        <v>-110</v>
      </c>
      <c r="F312" s="11">
        <f t="shared" si="29"/>
        <v>-35.079579616511438</v>
      </c>
      <c r="G312" s="11">
        <f t="shared" si="30"/>
        <v>-34.778704363444611</v>
      </c>
    </row>
    <row r="313" spans="5:7" x14ac:dyDescent="0.25">
      <c r="E313" s="11">
        <f t="shared" si="28"/>
        <v>-109</v>
      </c>
      <c r="F313" s="11">
        <f t="shared" si="29"/>
        <v>-34.859501350856164</v>
      </c>
      <c r="G313" s="11">
        <f t="shared" si="30"/>
        <v>-34.559847966312482</v>
      </c>
    </row>
    <row r="314" spans="5:7" x14ac:dyDescent="0.25">
      <c r="E314" s="11">
        <f t="shared" si="28"/>
        <v>-108</v>
      </c>
      <c r="F314" s="11">
        <f t="shared" si="29"/>
        <v>-34.640735011966377</v>
      </c>
      <c r="G314" s="11">
        <f t="shared" si="30"/>
        <v>-34.34668811511586</v>
      </c>
    </row>
    <row r="315" spans="5:7" x14ac:dyDescent="0.25">
      <c r="E315" s="11">
        <f t="shared" si="28"/>
        <v>-107</v>
      </c>
      <c r="F315" s="11">
        <f t="shared" si="29"/>
        <v>-34.423272149890494</v>
      </c>
      <c r="G315" s="11">
        <f t="shared" si="30"/>
        <v>-34.138806678406581</v>
      </c>
    </row>
    <row r="316" spans="5:7" x14ac:dyDescent="0.25">
      <c r="E316" s="11">
        <f t="shared" si="28"/>
        <v>-106</v>
      </c>
      <c r="F316" s="11">
        <f t="shared" si="29"/>
        <v>-34.207094380668352</v>
      </c>
      <c r="G316" s="11">
        <f t="shared" si="30"/>
        <v>-33.935785524736389</v>
      </c>
    </row>
    <row r="317" spans="5:7" x14ac:dyDescent="0.25">
      <c r="E317" s="11">
        <f t="shared" si="28"/>
        <v>-105</v>
      </c>
      <c r="F317" s="11">
        <f t="shared" si="29"/>
        <v>-33.992173150448458</v>
      </c>
      <c r="G317" s="11">
        <f t="shared" si="30"/>
        <v>-33.737206522657097</v>
      </c>
    </row>
    <row r="318" spans="5:7" x14ac:dyDescent="0.25">
      <c r="E318" s="11">
        <f t="shared" si="28"/>
        <v>-104</v>
      </c>
      <c r="F318" s="11">
        <f t="shared" si="29"/>
        <v>-33.778469545751499</v>
      </c>
      <c r="G318" s="11">
        <f t="shared" si="30"/>
        <v>-33.542651540720485</v>
      </c>
    </row>
    <row r="319" spans="5:7" x14ac:dyDescent="0.25">
      <c r="E319" s="11">
        <f t="shared" si="28"/>
        <v>-103</v>
      </c>
      <c r="F319" s="11">
        <f t="shared" si="29"/>
        <v>-33.565934150636494</v>
      </c>
      <c r="G319" s="11">
        <f t="shared" si="30"/>
        <v>-33.351702447478345</v>
      </c>
    </row>
    <row r="320" spans="5:7" x14ac:dyDescent="0.25">
      <c r="E320" s="11">
        <f t="shared" si="28"/>
        <v>-102</v>
      </c>
      <c r="F320" s="11">
        <f t="shared" si="29"/>
        <v>-33.354506951379349</v>
      </c>
      <c r="G320" s="11">
        <f t="shared" si="30"/>
        <v>-33.163941111482458</v>
      </c>
    </row>
    <row r="321" spans="5:7" x14ac:dyDescent="0.25">
      <c r="E321" s="11">
        <f t="shared" si="28"/>
        <v>-101</v>
      </c>
      <c r="F321" s="11">
        <f t="shared" si="29"/>
        <v>-33.144117289160839</v>
      </c>
      <c r="G321" s="11">
        <f t="shared" si="30"/>
        <v>-32.97894940128463</v>
      </c>
    </row>
    <row r="322" spans="5:7" x14ac:dyDescent="0.25">
      <c r="E322" s="11">
        <f t="shared" si="28"/>
        <v>-100</v>
      </c>
      <c r="F322" s="11">
        <f t="shared" si="29"/>
        <v>-32.934683861115367</v>
      </c>
      <c r="G322" s="11">
        <f t="shared" si="30"/>
        <v>-32.796309185436634</v>
      </c>
    </row>
    <row r="323" spans="5:7" x14ac:dyDescent="0.25">
      <c r="E323" s="11">
        <f t="shared" si="28"/>
        <v>-99</v>
      </c>
      <c r="F323" s="11">
        <f t="shared" si="29"/>
        <v>-32.726114769973663</v>
      </c>
      <c r="G323" s="11">
        <f t="shared" si="30"/>
        <v>-32.615602332490269</v>
      </c>
    </row>
    <row r="324" spans="5:7" x14ac:dyDescent="0.25">
      <c r="E324" s="11">
        <f t="shared" si="28"/>
        <v>-98</v>
      </c>
      <c r="F324" s="11">
        <f t="shared" si="29"/>
        <v>-32.518307622396819</v>
      </c>
      <c r="G324" s="11">
        <f t="shared" si="30"/>
        <v>-32.436410710997308</v>
      </c>
    </row>
    <row r="325" spans="5:7" x14ac:dyDescent="0.25">
      <c r="E325" s="11">
        <f t="shared" si="28"/>
        <v>-97</v>
      </c>
      <c r="F325" s="11">
        <f t="shared" si="29"/>
        <v>-32.311149675965019</v>
      </c>
      <c r="G325" s="11">
        <f t="shared" si="30"/>
        <v>-32.258316189509557</v>
      </c>
    </row>
    <row r="326" spans="5:7" x14ac:dyDescent="0.25">
      <c r="E326" s="11">
        <f t="shared" si="28"/>
        <v>-96</v>
      </c>
      <c r="F326" s="11">
        <f t="shared" si="29"/>
        <v>-32.104518034664679</v>
      </c>
      <c r="G326" s="11">
        <f t="shared" si="30"/>
        <v>-32.080900636578797</v>
      </c>
    </row>
    <row r="327" spans="5:7" x14ac:dyDescent="0.25">
      <c r="E327" s="11">
        <f t="shared" si="28"/>
        <v>-95</v>
      </c>
      <c r="F327" s="11">
        <f t="shared" si="29"/>
        <v>-31.898279892574667</v>
      </c>
      <c r="G327" s="11">
        <f t="shared" si="30"/>
        <v>-31.903745920756812</v>
      </c>
    </row>
    <row r="328" spans="5:7" x14ac:dyDescent="0.25">
      <c r="E328" s="11">
        <f t="shared" si="28"/>
        <v>-94</v>
      </c>
      <c r="F328" s="11">
        <f t="shared" si="29"/>
        <v>-31.692292825333784</v>
      </c>
      <c r="G328" s="11">
        <f t="shared" si="30"/>
        <v>-31.726433910595404</v>
      </c>
    </row>
    <row r="329" spans="5:7" x14ac:dyDescent="0.25">
      <c r="E329" s="11">
        <f t="shared" si="28"/>
        <v>-93</v>
      </c>
      <c r="F329" s="11">
        <f t="shared" si="29"/>
        <v>-31.486405128831962</v>
      </c>
      <c r="G329" s="11">
        <f t="shared" si="30"/>
        <v>-31.548546474646351</v>
      </c>
    </row>
    <row r="330" spans="5:7" x14ac:dyDescent="0.25">
      <c r="E330" s="11">
        <f t="shared" si="28"/>
        <v>-92</v>
      </c>
      <c r="F330" s="11">
        <f t="shared" si="29"/>
        <v>-31.280456204443208</v>
      </c>
      <c r="G330" s="11">
        <f t="shared" si="30"/>
        <v>-31.369665481461439</v>
      </c>
    </row>
    <row r="331" spans="5:7" x14ac:dyDescent="0.25">
      <c r="E331" s="11">
        <f t="shared" si="28"/>
        <v>-91</v>
      </c>
      <c r="F331" s="11">
        <f t="shared" si="29"/>
        <v>-31.074276989986746</v>
      </c>
      <c r="G331" s="11">
        <f t="shared" si="30"/>
        <v>-31.189372799592469</v>
      </c>
    </row>
    <row r="332" spans="5:7" x14ac:dyDescent="0.25">
      <c r="E332" s="11">
        <f t="shared" si="28"/>
        <v>-90</v>
      </c>
      <c r="F332" s="11">
        <f t="shared" si="29"/>
        <v>-30.867690435469385</v>
      </c>
      <c r="G332" s="11">
        <f t="shared" si="30"/>
        <v>-31.00725029759122</v>
      </c>
    </row>
    <row r="333" spans="5:7" x14ac:dyDescent="0.25">
      <c r="E333" s="11">
        <f t="shared" si="28"/>
        <v>-89</v>
      </c>
      <c r="F333" s="11">
        <f t="shared" si="29"/>
        <v>-30.660512022537315</v>
      </c>
      <c r="G333" s="11">
        <f t="shared" si="30"/>
        <v>-30.822879844009478</v>
      </c>
    </row>
    <row r="334" spans="5:7" x14ac:dyDescent="0.25">
      <c r="E334" s="11">
        <f t="shared" si="28"/>
        <v>-88</v>
      </c>
      <c r="F334" s="11">
        <f t="shared" si="29"/>
        <v>-30.452550326431194</v>
      </c>
      <c r="G334" s="11">
        <f t="shared" si="30"/>
        <v>-30.635843307399043</v>
      </c>
    </row>
    <row r="335" spans="5:7" x14ac:dyDescent="0.25">
      <c r="E335" s="11">
        <f t="shared" si="28"/>
        <v>-87</v>
      </c>
      <c r="F335" s="11">
        <f t="shared" si="29"/>
        <v>-30.243607619108019</v>
      </c>
      <c r="G335" s="11">
        <f t="shared" si="30"/>
        <v>-30.445722556311697</v>
      </c>
    </row>
    <row r="336" spans="5:7" x14ac:dyDescent="0.25">
      <c r="E336" s="11">
        <f t="shared" si="28"/>
        <v>-86</v>
      </c>
      <c r="F336" s="11">
        <f t="shared" si="29"/>
        <v>-30.033480512066191</v>
      </c>
      <c r="G336" s="11">
        <f t="shared" si="30"/>
        <v>-30.252099459299227</v>
      </c>
    </row>
    <row r="337" spans="5:7" x14ac:dyDescent="0.25">
      <c r="E337" s="11">
        <f t="shared" si="28"/>
        <v>-85</v>
      </c>
      <c r="F337" s="11">
        <f t="shared" si="29"/>
        <v>-29.821960637277005</v>
      </c>
      <c r="G337" s="11">
        <f t="shared" si="30"/>
        <v>-30.05455588491343</v>
      </c>
    </row>
    <row r="338" spans="5:7" x14ac:dyDescent="0.25">
      <c r="E338" s="11">
        <f t="shared" si="28"/>
        <v>-84</v>
      </c>
      <c r="F338" s="11">
        <f t="shared" si="29"/>
        <v>-29.608835364496098</v>
      </c>
      <c r="G338" s="11">
        <f t="shared" si="30"/>
        <v>-29.852673701706081</v>
      </c>
    </row>
    <row r="339" spans="5:7" x14ac:dyDescent="0.25">
      <c r="E339" s="11">
        <f t="shared" si="28"/>
        <v>-83</v>
      </c>
      <c r="F339" s="11">
        <f t="shared" si="29"/>
        <v>-29.393888553099572</v>
      </c>
      <c r="G339" s="11">
        <f t="shared" si="30"/>
        <v>-29.64603477822898</v>
      </c>
    </row>
    <row r="340" spans="5:7" x14ac:dyDescent="0.25">
      <c r="E340" s="11">
        <f t="shared" si="28"/>
        <v>-82</v>
      </c>
      <c r="F340" s="11">
        <f t="shared" si="29"/>
        <v>-29.176901336456346</v>
      </c>
      <c r="G340" s="11">
        <f t="shared" si="30"/>
        <v>-29.434220983033917</v>
      </c>
    </row>
    <row r="341" spans="5:7" x14ac:dyDescent="0.25">
      <c r="E341" s="11">
        <f t="shared" si="28"/>
        <v>-81</v>
      </c>
      <c r="F341" s="11">
        <f t="shared" si="29"/>
        <v>-28.957652936721246</v>
      </c>
      <c r="G341" s="11">
        <f t="shared" si="30"/>
        <v>-29.216814184672668</v>
      </c>
    </row>
    <row r="342" spans="5:7" x14ac:dyDescent="0.25">
      <c r="E342" s="11">
        <f t="shared" si="28"/>
        <v>-80</v>
      </c>
      <c r="F342" s="11">
        <f t="shared" si="29"/>
        <v>-28.735921507801198</v>
      </c>
      <c r="G342" s="11">
        <f t="shared" si="30"/>
        <v>-28.993396251697032</v>
      </c>
    </row>
    <row r="343" spans="5:7" x14ac:dyDescent="0.25">
      <c r="E343" s="11">
        <f t="shared" si="28"/>
        <v>-79</v>
      </c>
      <c r="F343" s="11">
        <f t="shared" si="29"/>
        <v>-28.511485004116565</v>
      </c>
      <c r="G343" s="11">
        <f t="shared" si="30"/>
        <v>-28.763639013319299</v>
      </c>
    </row>
    <row r="344" spans="5:7" x14ac:dyDescent="0.25">
      <c r="E344" s="11">
        <f t="shared" si="28"/>
        <v>-78</v>
      </c>
      <c r="F344" s="11">
        <f t="shared" si="29"/>
        <v>-28.284122072649996</v>
      </c>
      <c r="G344" s="11">
        <f t="shared" si="30"/>
        <v>-28.527574141393778</v>
      </c>
    </row>
    <row r="345" spans="5:7" x14ac:dyDescent="0.25">
      <c r="E345" s="11">
        <f t="shared" si="28"/>
        <v>-77</v>
      </c>
      <c r="F345" s="11">
        <f t="shared" si="29"/>
        <v>-28.053612965644042</v>
      </c>
      <c r="G345" s="11">
        <f t="shared" si="30"/>
        <v>-28.285323268435281</v>
      </c>
    </row>
    <row r="346" spans="5:7" x14ac:dyDescent="0.25">
      <c r="E346" s="11">
        <f t="shared" si="28"/>
        <v>-76</v>
      </c>
      <c r="F346" s="11">
        <f t="shared" si="29"/>
        <v>-27.819740471181312</v>
      </c>
      <c r="G346" s="11">
        <f t="shared" si="30"/>
        <v>-28.037008026958624</v>
      </c>
    </row>
    <row r="347" spans="5:7" x14ac:dyDescent="0.25">
      <c r="E347" s="11">
        <f t="shared" si="28"/>
        <v>-75</v>
      </c>
      <c r="F347" s="11">
        <f t="shared" si="29"/>
        <v>-27.582290858744621</v>
      </c>
      <c r="G347" s="11">
        <f t="shared" si="30"/>
        <v>-27.782750049478622</v>
      </c>
    </row>
    <row r="348" spans="5:7" x14ac:dyDescent="0.25">
      <c r="E348" s="11">
        <f t="shared" si="28"/>
        <v>-74</v>
      </c>
      <c r="F348" s="11">
        <f t="shared" si="29"/>
        <v>-27.341054836732258</v>
      </c>
      <c r="G348" s="11">
        <f t="shared" si="30"/>
        <v>-27.522670968510077</v>
      </c>
    </row>
    <row r="349" spans="5:7" x14ac:dyDescent="0.25">
      <c r="E349" s="11">
        <f t="shared" si="28"/>
        <v>-73</v>
      </c>
      <c r="F349" s="11">
        <f t="shared" si="29"/>
        <v>-27.095828518765934</v>
      </c>
      <c r="G349" s="11">
        <f t="shared" si="30"/>
        <v>-27.256892416567808</v>
      </c>
    </row>
    <row r="350" spans="5:7" x14ac:dyDescent="0.25">
      <c r="E350" s="11">
        <f t="shared" si="28"/>
        <v>-72</v>
      </c>
      <c r="F350" s="11">
        <f t="shared" si="29"/>
        <v>-26.846414395503537</v>
      </c>
      <c r="G350" s="11">
        <f t="shared" si="30"/>
        <v>-26.985536026166635</v>
      </c>
    </row>
    <row r="351" spans="5:7" x14ac:dyDescent="0.25">
      <c r="E351" s="11">
        <f t="shared" ref="E351:E414" si="31">E144</f>
        <v>-71</v>
      </c>
      <c r="F351" s="11">
        <f t="shared" ref="F351:F414" si="32">$H$217*0+E351*$I$217+E351^2*$J$217+E351^3*$K$217+E351^4*$L$217+E351^5*$M$217+E351^6*$N$217+E351^7*$O$217+E351^8*$P$217</f>
        <v>-26.5926223085362</v>
      </c>
      <c r="G351" s="11">
        <f t="shared" ref="G351:G414" si="33">F144</f>
        <v>-26.708723429821358</v>
      </c>
    </row>
    <row r="352" spans="5:7" x14ac:dyDescent="0.25">
      <c r="E352" s="11">
        <f t="shared" si="31"/>
        <v>-70</v>
      </c>
      <c r="F352" s="11">
        <f t="shared" si="32"/>
        <v>-26.334270422819802</v>
      </c>
      <c r="G352" s="11">
        <f t="shared" si="33"/>
        <v>-26.426576260046801</v>
      </c>
    </row>
    <row r="353" spans="5:7" x14ac:dyDescent="0.25">
      <c r="E353" s="11">
        <f t="shared" si="31"/>
        <v>-69</v>
      </c>
      <c r="F353" s="11">
        <f t="shared" si="32"/>
        <v>-26.071186193959665</v>
      </c>
      <c r="G353" s="11">
        <f t="shared" si="33"/>
        <v>-26.139216149357768</v>
      </c>
    </row>
    <row r="354" spans="5:7" x14ac:dyDescent="0.25">
      <c r="E354" s="11">
        <f t="shared" si="31"/>
        <v>-68</v>
      </c>
      <c r="F354" s="11">
        <f t="shared" si="32"/>
        <v>-25.803207326539312</v>
      </c>
      <c r="G354" s="11">
        <f t="shared" si="33"/>
        <v>-25.846764730269079</v>
      </c>
    </row>
    <row r="355" spans="5:7" x14ac:dyDescent="0.25">
      <c r="E355" s="11">
        <f t="shared" si="31"/>
        <v>-67</v>
      </c>
      <c r="F355" s="11">
        <f t="shared" si="32"/>
        <v>-25.530182719550833</v>
      </c>
      <c r="G355" s="11">
        <f t="shared" si="33"/>
        <v>-25.549343635295546</v>
      </c>
    </row>
    <row r="356" spans="5:7" x14ac:dyDescent="0.25">
      <c r="E356" s="11">
        <f t="shared" si="31"/>
        <v>-66</v>
      </c>
      <c r="F356" s="11">
        <f t="shared" si="32"/>
        <v>-25.251973394855799</v>
      </c>
      <c r="G356" s="11">
        <f t="shared" si="33"/>
        <v>-25.247074496951974</v>
      </c>
    </row>
    <row r="357" spans="5:7" x14ac:dyDescent="0.25">
      <c r="E357" s="11">
        <f t="shared" si="31"/>
        <v>-65</v>
      </c>
      <c r="F357" s="11">
        <f t="shared" si="32"/>
        <v>-24.96845340447549</v>
      </c>
      <c r="G357" s="11">
        <f t="shared" si="33"/>
        <v>-24.940078947753186</v>
      </c>
    </row>
    <row r="358" spans="5:7" x14ac:dyDescent="0.25">
      <c r="E358" s="11">
        <f t="shared" si="31"/>
        <v>-64</v>
      </c>
      <c r="F358" s="11">
        <f t="shared" si="32"/>
        <v>-24.679510712378821</v>
      </c>
      <c r="G358" s="11">
        <f t="shared" si="33"/>
        <v>-24.62847862021399</v>
      </c>
    </row>
    <row r="359" spans="5:7" x14ac:dyDescent="0.25">
      <c r="E359" s="11">
        <f t="shared" si="31"/>
        <v>-63</v>
      </c>
      <c r="F359" s="11">
        <f t="shared" si="32"/>
        <v>-24.385048046304945</v>
      </c>
      <c r="G359" s="11">
        <f t="shared" si="33"/>
        <v>-24.312395146849198</v>
      </c>
    </row>
    <row r="360" spans="5:7" x14ac:dyDescent="0.25">
      <c r="E360" s="11">
        <f t="shared" si="31"/>
        <v>-62</v>
      </c>
      <c r="F360" s="11">
        <f t="shared" si="32"/>
        <v>-24.084983715028777</v>
      </c>
      <c r="G360" s="11">
        <f t="shared" si="33"/>
        <v>-23.991950160173623</v>
      </c>
    </row>
    <row r="361" spans="5:7" x14ac:dyDescent="0.25">
      <c r="E361" s="11">
        <f t="shared" si="31"/>
        <v>-61</v>
      </c>
      <c r="F361" s="11">
        <f t="shared" si="32"/>
        <v>-23.779252386346268</v>
      </c>
      <c r="G361" s="11">
        <f t="shared" si="33"/>
        <v>-23.667265292702083</v>
      </c>
    </row>
    <row r="362" spans="5:7" x14ac:dyDescent="0.25">
      <c r="E362" s="11">
        <f t="shared" si="31"/>
        <v>-60</v>
      </c>
      <c r="F362" s="11">
        <f t="shared" si="32"/>
        <v>-23.467805820926806</v>
      </c>
      <c r="G362" s="11">
        <f t="shared" si="33"/>
        <v>-23.338462176949385</v>
      </c>
    </row>
    <row r="363" spans="5:7" x14ac:dyDescent="0.25">
      <c r="E363" s="11">
        <f t="shared" si="31"/>
        <v>-59</v>
      </c>
      <c r="F363" s="11">
        <f t="shared" si="32"/>
        <v>-23.150613557049066</v>
      </c>
      <c r="G363" s="11">
        <f t="shared" si="33"/>
        <v>-23.005662445430346</v>
      </c>
    </row>
    <row r="364" spans="5:7" x14ac:dyDescent="0.25">
      <c r="E364" s="11">
        <f t="shared" si="31"/>
        <v>-58</v>
      </c>
      <c r="F364" s="11">
        <f t="shared" si="32"/>
        <v>-22.827663541107043</v>
      </c>
      <c r="G364" s="11">
        <f t="shared" si="33"/>
        <v>-22.668987730659776</v>
      </c>
    </row>
    <row r="365" spans="5:7" x14ac:dyDescent="0.25">
      <c r="E365" s="11">
        <f t="shared" si="31"/>
        <v>-57</v>
      </c>
      <c r="F365" s="11">
        <f t="shared" si="32"/>
        <v>-22.498962698641893</v>
      </c>
      <c r="G365" s="11">
        <f t="shared" si="33"/>
        <v>-22.32855966515249</v>
      </c>
    </row>
    <row r="366" spans="5:7" x14ac:dyDescent="0.25">
      <c r="E366" s="11">
        <f t="shared" si="31"/>
        <v>-56</v>
      </c>
      <c r="F366" s="11">
        <f t="shared" si="32"/>
        <v>-22.164537440525997</v>
      </c>
      <c r="G366" s="11">
        <f t="shared" si="33"/>
        <v>-21.984499881423297</v>
      </c>
    </row>
    <row r="367" spans="5:7" x14ac:dyDescent="0.25">
      <c r="E367" s="11">
        <f t="shared" si="31"/>
        <v>-55</v>
      </c>
      <c r="F367" s="11">
        <f t="shared" si="32"/>
        <v>-21.824434098794391</v>
      </c>
      <c r="G367" s="11">
        <f t="shared" si="33"/>
        <v>-21.636930011987015</v>
      </c>
    </row>
    <row r="368" spans="5:7" x14ac:dyDescent="0.25">
      <c r="E368" s="11">
        <f t="shared" si="31"/>
        <v>-54</v>
      </c>
      <c r="F368" s="11">
        <f t="shared" si="32"/>
        <v>-21.478719286488857</v>
      </c>
      <c r="G368" s="11">
        <f t="shared" si="33"/>
        <v>-21.285971689358455</v>
      </c>
    </row>
    <row r="369" spans="5:7" x14ac:dyDescent="0.25">
      <c r="E369" s="11">
        <f t="shared" si="31"/>
        <v>-53</v>
      </c>
      <c r="F369" s="11">
        <f t="shared" si="32"/>
        <v>-21.127480175749767</v>
      </c>
      <c r="G369" s="11">
        <f t="shared" si="33"/>
        <v>-20.931746546052427</v>
      </c>
    </row>
    <row r="370" spans="5:7" x14ac:dyDescent="0.25">
      <c r="E370" s="11">
        <f t="shared" si="31"/>
        <v>-52</v>
      </c>
      <c r="F370" s="11">
        <f t="shared" si="32"/>
        <v>-20.770824688260387</v>
      </c>
      <c r="G370" s="11">
        <f t="shared" si="33"/>
        <v>-20.574376214583751</v>
      </c>
    </row>
    <row r="371" spans="5:7" x14ac:dyDescent="0.25">
      <c r="E371" s="11">
        <f t="shared" si="31"/>
        <v>-51</v>
      </c>
      <c r="F371" s="11">
        <f t="shared" si="32"/>
        <v>-20.408881592017611</v>
      </c>
      <c r="G371" s="11">
        <f t="shared" si="33"/>
        <v>-20.213982327467232</v>
      </c>
    </row>
    <row r="372" spans="5:7" x14ac:dyDescent="0.25">
      <c r="E372" s="11">
        <f t="shared" si="31"/>
        <v>-50</v>
      </c>
      <c r="F372" s="11">
        <f t="shared" si="32"/>
        <v>-20.041800498273936</v>
      </c>
      <c r="G372" s="11">
        <f t="shared" si="33"/>
        <v>-19.850686517217689</v>
      </c>
    </row>
    <row r="373" spans="5:7" x14ac:dyDescent="0.25">
      <c r="E373" s="11">
        <f t="shared" si="31"/>
        <v>-49</v>
      </c>
      <c r="F373" s="11">
        <f t="shared" si="32"/>
        <v>-19.669751752363819</v>
      </c>
      <c r="G373" s="11">
        <f t="shared" si="33"/>
        <v>-19.484610416349927</v>
      </c>
    </row>
    <row r="374" spans="5:7" x14ac:dyDescent="0.25">
      <c r="E374" s="11">
        <f t="shared" si="31"/>
        <v>-48</v>
      </c>
      <c r="F374" s="11">
        <f t="shared" si="32"/>
        <v>-19.292926211998356</v>
      </c>
      <c r="G374" s="11">
        <f t="shared" si="33"/>
        <v>-19.115875657378766</v>
      </c>
    </row>
    <row r="375" spans="5:7" x14ac:dyDescent="0.25">
      <c r="E375" s="11">
        <f t="shared" si="31"/>
        <v>-47</v>
      </c>
      <c r="F375" s="11">
        <f t="shared" si="32"/>
        <v>-18.911534906481396</v>
      </c>
      <c r="G375" s="11">
        <f t="shared" si="33"/>
        <v>-18.74460387281902</v>
      </c>
    </row>
    <row r="376" spans="5:7" x14ac:dyDescent="0.25">
      <c r="E376" s="11">
        <f t="shared" si="31"/>
        <v>-46</v>
      </c>
      <c r="F376" s="11">
        <f t="shared" si="32"/>
        <v>-18.525808570169978</v>
      </c>
      <c r="G376" s="11">
        <f t="shared" si="33"/>
        <v>-18.370916695185493</v>
      </c>
    </row>
    <row r="377" spans="5:7" x14ac:dyDescent="0.25">
      <c r="E377" s="11">
        <f t="shared" si="31"/>
        <v>-45</v>
      </c>
      <c r="F377" s="11">
        <f t="shared" si="32"/>
        <v>-18.135997043371805</v>
      </c>
      <c r="G377" s="11">
        <f t="shared" si="33"/>
        <v>-17.994935756993009</v>
      </c>
    </row>
    <row r="378" spans="5:7" x14ac:dyDescent="0.25">
      <c r="E378" s="11">
        <f t="shared" si="31"/>
        <v>-44</v>
      </c>
      <c r="F378" s="11">
        <f t="shared" si="32"/>
        <v>-17.742368533742329</v>
      </c>
      <c r="G378" s="11">
        <f t="shared" si="33"/>
        <v>-17.616782690756374</v>
      </c>
    </row>
    <row r="379" spans="5:7" x14ac:dyDescent="0.25">
      <c r="E379" s="11">
        <f t="shared" si="31"/>
        <v>-43</v>
      </c>
      <c r="F379" s="11">
        <f t="shared" si="32"/>
        <v>-17.345208731113132</v>
      </c>
      <c r="G379" s="11">
        <f t="shared" si="33"/>
        <v>-17.236579128990403</v>
      </c>
    </row>
    <row r="380" spans="5:7" x14ac:dyDescent="0.25">
      <c r="E380" s="11">
        <f t="shared" si="31"/>
        <v>-42</v>
      </c>
      <c r="F380" s="11">
        <f t="shared" si="32"/>
        <v>-16.944819768553739</v>
      </c>
      <c r="G380" s="11">
        <f t="shared" si="33"/>
        <v>-16.854446704209906</v>
      </c>
    </row>
    <row r="381" spans="5:7" x14ac:dyDescent="0.25">
      <c r="E381" s="11">
        <f t="shared" si="31"/>
        <v>-41</v>
      </c>
      <c r="F381" s="11">
        <f t="shared" si="32"/>
        <v>-16.541519022338331</v>
      </c>
      <c r="G381" s="11">
        <f t="shared" si="33"/>
        <v>-16.470507048929701</v>
      </c>
    </row>
    <row r="382" spans="5:7" x14ac:dyDescent="0.25">
      <c r="E382" s="11">
        <f t="shared" si="31"/>
        <v>-40</v>
      </c>
      <c r="F382" s="11">
        <f t="shared" si="32"/>
        <v>-16.135637743358419</v>
      </c>
      <c r="G382" s="11">
        <f t="shared" si="33"/>
        <v>-16.084881795664597</v>
      </c>
    </row>
    <row r="383" spans="5:7" x14ac:dyDescent="0.25">
      <c r="E383" s="11">
        <f t="shared" si="31"/>
        <v>-39</v>
      </c>
      <c r="F383" s="11">
        <f t="shared" si="32"/>
        <v>-15.727519512392693</v>
      </c>
      <c r="G383" s="11">
        <f t="shared" si="33"/>
        <v>-15.697692576929409</v>
      </c>
    </row>
    <row r="384" spans="5:7" x14ac:dyDescent="0.25">
      <c r="E384" s="11">
        <f t="shared" si="31"/>
        <v>-38</v>
      </c>
      <c r="F384" s="11">
        <f t="shared" si="32"/>
        <v>-15.317518511514354</v>
      </c>
      <c r="G384" s="11">
        <f t="shared" si="33"/>
        <v>-15.309061025238949</v>
      </c>
    </row>
    <row r="385" spans="5:7" x14ac:dyDescent="0.25">
      <c r="E385" s="11">
        <f t="shared" si="31"/>
        <v>-37</v>
      </c>
      <c r="F385" s="11">
        <f t="shared" si="32"/>
        <v>-14.905997603786695</v>
      </c>
      <c r="G385" s="11">
        <f t="shared" si="33"/>
        <v>-14.919108773108029</v>
      </c>
    </row>
    <row r="386" spans="5:7" x14ac:dyDescent="0.25">
      <c r="E386" s="11">
        <f t="shared" si="31"/>
        <v>-36</v>
      </c>
      <c r="F386" s="11">
        <f t="shared" si="32"/>
        <v>-14.493326213266654</v>
      </c>
      <c r="G386" s="11">
        <f t="shared" si="33"/>
        <v>-14.527957453051464</v>
      </c>
    </row>
    <row r="387" spans="5:7" x14ac:dyDescent="0.25">
      <c r="E387" s="11">
        <f t="shared" si="31"/>
        <v>-35</v>
      </c>
      <c r="F387" s="11">
        <f t="shared" si="32"/>
        <v>-14.079877997206436</v>
      </c>
      <c r="G387" s="11">
        <f t="shared" si="33"/>
        <v>-14.135728697584064</v>
      </c>
    </row>
    <row r="388" spans="5:7" x14ac:dyDescent="0.25">
      <c r="E388" s="11">
        <f t="shared" si="31"/>
        <v>-34</v>
      </c>
      <c r="F388" s="11">
        <f t="shared" si="32"/>
        <v>-13.66602830221243</v>
      </c>
      <c r="G388" s="11">
        <f t="shared" si="33"/>
        <v>-13.742528418577203</v>
      </c>
    </row>
    <row r="389" spans="5:7" x14ac:dyDescent="0.25">
      <c r="E389" s="11">
        <f t="shared" si="31"/>
        <v>-33</v>
      </c>
      <c r="F389" s="11">
        <f t="shared" si="32"/>
        <v>-13.252151395990916</v>
      </c>
      <c r="G389" s="11">
        <f t="shared" si="33"/>
        <v>-13.348399645328495</v>
      </c>
    </row>
    <row r="390" spans="5:7" x14ac:dyDescent="0.25">
      <c r="E390" s="11">
        <f t="shared" si="31"/>
        <v>-32</v>
      </c>
      <c r="F390" s="11">
        <f t="shared" si="32"/>
        <v>-12.838617466179262</v>
      </c>
      <c r="G390" s="11">
        <f t="shared" si="33"/>
        <v>-12.953369686492112</v>
      </c>
    </row>
    <row r="391" spans="5:7" x14ac:dyDescent="0.25">
      <c r="E391" s="11">
        <f t="shared" si="31"/>
        <v>-31</v>
      </c>
      <c r="F391" s="11">
        <f t="shared" si="32"/>
        <v>-12.425789377631428</v>
      </c>
      <c r="G391" s="11">
        <f t="shared" si="33"/>
        <v>-12.557465850722222</v>
      </c>
    </row>
    <row r="392" spans="5:7" x14ac:dyDescent="0.25">
      <c r="E392" s="11">
        <f t="shared" si="31"/>
        <v>-30</v>
      </c>
      <c r="F392" s="11">
        <f t="shared" si="32"/>
        <v>-12.014019179396035</v>
      </c>
      <c r="G392" s="11">
        <f t="shared" si="33"/>
        <v>-12.160715446673002</v>
      </c>
    </row>
    <row r="393" spans="5:7" x14ac:dyDescent="0.25">
      <c r="E393" s="11">
        <f t="shared" si="31"/>
        <v>-29</v>
      </c>
      <c r="F393" s="11">
        <f t="shared" si="32"/>
        <v>-11.603644352495124</v>
      </c>
      <c r="G393" s="11">
        <f t="shared" si="33"/>
        <v>-11.76314578299862</v>
      </c>
    </row>
    <row r="394" spans="5:7" x14ac:dyDescent="0.25">
      <c r="E394" s="11">
        <f t="shared" si="31"/>
        <v>-28</v>
      </c>
      <c r="F394" s="11">
        <f t="shared" si="32"/>
        <v>-11.194983789481366</v>
      </c>
      <c r="G394" s="11">
        <f t="shared" si="33"/>
        <v>-11.364784168353252</v>
      </c>
    </row>
    <row r="395" spans="5:7" x14ac:dyDescent="0.25">
      <c r="E395" s="11">
        <f t="shared" si="31"/>
        <v>-27</v>
      </c>
      <c r="F395" s="11">
        <f t="shared" si="32"/>
        <v>-10.788333496621265</v>
      </c>
      <c r="G395" s="11">
        <f t="shared" si="33"/>
        <v>-10.965657911391064</v>
      </c>
    </row>
    <row r="396" spans="5:7" x14ac:dyDescent="0.25">
      <c r="E396" s="11">
        <f t="shared" si="31"/>
        <v>-26</v>
      </c>
      <c r="F396" s="11">
        <f t="shared" si="32"/>
        <v>-10.383962009421449</v>
      </c>
      <c r="G396" s="11">
        <f t="shared" si="33"/>
        <v>-10.565794320766235</v>
      </c>
    </row>
    <row r="397" spans="5:7" x14ac:dyDescent="0.25">
      <c r="E397" s="11">
        <f t="shared" si="31"/>
        <v>-25</v>
      </c>
      <c r="F397" s="11">
        <f t="shared" si="32"/>
        <v>-9.982105512085182</v>
      </c>
      <c r="G397" s="11">
        <f t="shared" si="33"/>
        <v>-10.165220705132931</v>
      </c>
    </row>
    <row r="398" spans="5:7" x14ac:dyDescent="0.25">
      <c r="E398" s="11">
        <f t="shared" si="31"/>
        <v>-24</v>
      </c>
      <c r="F398" s="11">
        <f t="shared" si="32"/>
        <v>-9.58296265135548</v>
      </c>
      <c r="G398" s="11">
        <f t="shared" si="33"/>
        <v>-9.7639643731453294</v>
      </c>
    </row>
    <row r="399" spans="5:7" x14ac:dyDescent="0.25">
      <c r="E399" s="11">
        <f t="shared" si="31"/>
        <v>-23</v>
      </c>
      <c r="F399" s="11">
        <f t="shared" si="32"/>
        <v>-9.1866890350714119</v>
      </c>
      <c r="G399" s="11">
        <f t="shared" si="33"/>
        <v>-9.362052633457596</v>
      </c>
    </row>
    <row r="400" spans="5:7" x14ac:dyDescent="0.25">
      <c r="E400" s="11">
        <f t="shared" si="31"/>
        <v>-22</v>
      </c>
      <c r="F400" s="11">
        <f t="shared" si="32"/>
        <v>-8.7933914056335087</v>
      </c>
      <c r="G400" s="11">
        <f t="shared" si="33"/>
        <v>-8.9595127947239082</v>
      </c>
    </row>
    <row r="401" spans="5:7" x14ac:dyDescent="0.25">
      <c r="E401" s="11">
        <f t="shared" si="31"/>
        <v>-21</v>
      </c>
      <c r="F401" s="11">
        <f t="shared" si="32"/>
        <v>-8.4031214784440991</v>
      </c>
      <c r="G401" s="11">
        <f t="shared" si="33"/>
        <v>-8.5563721655984359</v>
      </c>
    </row>
    <row r="402" spans="5:7" x14ac:dyDescent="0.25">
      <c r="E402" s="11">
        <f t="shared" si="31"/>
        <v>-20</v>
      </c>
      <c r="F402" s="11">
        <f t="shared" si="32"/>
        <v>-8.0158694352580646</v>
      </c>
      <c r="G402" s="11">
        <f t="shared" si="33"/>
        <v>-8.1526580547353529</v>
      </c>
    </row>
    <row r="403" spans="5:7" x14ac:dyDescent="0.25">
      <c r="E403" s="11">
        <f t="shared" si="31"/>
        <v>-19</v>
      </c>
      <c r="F403" s="11">
        <f t="shared" si="32"/>
        <v>-7.6315570622492057</v>
      </c>
      <c r="G403" s="11">
        <f t="shared" si="33"/>
        <v>-7.748397770788829</v>
      </c>
    </row>
    <row r="404" spans="5:7" x14ac:dyDescent="0.25">
      <c r="E404" s="11">
        <f t="shared" si="31"/>
        <v>-18</v>
      </c>
      <c r="F404" s="11">
        <f t="shared" si="32"/>
        <v>-7.2500305224671813</v>
      </c>
      <c r="G404" s="11">
        <f t="shared" si="33"/>
        <v>-7.343618622413036</v>
      </c>
    </row>
    <row r="405" spans="5:7" x14ac:dyDescent="0.25">
      <c r="E405" s="11">
        <f t="shared" si="31"/>
        <v>-17</v>
      </c>
      <c r="F405" s="11">
        <f t="shared" si="32"/>
        <v>-6.8710527522295584</v>
      </c>
      <c r="G405" s="11">
        <f t="shared" si="33"/>
        <v>-6.9383479182621475</v>
      </c>
    </row>
    <row r="406" spans="5:7" x14ac:dyDescent="0.25">
      <c r="E406" s="11">
        <f t="shared" si="31"/>
        <v>-16</v>
      </c>
      <c r="F406" s="11">
        <f t="shared" si="32"/>
        <v>-6.4942954708633849</v>
      </c>
      <c r="G406" s="11">
        <f t="shared" si="33"/>
        <v>-6.5326129669903352</v>
      </c>
    </row>
    <row r="407" spans="5:7" x14ac:dyDescent="0.25">
      <c r="E407" s="11">
        <f t="shared" si="31"/>
        <v>-15</v>
      </c>
      <c r="F407" s="11">
        <f t="shared" si="32"/>
        <v>-6.1193307930803469</v>
      </c>
      <c r="G407" s="11">
        <f t="shared" si="33"/>
        <v>-6.1264410772517701</v>
      </c>
    </row>
    <row r="408" spans="5:7" x14ac:dyDescent="0.25">
      <c r="E408" s="11">
        <f t="shared" si="31"/>
        <v>-14</v>
      </c>
      <c r="F408" s="11">
        <f t="shared" si="32"/>
        <v>-5.7456224331392116</v>
      </c>
      <c r="G408" s="11">
        <f t="shared" si="33"/>
        <v>-5.7198595577006248</v>
      </c>
    </row>
    <row r="409" spans="5:7" x14ac:dyDescent="0.25">
      <c r="E409" s="11">
        <f t="shared" si="31"/>
        <v>-13</v>
      </c>
      <c r="F409" s="11">
        <f t="shared" si="32"/>
        <v>-5.3725164898191151</v>
      </c>
      <c r="G409" s="11">
        <f t="shared" si="33"/>
        <v>-5.312895716991072</v>
      </c>
    </row>
    <row r="410" spans="5:7" x14ac:dyDescent="0.25">
      <c r="E410" s="11">
        <f t="shared" si="31"/>
        <v>-12</v>
      </c>
      <c r="F410" s="11">
        <f t="shared" si="32"/>
        <v>-4.9992318010968164</v>
      </c>
      <c r="G410" s="11">
        <f t="shared" si="33"/>
        <v>-4.9055768637772825</v>
      </c>
    </row>
    <row r="411" spans="5:7" x14ac:dyDescent="0.25">
      <c r="E411" s="11">
        <f t="shared" si="31"/>
        <v>-11</v>
      </c>
      <c r="F411" s="11">
        <f t="shared" si="32"/>
        <v>-4.6248498572908776</v>
      </c>
      <c r="G411" s="11">
        <f t="shared" si="33"/>
        <v>-4.4979303067134282</v>
      </c>
    </row>
    <row r="412" spans="5:7" x14ac:dyDescent="0.25">
      <c r="E412" s="11">
        <f t="shared" si="31"/>
        <v>-10</v>
      </c>
      <c r="F412" s="11">
        <f t="shared" si="32"/>
        <v>-4.2483042613053685</v>
      </c>
      <c r="G412" s="11">
        <f t="shared" si="33"/>
        <v>-4.0899833544536817</v>
      </c>
    </row>
    <row r="413" spans="5:7" x14ac:dyDescent="0.25">
      <c r="E413" s="11">
        <f t="shared" si="31"/>
        <v>-9</v>
      </c>
      <c r="F413" s="11">
        <f t="shared" si="32"/>
        <v>-3.8683697244754192</v>
      </c>
      <c r="G413" s="11">
        <f t="shared" si="33"/>
        <v>-3.6817633156522165</v>
      </c>
    </row>
    <row r="414" spans="5:7" x14ac:dyDescent="0.25">
      <c r="E414" s="11">
        <f t="shared" si="31"/>
        <v>-8</v>
      </c>
      <c r="F414" s="11">
        <f t="shared" si="32"/>
        <v>-3.4836505863866827</v>
      </c>
      <c r="G414" s="11">
        <f t="shared" si="33"/>
        <v>-3.2732974989632022</v>
      </c>
    </row>
    <row r="415" spans="5:7" x14ac:dyDescent="0.25">
      <c r="E415" s="11">
        <f t="shared" ref="E415:E422" si="34">E208</f>
        <v>-7</v>
      </c>
      <c r="F415" s="11">
        <f t="shared" ref="F415:F422" si="35">$H$217*0+E415*$I$217+E415^2*$J$217+E415^3*$K$217+E415^4*$L$217+E415^5*$M$217+E415^6*$N$217+E415^7*$O$217+E415^8*$P$217</f>
        <v>-3.0925688469104511</v>
      </c>
      <c r="G415" s="11">
        <f t="shared" ref="G415:G422" si="36">F208</f>
        <v>-2.8646132130408124</v>
      </c>
    </row>
    <row r="416" spans="5:7" x14ac:dyDescent="0.25">
      <c r="E416" s="11">
        <f t="shared" si="34"/>
        <v>-6</v>
      </c>
      <c r="F416" s="11">
        <f t="shared" si="35"/>
        <v>-2.6933516985659094</v>
      </c>
      <c r="G416" s="11">
        <f t="shared" si="36"/>
        <v>-2.4557377665392184</v>
      </c>
    </row>
    <row r="417" spans="5:7" x14ac:dyDescent="0.25">
      <c r="E417" s="11">
        <f t="shared" si="34"/>
        <v>-5</v>
      </c>
      <c r="F417" s="11">
        <f t="shared" si="35"/>
        <v>-2.2840185471907017</v>
      </c>
      <c r="G417" s="11">
        <f t="shared" si="36"/>
        <v>-2.0466984681125919</v>
      </c>
    </row>
    <row r="418" spans="5:7" x14ac:dyDescent="0.25">
      <c r="E418" s="11">
        <f t="shared" si="34"/>
        <v>-4</v>
      </c>
      <c r="F418" s="11">
        <f t="shared" si="35"/>
        <v>-1.8623675087707037</v>
      </c>
      <c r="G418" s="11">
        <f t="shared" si="36"/>
        <v>-1.6375226264151055</v>
      </c>
    </row>
    <row r="419" spans="5:7" x14ac:dyDescent="0.25">
      <c r="E419" s="11">
        <f t="shared" si="34"/>
        <v>-3</v>
      </c>
      <c r="F419" s="11">
        <f t="shared" si="35"/>
        <v>-1.4259613701496228</v>
      </c>
      <c r="G419" s="11">
        <f t="shared" si="36"/>
        <v>-1.2282375501009313</v>
      </c>
    </row>
    <row r="420" spans="5:7" x14ac:dyDescent="0.25">
      <c r="E420" s="11">
        <f t="shared" si="34"/>
        <v>-2</v>
      </c>
      <c r="F420" s="11">
        <f t="shared" si="35"/>
        <v>-0.97211300120874011</v>
      </c>
      <c r="G420" s="11">
        <f t="shared" si="36"/>
        <v>-0.81887054782424085</v>
      </c>
    </row>
    <row r="421" spans="5:7" x14ac:dyDescent="0.25">
      <c r="E421" s="11">
        <f t="shared" si="34"/>
        <v>-1</v>
      </c>
      <c r="F421" s="11">
        <f t="shared" si="35"/>
        <v>-0.49787020597682785</v>
      </c>
      <c r="G421" s="11">
        <f t="shared" si="36"/>
        <v>-0.40944892823920642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2022-01-09T08:28:39Z</dcterms:modified>
</cp:coreProperties>
</file>