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C403" i="43"/>
  <c r="G403" i="43"/>
  <c r="H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12" i="43"/>
  <c r="B415" i="43"/>
  <c r="B417" i="43"/>
  <c r="B409" i="43"/>
  <c r="B406" i="43"/>
  <c r="B429" i="43"/>
  <c r="B411" i="43"/>
  <c r="B416" i="43"/>
  <c r="B432" i="43"/>
  <c r="B404" i="43"/>
  <c r="B428" i="43"/>
  <c r="B433" i="43"/>
  <c r="B422" i="43"/>
  <c r="B410" i="43"/>
  <c r="B407" i="43"/>
  <c r="B431" i="43"/>
  <c r="B427" i="43"/>
  <c r="B420" i="43"/>
  <c r="B426" i="43"/>
  <c r="B434" i="43"/>
  <c r="B430" i="43"/>
  <c r="B423" i="43"/>
  <c r="B418" i="43"/>
  <c r="B419" i="43"/>
  <c r="B421" i="43"/>
  <c r="D406" i="43"/>
  <c r="D417" i="43"/>
  <c r="D419" i="43"/>
  <c r="D426" i="43"/>
  <c r="D430" i="43"/>
  <c r="D414" i="43"/>
  <c r="D429" i="43"/>
  <c r="D411" i="43"/>
  <c r="D416" i="43"/>
  <c r="D423" i="43"/>
  <c r="D428" i="43"/>
  <c r="D404" i="43"/>
  <c r="D407" i="43"/>
  <c r="D427" i="43"/>
  <c r="D409" i="43"/>
  <c r="D421" i="43"/>
  <c r="D434" i="43"/>
  <c r="D418" i="43"/>
  <c r="D425" i="43"/>
  <c r="D432" i="43"/>
  <c r="D410" i="43"/>
  <c r="D412" i="43"/>
  <c r="D420" i="43"/>
  <c r="D422" i="43"/>
  <c r="D431" i="43"/>
  <c r="D405" i="43"/>
  <c r="D408" i="43"/>
  <c r="D413" i="43"/>
  <c r="D415" i="43"/>
  <c r="D424" i="43"/>
  <c r="D433" i="43"/>
  <c r="H434" i="43"/>
  <c r="H418" i="43"/>
  <c r="H415" i="43"/>
  <c r="H410" i="43"/>
  <c r="H424" i="43"/>
  <c r="H405" i="43"/>
  <c r="H429" i="43"/>
  <c r="H417" i="43"/>
  <c r="H414" i="43"/>
  <c r="H430" i="43"/>
  <c r="H423" i="43"/>
  <c r="H419" i="43"/>
  <c r="H416" i="43"/>
  <c r="H404" i="43"/>
  <c r="H413" i="43"/>
  <c r="H427" i="43"/>
  <c r="H409" i="43"/>
  <c r="H422" i="43"/>
  <c r="H421" i="43"/>
  <c r="H408" i="43"/>
  <c r="H420" i="43"/>
  <c r="H433" i="43"/>
  <c r="H428" i="43"/>
  <c r="H426" i="43"/>
  <c r="H431" i="43"/>
  <c r="H406" i="43"/>
  <c r="H432" i="43"/>
  <c r="H412" i="43"/>
  <c r="H425" i="43"/>
  <c r="H407" i="43"/>
  <c r="H411" i="43"/>
  <c r="G410" i="43"/>
  <c r="G413" i="43"/>
  <c r="G431" i="43"/>
  <c r="G416" i="43"/>
  <c r="G434" i="43"/>
  <c r="G428" i="43"/>
  <c r="G429" i="43"/>
  <c r="G411" i="43"/>
  <c r="G427" i="43"/>
  <c r="G409" i="43"/>
  <c r="G420" i="43"/>
  <c r="G430" i="43"/>
  <c r="G422" i="43"/>
  <c r="G426" i="43"/>
  <c r="G408" i="43"/>
  <c r="G424" i="43"/>
  <c r="G412" i="43"/>
  <c r="G406" i="43"/>
  <c r="G419" i="43"/>
  <c r="G423" i="43"/>
  <c r="G405" i="43"/>
  <c r="G421" i="43"/>
  <c r="G418" i="43"/>
  <c r="G425" i="43"/>
  <c r="G414" i="43"/>
  <c r="G407" i="43"/>
  <c r="G404" i="43"/>
  <c r="G417" i="43"/>
  <c r="G433" i="43"/>
  <c r="G415" i="43"/>
  <c r="G432" i="43"/>
  <c r="C406" i="43"/>
  <c r="C423" i="43"/>
  <c r="C428" i="43"/>
  <c r="C404" i="43"/>
  <c r="C420" i="43"/>
  <c r="C409" i="43"/>
  <c r="C421" i="43"/>
  <c r="C434" i="43"/>
  <c r="C410" i="43"/>
  <c r="C422" i="43"/>
  <c r="C407" i="43"/>
  <c r="C414" i="43"/>
  <c r="C418" i="43"/>
  <c r="C425" i="43"/>
  <c r="C427" i="43"/>
  <c r="C429" i="43"/>
  <c r="C432" i="43"/>
  <c r="C412" i="43"/>
  <c r="C405" i="43"/>
  <c r="C408" i="43"/>
  <c r="C415" i="43"/>
  <c r="C424" i="43"/>
  <c r="C433" i="43"/>
  <c r="C417" i="43"/>
  <c r="C419" i="43"/>
  <c r="C426" i="43"/>
  <c r="C430" i="43"/>
  <c r="C431" i="43"/>
  <c r="C413" i="43"/>
  <c r="C411" i="43"/>
  <c r="C416" i="43"/>
  <c r="E405" i="43"/>
  <c r="E408" i="43"/>
  <c r="E413" i="43"/>
  <c r="E415" i="43"/>
  <c r="E424" i="43"/>
  <c r="E433" i="43"/>
  <c r="E406" i="43"/>
  <c r="E417" i="43"/>
  <c r="E419" i="43"/>
  <c r="E426" i="43"/>
  <c r="E430" i="43"/>
  <c r="E434" i="43"/>
  <c r="E411" i="43"/>
  <c r="E416" i="43"/>
  <c r="E423" i="43"/>
  <c r="E404" i="43"/>
  <c r="E418" i="43"/>
  <c r="E425" i="43"/>
  <c r="E427" i="43"/>
  <c r="E429" i="43"/>
  <c r="E410" i="43"/>
  <c r="E420" i="43"/>
  <c r="E422" i="43"/>
  <c r="E431" i="43"/>
  <c r="E421" i="43"/>
  <c r="E409" i="43"/>
  <c r="E432" i="43"/>
  <c r="E412" i="43"/>
  <c r="E428" i="43"/>
  <c r="E407" i="43"/>
  <c r="E414" i="43"/>
  <c r="F415" i="43"/>
  <c r="F410" i="43"/>
  <c r="F420" i="43"/>
  <c r="F431" i="43"/>
  <c r="F423" i="43"/>
  <c r="F424" i="43"/>
  <c r="F416" i="43"/>
  <c r="F419" i="43"/>
  <c r="F430" i="43"/>
  <c r="F434" i="43"/>
  <c r="F427" i="43"/>
  <c r="F404" i="43"/>
  <c r="F421" i="43"/>
  <c r="F425" i="43"/>
  <c r="F426" i="43"/>
  <c r="F412" i="43"/>
  <c r="F433" i="43"/>
  <c r="F417" i="43"/>
  <c r="F414" i="43"/>
  <c r="F422" i="43"/>
  <c r="F411" i="43"/>
  <c r="F405" i="43"/>
  <c r="F413" i="43"/>
  <c r="F432" i="43"/>
  <c r="F418" i="43"/>
  <c r="F409"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<sst xmlns="http://schemas.openxmlformats.org/spreadsheetml/2006/main" count="311" uniqueCount="164">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</sst>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9612808"/>
        <c:axId val="549615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96128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5160"/>
        <c:crossesAt val="-8.0000000000000019E-3"/>
        <c:crossBetween val="midCat"/>
      </c:valAx>
      <c:valAx>
        <c:axId val="549615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28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9612416"/>
        <c:axId val="5496116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96124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1632"/>
        <c:crosses val="autoZero"/>
        <c:crossBetween val="midCat"/>
      </c:valAx>
      <c:valAx>
        <c:axId val="54961163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241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9613592"/>
        <c:axId val="5496139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9613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3984"/>
        <c:crosses val="autoZero"/>
        <c:crossBetween val="midCat"/>
        <c:majorUnit val="10000"/>
      </c:valAx>
      <c:valAx>
        <c:axId val="54961398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359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62115800"/>
        <c:axId val="6621138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21158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62113840"/>
        <c:crosses val="autoZero"/>
        <c:crossBetween val="midCat"/>
        <c:majorUnit val="10000"/>
      </c:valAx>
      <c:valAx>
        <c:axId val="66211384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6211580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62116192"/>
        <c:axId val="662115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21161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2115016"/>
        <c:crosses val="autoZero"/>
        <c:crossBetween val="midCat"/>
        <c:majorUnit val="10000"/>
      </c:valAx>
      <c:valAx>
        <c:axId val="66211501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211619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1.0299544149317909E-2</c:v>
                </c:pt>
                <c:pt idx="1">
                  <c:v>1.3784416860920624E-2</c:v>
                </c:pt>
                <c:pt idx="2">
                  <c:v>3.7226659457520314E-3</c:v>
                </c:pt>
                <c:pt idx="3">
                  <c:v>6.2027228443420823E-4</c:v>
                </c:pt>
                <c:pt idx="4">
                  <c:v>8.8815079565313955E-5</c:v>
                </c:pt>
                <c:pt idx="5">
                  <c:v>1.1932210767503492E-5</c:v>
                </c:pt>
                <c:pt idx="6">
                  <c:v>4.6645117480424997E-6</c:v>
                </c:pt>
                <c:pt idx="7">
                  <c:v>9.5344880002123686E-6</c:v>
                </c:pt>
                <c:pt idx="8">
                  <c:v>2.0615258211657217E-5</c:v>
                </c:pt>
                <c:pt idx="9">
                  <c:v>4.1258668154014697E-5</c:v>
                </c:pt>
                <c:pt idx="10">
                  <c:v>7.2774403420671169E-5</c:v>
                </c:pt>
                <c:pt idx="11">
                  <c:v>1.0914563827379773E-4</c:v>
                </c:pt>
                <c:pt idx="12">
                  <c:v>1.3922464294352732E-4</c:v>
                </c:pt>
                <c:pt idx="13">
                  <c:v>1.5235977441867209E-4</c:v>
                </c:pt>
                <c:pt idx="14">
                  <c:v>1.4422161815769147E-4</c:v>
                </c:pt>
                <c:pt idx="15">
                  <c:v>1.1734416973823701E-4</c:v>
                </c:pt>
                <c:pt idx="16">
                  <c:v>8.3075461070419881E-5</c:v>
                </c:pt>
                <c:pt idx="17">
                  <c:v>5.2979553593272645E-5</c:v>
                </c:pt>
                <c:pt idx="18">
                  <c:v>3.1685348056316311E-5</c:v>
                </c:pt>
                <c:pt idx="19">
                  <c:v>1.5948953665017579E-5</c:v>
                </c:pt>
                <c:pt idx="20">
                  <c:v>4.4980595759701235E-6</c:v>
                </c:pt>
                <c:pt idx="21">
                  <c:v>1.0986108469207033E-7</c:v>
                </c:pt>
                <c:pt idx="22">
                  <c:v>1.6411533033273617E-6</c:v>
                </c:pt>
                <c:pt idx="23">
                  <c:v>8.7240290351011177E-7</c:v>
                </c:pt>
                <c:pt idx="24">
                  <c:v>1.6432635567000235E-5</c:v>
                </c:pt>
                <c:pt idx="25">
                  <c:v>4.4131334878472312E-5</c:v>
                </c:pt>
                <c:pt idx="26">
                  <c:v>5.0323544747846609E-5</c:v>
                </c:pt>
                <c:pt idx="27">
                  <c:v>4.7799326640139064E-5</c:v>
                </c:pt>
                <c:pt idx="28">
                  <c:v>4.2675757100512749E-5</c:v>
                </c:pt>
                <c:pt idx="29">
                  <c:v>3.1945545455990406E-5</c:v>
                </c:pt>
                <c:pt idx="30">
                  <c:v>1.6856142680717416E-5</c:v>
                </c:pt>
              </c:numCache>
            </c:numRef>
          </c:yVal>
          <c:smooth val="1"/>
        </c:ser>
        <c:dLbls>
          <c:showLegendKey val="0"/>
          <c:showVal val="0"/>
          <c:showCatName val="0"/>
          <c:showSerName val="0"/>
          <c:showPercent val="0"/>
          <c:showBubbleSize val="0"/>
        </c:dLbls>
        <c:axId val="547496752"/>
        <c:axId val="547497144"/>
      </c:scatterChart>
      <c:valAx>
        <c:axId val="5474967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7144"/>
        <c:crossesAt val="-1.5000000000000005E-3"/>
        <c:crossBetween val="midCat"/>
      </c:valAx>
      <c:valAx>
        <c:axId val="5474971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67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6025.0255218836228</c:v>
                </c:pt>
                <c:pt idx="1">
                  <c:v>5964.2988907602166</c:v>
                </c:pt>
                <c:pt idx="2">
                  <c:v>5745.1449421146772</c:v>
                </c:pt>
                <c:pt idx="3">
                  <c:v>5655.7485864177461</c:v>
                </c:pt>
                <c:pt idx="4">
                  <c:v>5525.2010054395932</c:v>
                </c:pt>
                <c:pt idx="5">
                  <c:v>5390.3768154590744</c:v>
                </c:pt>
                <c:pt idx="6">
                  <c:v>5238.3192138752465</c:v>
                </c:pt>
                <c:pt idx="7">
                  <c:v>5074.7016813703785</c:v>
                </c:pt>
                <c:pt idx="8">
                  <c:v>4908.4558963989548</c:v>
                </c:pt>
                <c:pt idx="9">
                  <c:v>4748.1808575009236</c:v>
                </c:pt>
                <c:pt idx="10">
                  <c:v>4570.2895475930627</c:v>
                </c:pt>
                <c:pt idx="11">
                  <c:v>4356.0875862015582</c:v>
                </c:pt>
                <c:pt idx="12">
                  <c:v>4127.8261366533934</c:v>
                </c:pt>
                <c:pt idx="13">
                  <c:v>3931.6942528964196</c:v>
                </c:pt>
                <c:pt idx="14">
                  <c:v>3755.5081390664441</c:v>
                </c:pt>
                <c:pt idx="15">
                  <c:v>3573.3284742388178</c:v>
                </c:pt>
                <c:pt idx="16">
                  <c:v>3355.9156339844158</c:v>
                </c:pt>
                <c:pt idx="17">
                  <c:v>3066.4282377266195</c:v>
                </c:pt>
                <c:pt idx="18">
                  <c:v>2758.8363134663623</c:v>
                </c:pt>
                <c:pt idx="19">
                  <c:v>2465.3071808546474</c:v>
                </c:pt>
                <c:pt idx="20">
                  <c:v>2197.1380132245476</c:v>
                </c:pt>
                <c:pt idx="21">
                  <c:v>1937.1919834719442</c:v>
                </c:pt>
                <c:pt idx="22">
                  <c:v>1672.2816670314501</c:v>
                </c:pt>
                <c:pt idx="23">
                  <c:v>1384.5517665566142</c:v>
                </c:pt>
                <c:pt idx="24">
                  <c:v>1075.4436038942797</c:v>
                </c:pt>
                <c:pt idx="25">
                  <c:v>780.55525627873465</c:v>
                </c:pt>
                <c:pt idx="26">
                  <c:v>548.75660462859264</c:v>
                </c:pt>
                <c:pt idx="27">
                  <c:v>398.71536226625778</c:v>
                </c:pt>
                <c:pt idx="28">
                  <c:v>320.70380202778875</c:v>
                </c:pt>
                <c:pt idx="29">
                  <c:v>281.71373700275404</c:v>
                </c:pt>
                <c:pt idx="30">
                  <c:v>262.32570879019761</c:v>
                </c:pt>
              </c:numCache>
            </c:numRef>
          </c:yVal>
          <c:smooth val="1"/>
        </c:ser>
        <c:dLbls>
          <c:showLegendKey val="0"/>
          <c:showVal val="0"/>
          <c:showCatName val="0"/>
          <c:showSerName val="0"/>
          <c:showPercent val="0"/>
          <c:showBubbleSize val="0"/>
        </c:dLbls>
        <c:axId val="547498320"/>
        <c:axId val="547497928"/>
      </c:scatterChart>
      <c:valAx>
        <c:axId val="5474983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7928"/>
        <c:crosses val="autoZero"/>
        <c:crossBetween val="midCat"/>
      </c:valAx>
      <c:valAx>
        <c:axId val="5474979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832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7.3363587356227609E-3</c:v>
                </c:pt>
                <c:pt idx="1">
                  <c:v>7.3444726977362675E-3</c:v>
                </c:pt>
                <c:pt idx="2">
                  <c:v>7.3399684968455088E-3</c:v>
                </c:pt>
                <c:pt idx="3">
                  <c:v>7.3436433792591696E-3</c:v>
                </c:pt>
                <c:pt idx="4">
                  <c:v>7.3946622472742521E-3</c:v>
                </c:pt>
                <c:pt idx="5">
                  <c:v>7.9039346027095243E-3</c:v>
                </c:pt>
                <c:pt idx="6">
                  <c:v>1.2467172156978885E-2</c:v>
                </c:pt>
                <c:pt idx="7">
                  <c:v>3.006395399002321E-2</c:v>
                </c:pt>
                <c:pt idx="8">
                  <c:v>3.2717999051854046E-2</c:v>
                </c:pt>
                <c:pt idx="9">
                  <c:v>3.2720293198985645E-2</c:v>
                </c:pt>
                <c:pt idx="10">
                  <c:v>3.2743268994094368E-2</c:v>
                </c:pt>
                <c:pt idx="11">
                  <c:v>3.2972545062725261E-2</c:v>
                </c:pt>
                <c:pt idx="12">
                  <c:v>3.5198263907063092E-2</c:v>
                </c:pt>
                <c:pt idx="13">
                  <c:v>5.1837936867651695E-2</c:v>
                </c:pt>
                <c:pt idx="14">
                  <c:v>6.8191545997921668E-2</c:v>
                </c:pt>
                <c:pt idx="15">
                  <c:v>5.6826912608223333E-2</c:v>
                </c:pt>
                <c:pt idx="16">
                  <c:v>6.180243143302902E-2</c:v>
                </c:pt>
                <c:pt idx="17">
                  <c:v>6.6901618405592903E-2</c:v>
                </c:pt>
                <c:pt idx="18">
                  <c:v>7.3684788363173354E-2</c:v>
                </c:pt>
                <c:pt idx="19">
                  <c:v>7.9625404523857773E-2</c:v>
                </c:pt>
                <c:pt idx="20">
                  <c:v>7.4565153879955617E-2</c:v>
                </c:pt>
                <c:pt idx="21">
                  <c:v>4.174479050470873E-2</c:v>
                </c:pt>
                <c:pt idx="22">
                  <c:v>2.8681882095855957E-3</c:v>
                </c:pt>
                <c:pt idx="23">
                  <c:v>3.4828014763668556E-2</c:v>
                </c:pt>
                <c:pt idx="24">
                  <c:v>5.9005993280632142E-2</c:v>
                </c:pt>
                <c:pt idx="25">
                  <c:v>9.2352561178323106E-2</c:v>
                </c:pt>
                <c:pt idx="26">
                  <c:v>0.11935916813293937</c:v>
                </c:pt>
                <c:pt idx="27">
                  <c:v>0.13172036256322975</c:v>
                </c:pt>
                <c:pt idx="28">
                  <c:v>0.10868520273029887</c:v>
                </c:pt>
                <c:pt idx="29">
                  <c:v>6.2393894983292716E-2</c:v>
                </c:pt>
                <c:pt idx="30">
                  <c:v>2.3082323566311E-3</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2.2652066810122981E-2</c:v>
                </c:pt>
                <c:pt idx="1">
                  <c:v>2.2514294715760445E-2</c:v>
                </c:pt>
                <c:pt idx="2">
                  <c:v>2.1115459633291023E-2</c:v>
                </c:pt>
                <c:pt idx="3">
                  <c:v>1.0765147161756784E-2</c:v>
                </c:pt>
                <c:pt idx="4">
                  <c:v>2.7172509480175504E-3</c:v>
                </c:pt>
                <c:pt idx="5">
                  <c:v>1.5150297899406433E-2</c:v>
                </c:pt>
                <c:pt idx="6">
                  <c:v>1.126578202730727E-2</c:v>
                </c:pt>
                <c:pt idx="7">
                  <c:v>1.3577400106204745E-2</c:v>
                </c:pt>
                <c:pt idx="8">
                  <c:v>1.4750204894180084E-2</c:v>
                </c:pt>
                <c:pt idx="9">
                  <c:v>1.6597014208188484E-2</c:v>
                </c:pt>
                <c:pt idx="10">
                  <c:v>1.7866535575582307E-2</c:v>
                </c:pt>
                <c:pt idx="11">
                  <c:v>1.8352928695043274E-2</c:v>
                </c:pt>
                <c:pt idx="12">
                  <c:v>1.9303669449015501E-2</c:v>
                </c:pt>
                <c:pt idx="13">
                  <c:v>2.3772676329788526E-2</c:v>
                </c:pt>
                <c:pt idx="14">
                  <c:v>2.8220803116509631E-2</c:v>
                </c:pt>
                <c:pt idx="15">
                  <c:v>2.7918284044962844E-2</c:v>
                </c:pt>
                <c:pt idx="16">
                  <c:v>1.9611103693880805E-2</c:v>
                </c:pt>
                <c:pt idx="17">
                  <c:v>2.5466124724734716E-3</c:v>
                </c:pt>
                <c:pt idx="18">
                  <c:v>3.9752760649610933E-2</c:v>
                </c:pt>
                <c:pt idx="19">
                  <c:v>6.2167464424842667E-2</c:v>
                </c:pt>
                <c:pt idx="20">
                  <c:v>5.8469105229091621E-2</c:v>
                </c:pt>
                <c:pt idx="21">
                  <c:v>3.6585379938200276E-2</c:v>
                </c:pt>
                <c:pt idx="22">
                  <c:v>1.8351951875883316E-2</c:v>
                </c:pt>
                <c:pt idx="23">
                  <c:v>8.8500128603338363E-3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1.0313724906608829E-2</c:v>
                </c:pt>
                <c:pt idx="1">
                  <c:v>1.3667437964522113E-2</c:v>
                </c:pt>
                <c:pt idx="2">
                  <c:v>3.8641159512363458E-3</c:v>
                </c:pt>
                <c:pt idx="3">
                  <c:v>5.3803390971803239E-4</c:v>
                </c:pt>
                <c:pt idx="4">
                  <c:v>2.1707018506620523E-4</c:v>
                </c:pt>
                <c:pt idx="5">
                  <c:v>1.2487582398261756E-4</c:v>
                </c:pt>
                <c:pt idx="6">
                  <c:v>1.6945684357817456E-4</c:v>
                </c:pt>
                <c:pt idx="7">
                  <c:v>1.7230422174175622E-4</c:v>
                </c:pt>
                <c:pt idx="8">
                  <c:v>2.0954056710839004E-4</c:v>
                </c:pt>
                <c:pt idx="9">
                  <c:v>1.4880704524068383E-4</c:v>
                </c:pt>
                <c:pt idx="10">
                  <c:v>3.0849734399639894E-4</c:v>
                </c:pt>
                <c:pt idx="11">
                  <c:v>1.8275219532825477E-4</c:v>
                </c:pt>
                <c:pt idx="12">
                  <c:v>4.3019341351524835E-4</c:v>
                </c:pt>
                <c:pt idx="13">
                  <c:v>7.2620971068974302E-5</c:v>
                </c:pt>
                <c:pt idx="14">
                  <c:v>3.9439488383639958E-4</c:v>
                </c:pt>
                <c:pt idx="15">
                  <c:v>1.3029337216994243E-4</c:v>
                </c:pt>
                <c:pt idx="16">
                  <c:v>4.7335734973839047E-4</c:v>
                </c:pt>
                <c:pt idx="17">
                  <c:v>4.0082257373403435E-4</c:v>
                </c:pt>
                <c:pt idx="18">
                  <c:v>5.2104079302374049E-4</c:v>
                </c:pt>
                <c:pt idx="19">
                  <c:v>4.4433975158316276E-4</c:v>
                </c:pt>
                <c:pt idx="20">
                  <c:v>5.6279160055400592E-4</c:v>
                </c:pt>
                <c:pt idx="21">
                  <c:v>3.9223878689847362E-4</c:v>
                </c:pt>
                <c:pt idx="22">
                  <c:v>1.255958480140722E-3</c:v>
                </c:pt>
                <c:pt idx="23">
                  <c:v>8.1458589807437371E-4</c:v>
                </c:pt>
                <c:pt idx="24">
                  <c:v>1.8961812991409273E-3</c:v>
                </c:pt>
                <c:pt idx="25">
                  <c:v>1.5438104032478789E-3</c:v>
                </c:pt>
                <c:pt idx="26">
                  <c:v>2.2158823470763661E-3</c:v>
                </c:pt>
                <c:pt idx="27">
                  <c:v>1.0927848460843643E-3</c:v>
                </c:pt>
                <c:pt idx="28">
                  <c:v>1.1841696951852231E-3</c:v>
                </c:pt>
                <c:pt idx="29">
                  <c:v>2.1923092508161981E-4</c:v>
                </c:pt>
                <c:pt idx="30">
                  <c:v>5.6615328954629993E-4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3.476836403000156E-2</c:v>
                </c:pt>
                <c:pt idx="1">
                  <c:v>5.0746979423247601E-2</c:v>
                </c:pt>
                <c:pt idx="2">
                  <c:v>4.9070439520479091E-2</c:v>
                </c:pt>
                <c:pt idx="3">
                  <c:v>4.5590175492829552E-2</c:v>
                </c:pt>
                <c:pt idx="4">
                  <c:v>1.5195342343699621E-2</c:v>
                </c:pt>
                <c:pt idx="5">
                  <c:v>1.9746730864343594E-2</c:v>
                </c:pt>
                <c:pt idx="6">
                  <c:v>5.3369269788904827E-2</c:v>
                </c:pt>
                <c:pt idx="7">
                  <c:v>6.8029553972534101E-2</c:v>
                </c:pt>
                <c:pt idx="8">
                  <c:v>7.845678492982977E-2</c:v>
                </c:pt>
                <c:pt idx="9">
                  <c:v>3.0819263865039095E-2</c:v>
                </c:pt>
                <c:pt idx="10">
                  <c:v>3.053604031410604E-2</c:v>
                </c:pt>
                <c:pt idx="11">
                  <c:v>8.4556594949848601E-2</c:v>
                </c:pt>
                <c:pt idx="12">
                  <c:v>9.1104522669398239E-2</c:v>
                </c:pt>
                <c:pt idx="13">
                  <c:v>0.15052805879477654</c:v>
                </c:pt>
                <c:pt idx="14">
                  <c:v>2.6119122357777792E-2</c:v>
                </c:pt>
                <c:pt idx="15">
                  <c:v>9.5330860363080229E-4</c:v>
                </c:pt>
                <c:pt idx="16">
                  <c:v>8.9797653069825151E-2</c:v>
                </c:pt>
                <c:pt idx="17">
                  <c:v>6.0687283851315381E-2</c:v>
                </c:pt>
                <c:pt idx="18">
                  <c:v>0.10612682292506441</c:v>
                </c:pt>
                <c:pt idx="19">
                  <c:v>0.17338065484430495</c:v>
                </c:pt>
                <c:pt idx="20">
                  <c:v>0.11123633030437111</c:v>
                </c:pt>
                <c:pt idx="21">
                  <c:v>7.7713937558464216E-2</c:v>
                </c:pt>
                <c:pt idx="22">
                  <c:v>6.4696421243010852E-2</c:v>
                </c:pt>
                <c:pt idx="23">
                  <c:v>5.6570168905921973E-2</c:v>
                </c:pt>
                <c:pt idx="24">
                  <c:v>5.0501740280884236E-2</c:v>
                </c:pt>
                <c:pt idx="25">
                  <c:v>4.8519286469507719E-2</c:v>
                </c:pt>
                <c:pt idx="26">
                  <c:v>4.3079238464676282E-2</c:v>
                </c:pt>
                <c:pt idx="27">
                  <c:v>4.252995213555532E-2</c:v>
                </c:pt>
                <c:pt idx="28">
                  <c:v>3.7450900472284852E-2</c:v>
                </c:pt>
                <c:pt idx="29">
                  <c:v>3.7291290741141965E-2</c:v>
                </c:pt>
                <c:pt idx="30">
                  <c:v>3.5982044999023986E-2</c:v>
                </c:pt>
              </c:numCache>
            </c:numRef>
          </c:yVal>
          <c:smooth val="1"/>
        </c:ser>
        <c:dLbls>
          <c:showLegendKey val="0"/>
          <c:showVal val="0"/>
          <c:showCatName val="0"/>
          <c:showSerName val="0"/>
          <c:showPercent val="0"/>
          <c:showBubbleSize val="0"/>
        </c:dLbls>
        <c:axId val="547495184"/>
        <c:axId val="663573104"/>
      </c:scatterChart>
      <c:valAx>
        <c:axId val="547495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73104"/>
        <c:crossesAt val="1.0000000000000005E-9"/>
        <c:crossBetween val="midCat"/>
      </c:valAx>
      <c:valAx>
        <c:axId val="663573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518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-26.816546265645783</c:v>
                </c:pt>
                <c:pt idx="1">
                  <c:v>-16.655816896481024</c:v>
                </c:pt>
                <c:pt idx="2">
                  <c:v>-11.048263335164281</c:v>
                </c:pt>
                <c:pt idx="3">
                  <c:v>-6.0345060932417978</c:v>
                </c:pt>
                <c:pt idx="4">
                  <c:v>0</c:v>
                </c:pt>
                <c:pt idx="5">
                  <c:v>15.134789782053895</c:v>
                </c:pt>
                <c:pt idx="6">
                  <c:v>28.990552967278404</c:v>
                </c:pt>
              </c:numCache>
            </c:numRef>
          </c:yVal>
          <c:smooth val="0"/>
        </c:ser>
        <c:dLbls>
          <c:showLegendKey val="0"/>
          <c:showVal val="0"/>
          <c:showCatName val="0"/>
          <c:showSerName val="0"/>
          <c:showPercent val="0"/>
          <c:showBubbleSize val="0"/>
        </c:dLbls>
        <c:axId val="663573496"/>
        <c:axId val="663575064"/>
      </c:scatterChart>
      <c:valAx>
        <c:axId val="6635734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75064"/>
        <c:crossesAt val="-100"/>
        <c:crossBetween val="midCat"/>
      </c:valAx>
      <c:valAx>
        <c:axId val="663575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7349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548108792"/>
        <c:axId val="548111928"/>
      </c:scatterChart>
      <c:valAx>
        <c:axId val="54810879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11928"/>
        <c:crosses val="autoZero"/>
        <c:crossBetween val="midCat"/>
      </c:valAx>
      <c:valAx>
        <c:axId val="54811192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0879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2.2579895783499054E-27</c:v>
                </c:pt>
                <c:pt idx="1">
                  <c:v>2.2579895783499055E-26</c:v>
                </c:pt>
                <c:pt idx="2">
                  <c:v>2.2579895783499055E-25</c:v>
                </c:pt>
                <c:pt idx="3">
                  <c:v>2.2579895783499054E-24</c:v>
                </c:pt>
                <c:pt idx="4">
                  <c:v>2.2579895783499053E-23</c:v>
                </c:pt>
                <c:pt idx="5">
                  <c:v>2.2579895783499053E-22</c:v>
                </c:pt>
                <c:pt idx="6">
                  <c:v>2.2579895783499054E-21</c:v>
                </c:pt>
                <c:pt idx="7">
                  <c:v>2.2579895783499054E-20</c:v>
                </c:pt>
                <c:pt idx="8">
                  <c:v>2.2579895783499051E-19</c:v>
                </c:pt>
                <c:pt idx="9">
                  <c:v>2.2579895783499054E-18</c:v>
                </c:pt>
                <c:pt idx="10">
                  <c:v>2.2579895783499057E-17</c:v>
                </c:pt>
                <c:pt idx="11">
                  <c:v>2.2579895783499055E-16</c:v>
                </c:pt>
                <c:pt idx="12">
                  <c:v>2.2579895783499056E-15</c:v>
                </c:pt>
                <c:pt idx="13">
                  <c:v>2.2579895783499056E-14</c:v>
                </c:pt>
                <c:pt idx="14">
                  <c:v>2.2579895783499055E-13</c:v>
                </c:pt>
                <c:pt idx="15">
                  <c:v>2.2579895783499053E-12</c:v>
                </c:pt>
                <c:pt idx="16">
                  <c:v>2.2579895783499055E-11</c:v>
                </c:pt>
                <c:pt idx="17">
                  <c:v>2.2579895783499054E-10</c:v>
                </c:pt>
                <c:pt idx="18">
                  <c:v>2.2579895783499055E-9</c:v>
                </c:pt>
                <c:pt idx="19">
                  <c:v>2.2579895783499055E-8</c:v>
                </c:pt>
                <c:pt idx="20">
                  <c:v>2.2579895783499055E-7</c:v>
                </c:pt>
                <c:pt idx="21">
                  <c:v>2.2579895783499054E-6</c:v>
                </c:pt>
                <c:pt idx="22">
                  <c:v>2.2579895783499056E-5</c:v>
                </c:pt>
                <c:pt idx="23">
                  <c:v>2.2579895783499053E-4</c:v>
                </c:pt>
                <c:pt idx="24">
                  <c:v>2.2579895783499055E-3</c:v>
                </c:pt>
                <c:pt idx="25">
                  <c:v>2.2579895783499053E-2</c:v>
                </c:pt>
                <c:pt idx="26">
                  <c:v>0.22579895783499054</c:v>
                </c:pt>
                <c:pt idx="27">
                  <c:v>2.2579895783499055</c:v>
                </c:pt>
                <c:pt idx="28">
                  <c:v>22.579895783499055</c:v>
                </c:pt>
                <c:pt idx="29">
                  <c:v>225.79895783499055</c:v>
                </c:pt>
                <c:pt idx="30">
                  <c:v>2257.9895783499055</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5.840777067379747E-23</c:v>
                </c:pt>
                <c:pt idx="1">
                  <c:v>5.8407770673797463E-22</c:v>
                </c:pt>
                <c:pt idx="2">
                  <c:v>5.8407770673797465E-21</c:v>
                </c:pt>
                <c:pt idx="3">
                  <c:v>5.8407770673797461E-20</c:v>
                </c:pt>
                <c:pt idx="4">
                  <c:v>5.8407770673797463E-19</c:v>
                </c:pt>
                <c:pt idx="5">
                  <c:v>5.8407770673797463E-18</c:v>
                </c:pt>
                <c:pt idx="6">
                  <c:v>5.8407770673797472E-17</c:v>
                </c:pt>
                <c:pt idx="7">
                  <c:v>5.840777067379746E-16</c:v>
                </c:pt>
                <c:pt idx="8">
                  <c:v>5.8407770673797464E-15</c:v>
                </c:pt>
                <c:pt idx="9">
                  <c:v>5.8407770673797462E-14</c:v>
                </c:pt>
                <c:pt idx="10">
                  <c:v>5.8407770673797472E-13</c:v>
                </c:pt>
                <c:pt idx="11">
                  <c:v>5.8407770673797468E-12</c:v>
                </c:pt>
                <c:pt idx="12">
                  <c:v>5.8407770673797468E-11</c:v>
                </c:pt>
                <c:pt idx="13">
                  <c:v>5.8407770673797463E-10</c:v>
                </c:pt>
                <c:pt idx="14">
                  <c:v>5.8407770673797463E-9</c:v>
                </c:pt>
                <c:pt idx="15">
                  <c:v>5.8407770673797467E-8</c:v>
                </c:pt>
                <c:pt idx="16">
                  <c:v>5.8407770673797467E-7</c:v>
                </c:pt>
                <c:pt idx="17">
                  <c:v>5.840777067379746E-6</c:v>
                </c:pt>
                <c:pt idx="18">
                  <c:v>5.8407770673797462E-5</c:v>
                </c:pt>
                <c:pt idx="19">
                  <c:v>5.8407770673797469E-4</c:v>
                </c:pt>
                <c:pt idx="20">
                  <c:v>5.840777067379746E-3</c:v>
                </c:pt>
                <c:pt idx="21">
                  <c:v>5.8407770673797467E-2</c:v>
                </c:pt>
                <c:pt idx="22">
                  <c:v>0.58407770673797466</c:v>
                </c:pt>
                <c:pt idx="23">
                  <c:v>5.8407770673797463</c:v>
                </c:pt>
                <c:pt idx="24">
                  <c:v>58.407770673797465</c:v>
                </c:pt>
                <c:pt idx="25">
                  <c:v>584.07770673797461</c:v>
                </c:pt>
                <c:pt idx="26">
                  <c:v>5840.7770673797468</c:v>
                </c:pt>
                <c:pt idx="27">
                  <c:v>58407.770673797466</c:v>
                </c:pt>
                <c:pt idx="28">
                  <c:v>584077.70673797466</c:v>
                </c:pt>
                <c:pt idx="29">
                  <c:v>5840777.0673797466</c:v>
                </c:pt>
                <c:pt idx="30">
                  <c:v>58407770.673797466</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1.5914763856031342E-20</c:v>
                </c:pt>
                <c:pt idx="1">
                  <c:v>1.5914763856031341E-19</c:v>
                </c:pt>
                <c:pt idx="2">
                  <c:v>1.5914763856031341E-18</c:v>
                </c:pt>
                <c:pt idx="3">
                  <c:v>1.5914763856031338E-17</c:v>
                </c:pt>
                <c:pt idx="4">
                  <c:v>1.5914763856031338E-16</c:v>
                </c:pt>
                <c:pt idx="5">
                  <c:v>1.5914763856031341E-15</c:v>
                </c:pt>
                <c:pt idx="6">
                  <c:v>1.5914763856031341E-14</c:v>
                </c:pt>
                <c:pt idx="7">
                  <c:v>1.591476385603134E-13</c:v>
                </c:pt>
                <c:pt idx="8">
                  <c:v>1.5914763856031338E-12</c:v>
                </c:pt>
                <c:pt idx="9">
                  <c:v>1.5914763856031337E-11</c:v>
                </c:pt>
                <c:pt idx="10">
                  <c:v>1.5914763856031341E-10</c:v>
                </c:pt>
                <c:pt idx="11">
                  <c:v>1.5914763856031341E-9</c:v>
                </c:pt>
                <c:pt idx="12">
                  <c:v>1.591476385603134E-8</c:v>
                </c:pt>
                <c:pt idx="13">
                  <c:v>1.5914763856031341E-7</c:v>
                </c:pt>
                <c:pt idx="14">
                  <c:v>1.591476385603134E-6</c:v>
                </c:pt>
                <c:pt idx="15">
                  <c:v>1.5914763856031338E-5</c:v>
                </c:pt>
                <c:pt idx="16">
                  <c:v>1.591476385603134E-4</c:v>
                </c:pt>
                <c:pt idx="17">
                  <c:v>1.5914763856031339E-3</c:v>
                </c:pt>
                <c:pt idx="18">
                  <c:v>1.5914763856031338E-2</c:v>
                </c:pt>
                <c:pt idx="19">
                  <c:v>0.15914763856031339</c:v>
                </c:pt>
                <c:pt idx="20">
                  <c:v>1.591476385603134</c:v>
                </c:pt>
                <c:pt idx="21">
                  <c:v>15.914763856031339</c:v>
                </c:pt>
                <c:pt idx="22">
                  <c:v>159.1476385603134</c:v>
                </c:pt>
                <c:pt idx="23">
                  <c:v>1591.4763856031341</c:v>
                </c:pt>
                <c:pt idx="24">
                  <c:v>15914.763856031339</c:v>
                </c:pt>
                <c:pt idx="25">
                  <c:v>159147.63856031341</c:v>
                </c:pt>
                <c:pt idx="26">
                  <c:v>1591476.3856031341</c:v>
                </c:pt>
                <c:pt idx="27">
                  <c:v>15914763.85603134</c:v>
                </c:pt>
                <c:pt idx="28">
                  <c:v>159147638.5603134</c:v>
                </c:pt>
                <c:pt idx="29">
                  <c:v>1591476385.6031339</c:v>
                </c:pt>
                <c:pt idx="30">
                  <c:v>15914763856.03134</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2.3946789834473508E-18</c:v>
                </c:pt>
                <c:pt idx="1">
                  <c:v>2.3946789834473506E-17</c:v>
                </c:pt>
                <c:pt idx="2">
                  <c:v>2.3946789834473504E-16</c:v>
                </c:pt>
                <c:pt idx="3">
                  <c:v>2.3946789834473504E-15</c:v>
                </c:pt>
                <c:pt idx="4">
                  <c:v>2.3946789834473504E-14</c:v>
                </c:pt>
                <c:pt idx="5">
                  <c:v>2.3946789834473504E-13</c:v>
                </c:pt>
                <c:pt idx="6">
                  <c:v>2.3946789834473508E-12</c:v>
                </c:pt>
                <c:pt idx="7">
                  <c:v>2.3946789834473505E-11</c:v>
                </c:pt>
                <c:pt idx="8">
                  <c:v>2.3946789834473503E-10</c:v>
                </c:pt>
                <c:pt idx="9">
                  <c:v>2.3946789834473503E-9</c:v>
                </c:pt>
                <c:pt idx="10">
                  <c:v>2.3946789834473508E-8</c:v>
                </c:pt>
                <c:pt idx="11">
                  <c:v>2.3946789834473506E-7</c:v>
                </c:pt>
                <c:pt idx="12">
                  <c:v>2.3946789834473505E-6</c:v>
                </c:pt>
                <c:pt idx="13">
                  <c:v>2.3946789834473508E-5</c:v>
                </c:pt>
                <c:pt idx="14">
                  <c:v>2.3946789834473507E-4</c:v>
                </c:pt>
                <c:pt idx="15">
                  <c:v>2.3946789834473504E-3</c:v>
                </c:pt>
                <c:pt idx="16">
                  <c:v>2.3946789834473507E-2</c:v>
                </c:pt>
                <c:pt idx="17">
                  <c:v>0.23946789834473506</c:v>
                </c:pt>
                <c:pt idx="18">
                  <c:v>2.3946789834473505</c:v>
                </c:pt>
                <c:pt idx="19">
                  <c:v>23.946789834473506</c:v>
                </c:pt>
                <c:pt idx="20">
                  <c:v>239.46789834473506</c:v>
                </c:pt>
                <c:pt idx="21">
                  <c:v>2394.6789834473507</c:v>
                </c:pt>
                <c:pt idx="22">
                  <c:v>23946.789834473504</c:v>
                </c:pt>
                <c:pt idx="23">
                  <c:v>239467.89834473506</c:v>
                </c:pt>
                <c:pt idx="24">
                  <c:v>2394678.9834473506</c:v>
                </c:pt>
                <c:pt idx="25">
                  <c:v>23946789.834473506</c:v>
                </c:pt>
                <c:pt idx="26">
                  <c:v>239467898.34473506</c:v>
                </c:pt>
                <c:pt idx="27">
                  <c:v>2394678983.4473505</c:v>
                </c:pt>
                <c:pt idx="28">
                  <c:v>23946789834.473507</c:v>
                </c:pt>
                <c:pt idx="29">
                  <c:v>239467898344.73505</c:v>
                </c:pt>
                <c:pt idx="30">
                  <c:v>2394678983447.3506</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3.7407241814633837E-9</c:v>
                </c:pt>
                <c:pt idx="1">
                  <c:v>3.7407241814633831E-8</c:v>
                </c:pt>
                <c:pt idx="2">
                  <c:v>3.7407241814633833E-7</c:v>
                </c:pt>
                <c:pt idx="3">
                  <c:v>3.7407241814633829E-6</c:v>
                </c:pt>
                <c:pt idx="4">
                  <c:v>3.7407241814633831E-5</c:v>
                </c:pt>
                <c:pt idx="5">
                  <c:v>3.7407241814633833E-4</c:v>
                </c:pt>
                <c:pt idx="6">
                  <c:v>3.7407241814633833E-3</c:v>
                </c:pt>
                <c:pt idx="7">
                  <c:v>3.7407241814633833E-2</c:v>
                </c:pt>
                <c:pt idx="8">
                  <c:v>0.37407241814633829</c:v>
                </c:pt>
                <c:pt idx="9">
                  <c:v>3.7407241814633831</c:v>
                </c:pt>
                <c:pt idx="10">
                  <c:v>37.407241814633835</c:v>
                </c:pt>
                <c:pt idx="11">
                  <c:v>374.07241814633835</c:v>
                </c:pt>
                <c:pt idx="12">
                  <c:v>3740.724181463383</c:v>
                </c:pt>
                <c:pt idx="13">
                  <c:v>37407.241814633831</c:v>
                </c:pt>
                <c:pt idx="14">
                  <c:v>374072.41814633831</c:v>
                </c:pt>
                <c:pt idx="15">
                  <c:v>3740724.1814633831</c:v>
                </c:pt>
                <c:pt idx="16">
                  <c:v>37407241.814633831</c:v>
                </c:pt>
                <c:pt idx="17">
                  <c:v>374072418.14633834</c:v>
                </c:pt>
                <c:pt idx="18">
                  <c:v>3740724181.4633832</c:v>
                </c:pt>
                <c:pt idx="19">
                  <c:v>37407241814.633835</c:v>
                </c:pt>
                <c:pt idx="20">
                  <c:v>374072418146.33832</c:v>
                </c:pt>
                <c:pt idx="21">
                  <c:v>3740724181463.3833</c:v>
                </c:pt>
                <c:pt idx="22">
                  <c:v>37407241814633.828</c:v>
                </c:pt>
                <c:pt idx="23">
                  <c:v>374072418146338.31</c:v>
                </c:pt>
                <c:pt idx="24">
                  <c:v>3740724181463383</c:v>
                </c:pt>
                <c:pt idx="25">
                  <c:v>3.7407241814633832E+16</c:v>
                </c:pt>
                <c:pt idx="26">
                  <c:v>3.740724181463383E+17</c:v>
                </c:pt>
                <c:pt idx="27">
                  <c:v>3.740724181463383E+18</c:v>
                </c:pt>
                <c:pt idx="28">
                  <c:v>3.7407241814633832E+19</c:v>
                </c:pt>
                <c:pt idx="29">
                  <c:v>3.7407241814633834E+20</c:v>
                </c:pt>
                <c:pt idx="30">
                  <c:v>3.7407241814633831E+21</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3.8943697310446766E-3</c:v>
                </c:pt>
                <c:pt idx="1">
                  <c:v>3.8943697310446765E-2</c:v>
                </c:pt>
                <c:pt idx="2">
                  <c:v>0.38943697310446762</c:v>
                </c:pt>
                <c:pt idx="3">
                  <c:v>3.8943697310446761</c:v>
                </c:pt>
                <c:pt idx="4">
                  <c:v>38.943697310446758</c:v>
                </c:pt>
                <c:pt idx="5">
                  <c:v>389.43697310446765</c:v>
                </c:pt>
                <c:pt idx="6">
                  <c:v>3894.3697310446764</c:v>
                </c:pt>
                <c:pt idx="7">
                  <c:v>38943.697310446762</c:v>
                </c:pt>
                <c:pt idx="8">
                  <c:v>389436.97310446762</c:v>
                </c:pt>
                <c:pt idx="9">
                  <c:v>3894369.7310446762</c:v>
                </c:pt>
                <c:pt idx="10">
                  <c:v>38943697.310446769</c:v>
                </c:pt>
                <c:pt idx="11">
                  <c:v>389436973.10446763</c:v>
                </c:pt>
                <c:pt idx="12">
                  <c:v>3894369731.0446763</c:v>
                </c:pt>
                <c:pt idx="13">
                  <c:v>38943697310.446762</c:v>
                </c:pt>
                <c:pt idx="14">
                  <c:v>389436973104.46765</c:v>
                </c:pt>
                <c:pt idx="15">
                  <c:v>3894369731044.6763</c:v>
                </c:pt>
                <c:pt idx="16">
                  <c:v>38943697310446.766</c:v>
                </c:pt>
                <c:pt idx="17">
                  <c:v>389436973104467.62</c:v>
                </c:pt>
                <c:pt idx="18">
                  <c:v>3894369731044676.5</c:v>
                </c:pt>
                <c:pt idx="19">
                  <c:v>3.894369731044676E+16</c:v>
                </c:pt>
                <c:pt idx="20">
                  <c:v>3.8943697310446765E+17</c:v>
                </c:pt>
                <c:pt idx="21">
                  <c:v>3.8943697310446761E+18</c:v>
                </c:pt>
                <c:pt idx="22">
                  <c:v>3.8943697310446764E+19</c:v>
                </c:pt>
                <c:pt idx="23">
                  <c:v>3.8943697310446761E+20</c:v>
                </c:pt>
                <c:pt idx="24">
                  <c:v>3.8943697310446765E+21</c:v>
                </c:pt>
                <c:pt idx="25">
                  <c:v>3.8943697310446762E+22</c:v>
                </c:pt>
                <c:pt idx="26">
                  <c:v>3.894369731044676E+23</c:v>
                </c:pt>
                <c:pt idx="27">
                  <c:v>3.8943697310446763E+24</c:v>
                </c:pt>
                <c:pt idx="28">
                  <c:v>3.8943697310446766E+25</c:v>
                </c:pt>
                <c:pt idx="29">
                  <c:v>3.8943697310446766E+26</c:v>
                </c:pt>
                <c:pt idx="30">
                  <c:v>3.8943697310446762E+27</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548110360"/>
        <c:axId val="548109576"/>
      </c:scatterChart>
      <c:valAx>
        <c:axId val="54811036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09576"/>
        <c:crosses val="autoZero"/>
        <c:crossBetween val="midCat"/>
      </c:valAx>
      <c:valAx>
        <c:axId val="548109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1036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2.2579895783499054E-27</c:v>
                </c:pt>
                <c:pt idx="1">
                  <c:v>2.2579895783499055E-26</c:v>
                </c:pt>
                <c:pt idx="2">
                  <c:v>2.2579895783499055E-25</c:v>
                </c:pt>
                <c:pt idx="3">
                  <c:v>2.2579895783499054E-24</c:v>
                </c:pt>
                <c:pt idx="4">
                  <c:v>2.2579895783499053E-23</c:v>
                </c:pt>
                <c:pt idx="5">
                  <c:v>2.2579895783499053E-22</c:v>
                </c:pt>
                <c:pt idx="6">
                  <c:v>2.2579895783499054E-21</c:v>
                </c:pt>
                <c:pt idx="7">
                  <c:v>2.2579895783499054E-20</c:v>
                </c:pt>
                <c:pt idx="8">
                  <c:v>2.2579895783499051E-19</c:v>
                </c:pt>
                <c:pt idx="9">
                  <c:v>2.2579895783499054E-18</c:v>
                </c:pt>
                <c:pt idx="10">
                  <c:v>2.2579895783499057E-17</c:v>
                </c:pt>
                <c:pt idx="11">
                  <c:v>2.2579895783499055E-16</c:v>
                </c:pt>
                <c:pt idx="12">
                  <c:v>2.2579895783499056E-15</c:v>
                </c:pt>
                <c:pt idx="13">
                  <c:v>2.2579895783499056E-14</c:v>
                </c:pt>
                <c:pt idx="14">
                  <c:v>2.2579895783499055E-13</c:v>
                </c:pt>
                <c:pt idx="15">
                  <c:v>2.2579895783499053E-12</c:v>
                </c:pt>
                <c:pt idx="16">
                  <c:v>2.2579895783499055E-11</c:v>
                </c:pt>
                <c:pt idx="17">
                  <c:v>2.2579895783499054E-10</c:v>
                </c:pt>
                <c:pt idx="18">
                  <c:v>2.2579895783499055E-9</c:v>
                </c:pt>
                <c:pt idx="19">
                  <c:v>2.2579895783499055E-8</c:v>
                </c:pt>
                <c:pt idx="20">
                  <c:v>2.2579895783499055E-7</c:v>
                </c:pt>
                <c:pt idx="21">
                  <c:v>2.2579895783499054E-6</c:v>
                </c:pt>
                <c:pt idx="22">
                  <c:v>2.2579895783499056E-5</c:v>
                </c:pt>
                <c:pt idx="23">
                  <c:v>2.2579895783499053E-4</c:v>
                </c:pt>
                <c:pt idx="24">
                  <c:v>2.2579895783499055E-3</c:v>
                </c:pt>
                <c:pt idx="25">
                  <c:v>2.2579895783499053E-2</c:v>
                </c:pt>
                <c:pt idx="26">
                  <c:v>0.22579895783499054</c:v>
                </c:pt>
                <c:pt idx="27">
                  <c:v>2.2579895783499055</c:v>
                </c:pt>
                <c:pt idx="28">
                  <c:v>22.579895783499055</c:v>
                </c:pt>
                <c:pt idx="29">
                  <c:v>225.79895783499055</c:v>
                </c:pt>
                <c:pt idx="30">
                  <c:v>2257.9895783499055</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5.840777067379747E-23</c:v>
                </c:pt>
                <c:pt idx="1">
                  <c:v>5.8407770673797463E-22</c:v>
                </c:pt>
                <c:pt idx="2">
                  <c:v>5.8407770673797465E-21</c:v>
                </c:pt>
                <c:pt idx="3">
                  <c:v>5.8407770673797461E-20</c:v>
                </c:pt>
                <c:pt idx="4">
                  <c:v>5.8407770673797463E-19</c:v>
                </c:pt>
                <c:pt idx="5">
                  <c:v>5.8407770673797463E-18</c:v>
                </c:pt>
                <c:pt idx="6">
                  <c:v>5.8407770673797472E-17</c:v>
                </c:pt>
                <c:pt idx="7">
                  <c:v>5.840777067379746E-16</c:v>
                </c:pt>
                <c:pt idx="8">
                  <c:v>5.8407770673797464E-15</c:v>
                </c:pt>
                <c:pt idx="9">
                  <c:v>5.8407770673797462E-14</c:v>
                </c:pt>
                <c:pt idx="10">
                  <c:v>5.8407770673797472E-13</c:v>
                </c:pt>
                <c:pt idx="11">
                  <c:v>5.8407770673797468E-12</c:v>
                </c:pt>
                <c:pt idx="12">
                  <c:v>5.8407770673797468E-11</c:v>
                </c:pt>
                <c:pt idx="13">
                  <c:v>5.8407770673797463E-10</c:v>
                </c:pt>
                <c:pt idx="14">
                  <c:v>5.8407770673797463E-9</c:v>
                </c:pt>
                <c:pt idx="15">
                  <c:v>5.8407770673797467E-8</c:v>
                </c:pt>
                <c:pt idx="16">
                  <c:v>5.8407770673797467E-7</c:v>
                </c:pt>
                <c:pt idx="17">
                  <c:v>5.840777067379746E-6</c:v>
                </c:pt>
                <c:pt idx="18">
                  <c:v>5.8407770673797462E-5</c:v>
                </c:pt>
                <c:pt idx="19">
                  <c:v>5.8407770673797469E-4</c:v>
                </c:pt>
                <c:pt idx="20">
                  <c:v>5.840777067379746E-3</c:v>
                </c:pt>
                <c:pt idx="21">
                  <c:v>5.8407770673797467E-2</c:v>
                </c:pt>
                <c:pt idx="22">
                  <c:v>0.58407770673797466</c:v>
                </c:pt>
                <c:pt idx="23">
                  <c:v>5.8407770673797463</c:v>
                </c:pt>
                <c:pt idx="24">
                  <c:v>58.407770673797465</c:v>
                </c:pt>
                <c:pt idx="25">
                  <c:v>584.07770673797461</c:v>
                </c:pt>
                <c:pt idx="26">
                  <c:v>5840.7770673797468</c:v>
                </c:pt>
                <c:pt idx="27">
                  <c:v>58407.770673797466</c:v>
                </c:pt>
                <c:pt idx="28">
                  <c:v>584077.70673797466</c:v>
                </c:pt>
                <c:pt idx="29">
                  <c:v>5840777.0673797466</c:v>
                </c:pt>
                <c:pt idx="30">
                  <c:v>58407770.673797466</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1.5914763856031342E-20</c:v>
                </c:pt>
                <c:pt idx="1">
                  <c:v>1.5914763856031341E-19</c:v>
                </c:pt>
                <c:pt idx="2">
                  <c:v>1.5914763856031341E-18</c:v>
                </c:pt>
                <c:pt idx="3">
                  <c:v>1.5914763856031338E-17</c:v>
                </c:pt>
                <c:pt idx="4">
                  <c:v>1.5914763856031338E-16</c:v>
                </c:pt>
                <c:pt idx="5">
                  <c:v>1.5914763856031341E-15</c:v>
                </c:pt>
                <c:pt idx="6">
                  <c:v>1.5914763856031341E-14</c:v>
                </c:pt>
                <c:pt idx="7">
                  <c:v>1.591476385603134E-13</c:v>
                </c:pt>
                <c:pt idx="8">
                  <c:v>1.5914763856031338E-12</c:v>
                </c:pt>
                <c:pt idx="9">
                  <c:v>1.5914763856031337E-11</c:v>
                </c:pt>
                <c:pt idx="10">
                  <c:v>1.5914763856031341E-10</c:v>
                </c:pt>
                <c:pt idx="11">
                  <c:v>1.5914763856031341E-9</c:v>
                </c:pt>
                <c:pt idx="12">
                  <c:v>1.591476385603134E-8</c:v>
                </c:pt>
                <c:pt idx="13">
                  <c:v>1.5914763856031341E-7</c:v>
                </c:pt>
                <c:pt idx="14">
                  <c:v>1.591476385603134E-6</c:v>
                </c:pt>
                <c:pt idx="15">
                  <c:v>1.5914763856031338E-5</c:v>
                </c:pt>
                <c:pt idx="16">
                  <c:v>1.591476385603134E-4</c:v>
                </c:pt>
                <c:pt idx="17">
                  <c:v>1.5914763856031339E-3</c:v>
                </c:pt>
                <c:pt idx="18">
                  <c:v>1.5914763856031338E-2</c:v>
                </c:pt>
                <c:pt idx="19">
                  <c:v>0.15914763856031339</c:v>
                </c:pt>
                <c:pt idx="20">
                  <c:v>1.591476385603134</c:v>
                </c:pt>
                <c:pt idx="21">
                  <c:v>15.914763856031339</c:v>
                </c:pt>
                <c:pt idx="22">
                  <c:v>159.1476385603134</c:v>
                </c:pt>
                <c:pt idx="23">
                  <c:v>1591.4763856031341</c:v>
                </c:pt>
                <c:pt idx="24">
                  <c:v>15914.763856031339</c:v>
                </c:pt>
                <c:pt idx="25">
                  <c:v>159147.63856031341</c:v>
                </c:pt>
                <c:pt idx="26">
                  <c:v>1591476.3856031341</c:v>
                </c:pt>
                <c:pt idx="27">
                  <c:v>15914763.85603134</c:v>
                </c:pt>
                <c:pt idx="28">
                  <c:v>159147638.5603134</c:v>
                </c:pt>
                <c:pt idx="29">
                  <c:v>1591476385.6031339</c:v>
                </c:pt>
                <c:pt idx="30">
                  <c:v>15914763856.03134</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2.3946789834473508E-18</c:v>
                </c:pt>
                <c:pt idx="1">
                  <c:v>2.3946789834473506E-17</c:v>
                </c:pt>
                <c:pt idx="2">
                  <c:v>2.3946789834473504E-16</c:v>
                </c:pt>
                <c:pt idx="3">
                  <c:v>2.3946789834473504E-15</c:v>
                </c:pt>
                <c:pt idx="4">
                  <c:v>2.3946789834473504E-14</c:v>
                </c:pt>
                <c:pt idx="5">
                  <c:v>2.3946789834473504E-13</c:v>
                </c:pt>
                <c:pt idx="6">
                  <c:v>2.3946789834473508E-12</c:v>
                </c:pt>
                <c:pt idx="7">
                  <c:v>2.3946789834473505E-11</c:v>
                </c:pt>
                <c:pt idx="8">
                  <c:v>2.3946789834473503E-10</c:v>
                </c:pt>
                <c:pt idx="9">
                  <c:v>2.3946789834473503E-9</c:v>
                </c:pt>
                <c:pt idx="10">
                  <c:v>2.3946789834473508E-8</c:v>
                </c:pt>
                <c:pt idx="11">
                  <c:v>2.3946789834473506E-7</c:v>
                </c:pt>
                <c:pt idx="12">
                  <c:v>2.3946789834473505E-6</c:v>
                </c:pt>
                <c:pt idx="13">
                  <c:v>2.3946789834473508E-5</c:v>
                </c:pt>
                <c:pt idx="14">
                  <c:v>2.3946789834473507E-4</c:v>
                </c:pt>
                <c:pt idx="15">
                  <c:v>2.3946789834473504E-3</c:v>
                </c:pt>
                <c:pt idx="16">
                  <c:v>2.3946789834473507E-2</c:v>
                </c:pt>
                <c:pt idx="17">
                  <c:v>0.23946789834473506</c:v>
                </c:pt>
                <c:pt idx="18">
                  <c:v>2.3946789834473505</c:v>
                </c:pt>
                <c:pt idx="19">
                  <c:v>23.946789834473506</c:v>
                </c:pt>
                <c:pt idx="20">
                  <c:v>239.46789834473506</c:v>
                </c:pt>
                <c:pt idx="21">
                  <c:v>2394.6789834473507</c:v>
                </c:pt>
                <c:pt idx="22">
                  <c:v>23946.789834473504</c:v>
                </c:pt>
                <c:pt idx="23">
                  <c:v>239467.89834473506</c:v>
                </c:pt>
                <c:pt idx="24">
                  <c:v>2394678.9834473506</c:v>
                </c:pt>
                <c:pt idx="25">
                  <c:v>23946789.834473506</c:v>
                </c:pt>
                <c:pt idx="26">
                  <c:v>239467898.34473506</c:v>
                </c:pt>
                <c:pt idx="27">
                  <c:v>2394678983.4473505</c:v>
                </c:pt>
                <c:pt idx="28">
                  <c:v>23946789834.473507</c:v>
                </c:pt>
                <c:pt idx="29">
                  <c:v>239467898344.73505</c:v>
                </c:pt>
                <c:pt idx="30">
                  <c:v>2394678983447.3506</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3.7407241814633837E-9</c:v>
                </c:pt>
                <c:pt idx="1">
                  <c:v>3.7407241814633831E-8</c:v>
                </c:pt>
                <c:pt idx="2">
                  <c:v>3.7407241814633833E-7</c:v>
                </c:pt>
                <c:pt idx="3">
                  <c:v>3.7407241814633829E-6</c:v>
                </c:pt>
                <c:pt idx="4">
                  <c:v>3.7407241814633831E-5</c:v>
                </c:pt>
                <c:pt idx="5">
                  <c:v>3.7407241814633833E-4</c:v>
                </c:pt>
                <c:pt idx="6">
                  <c:v>3.7407241814633833E-3</c:v>
                </c:pt>
                <c:pt idx="7">
                  <c:v>3.7407241814633833E-2</c:v>
                </c:pt>
                <c:pt idx="8">
                  <c:v>0.37407241814633829</c:v>
                </c:pt>
                <c:pt idx="9">
                  <c:v>3.7407241814633831</c:v>
                </c:pt>
                <c:pt idx="10">
                  <c:v>37.407241814633835</c:v>
                </c:pt>
                <c:pt idx="11">
                  <c:v>374.07241814633835</c:v>
                </c:pt>
                <c:pt idx="12">
                  <c:v>3740.724181463383</c:v>
                </c:pt>
                <c:pt idx="13">
                  <c:v>37407.241814633831</c:v>
                </c:pt>
                <c:pt idx="14">
                  <c:v>374072.41814633831</c:v>
                </c:pt>
                <c:pt idx="15">
                  <c:v>3740724.1814633831</c:v>
                </c:pt>
                <c:pt idx="16">
                  <c:v>37407241.814633831</c:v>
                </c:pt>
                <c:pt idx="17">
                  <c:v>374072418.14633834</c:v>
                </c:pt>
                <c:pt idx="18">
                  <c:v>3740724181.4633832</c:v>
                </c:pt>
                <c:pt idx="19">
                  <c:v>37407241814.633835</c:v>
                </c:pt>
                <c:pt idx="20">
                  <c:v>374072418146.33832</c:v>
                </c:pt>
                <c:pt idx="21">
                  <c:v>3740724181463.3833</c:v>
                </c:pt>
                <c:pt idx="22">
                  <c:v>37407241814633.828</c:v>
                </c:pt>
                <c:pt idx="23">
                  <c:v>374072418146338.31</c:v>
                </c:pt>
                <c:pt idx="24">
                  <c:v>3740724181463383</c:v>
                </c:pt>
                <c:pt idx="25">
                  <c:v>3.7407241814633832E+16</c:v>
                </c:pt>
                <c:pt idx="26">
                  <c:v>3.740724181463383E+17</c:v>
                </c:pt>
                <c:pt idx="27">
                  <c:v>3.740724181463383E+18</c:v>
                </c:pt>
                <c:pt idx="28">
                  <c:v>3.7407241814633832E+19</c:v>
                </c:pt>
                <c:pt idx="29">
                  <c:v>3.7407241814633834E+20</c:v>
                </c:pt>
                <c:pt idx="30">
                  <c:v>3.7407241814633831E+21</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3.8943697310446766E-3</c:v>
                </c:pt>
                <c:pt idx="1">
                  <c:v>3.8943697310446765E-2</c:v>
                </c:pt>
                <c:pt idx="2">
                  <c:v>0.38943697310446762</c:v>
                </c:pt>
                <c:pt idx="3">
                  <c:v>3.8943697310446761</c:v>
                </c:pt>
                <c:pt idx="4">
                  <c:v>38.943697310446758</c:v>
                </c:pt>
                <c:pt idx="5">
                  <c:v>389.43697310446765</c:v>
                </c:pt>
                <c:pt idx="6">
                  <c:v>3894.3697310446764</c:v>
                </c:pt>
                <c:pt idx="7">
                  <c:v>38943.697310446762</c:v>
                </c:pt>
                <c:pt idx="8">
                  <c:v>389436.97310446762</c:v>
                </c:pt>
                <c:pt idx="9">
                  <c:v>3894369.7310446762</c:v>
                </c:pt>
                <c:pt idx="10">
                  <c:v>38943697.310446769</c:v>
                </c:pt>
                <c:pt idx="11">
                  <c:v>389436973.10446763</c:v>
                </c:pt>
                <c:pt idx="12">
                  <c:v>3894369731.0446763</c:v>
                </c:pt>
                <c:pt idx="13">
                  <c:v>38943697310.446762</c:v>
                </c:pt>
                <c:pt idx="14">
                  <c:v>389436973104.46765</c:v>
                </c:pt>
                <c:pt idx="15">
                  <c:v>3894369731044.6763</c:v>
                </c:pt>
                <c:pt idx="16">
                  <c:v>38943697310446.766</c:v>
                </c:pt>
                <c:pt idx="17">
                  <c:v>389436973104467.62</c:v>
                </c:pt>
                <c:pt idx="18">
                  <c:v>3894369731044676.5</c:v>
                </c:pt>
                <c:pt idx="19">
                  <c:v>3.894369731044676E+16</c:v>
                </c:pt>
                <c:pt idx="20">
                  <c:v>3.8943697310446765E+17</c:v>
                </c:pt>
                <c:pt idx="21">
                  <c:v>3.8943697310446761E+18</c:v>
                </c:pt>
                <c:pt idx="22">
                  <c:v>3.8943697310446764E+19</c:v>
                </c:pt>
                <c:pt idx="23">
                  <c:v>3.8943697310446761E+20</c:v>
                </c:pt>
                <c:pt idx="24">
                  <c:v>3.8943697310446765E+21</c:v>
                </c:pt>
                <c:pt idx="25">
                  <c:v>3.8943697310446762E+22</c:v>
                </c:pt>
                <c:pt idx="26">
                  <c:v>3.894369731044676E+23</c:v>
                </c:pt>
                <c:pt idx="27">
                  <c:v>3.8943697310446763E+24</c:v>
                </c:pt>
                <c:pt idx="28">
                  <c:v>3.8943697310446766E+25</c:v>
                </c:pt>
                <c:pt idx="29">
                  <c:v>3.8943697310446766E+26</c:v>
                </c:pt>
                <c:pt idx="30">
                  <c:v>3.8943697310446762E+27</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548110752"/>
        <c:axId val="548111144"/>
      </c:scatterChart>
      <c:valAx>
        <c:axId val="54811075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11144"/>
        <c:crosses val="autoZero"/>
        <c:crossBetween val="midCat"/>
      </c:valAx>
      <c:valAx>
        <c:axId val="548111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1075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-26.816546265645783</c:v>
                </c:pt>
                <c:pt idx="1">
                  <c:v>-26.616580767835199</c:v>
                </c:pt>
                <c:pt idx="2">
                  <c:v>-26.41641244549772</c:v>
                </c:pt>
                <c:pt idx="3">
                  <c:v>-26.215838474106445</c:v>
                </c:pt>
                <c:pt idx="4">
                  <c:v>-26.014656029134468</c:v>
                </c:pt>
                <c:pt idx="5">
                  <c:v>-25.812662286054895</c:v>
                </c:pt>
                <c:pt idx="6">
                  <c:v>-25.609654420340831</c:v>
                </c:pt>
                <c:pt idx="7">
                  <c:v>-25.405429607465372</c:v>
                </c:pt>
                <c:pt idx="8">
                  <c:v>-25.199785022901622</c:v>
                </c:pt>
                <c:pt idx="9">
                  <c:v>-24.992517842122684</c:v>
                </c:pt>
                <c:pt idx="10">
                  <c:v>-24.783425240601652</c:v>
                </c:pt>
                <c:pt idx="11">
                  <c:v>-24.572304393811631</c:v>
                </c:pt>
                <c:pt idx="12">
                  <c:v>-24.358952477225728</c:v>
                </c:pt>
                <c:pt idx="13">
                  <c:v>-24.143166666317036</c:v>
                </c:pt>
                <c:pt idx="14">
                  <c:v>-23.924744136558665</c:v>
                </c:pt>
                <c:pt idx="15">
                  <c:v>-23.703482063423706</c:v>
                </c:pt>
                <c:pt idx="16">
                  <c:v>-23.479177622385265</c:v>
                </c:pt>
                <c:pt idx="17">
                  <c:v>-23.251627988916439</c:v>
                </c:pt>
                <c:pt idx="18">
                  <c:v>-23.020630338490339</c:v>
                </c:pt>
                <c:pt idx="19">
                  <c:v>-22.785981846580057</c:v>
                </c:pt>
                <c:pt idx="20">
                  <c:v>-22.547479688658697</c:v>
                </c:pt>
                <c:pt idx="21">
                  <c:v>-22.304921040199361</c:v>
                </c:pt>
                <c:pt idx="22">
                  <c:v>-22.058103076675152</c:v>
                </c:pt>
                <c:pt idx="23">
                  <c:v>-21.806822973559164</c:v>
                </c:pt>
                <c:pt idx="24">
                  <c:v>-21.550877906324509</c:v>
                </c:pt>
                <c:pt idx="25">
                  <c:v>-21.290065050444277</c:v>
                </c:pt>
                <c:pt idx="26">
                  <c:v>-21.024181581391577</c:v>
                </c:pt>
                <c:pt idx="27">
                  <c:v>-20.753024674639509</c:v>
                </c:pt>
                <c:pt idx="28">
                  <c:v>-20.476391505661169</c:v>
                </c:pt>
                <c:pt idx="29">
                  <c:v>-20.194079249929665</c:v>
                </c:pt>
                <c:pt idx="30">
                  <c:v>-19.905885082918097</c:v>
                </c:pt>
                <c:pt idx="31">
                  <c:v>-19.611606180099557</c:v>
                </c:pt>
                <c:pt idx="32">
                  <c:v>-19.31103971694716</c:v>
                </c:pt>
                <c:pt idx="33">
                  <c:v>-19.003982868933999</c:v>
                </c:pt>
                <c:pt idx="34">
                  <c:v>-18.690232811533178</c:v>
                </c:pt>
                <c:pt idx="35">
                  <c:v>-18.369586720217793</c:v>
                </c:pt>
                <c:pt idx="36">
                  <c:v>-18.041841770460955</c:v>
                </c:pt>
                <c:pt idx="37">
                  <c:v>-17.706795137735753</c:v>
                </c:pt>
                <c:pt idx="38">
                  <c:v>-17.364243997515299</c:v>
                </c:pt>
                <c:pt idx="39">
                  <c:v>-17.013985525272687</c:v>
                </c:pt>
                <c:pt idx="40">
                  <c:v>-16.655816896481024</c:v>
                </c:pt>
                <c:pt idx="41">
                  <c:v>-16.48145303730054</c:v>
                </c:pt>
                <c:pt idx="42">
                  <c:v>-16.299432134444476</c:v>
                </c:pt>
                <c:pt idx="43">
                  <c:v>-16.110210125313216</c:v>
                </c:pt>
                <c:pt idx="44">
                  <c:v>-15.914242947307136</c:v>
                </c:pt>
                <c:pt idx="45">
                  <c:v>-15.711986537826611</c:v>
                </c:pt>
                <c:pt idx="46">
                  <c:v>-15.50389683427202</c:v>
                </c:pt>
                <c:pt idx="47">
                  <c:v>-15.290429774043744</c:v>
                </c:pt>
                <c:pt idx="48">
                  <c:v>-15.072041294542156</c:v>
                </c:pt>
                <c:pt idx="49">
                  <c:v>-14.849187333167631</c:v>
                </c:pt>
                <c:pt idx="50">
                  <c:v>-14.622323827320553</c:v>
                </c:pt>
                <c:pt idx="51">
                  <c:v>-14.391906714401294</c:v>
                </c:pt>
                <c:pt idx="52">
                  <c:v>-14.158391931810238</c:v>
                </c:pt>
                <c:pt idx="53">
                  <c:v>-13.922235416947753</c:v>
                </c:pt>
                <c:pt idx="54">
                  <c:v>-13.683893107214224</c:v>
                </c:pt>
                <c:pt idx="55">
                  <c:v>-13.443820940010028</c:v>
                </c:pt>
                <c:pt idx="56">
                  <c:v>-13.202474852735538</c:v>
                </c:pt>
                <c:pt idx="57">
                  <c:v>-12.960310782791133</c:v>
                </c:pt>
                <c:pt idx="58">
                  <c:v>-12.717784667577192</c:v>
                </c:pt>
                <c:pt idx="59">
                  <c:v>-12.475352444494092</c:v>
                </c:pt>
                <c:pt idx="60">
                  <c:v>-12.233470050942211</c:v>
                </c:pt>
                <c:pt idx="61">
                  <c:v>-11.992593424321923</c:v>
                </c:pt>
                <c:pt idx="62">
                  <c:v>-11.753178502033609</c:v>
                </c:pt>
                <c:pt idx="63">
                  <c:v>-11.515681221477648</c:v>
                </c:pt>
                <c:pt idx="64">
                  <c:v>-11.280557520054412</c:v>
                </c:pt>
                <c:pt idx="65">
                  <c:v>-11.048263335164282</c:v>
                </c:pt>
                <c:pt idx="66">
                  <c:v>-10.819161189014736</c:v>
                </c:pt>
                <c:pt idx="67">
                  <c:v>-10.593239943041663</c:v>
                </c:pt>
                <c:pt idx="68">
                  <c:v>-10.370395043488049</c:v>
                </c:pt>
                <c:pt idx="69">
                  <c:v>-10.150521936596883</c:v>
                </c:pt>
                <c:pt idx="70">
                  <c:v>-9.9335160686111603</c:v>
                </c:pt>
                <c:pt idx="71">
                  <c:v>-9.7192728857738615</c:v>
                </c:pt>
                <c:pt idx="72">
                  <c:v>-9.507687834327978</c:v>
                </c:pt>
                <c:pt idx="73">
                  <c:v>-9.2986563605165031</c:v>
                </c:pt>
                <c:pt idx="74">
                  <c:v>-9.0920739105824229</c:v>
                </c:pt>
                <c:pt idx="75">
                  <c:v>-8.8878359307687251</c:v>
                </c:pt>
                <c:pt idx="76">
                  <c:v>-8.6858378673183996</c:v>
                </c:pt>
                <c:pt idx="77">
                  <c:v>-8.4859751664744358</c:v>
                </c:pt>
                <c:pt idx="78">
                  <c:v>-8.2881432744798236</c:v>
                </c:pt>
                <c:pt idx="79">
                  <c:v>-8.0922376375775507</c:v>
                </c:pt>
                <c:pt idx="80">
                  <c:v>-7.8981537020106041</c:v>
                </c:pt>
                <c:pt idx="81">
                  <c:v>-7.7057869140219761</c:v>
                </c:pt>
                <c:pt idx="82">
                  <c:v>-7.5150327198546556</c:v>
                </c:pt>
                <c:pt idx="83">
                  <c:v>-7.3257865657516303</c:v>
                </c:pt>
                <c:pt idx="84">
                  <c:v>-7.1379438979558891</c:v>
                </c:pt>
                <c:pt idx="85">
                  <c:v>-6.9514001627104207</c:v>
                </c:pt>
                <c:pt idx="86">
                  <c:v>-6.7660508062582148</c:v>
                </c:pt>
                <c:pt idx="87">
                  <c:v>-6.5817912748422609</c:v>
                </c:pt>
                <c:pt idx="88">
                  <c:v>-6.3985170147055479</c:v>
                </c:pt>
                <c:pt idx="89">
                  <c:v>-6.2161234720910636</c:v>
                </c:pt>
                <c:pt idx="90">
                  <c:v>-6.0345060932417978</c:v>
                </c:pt>
                <c:pt idx="91">
                  <c:v>-5.8535444609102276</c:v>
                </c:pt>
                <c:pt idx="92">
                  <c:v>-5.6730547038867831</c:v>
                </c:pt>
                <c:pt idx="93">
                  <c:v>-5.4928370874713854</c:v>
                </c:pt>
                <c:pt idx="94">
                  <c:v>-5.3126918769639495</c:v>
                </c:pt>
                <c:pt idx="95">
                  <c:v>-5.1324193376643974</c:v>
                </c:pt>
                <c:pt idx="96">
                  <c:v>-4.9518197348726467</c:v>
                </c:pt>
                <c:pt idx="97">
                  <c:v>-4.7706933338886159</c:v>
                </c:pt>
                <c:pt idx="98">
                  <c:v>-4.5888404000122254</c:v>
                </c:pt>
                <c:pt idx="99">
                  <c:v>-4.4060611985433908</c:v>
                </c:pt>
                <c:pt idx="100">
                  <c:v>-4.2221559947820344</c:v>
                </c:pt>
                <c:pt idx="101">
                  <c:v>-4.0369250540280737</c:v>
                </c:pt>
                <c:pt idx="102">
                  <c:v>-3.8501686415814262</c:v>
                </c:pt>
                <c:pt idx="103">
                  <c:v>-3.6616870227420124</c:v>
                </c:pt>
                <c:pt idx="104">
                  <c:v>-3.4712804628097511</c:v>
                </c:pt>
                <c:pt idx="105">
                  <c:v>-3.2787492270845604</c:v>
                </c:pt>
                <c:pt idx="106">
                  <c:v>-3.0838935808663597</c:v>
                </c:pt>
                <c:pt idx="107">
                  <c:v>-2.8865137894550665</c:v>
                </c:pt>
                <c:pt idx="108">
                  <c:v>-2.6864101181506017</c:v>
                </c:pt>
                <c:pt idx="109">
                  <c:v>-2.4833828322528828</c:v>
                </c:pt>
                <c:pt idx="110">
                  <c:v>-2.2772321970618283</c:v>
                </c:pt>
                <c:pt idx="111">
                  <c:v>-2.0677584778773581</c:v>
                </c:pt>
                <c:pt idx="112">
                  <c:v>-1.8547619399993902</c:v>
                </c:pt>
                <c:pt idx="113">
                  <c:v>-1.638042848727844</c:v>
                </c:pt>
                <c:pt idx="114">
                  <c:v>-1.417401469362638</c:v>
                </c:pt>
                <c:pt idx="115">
                  <c:v>-1.1926380672036907</c:v>
                </c:pt>
                <c:pt idx="116">
                  <c:v>-0.96355290755092171</c:v>
                </c:pt>
                <c:pt idx="117">
                  <c:v>-0.72994625570424909</c:v>
                </c:pt>
                <c:pt idx="118">
                  <c:v>-0.49161837696359212</c:v>
                </c:pt>
                <c:pt idx="119">
                  <c:v>-0.24836953662886951</c:v>
                </c:pt>
                <c:pt idx="120">
                  <c:v>0</c:v>
                </c:pt>
                <c:pt idx="121">
                  <c:v>0.25363970196392077</c:v>
                </c:pt>
                <c:pt idx="122">
                  <c:v>0.51249797566708877</c:v>
                </c:pt>
                <c:pt idx="123">
                  <c:v>0.77647296185452297</c:v>
                </c:pt>
                <c:pt idx="124">
                  <c:v>1.045462801271243</c:v>
                </c:pt>
                <c:pt idx="125">
                  <c:v>1.319365634662268</c:v>
                </c:pt>
                <c:pt idx="126">
                  <c:v>1.5980796027726172</c:v>
                </c:pt>
                <c:pt idx="127">
                  <c:v>1.8815028463473094</c:v>
                </c:pt>
                <c:pt idx="128">
                  <c:v>2.1695335061313643</c:v>
                </c:pt>
                <c:pt idx="129">
                  <c:v>2.462069722869801</c:v>
                </c:pt>
                <c:pt idx="130">
                  <c:v>2.7590096373076385</c:v>
                </c:pt>
                <c:pt idx="131">
                  <c:v>3.0602513901898964</c:v>
                </c:pt>
                <c:pt idx="132">
                  <c:v>3.365693122261594</c:v>
                </c:pt>
                <c:pt idx="133">
                  <c:v>3.6752329742677499</c:v>
                </c:pt>
                <c:pt idx="134">
                  <c:v>3.9887690869533836</c:v>
                </c:pt>
                <c:pt idx="135">
                  <c:v>4.3061996010635148</c:v>
                </c:pt>
                <c:pt idx="136">
                  <c:v>4.6274226573431614</c:v>
                </c:pt>
                <c:pt idx="137">
                  <c:v>4.9523363965373441</c:v>
                </c:pt>
                <c:pt idx="138">
                  <c:v>5.2808389593910814</c:v>
                </c:pt>
                <c:pt idx="139">
                  <c:v>5.6128284866493932</c:v>
                </c:pt>
                <c:pt idx="140">
                  <c:v>5.9482031190572968</c:v>
                </c:pt>
                <c:pt idx="141">
                  <c:v>6.2868609973598142</c:v>
                </c:pt>
                <c:pt idx="142">
                  <c:v>6.6287002623019626</c:v>
                </c:pt>
                <c:pt idx="143">
                  <c:v>6.9736190546287613</c:v>
                </c:pt>
                <c:pt idx="144">
                  <c:v>7.321515515085232</c:v>
                </c:pt>
                <c:pt idx="145">
                  <c:v>7.6722877844163904</c:v>
                </c:pt>
                <c:pt idx="146">
                  <c:v>8.0258340033672582</c:v>
                </c:pt>
                <c:pt idx="147">
                  <c:v>8.3820523126828519</c:v>
                </c:pt>
                <c:pt idx="148">
                  <c:v>8.7408408531081925</c:v>
                </c:pt>
                <c:pt idx="149">
                  <c:v>9.1020977653883008</c:v>
                </c:pt>
                <c:pt idx="150">
                  <c:v>9.4657211902681944</c:v>
                </c:pt>
                <c:pt idx="151">
                  <c:v>9.8316092684928922</c:v>
                </c:pt>
                <c:pt idx="152">
                  <c:v>10.199660140807413</c:v>
                </c:pt>
                <c:pt idx="153">
                  <c:v>10.569771947956777</c:v>
                </c:pt>
                <c:pt idx="154">
                  <c:v>10.941842830686003</c:v>
                </c:pt>
                <c:pt idx="155">
                  <c:v>11.315770929740111</c:v>
                </c:pt>
                <c:pt idx="156">
                  <c:v>11.69145438586412</c:v>
                </c:pt>
                <c:pt idx="157">
                  <c:v>12.068791339803049</c:v>
                </c:pt>
                <c:pt idx="158">
                  <c:v>12.447679932301916</c:v>
                </c:pt>
                <c:pt idx="159">
                  <c:v>12.828018304105742</c:v>
                </c:pt>
                <c:pt idx="160">
                  <c:v>13.209704595959545</c:v>
                </c:pt>
                <c:pt idx="161">
                  <c:v>13.592636948608344</c:v>
                </c:pt>
                <c:pt idx="162">
                  <c:v>13.976713502797161</c:v>
                </c:pt>
                <c:pt idx="163">
                  <c:v>14.361832399271012</c:v>
                </c:pt>
                <c:pt idx="164">
                  <c:v>14.747891778774918</c:v>
                </c:pt>
                <c:pt idx="165">
                  <c:v>15.134789782053897</c:v>
                </c:pt>
                <c:pt idx="166">
                  <c:v>15.522438017992988</c:v>
                </c:pt>
                <c:pt idx="167">
                  <c:v>15.910801968037312</c:v>
                </c:pt>
                <c:pt idx="168">
                  <c:v>16.299860581772009</c:v>
                </c:pt>
                <c:pt idx="169">
                  <c:v>16.689592808782223</c:v>
                </c:pt>
                <c:pt idx="170">
                  <c:v>17.079977598653088</c:v>
                </c:pt>
                <c:pt idx="171">
                  <c:v>17.470993900969745</c:v>
                </c:pt>
                <c:pt idx="172">
                  <c:v>17.86262066531734</c:v>
                </c:pt>
                <c:pt idx="173">
                  <c:v>18.254836841281005</c:v>
                </c:pt>
                <c:pt idx="174">
                  <c:v>18.647621378445891</c:v>
                </c:pt>
                <c:pt idx="175">
                  <c:v>19.040953226397129</c:v>
                </c:pt>
                <c:pt idx="176">
                  <c:v>19.434811334719861</c:v>
                </c:pt>
                <c:pt idx="177">
                  <c:v>19.829174652999225</c:v>
                </c:pt>
                <c:pt idx="178">
                  <c:v>20.224022130820366</c:v>
                </c:pt>
                <c:pt idx="179">
                  <c:v>20.619332717768422</c:v>
                </c:pt>
                <c:pt idx="180">
                  <c:v>21.015085363428536</c:v>
                </c:pt>
                <c:pt idx="181">
                  <c:v>21.411259017385845</c:v>
                </c:pt>
                <c:pt idx="182">
                  <c:v>21.807832629225491</c:v>
                </c:pt>
                <c:pt idx="183">
                  <c:v>22.204785148532611</c:v>
                </c:pt>
                <c:pt idx="184">
                  <c:v>22.602095524892349</c:v>
                </c:pt>
                <c:pt idx="185">
                  <c:v>22.999742707889844</c:v>
                </c:pt>
                <c:pt idx="186">
                  <c:v>23.397705647110236</c:v>
                </c:pt>
                <c:pt idx="187">
                  <c:v>23.795963292138666</c:v>
                </c:pt>
                <c:pt idx="188">
                  <c:v>24.194494592560272</c:v>
                </c:pt>
                <c:pt idx="189">
                  <c:v>24.593278497960195</c:v>
                </c:pt>
                <c:pt idx="190">
                  <c:v>24.992293957923572</c:v>
                </c:pt>
                <c:pt idx="191">
                  <c:v>25.391519922035553</c:v>
                </c:pt>
                <c:pt idx="192">
                  <c:v>25.790935339881269</c:v>
                </c:pt>
                <c:pt idx="193">
                  <c:v>26.190519161045867</c:v>
                </c:pt>
                <c:pt idx="194">
                  <c:v>26.590250335114483</c:v>
                </c:pt>
                <c:pt idx="195">
                  <c:v>26.990107811672253</c:v>
                </c:pt>
                <c:pt idx="196">
                  <c:v>27.390070540304322</c:v>
                </c:pt>
                <c:pt idx="197">
                  <c:v>27.790117470595835</c:v>
                </c:pt>
                <c:pt idx="198">
                  <c:v>28.190227552131926</c:v>
                </c:pt>
                <c:pt idx="199">
                  <c:v>28.590379734497738</c:v>
                </c:pt>
                <c:pt idx="200">
                  <c:v>28.990552967278404</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-26.816546265645783</c:v>
                </c:pt>
                <c:pt idx="1">
                  <c:v>-16.655816896481024</c:v>
                </c:pt>
                <c:pt idx="2">
                  <c:v>-11.048263335164281</c:v>
                </c:pt>
                <c:pt idx="3">
                  <c:v>-6.0345060932417978</c:v>
                </c:pt>
                <c:pt idx="4">
                  <c:v>0</c:v>
                </c:pt>
                <c:pt idx="5">
                  <c:v>15.134789782053895</c:v>
                </c:pt>
                <c:pt idx="6">
                  <c:v>28.990552967278404</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-26.740543905520397</c:v>
                </c:pt>
                <c:pt idx="1">
                  <c:v>-26.576696071662983</c:v>
                </c:pt>
                <c:pt idx="2">
                  <c:v>-26.406410935437613</c:v>
                </c:pt>
                <c:pt idx="3">
                  <c:v>-26.22987484087534</c:v>
                </c:pt>
                <c:pt idx="4">
                  <c:v>-26.047276579193664</c:v>
                </c:pt>
                <c:pt idx="5">
                  <c:v>-25.858807276110191</c:v>
                </c:pt>
                <c:pt idx="6">
                  <c:v>-25.664660266124606</c:v>
                </c:pt>
                <c:pt idx="7">
                  <c:v>-25.465030954553001</c:v>
                </c:pt>
                <c:pt idx="8">
                  <c:v>-25.26011666808526</c:v>
                </c:pt>
                <c:pt idx="9">
                  <c:v>-25.050116494623651</c:v>
                </c:pt>
                <c:pt idx="10">
                  <c:v>-24.835231113146477</c:v>
                </c:pt>
                <c:pt idx="11">
                  <c:v>-24.61566261432862</c:v>
                </c:pt>
                <c:pt idx="12">
                  <c:v>-24.391614312636499</c:v>
                </c:pt>
                <c:pt idx="13">
                  <c:v>-24.163290550602255</c:v>
                </c:pt>
                <c:pt idx="14">
                  <c:v>-23.930896495968966</c:v>
                </c:pt>
                <c:pt idx="15">
                  <c:v>-23.694637932384648</c:v>
                </c:pt>
                <c:pt idx="16">
                  <c:v>-23.454721044310613</c:v>
                </c:pt>
                <c:pt idx="17">
                  <c:v>-23.211352196795552</c:v>
                </c:pt>
                <c:pt idx="18">
                  <c:v>-22.964737710754132</c:v>
                </c:pt>
                <c:pt idx="19">
                  <c:v>-22.715083634375343</c:v>
                </c:pt>
                <c:pt idx="20">
                  <c:v>-22.46259551127271</c:v>
                </c:pt>
                <c:pt idx="21">
                  <c:v>-22.207478145975166</c:v>
                </c:pt>
                <c:pt idx="22">
                  <c:v>-21.949935367344278</c:v>
                </c:pt>
                <c:pt idx="23">
                  <c:v>-21.690169790490184</c:v>
                </c:pt>
                <c:pt idx="24">
                  <c:v>-21.428382577745229</c:v>
                </c:pt>
                <c:pt idx="25">
                  <c:v>-21.164773199241459</c:v>
                </c:pt>
                <c:pt idx="26">
                  <c:v>-20.899539193624495</c:v>
                </c:pt>
                <c:pt idx="27">
                  <c:v>-20.632875929423108</c:v>
                </c:pt>
                <c:pt idx="28">
                  <c:v>-20.364976367580965</c:v>
                </c:pt>
                <c:pt idx="29">
                  <c:v>-20.096030825643236</c:v>
                </c:pt>
                <c:pt idx="30">
                  <c:v>-19.82622674407795</c:v>
                </c:pt>
                <c:pt idx="31">
                  <c:v>-19.555748455198525</c:v>
                </c:pt>
                <c:pt idx="32">
                  <c:v>-19.284776955140689</c:v>
                </c:pt>
                <c:pt idx="33">
                  <c:v>-19.013489679333865</c:v>
                </c:pt>
                <c:pt idx="34">
                  <c:v>-18.742060281893785</c:v>
                </c:pt>
                <c:pt idx="35">
                  <c:v>-18.470658419349814</c:v>
                </c:pt>
                <c:pt idx="36">
                  <c:v>-18.199449539107377</c:v>
                </c:pt>
                <c:pt idx="37">
                  <c:v>-17.928594673032475</c:v>
                </c:pt>
                <c:pt idx="38">
                  <c:v>-17.658250236532133</c:v>
                </c:pt>
                <c:pt idx="39">
                  <c:v>-17.388567833491489</c:v>
                </c:pt>
                <c:pt idx="40">
                  <c:v>-17.119694067414652</c:v>
                </c:pt>
                <c:pt idx="41">
                  <c:v>-16.85177035910371</c:v>
                </c:pt>
                <c:pt idx="42">
                  <c:v>-16.584932771196563</c:v>
                </c:pt>
                <c:pt idx="43">
                  <c:v>-16.319311839871357</c:v>
                </c:pt>
                <c:pt idx="44">
                  <c:v>-16.055032414011883</c:v>
                </c:pt>
                <c:pt idx="45">
                  <c:v>-15.792213502115102</c:v>
                </c:pt>
                <c:pt idx="46">
                  <c:v>-15.530968127208821</c:v>
                </c:pt>
                <c:pt idx="47">
                  <c:v>-15.271403190034055</c:v>
                </c:pt>
                <c:pt idx="48">
                  <c:v>-15.013619340733763</c:v>
                </c:pt>
                <c:pt idx="49">
                  <c:v>-14.757710859275976</c:v>
                </c:pt>
                <c:pt idx="50">
                  <c:v>-14.50376554482648</c:v>
                </c:pt>
                <c:pt idx="51">
                  <c:v>-14.251864614272716</c:v>
                </c:pt>
                <c:pt idx="52">
                  <c:v>-14.002082610087397</c:v>
                </c:pt>
                <c:pt idx="53">
                  <c:v>-13.754487317707285</c:v>
                </c:pt>
                <c:pt idx="54">
                  <c:v>-13.509139692588953</c:v>
                </c:pt>
                <c:pt idx="55">
                  <c:v>-13.266093797090525</c:v>
                </c:pt>
                <c:pt idx="56">
                  <c:v>-13.025396747314897</c:v>
                </c:pt>
                <c:pt idx="57">
                  <c:v>-12.787088670036759</c:v>
                </c:pt>
                <c:pt idx="58">
                  <c:v>-12.551202669822581</c:v>
                </c:pt>
                <c:pt idx="59">
                  <c:v>-12.317764806439405</c:v>
                </c:pt>
                <c:pt idx="60">
                  <c:v>-12.086794082635022</c:v>
                </c:pt>
                <c:pt idx="61">
                  <c:v>-11.858302442359038</c:v>
                </c:pt>
                <c:pt idx="62">
                  <c:v>-11.632294779480898</c:v>
                </c:pt>
                <c:pt idx="63">
                  <c:v>-11.408768957047803</c:v>
                </c:pt>
                <c:pt idx="64">
                  <c:v>-11.187715837112254</c:v>
                </c:pt>
                <c:pt idx="65">
                  <c:v>-10.969119321145634</c:v>
                </c:pt>
                <c:pt idx="66">
                  <c:v>-10.752956401041024</c:v>
                </c:pt>
                <c:pt idx="67">
                  <c:v>-10.5391972206953</c:v>
                </c:pt>
                <c:pt idx="68">
                  <c:v>-10.327805148147171</c:v>
                </c:pt>
                <c:pt idx="69">
                  <c:v>-10.118736858234714</c:v>
                </c:pt>
                <c:pt idx="70">
                  <c:v>-9.9119424257226552</c:v>
                </c:pt>
                <c:pt idx="71">
                  <c:v>-9.7073654288364484</c:v>
                </c:pt>
                <c:pt idx="72">
                  <c:v>-9.504943063126909</c:v>
                </c:pt>
                <c:pt idx="73">
                  <c:v>-9.3046062655760036</c:v>
                </c:pt>
                <c:pt idx="74">
                  <c:v>-9.1062798488411012</c:v>
                </c:pt>
                <c:pt idx="75">
                  <c:v>-8.9098826455217619</c:v>
                </c:pt>
                <c:pt idx="76">
                  <c:v>-8.7153276623199307</c:v>
                </c:pt>
                <c:pt idx="77">
                  <c:v>-8.5225222439511352</c:v>
                </c:pt>
                <c:pt idx="78">
                  <c:v>-8.3313682466511061</c:v>
                </c:pt>
                <c:pt idx="79">
                  <c:v>-8.1417622211088805</c:v>
                </c:pt>
                <c:pt idx="80">
                  <c:v>-7.9535956046443923</c:v>
                </c:pt>
                <c:pt idx="81">
                  <c:v>-7.7667549224351244</c:v>
                </c:pt>
                <c:pt idx="82">
                  <c:v>-7.5811219975833408</c:v>
                </c:pt>
                <c:pt idx="83">
                  <c:v>-7.3965741698020295</c:v>
                </c:pt>
                <c:pt idx="84">
                  <c:v>-7.2129845224845512</c:v>
                </c:pt>
                <c:pt idx="85">
                  <c:v>-7.0302221179096955</c:v>
                </c:pt>
                <c:pt idx="86">
                  <c:v>-6.8481522403206734</c:v>
                </c:pt>
                <c:pt idx="87">
                  <c:v>-6.6666366466032274</c:v>
                </c:pt>
                <c:pt idx="88">
                  <c:v>-6.4855338242749498</c:v>
                </c:pt>
                <c:pt idx="89">
                  <c:v>-6.3046992564845281</c:v>
                </c:pt>
                <c:pt idx="90">
                  <c:v>-6.1239856937065102</c:v>
                </c:pt>
                <c:pt idx="91">
                  <c:v>-5.9432434318038379</c:v>
                </c:pt>
                <c:pt idx="92">
                  <c:v>-5.7623205961172719</c:v>
                </c:pt>
                <c:pt idx="93">
                  <c:v>-5.5810634312275207</c:v>
                </c:pt>
                <c:pt idx="94">
                  <c:v>-5.3993165960226497</c:v>
                </c:pt>
                <c:pt idx="95">
                  <c:v>-5.2169234636901676</c:v>
                </c:pt>
                <c:pt idx="96">
                  <c:v>-5.0337264262398946</c:v>
                </c:pt>
                <c:pt idx="97">
                  <c:v>-4.8495672031504995</c:v>
                </c:pt>
                <c:pt idx="98">
                  <c:v>-4.6642871537193571</c:v>
                </c:pt>
                <c:pt idx="99">
                  <c:v>-4.47772759268216</c:v>
                </c:pt>
                <c:pt idx="100">
                  <c:v>-4.2897301086554336</c:v>
                </c:pt>
                <c:pt idx="101">
                  <c:v>-4.1001368849419144</c:v>
                </c:pt>
                <c:pt idx="102">
                  <c:v>-3.908791022225512</c:v>
                </c:pt>
                <c:pt idx="103">
                  <c:v>-3.7155368626692904</c:v>
                </c:pt>
                <c:pt idx="104">
                  <c:v>-3.5202203149167328</c:v>
                </c:pt>
                <c:pt idx="105">
                  <c:v>-3.3226891794832691</c:v>
                </c:pt>
                <c:pt idx="106">
                  <c:v>-3.1227934740118393</c:v>
                </c:pt>
                <c:pt idx="107">
                  <c:v>-2.9203857578530124</c:v>
                </c:pt>
                <c:pt idx="108">
                  <c:v>-2.7153214554169445</c:v>
                </c:pt>
                <c:pt idx="109">
                  <c:v>-2.5074591777312434</c:v>
                </c:pt>
                <c:pt idx="110">
                  <c:v>-2.2966610416255357</c:v>
                </c:pt>
                <c:pt idx="111">
                  <c:v>-2.0827929859503302</c:v>
                </c:pt>
                <c:pt idx="112">
                  <c:v>-1.8657250842245208</c:v>
                </c:pt>
                <c:pt idx="113">
                  <c:v>-1.6453318530926289</c:v>
                </c:pt>
                <c:pt idx="114">
                  <c:v>-1.4214925559596567</c:v>
                </c:pt>
                <c:pt idx="115">
                  <c:v>-1.194091501158195</c:v>
                </c:pt>
                <c:pt idx="116">
                  <c:v>-0.96301833398917269</c:v>
                </c:pt>
                <c:pt idx="117">
                  <c:v>-0.72816832196441539</c:v>
                </c:pt>
                <c:pt idx="118">
                  <c:v>-0.48944263256593812</c:v>
                </c:pt>
                <c:pt idx="119">
                  <c:v>-0.24674860282366104</c:v>
                </c:pt>
                <c:pt idx="120">
                  <c:v>0</c:v>
                </c:pt>
                <c:pt idx="121">
                  <c:v>0.25088272734344974</c:v>
                </c:pt>
                <c:pt idx="122">
                  <c:v>0.50597220863515779</c:v>
                </c:pt>
                <c:pt idx="123">
                  <c:v>0.76533392169008596</c:v>
                </c:pt>
                <c:pt idx="124">
                  <c:v>1.0290259749777915</c:v>
                </c:pt>
                <c:pt idx="125">
                  <c:v>1.2970989025399342</c:v>
                </c:pt>
                <c:pt idx="126">
                  <c:v>1.5695954723481544</c:v>
                </c:pt>
                <c:pt idx="127">
                  <c:v>1.8465505089065199</c:v>
                </c:pt>
                <c:pt idx="128">
                  <c:v>2.1279907309159811</c:v>
                </c:pt>
                <c:pt idx="129">
                  <c:v>2.4139346048315109</c:v>
                </c:pt>
                <c:pt idx="130">
                  <c:v>2.7043922151558326</c:v>
                </c:pt>
                <c:pt idx="131">
                  <c:v>2.9993651523268912</c:v>
                </c:pt>
                <c:pt idx="132">
                  <c:v>3.2988464190694406</c:v>
                </c:pt>
                <c:pt idx="133">
                  <c:v>3.6028203560943788</c:v>
                </c:pt>
                <c:pt idx="134">
                  <c:v>3.9112625880426739</c:v>
                </c:pt>
                <c:pt idx="135">
                  <c:v>4.2241399905839785</c:v>
                </c:pt>
                <c:pt idx="136">
                  <c:v>4.5414106795932643</c:v>
                </c:pt>
                <c:pt idx="137">
                  <c:v>4.8630240233420263</c:v>
                </c:pt>
                <c:pt idx="138">
                  <c:v>5.1889206786538908</c:v>
                </c:pt>
                <c:pt idx="139">
                  <c:v>5.5190326519876045</c:v>
                </c:pt>
                <c:pt idx="140">
                  <c:v>5.8532833864237581</c:v>
                </c:pt>
                <c:pt idx="141">
                  <c:v>6.191587875544676</c:v>
                </c:pt>
                <c:pt idx="142">
                  <c:v>6.5338528052102713</c:v>
                </c:pt>
                <c:pt idx="143">
                  <c:v>6.8799767242458216</c:v>
                </c:pt>
                <c:pt idx="144">
                  <c:v>7.229850245070903</c:v>
                </c:pt>
                <c:pt idx="145">
                  <c:v>7.5833562753119095</c:v>
                </c:pt>
                <c:pt idx="146">
                  <c:v>7.9403702814538795</c:v>
                </c:pt>
                <c:pt idx="147">
                  <c:v>8.3007605856005409</c:v>
                </c:pt>
                <c:pt idx="148">
                  <c:v>8.6643886964247443</c:v>
                </c:pt>
                <c:pt idx="149">
                  <c:v>9.0311096754046627</c:v>
                </c:pt>
                <c:pt idx="150">
                  <c:v>9.4007725394544419</c:v>
                </c:pt>
                <c:pt idx="151">
                  <c:v>9.7732207010711143</c:v>
                </c:pt>
                <c:pt idx="152">
                  <c:v>10.148292447132949</c:v>
                </c:pt>
                <c:pt idx="153">
                  <c:v>10.525821457497507</c:v>
                </c:pt>
                <c:pt idx="154">
                  <c:v>10.905637364561089</c:v>
                </c:pt>
                <c:pt idx="155">
                  <c:v>11.287566354954251</c:v>
                </c:pt>
                <c:pt idx="156">
                  <c:v>11.671431814561586</c:v>
                </c:pt>
                <c:pt idx="157">
                  <c:v>12.057055018066986</c:v>
                </c:pt>
                <c:pt idx="158">
                  <c:v>12.444255864238905</c:v>
                </c:pt>
                <c:pt idx="159">
                  <c:v>12.832853658183403</c:v>
                </c:pt>
                <c:pt idx="160">
                  <c:v>13.22266794180601</c:v>
                </c:pt>
                <c:pt idx="161">
                  <c:v>13.613519373736557</c:v>
                </c:pt>
                <c:pt idx="162">
                  <c:v>14.005230659984541</c:v>
                </c:pt>
                <c:pt idx="163">
                  <c:v>14.397627536605656</c:v>
                </c:pt>
                <c:pt idx="164">
                  <c:v>14.790539805673498</c:v>
                </c:pt>
                <c:pt idx="165">
                  <c:v>15.183802425863568</c:v>
                </c:pt>
                <c:pt idx="166">
                  <c:v>15.577256658970013</c:v>
                </c:pt>
                <c:pt idx="167">
                  <c:v>15.970751273688808</c:v>
                </c:pt>
                <c:pt idx="168">
                  <c:v>16.36414380801417</c:v>
                </c:pt>
                <c:pt idx="169">
                  <c:v>16.757301891608396</c:v>
                </c:pt>
                <c:pt idx="170">
                  <c:v>17.15010462951853</c:v>
                </c:pt>
                <c:pt idx="171">
                  <c:v>17.542444048626301</c:v>
                </c:pt>
                <c:pt idx="172">
                  <c:v>17.934226608231363</c:v>
                </c:pt>
                <c:pt idx="173">
                  <c:v>18.325374776180769</c:v>
                </c:pt>
                <c:pt idx="174">
                  <c:v>18.71582867197105</c:v>
                </c:pt>
                <c:pt idx="175">
                  <c:v>19.105547778262391</c:v>
                </c:pt>
                <c:pt idx="176">
                  <c:v>19.494512722257777</c:v>
                </c:pt>
                <c:pt idx="177">
                  <c:v>19.882727128413052</c:v>
                </c:pt>
                <c:pt idx="178">
                  <c:v>20.27021954395709</c:v>
                </c:pt>
                <c:pt idx="179">
                  <c:v>20.657045438714729</c:v>
                </c:pt>
                <c:pt idx="180">
                  <c:v>21.04328928073808</c:v>
                </c:pt>
                <c:pt idx="181">
                  <c:v>21.42906668926517</c:v>
                </c:pt>
                <c:pt idx="182">
                  <c:v>21.814526666538129</c:v>
                </c:pt>
                <c:pt idx="183">
                  <c:v>22.199853910026437</c:v>
                </c:pt>
                <c:pt idx="184">
                  <c:v>22.585271206613783</c:v>
                </c:pt>
                <c:pt idx="185">
                  <c:v>22.971041910320462</c:v>
                </c:pt>
                <c:pt idx="186">
                  <c:v>23.357472505146614</c:v>
                </c:pt>
                <c:pt idx="187">
                  <c:v>23.744915254634382</c:v>
                </c:pt>
                <c:pt idx="188">
                  <c:v>24.133770939760925</c:v>
                </c:pt>
                <c:pt idx="189">
                  <c:v>24.524491686786902</c:v>
                </c:pt>
                <c:pt idx="190">
                  <c:v>24.917583886698679</c:v>
                </c:pt>
                <c:pt idx="191">
                  <c:v>25.313611207895452</c:v>
                </c:pt>
                <c:pt idx="192">
                  <c:v>25.713197703785948</c:v>
                </c:pt>
                <c:pt idx="193">
                  <c:v>26.11703101697243</c:v>
                </c:pt>
                <c:pt idx="194">
                  <c:v>26.525865681713093</c:v>
                </c:pt>
                <c:pt idx="195">
                  <c:v>26.940526526367091</c:v>
                </c:pt>
                <c:pt idx="196">
                  <c:v>27.36191217753975</c:v>
                </c:pt>
                <c:pt idx="197">
                  <c:v>27.79099866765856</c:v>
                </c:pt>
                <c:pt idx="198">
                  <c:v>28.228843147724213</c:v>
                </c:pt>
                <c:pt idx="199">
                  <c:v>28.676587706993491</c:v>
                </c:pt>
                <c:pt idx="200">
                  <c:v>29.135463301364979</c:v>
                </c:pt>
              </c:numCache>
            </c:numRef>
          </c:yVal>
          <c:smooth val="1"/>
        </c:ser>
        <c:dLbls>
          <c:showLegendKey val="0"/>
          <c:showVal val="0"/>
          <c:showCatName val="0"/>
          <c:showSerName val="0"/>
          <c:showPercent val="0"/>
          <c:showBubbleSize val="0"/>
        </c:dLbls>
        <c:axId val="548109184"/>
        <c:axId val="655876584"/>
      </c:scatterChart>
      <c:valAx>
        <c:axId val="54810918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5876584"/>
        <c:crossesAt val="-1000"/>
        <c:crossBetween val="midCat"/>
      </c:valAx>
      <c:valAx>
        <c:axId val="655876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0918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0.24880297550066366</v>
      </c>
      <c r="D59" s="55">
        <v>1</v>
      </c>
    </row>
    <row r="60" spans="1:4" s="11" customFormat="1" x14ac:dyDescent="0.25">
      <c r="A60" s="54">
        <v>2</v>
      </c>
      <c r="B60" s="56">
        <f>'Shiftfunktion bestimmen'!N2</f>
        <v>2.0673507386697681E-3</v>
      </c>
      <c r="D60" s="55">
        <v>2</v>
      </c>
    </row>
    <row r="61" spans="1:4" s="11" customFormat="1" x14ac:dyDescent="0.25">
      <c r="A61" s="54">
        <v>3</v>
      </c>
      <c r="B61" s="56">
        <f>'Shiftfunktion bestimmen'!N3</f>
        <v>1.2691544489599315E-5</v>
      </c>
      <c r="D61" s="55">
        <v>3</v>
      </c>
    </row>
    <row r="62" spans="1:4" s="11" customFormat="1" x14ac:dyDescent="0.25">
      <c r="A62" s="54">
        <v>4</v>
      </c>
      <c r="B62" s="56">
        <f>'Shiftfunktion bestimmen'!N4</f>
        <v>-2.8849419776775187E-7</v>
      </c>
      <c r="D62" s="55">
        <v>4</v>
      </c>
    </row>
    <row r="63" spans="1:4" s="11" customFormat="1" x14ac:dyDescent="0.25">
      <c r="A63" s="54">
        <v>5</v>
      </c>
      <c r="B63" s="56">
        <f>'Shiftfunktion bestimmen'!N5</f>
        <v>-1.9617482416821051E-9</v>
      </c>
      <c r="D63" s="55">
        <v>5</v>
      </c>
    </row>
    <row r="64" spans="1:4" s="11" customFormat="1" x14ac:dyDescent="0.25">
      <c r="A64" s="54">
        <v>6</v>
      </c>
      <c r="B64" s="56">
        <f>'Shiftfunktion bestimmen'!N6</f>
        <v>1.5422047699696851E-11</v>
      </c>
      <c r="D64" s="55">
        <v>6</v>
      </c>
    </row>
    <row r="65" spans="1:5" s="11" customFormat="1" x14ac:dyDescent="0.25">
      <c r="A65" s="54">
        <v>7</v>
      </c>
      <c r="B65" s="56">
        <f>'Shiftfunktion bestimmen'!N7</f>
        <v>1.5037186164883593E-13</v>
      </c>
      <c r="D65" s="55">
        <v>7</v>
      </c>
    </row>
    <row r="66" spans="1:5" x14ac:dyDescent="0.25">
      <c r="A66" s="54">
        <v>8</v>
      </c>
      <c r="B66" s="56">
        <f>'Shiftfunktion bestimmen'!N8</f>
        <v>3.2828149668361693E-16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2.5568157300265182E-2</v>
      </c>
      <c r="D74" s="51">
        <v>1</v>
      </c>
      <c r="E74" s="56">
        <f>'Mastercurve bestimmen'!A18</f>
        <v>1.0000000000000001E-20</v>
      </c>
    </row>
    <row r="75" spans="1:5" x14ac:dyDescent="0.25">
      <c r="A75" s="50">
        <f>A74+1</f>
        <v>2</v>
      </c>
      <c r="B75" s="56">
        <f>'Mastercurve bestimmen'!C19</f>
        <v>4.7697666601139402E-2</v>
      </c>
      <c r="D75" s="51">
        <v>2</v>
      </c>
      <c r="E75" s="56">
        <f>'Mastercurve bestimmen'!A19</f>
        <v>3.9038946506297401E-14</v>
      </c>
    </row>
    <row r="76" spans="1:5" x14ac:dyDescent="0.25">
      <c r="A76" s="50">
        <f t="shared" ref="A76:A104" si="0">A75+1</f>
        <v>3</v>
      </c>
      <c r="B76" s="56">
        <f>'Mastercurve bestimmen'!C20</f>
        <v>9.143454953959294E-3</v>
      </c>
      <c r="D76" s="51">
        <v>3</v>
      </c>
      <c r="E76" s="56">
        <f>'Mastercurve bestimmen'!A20</f>
        <v>4.3276437088188502E-13</v>
      </c>
    </row>
    <row r="77" spans="1:5" x14ac:dyDescent="0.25">
      <c r="A77" s="50">
        <f t="shared" si="0"/>
        <v>4</v>
      </c>
      <c r="B77" s="56">
        <f>'Mastercurve bestimmen'!C21</f>
        <v>2.3869497919831097E-2</v>
      </c>
      <c r="D77" s="51">
        <v>4</v>
      </c>
      <c r="E77" s="56">
        <f>'Mastercurve bestimmen'!A21</f>
        <v>4.7973886968128502E-12</v>
      </c>
    </row>
    <row r="78" spans="1:5" x14ac:dyDescent="0.25">
      <c r="A78" s="50">
        <f t="shared" si="0"/>
        <v>5</v>
      </c>
      <c r="B78" s="56">
        <f>'Mastercurve bestimmen'!C22</f>
        <v>2.1807397888222967E-2</v>
      </c>
      <c r="D78" s="51">
        <v>5</v>
      </c>
      <c r="E78" s="56">
        <f>'Mastercurve bestimmen'!A22</f>
        <v>5.31812225239524E-11</v>
      </c>
    </row>
    <row r="79" spans="1:5" x14ac:dyDescent="0.25">
      <c r="A79" s="50">
        <f t="shared" si="0"/>
        <v>6</v>
      </c>
      <c r="B79" s="56">
        <f>'Mastercurve bestimmen'!C23</f>
        <v>2.6177921314185938E-2</v>
      </c>
      <c r="D79" s="51">
        <v>6</v>
      </c>
      <c r="E79" s="56">
        <f>'Mastercurve bestimmen'!A23</f>
        <v>5.8953789402578301E-10</v>
      </c>
    </row>
    <row r="80" spans="1:5" x14ac:dyDescent="0.25">
      <c r="A80" s="50">
        <f t="shared" si="0"/>
        <v>7</v>
      </c>
      <c r="B80" s="56">
        <f>'Mastercurve bestimmen'!C24</f>
        <v>2.8069625647987036E-2</v>
      </c>
      <c r="D80" s="51">
        <v>7</v>
      </c>
      <c r="E80" s="56">
        <f>'Mastercurve bestimmen'!A24</f>
        <v>6.5352940755699598E-9</v>
      </c>
    </row>
    <row r="81" spans="1:5" x14ac:dyDescent="0.25">
      <c r="A81" s="50">
        <f t="shared" si="0"/>
        <v>8</v>
      </c>
      <c r="B81" s="56">
        <f>'Mastercurve bestimmen'!C25</f>
        <v>2.86040710676531E-2</v>
      </c>
      <c r="D81" s="51">
        <v>8</v>
      </c>
      <c r="E81" s="56">
        <f>'Mastercurve bestimmen'!A25</f>
        <v>7.2446689325643296E-8</v>
      </c>
    </row>
    <row r="82" spans="1:5" x14ac:dyDescent="0.25">
      <c r="A82" s="50">
        <f t="shared" si="0"/>
        <v>9</v>
      </c>
      <c r="B82" s="56">
        <f>'Mastercurve bestimmen'!C26</f>
        <v>2.5824539759352179E-2</v>
      </c>
      <c r="D82" s="51">
        <f>A82</f>
        <v>9</v>
      </c>
      <c r="E82" s="56">
        <f>'Mastercurve bestimmen'!A26</f>
        <v>8.03104303120212E-7</v>
      </c>
    </row>
    <row r="83" spans="1:5" x14ac:dyDescent="0.25">
      <c r="A83" s="50">
        <f t="shared" si="0"/>
        <v>10</v>
      </c>
      <c r="B83" s="56">
        <f>'Mastercurve bestimmen'!C27</f>
        <v>3.0898133946774098E-2</v>
      </c>
      <c r="C83" s="11"/>
      <c r="D83" s="51">
        <f t="shared" ref="D83:D104" si="1">A83</f>
        <v>10</v>
      </c>
      <c r="E83" s="56">
        <f>'Mastercurve bestimmen'!A27</f>
        <v>8.9027742702096099E-6</v>
      </c>
    </row>
    <row r="84" spans="1:5" x14ac:dyDescent="0.25">
      <c r="A84" s="50">
        <f t="shared" si="0"/>
        <v>11</v>
      </c>
      <c r="B84" s="56">
        <f>'Mastercurve bestimmen'!C28</f>
        <v>3.9211561859274865E-2</v>
      </c>
      <c r="C84" s="11"/>
      <c r="D84" s="51">
        <f t="shared" si="1"/>
        <v>11</v>
      </c>
      <c r="E84" s="56">
        <f>'Mastercurve bestimmen'!A28</f>
        <v>9.86912775817142E-5</v>
      </c>
    </row>
    <row r="85" spans="1:5" x14ac:dyDescent="0.25">
      <c r="A85" s="50">
        <f t="shared" si="0"/>
        <v>12</v>
      </c>
      <c r="B85" s="56">
        <f>'Mastercurve bestimmen'!C29</f>
        <v>3.991776240613705E-2</v>
      </c>
      <c r="C85" s="11"/>
      <c r="D85" s="51">
        <f t="shared" si="1"/>
        <v>12</v>
      </c>
      <c r="E85" s="56">
        <f>'Mastercurve bestimmen'!A29</f>
        <v>1.0940374286813801E-3</v>
      </c>
    </row>
    <row r="86" spans="1:5" x14ac:dyDescent="0.25">
      <c r="A86" s="50">
        <f t="shared" si="0"/>
        <v>13</v>
      </c>
      <c r="B86" s="56">
        <f>'Mastercurve bestimmen'!C30</f>
        <v>2.7879487424106172E-2</v>
      </c>
      <c r="C86" s="11"/>
      <c r="D86" s="51">
        <f t="shared" si="1"/>
        <v>13</v>
      </c>
      <c r="E86" s="56">
        <f>'Mastercurve bestimmen'!A30</f>
        <v>1.2127899493091E-2</v>
      </c>
    </row>
    <row r="87" spans="1:5" x14ac:dyDescent="0.25">
      <c r="A87" s="50">
        <f t="shared" si="0"/>
        <v>14</v>
      </c>
      <c r="B87" s="56">
        <f>'Mastercurve bestimmen'!C31</f>
        <v>3.1696336900802431E-2</v>
      </c>
      <c r="C87" s="11"/>
      <c r="D87" s="51">
        <f t="shared" si="1"/>
        <v>14</v>
      </c>
      <c r="E87" s="56">
        <f>'Mastercurve bestimmen'!A31</f>
        <v>0.13444324870292301</v>
      </c>
    </row>
    <row r="88" spans="1:5" x14ac:dyDescent="0.25">
      <c r="A88" s="50">
        <f t="shared" si="0"/>
        <v>15</v>
      </c>
      <c r="B88" s="56">
        <f>'Mastercurve bestimmen'!C32</f>
        <v>2.7472650949533099E-2</v>
      </c>
      <c r="C88" s="11"/>
      <c r="D88" s="51">
        <f t="shared" si="1"/>
        <v>15</v>
      </c>
      <c r="E88" s="56">
        <f>'Mastercurve bestimmen'!A32</f>
        <v>1.49036419143257</v>
      </c>
    </row>
    <row r="89" spans="1:5" x14ac:dyDescent="0.25">
      <c r="A89" s="50">
        <f t="shared" si="0"/>
        <v>16</v>
      </c>
      <c r="B89" s="56">
        <f>'Mastercurve bestimmen'!C33</f>
        <v>4.6468539028017564E-2</v>
      </c>
      <c r="C89" s="11"/>
      <c r="D89" s="51">
        <f t="shared" si="1"/>
        <v>16</v>
      </c>
      <c r="E89" s="56">
        <f>'Mastercurve bestimmen'!A33</f>
        <v>16.521360830937301</v>
      </c>
    </row>
    <row r="90" spans="1:5" x14ac:dyDescent="0.25">
      <c r="A90" s="50">
        <f t="shared" si="0"/>
        <v>17</v>
      </c>
      <c r="B90" s="56">
        <f>'Mastercurve bestimmen'!C34</f>
        <v>5.1683873282290876E-2</v>
      </c>
      <c r="C90" s="11"/>
      <c r="D90" s="51">
        <f t="shared" si="1"/>
        <v>17</v>
      </c>
      <c r="E90" s="56">
        <f>'Mastercurve bestimmen'!A34</f>
        <v>183.146753843879</v>
      </c>
    </row>
    <row r="91" spans="1:5" x14ac:dyDescent="0.25">
      <c r="A91" s="50">
        <f t="shared" si="0"/>
        <v>18</v>
      </c>
      <c r="B91" s="56">
        <f>'Mastercurve bestimmen'!C35</f>
        <v>5.2823026105162527E-2</v>
      </c>
      <c r="C91" s="11"/>
      <c r="D91" s="51">
        <f t="shared" si="1"/>
        <v>18</v>
      </c>
      <c r="E91" s="56">
        <f>'Mastercurve bestimmen'!A35</f>
        <v>2030.26456396616</v>
      </c>
    </row>
    <row r="92" spans="1:5" x14ac:dyDescent="0.25">
      <c r="A92" s="50">
        <f t="shared" si="0"/>
        <v>19</v>
      </c>
      <c r="B92" s="56">
        <f>'Mastercurve bestimmen'!C36</f>
        <v>4.2291417760733988E-2</v>
      </c>
      <c r="C92" s="11"/>
      <c r="D92" s="51">
        <f t="shared" si="1"/>
        <v>19</v>
      </c>
      <c r="E92" s="56">
        <f>'Mastercurve bestimmen'!A36</f>
        <v>22506.400540467101</v>
      </c>
    </row>
    <row r="93" spans="1:5" x14ac:dyDescent="0.25">
      <c r="A93" s="50">
        <f t="shared" si="0"/>
        <v>20</v>
      </c>
      <c r="B93" s="56">
        <f>'Mastercurve bestimmen'!C37</f>
        <v>5.3725706170150357E-2</v>
      </c>
      <c r="C93" s="11"/>
      <c r="D93" s="51">
        <f t="shared" si="1"/>
        <v>20</v>
      </c>
      <c r="E93" s="56">
        <f>'Mastercurve bestimmen'!A37</f>
        <v>249493.62476110301</v>
      </c>
    </row>
    <row r="94" spans="1:5" x14ac:dyDescent="0.25">
      <c r="A94" s="50">
        <f t="shared" si="0"/>
        <v>21</v>
      </c>
      <c r="B94" s="56">
        <f>'Mastercurve bestimmen'!C38</f>
        <v>0</v>
      </c>
      <c r="C94" s="11"/>
      <c r="D94" s="51">
        <f t="shared" si="1"/>
        <v>21</v>
      </c>
      <c r="E94" s="56">
        <f>'Mastercurve bestimmen'!A38</f>
        <v>2765749.6224023802</v>
      </c>
    </row>
    <row r="95" spans="1:5" x14ac:dyDescent="0.25">
      <c r="A95" s="50">
        <f t="shared" si="0"/>
        <v>22</v>
      </c>
      <c r="B95" s="56">
        <f>'Mastercurve bestimmen'!C39</f>
        <v>7.2666327012941595E-2</v>
      </c>
      <c r="C95" s="11"/>
      <c r="D95" s="51">
        <f t="shared" si="1"/>
        <v>22</v>
      </c>
      <c r="E95" s="56">
        <f>'Mastercurve bestimmen'!A39</f>
        <v>10000000</v>
      </c>
    </row>
    <row r="96" spans="1:5" x14ac:dyDescent="0.25">
      <c r="A96" s="50">
        <f t="shared" si="0"/>
        <v>23</v>
      </c>
      <c r="B96" s="56">
        <f>'Mastercurve bestimmen'!C40</f>
        <v>2.5077417845043044E-2</v>
      </c>
      <c r="C96" s="11"/>
      <c r="D96" s="51">
        <f t="shared" si="1"/>
        <v>23</v>
      </c>
      <c r="E96" s="56">
        <f>'Mastercurve bestimmen'!A40</f>
        <v>100000000</v>
      </c>
    </row>
    <row r="97" spans="1:5" x14ac:dyDescent="0.25">
      <c r="A97" s="50">
        <f t="shared" si="0"/>
        <v>24</v>
      </c>
      <c r="B97" s="56">
        <f>'Mastercurve bestimmen'!C41</f>
        <v>6.9691000347133242E-2</v>
      </c>
      <c r="C97" s="11"/>
      <c r="D97" s="51">
        <f t="shared" si="1"/>
        <v>24</v>
      </c>
      <c r="E97" s="56">
        <f>'Mastercurve bestimmen'!A41</f>
        <v>1000000000</v>
      </c>
    </row>
    <row r="98" spans="1:5" x14ac:dyDescent="0.25">
      <c r="A98" s="50">
        <f t="shared" si="0"/>
        <v>25</v>
      </c>
      <c r="B98" s="56">
        <f>'Mastercurve bestimmen'!C42</f>
        <v>3.3680791941505174E-2</v>
      </c>
      <c r="C98" s="11"/>
      <c r="D98" s="51">
        <f t="shared" si="1"/>
        <v>25</v>
      </c>
      <c r="E98" s="56">
        <f>'Mastercurve bestimmen'!A42</f>
        <v>10000000000</v>
      </c>
    </row>
    <row r="99" spans="1:5" x14ac:dyDescent="0.25">
      <c r="A99" s="50">
        <f t="shared" si="0"/>
        <v>26</v>
      </c>
      <c r="B99" s="56">
        <f>'Mastercurve bestimmen'!C43</f>
        <v>4.444785280126981E-2</v>
      </c>
      <c r="C99" s="11"/>
      <c r="D99" s="51">
        <f t="shared" si="1"/>
        <v>26</v>
      </c>
      <c r="E99" s="56">
        <f>'Mastercurve bestimmen'!A43</f>
        <v>100000000000</v>
      </c>
    </row>
    <row r="100" spans="1:5" x14ac:dyDescent="0.25">
      <c r="A100" s="50">
        <f t="shared" si="0"/>
        <v>27</v>
      </c>
      <c r="B100" s="56">
        <f>'Mastercurve bestimmen'!C44</f>
        <v>1.2310076575543269E-2</v>
      </c>
      <c r="C100" s="11"/>
      <c r="D100" s="51">
        <f t="shared" si="1"/>
        <v>27</v>
      </c>
      <c r="E100" s="56">
        <f>'Mastercurve bestimmen'!A44</f>
        <v>1000000000000</v>
      </c>
    </row>
    <row r="101" spans="1:5" x14ac:dyDescent="0.25">
      <c r="A101" s="50">
        <f t="shared" si="0"/>
        <v>28</v>
      </c>
      <c r="B101" s="56">
        <f>'Mastercurve bestimmen'!C45</f>
        <v>1.4823378253451746E-2</v>
      </c>
      <c r="C101" s="11"/>
      <c r="D101" s="51">
        <f t="shared" si="1"/>
        <v>28</v>
      </c>
      <c r="E101" s="56">
        <f>'Mastercurve bestimmen'!A45</f>
        <v>10000000000000</v>
      </c>
    </row>
    <row r="102" spans="1:5" x14ac:dyDescent="0.25">
      <c r="A102" s="50">
        <f t="shared" si="0"/>
        <v>29</v>
      </c>
      <c r="B102" s="56">
        <f>'Mastercurve bestimmen'!C46</f>
        <v>7.924341887142665E-4</v>
      </c>
      <c r="C102" s="11"/>
      <c r="D102" s="51">
        <f t="shared" si="1"/>
        <v>29</v>
      </c>
      <c r="E102" s="56">
        <f>'Mastercurve bestimmen'!A46</f>
        <v>100000000000000</v>
      </c>
    </row>
    <row r="103" spans="1:5" x14ac:dyDescent="0.25">
      <c r="A103" s="50">
        <f t="shared" si="0"/>
        <v>30</v>
      </c>
      <c r="B103" s="56">
        <f>'Mastercurve bestimmen'!C47</f>
        <v>4.201469826442498E-3</v>
      </c>
      <c r="C103" s="11"/>
      <c r="D103" s="51">
        <f t="shared" si="1"/>
        <v>30</v>
      </c>
      <c r="E103" s="56">
        <f>'Mastercurve bestimmen'!A47</f>
        <v>1000000000000000</v>
      </c>
    </row>
    <row r="104" spans="1:5" x14ac:dyDescent="0.25">
      <c r="A104" s="50">
        <f t="shared" si="0"/>
        <v>31</v>
      </c>
      <c r="B104" s="56">
        <f>'Mastercurve bestimmen'!C48</f>
        <v>6.8476297618842216E-3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D5" sqref="D5"/>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6087.7263279674889</v>
      </c>
      <c r="G16" s="26">
        <f>INDEX(Comparison!$AM$3:$AS$33,G14,$B$3)</f>
        <v>5883.2023767223172</v>
      </c>
      <c r="H16" s="26">
        <f>INDEX(Comparison!$AM$3:$AS$33,H14,$B$3)</f>
        <v>5766.612112648796</v>
      </c>
      <c r="I16" s="26">
        <f>INDEX(Comparison!$AM$3:$AS$33,I14,$B$3)</f>
        <v>5652.2426569527415</v>
      </c>
      <c r="J16" s="26">
        <f>INDEX(Comparison!$AM$3:$AS$33,J14,$B$3)</f>
        <v>5525.6917701938164</v>
      </c>
      <c r="K16" s="26">
        <f>INDEX(Comparison!$AM$3:$AS$33,K14,$B$3)</f>
        <v>5390.3124971142561</v>
      </c>
      <c r="L16" s="26">
        <f>INDEX(Comparison!$AM$3:$AS$33,L14,$B$3)</f>
        <v>5238.3436481907338</v>
      </c>
      <c r="M16" s="26">
        <f>INDEX(Comparison!$AM$3:$AS$33,M14,$B$3)</f>
        <v>5074.6532971494116</v>
      </c>
      <c r="N16" s="26">
        <f>INDEX(Comparison!$AM$3:$AS$33,N14,$B$3)</f>
        <v>4908.5570875707617</v>
      </c>
      <c r="O16" s="26">
        <f>INDEX(Comparison!$AM$3:$AS$33,O14,$B$3)</f>
        <v>4747.9849619649776</v>
      </c>
      <c r="P16" s="26">
        <f>INDEX(Comparison!$AM$3:$AS$33,P14,$B$3)</f>
        <v>4570.6221718948836</v>
      </c>
      <c r="Q16" s="26">
        <f>INDEX(Comparison!$AM$3:$AS$33,Q14,$B$3)</f>
        <v>4355.6121901289935</v>
      </c>
      <c r="R16" s="26">
        <f>INDEX(Comparison!$AM$3:$AS$33,R14,$B$3)</f>
        <v>4128.400911796266</v>
      </c>
      <c r="S16" s="26">
        <f>INDEX(Comparison!$AM$3:$AS$33,S14,$B$3)</f>
        <v>3931.0953121014495</v>
      </c>
      <c r="T16" s="26">
        <f>INDEX(Comparison!$AM$3:$AS$33,T14,$B$3)</f>
        <v>3756.0498426526324</v>
      </c>
      <c r="U16" s="26">
        <f>INDEX(Comparison!$AM$3:$AS$33,U14,$B$3)</f>
        <v>3572.9092141735305</v>
      </c>
      <c r="V16" s="26">
        <f>INDEX(Comparison!$AM$3:$AS$33,V14,$B$3)</f>
        <v>3356.1944513859066</v>
      </c>
      <c r="W16" s="26">
        <f>INDEX(Comparison!$AM$3:$AS$33,W14,$B$3)</f>
        <v>3066.2657883339552</v>
      </c>
      <c r="X16" s="26">
        <f>INDEX(Comparison!$AM$3:$AS$33,X14,$B$3)</f>
        <v>2758.9237309250375</v>
      </c>
      <c r="Y16" s="26">
        <f>INDEX(Comparison!$AM$3:$AS$33,Y14,$B$3)</f>
        <v>2465.267862411738</v>
      </c>
      <c r="Z16" s="26">
        <f>INDEX(Comparison!$AM$3:$AS$33,Z14,$B$3)</f>
        <v>2197.1478961266816</v>
      </c>
      <c r="AA16" s="26">
        <f>INDEX(Comparison!$AM$3:$AS$33,AA14,$B$3)</f>
        <v>1937.1917706499551</v>
      </c>
      <c r="AB16" s="26">
        <f>INDEX(Comparison!$AM$3:$AS$33,AB14,$B$3)</f>
        <v>1672.2844115065361</v>
      </c>
      <c r="AC16" s="26">
        <f>INDEX(Comparison!$AM$3:$AS$33,AC14,$B$3)</f>
        <v>1384.5529744446492</v>
      </c>
      <c r="AD16" s="26">
        <f>INDEX(Comparison!$AM$3:$AS$33,AD14,$B$3)</f>
        <v>1075.4259318118629</v>
      </c>
      <c r="AE16" s="26">
        <f>INDEX(Comparison!$AM$3:$AS$33,AE14,$B$3)</f>
        <v>780.58970474439741</v>
      </c>
      <c r="AF16" s="26">
        <f>INDEX(Comparison!$AM$3:$AS$33,AF14,$B$3)</f>
        <v>548.72899064067769</v>
      </c>
      <c r="AG16" s="26">
        <f>INDEX(Comparison!$AM$3:$AS$33,AG14,$B$3)</f>
        <v>398.73442150311388</v>
      </c>
      <c r="AH16" s="26">
        <f>INDEX(Comparison!$AM$3:$AS$33,AH14,$B$3)</f>
        <v>320.69011633427954</v>
      </c>
      <c r="AI16" s="26">
        <f>INDEX(Comparison!$AM$3:$AS$33,AI14,$B$3)</f>
        <v>281.72273678924813</v>
      </c>
      <c r="AJ16" s="26">
        <f>INDEX(Comparison!$AM$3:$AS$33,AJ14,$B$3)</f>
        <v>262.32128706515465</v>
      </c>
    </row>
    <row r="17" spans="1:36" x14ac:dyDescent="0.25">
      <c r="A17" s="14" t="s">
        <v>20</v>
      </c>
      <c r="B17" s="105">
        <v>5.0401024109287325E-2</v>
      </c>
      <c r="C17" s="18">
        <f t="shared" ref="C17:C48" si="3">ABS(B17/$B$49)</f>
        <v>3.4630793160491662E-2</v>
      </c>
      <c r="D17" s="66"/>
      <c r="E17" s="65" t="s">
        <v>22</v>
      </c>
      <c r="F17" s="27">
        <f>($C$17+SUM(F18:F48))*$B$51</f>
        <v>6025.0255218836228</v>
      </c>
      <c r="G17" s="27">
        <f t="shared" ref="G17:M17" si="4">($C$17+SUM(G18:G48))*$B$51</f>
        <v>5964.2988907602166</v>
      </c>
      <c r="H17" s="27">
        <f t="shared" si="4"/>
        <v>5745.1449421146772</v>
      </c>
      <c r="I17" s="27">
        <f t="shared" si="4"/>
        <v>5655.7485864177461</v>
      </c>
      <c r="J17" s="27">
        <f t="shared" si="4"/>
        <v>5525.2010054395932</v>
      </c>
      <c r="K17" s="27">
        <f t="shared" si="4"/>
        <v>5390.3768154590744</v>
      </c>
      <c r="L17" s="27">
        <f t="shared" si="4"/>
        <v>5238.3192138752465</v>
      </c>
      <c r="M17" s="27">
        <f t="shared" si="4"/>
        <v>5074.7016813703785</v>
      </c>
      <c r="N17" s="27">
        <f t="shared" ref="N17" si="5">($C$17+SUM(N18:N48))*$B$51</f>
        <v>4908.4558963989548</v>
      </c>
      <c r="O17" s="27">
        <f t="shared" ref="O17" si="6">($C$17+SUM(O18:O48))*$B$51</f>
        <v>4748.1808575009236</v>
      </c>
      <c r="P17" s="27">
        <f t="shared" ref="P17" si="7">($C$17+SUM(P18:P48))*$B$51</f>
        <v>4570.2895475930627</v>
      </c>
      <c r="Q17" s="27">
        <f t="shared" ref="Q17" si="8">($C$17+SUM(Q18:Q48))*$B$51</f>
        <v>4356.0875862015582</v>
      </c>
      <c r="R17" s="27">
        <f t="shared" ref="R17" si="9">($C$17+SUM(R18:R48))*$B$51</f>
        <v>4127.8261366533934</v>
      </c>
      <c r="S17" s="27">
        <f t="shared" ref="S17:T17" si="10">($C$17+SUM(S18:S48))*$B$51</f>
        <v>3931.6942528964196</v>
      </c>
      <c r="T17" s="27">
        <f t="shared" si="10"/>
        <v>3755.5081390664441</v>
      </c>
      <c r="U17" s="27">
        <f t="shared" ref="U17" si="11">($C$17+SUM(U18:U48))*$B$51</f>
        <v>3573.3284742388178</v>
      </c>
      <c r="V17" s="27">
        <f t="shared" ref="V17" si="12">($C$17+SUM(V18:V48))*$B$51</f>
        <v>3355.9156339844158</v>
      </c>
      <c r="W17" s="27">
        <f t="shared" ref="W17" si="13">($C$17+SUM(W18:W48))*$B$51</f>
        <v>3066.4282377266195</v>
      </c>
      <c r="X17" s="27">
        <f t="shared" ref="X17" si="14">($C$17+SUM(X18:X48))*$B$51</f>
        <v>2758.8363134663623</v>
      </c>
      <c r="Y17" s="27">
        <f t="shared" ref="Y17" si="15">($C$17+SUM(Y18:Y48))*$B$51</f>
        <v>2465.3071808546474</v>
      </c>
      <c r="Z17" s="27">
        <f t="shared" ref="Z17:AA17" si="16">($C$17+SUM(Z18:Z48))*$B$51</f>
        <v>2197.1380132245476</v>
      </c>
      <c r="AA17" s="27">
        <f t="shared" si="16"/>
        <v>1937.1919834719442</v>
      </c>
      <c r="AB17" s="27">
        <f t="shared" ref="AB17" si="17">($C$17+SUM(AB18:AB48))*$B$51</f>
        <v>1672.2816670314501</v>
      </c>
      <c r="AC17" s="27">
        <f t="shared" ref="AC17" si="18">($C$17+SUM(AC18:AC48))*$B$51</f>
        <v>1384.5517665566142</v>
      </c>
      <c r="AD17" s="27">
        <f t="shared" ref="AD17" si="19">($C$17+SUM(AD18:AD48))*$B$51</f>
        <v>1075.4436038942797</v>
      </c>
      <c r="AE17" s="27">
        <f t="shared" ref="AE17" si="20">($C$17+SUM(AE18:AE48))*$B$51</f>
        <v>780.55525627873465</v>
      </c>
      <c r="AF17" s="27">
        <f t="shared" ref="AF17" si="21">($C$17+SUM(AF18:AF48))*$B$51</f>
        <v>548.75660462859264</v>
      </c>
      <c r="AG17" s="27">
        <f t="shared" ref="AG17:AH17" si="22">($C$17+SUM(AG18:AG48))*$B$51</f>
        <v>398.71536226625778</v>
      </c>
      <c r="AH17" s="27">
        <f t="shared" si="22"/>
        <v>320.70380202778875</v>
      </c>
      <c r="AI17" s="27">
        <f t="shared" ref="AI17" si="23">($C$17+SUM(AI18:AI48))*$B$51</f>
        <v>281.71373700275404</v>
      </c>
      <c r="AJ17" s="27">
        <f t="shared" ref="AJ17" si="24">($C$17+SUM(AJ18:AJ48))*$B$51</f>
        <v>262.32570879019761</v>
      </c>
    </row>
    <row r="18" spans="1:36" x14ac:dyDescent="0.25">
      <c r="A18" s="3">
        <f>0.000000000000001/10^5</f>
        <v>1.0000000000000001E-20</v>
      </c>
      <c r="B18" s="106">
        <v>3.7211429335406554E-2</v>
      </c>
      <c r="C18" s="18">
        <f t="shared" si="3"/>
        <v>2.5568157300265182E-2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6.9418313152104699E-2</v>
      </c>
      <c r="C19" s="18">
        <f t="shared" si="3"/>
        <v>4.7697666601139402E-2</v>
      </c>
      <c r="D19" s="17"/>
      <c r="F19" s="3">
        <f t="shared" si="25"/>
        <v>4.649138530406479E-2</v>
      </c>
      <c r="G19" s="3">
        <f t="shared" si="25"/>
        <v>3.6919062817670517E-2</v>
      </c>
      <c r="H19" s="3">
        <f t="shared" si="25"/>
        <v>3.681565043794236E-3</v>
      </c>
      <c r="I19" s="3">
        <f t="shared" si="25"/>
        <v>3.5797325027825449E-13</v>
      </c>
      <c r="J19" s="3">
        <f t="shared" si="25"/>
        <v>2.7041547886743002E-113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1.3307217407380409E-2</v>
      </c>
      <c r="C20" s="18">
        <f t="shared" si="3"/>
        <v>9.143454953959294E-3</v>
      </c>
      <c r="D20" s="17"/>
      <c r="F20" s="3">
        <f t="shared" si="25"/>
        <v>9.1223513241555729E-3</v>
      </c>
      <c r="G20" s="3">
        <f t="shared" si="25"/>
        <v>8.9345970982744778E-3</v>
      </c>
      <c r="H20" s="3">
        <f t="shared" si="25"/>
        <v>7.2569939808981385E-3</v>
      </c>
      <c r="I20" s="3">
        <f t="shared" si="25"/>
        <v>9.069318667394681E-4</v>
      </c>
      <c r="J20" s="3">
        <f t="shared" si="25"/>
        <v>8.4285652317858214E-13</v>
      </c>
      <c r="K20" s="3">
        <f t="shared" si="25"/>
        <v>4.0508256987691438E-103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3.4739231485650175E-2</v>
      </c>
      <c r="C21" s="18">
        <f t="shared" si="3"/>
        <v>2.3869497919831097E-2</v>
      </c>
      <c r="D21" s="17"/>
      <c r="F21" s="3">
        <f t="shared" si="25"/>
        <v>2.3864522919504541E-2</v>
      </c>
      <c r="G21" s="3">
        <f t="shared" si="25"/>
        <v>2.3819794551792773E-2</v>
      </c>
      <c r="H21" s="3">
        <f t="shared" si="25"/>
        <v>2.3377095843395906E-2</v>
      </c>
      <c r="I21" s="3">
        <f t="shared" si="25"/>
        <v>1.937831530953708E-2</v>
      </c>
      <c r="J21" s="3">
        <f t="shared" si="25"/>
        <v>2.9687294830912721E-3</v>
      </c>
      <c r="K21" s="3">
        <f t="shared" si="25"/>
        <v>2.1140570343512948E-11</v>
      </c>
      <c r="L21" s="3">
        <f t="shared" si="25"/>
        <v>7.0888770192264921E-93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3.1738088747533116E-2</v>
      </c>
      <c r="C22" s="18">
        <f t="shared" si="3"/>
        <v>2.1807397888222967E-2</v>
      </c>
      <c r="D22" s="17"/>
      <c r="F22" s="3">
        <f t="shared" si="25"/>
        <v>2.1806987833849913E-2</v>
      </c>
      <c r="G22" s="3">
        <f t="shared" si="25"/>
        <v>2.180329769144472E-2</v>
      </c>
      <c r="H22" s="3">
        <f t="shared" si="25"/>
        <v>2.1766430594152342E-2</v>
      </c>
      <c r="I22" s="3">
        <f t="shared" si="25"/>
        <v>2.140117090005967E-2</v>
      </c>
      <c r="J22" s="3">
        <f t="shared" si="25"/>
        <v>1.8069274796387029E-2</v>
      </c>
      <c r="K22" s="3">
        <f t="shared" si="25"/>
        <v>3.3263856486441877E-3</v>
      </c>
      <c r="L22" s="3">
        <f t="shared" si="25"/>
        <v>1.4869328437016722E-10</v>
      </c>
      <c r="M22" s="3">
        <f t="shared" si="25"/>
        <v>4.7367331096239735E-84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3.8098868748768222E-2</v>
      </c>
      <c r="C23" s="18">
        <f t="shared" si="3"/>
        <v>2.6177921314185938E-2</v>
      </c>
      <c r="D23" s="17"/>
      <c r="F23" s="3">
        <f t="shared" si="25"/>
        <v>2.6177876910086766E-2</v>
      </c>
      <c r="G23" s="3">
        <f t="shared" si="25"/>
        <v>2.6177477276583604E-2</v>
      </c>
      <c r="H23" s="3">
        <f t="shared" si="25"/>
        <v>2.6173481277082619E-2</v>
      </c>
      <c r="I23" s="3">
        <f t="shared" si="25"/>
        <v>2.6133554816190004E-2</v>
      </c>
      <c r="J23" s="3">
        <f t="shared" si="25"/>
        <v>2.5737624754371104E-2</v>
      </c>
      <c r="K23" s="3">
        <f t="shared" si="25"/>
        <v>2.209368844828646E-2</v>
      </c>
      <c r="L23" s="3">
        <f t="shared" si="25"/>
        <v>4.8002718585378112E-3</v>
      </c>
      <c r="M23" s="3">
        <f t="shared" si="25"/>
        <v>1.1252315930139286E-9</v>
      </c>
      <c r="N23" s="3">
        <f t="shared" si="25"/>
        <v>5.6364122662903517E-76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4.0852020699221524E-2</v>
      </c>
      <c r="C24" s="18">
        <f t="shared" si="3"/>
        <v>2.8069625647987036E-2</v>
      </c>
      <c r="D24" s="17"/>
      <c r="F24" s="3">
        <f t="shared" si="25"/>
        <v>2.8069621352905107E-2</v>
      </c>
      <c r="G24" s="3">
        <f t="shared" si="25"/>
        <v>2.8069582697197299E-2</v>
      </c>
      <c r="H24" s="3">
        <f t="shared" si="25"/>
        <v>2.8069196143047082E-2</v>
      </c>
      <c r="I24" s="3">
        <f t="shared" si="25"/>
        <v>2.8065330894316912E-2</v>
      </c>
      <c r="J24" s="3">
        <f t="shared" si="25"/>
        <v>2.8026707669298209E-2</v>
      </c>
      <c r="K24" s="3">
        <f t="shared" si="25"/>
        <v>2.7643386791846317E-2</v>
      </c>
      <c r="L24" s="3">
        <f t="shared" si="25"/>
        <v>2.4087011453974776E-2</v>
      </c>
      <c r="M24" s="3">
        <f t="shared" si="25"/>
        <v>6.0771450937806394E-3</v>
      </c>
      <c r="N24" s="3">
        <f t="shared" si="25"/>
        <v>6.3513561710259885E-9</v>
      </c>
      <c r="O24" s="3">
        <f t="shared" si="25"/>
        <v>9.8749542334115781E-69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4.1629842805601051E-2</v>
      </c>
      <c r="C25" s="18">
        <f t="shared" si="3"/>
        <v>2.86040710676531E-2</v>
      </c>
      <c r="D25" s="17"/>
      <c r="F25" s="3">
        <f t="shared" si="25"/>
        <v>2.8604070672823865E-2</v>
      </c>
      <c r="G25" s="3">
        <f t="shared" si="25"/>
        <v>2.8604067119361004E-2</v>
      </c>
      <c r="H25" s="3">
        <f t="shared" si="25"/>
        <v>2.8604031584756655E-2</v>
      </c>
      <c r="I25" s="3">
        <f t="shared" si="25"/>
        <v>2.8603676241141077E-2</v>
      </c>
      <c r="J25" s="3">
        <f t="shared" si="25"/>
        <v>2.8600123047767233E-2</v>
      </c>
      <c r="K25" s="3">
        <f t="shared" si="25"/>
        <v>2.8564615381062097E-2</v>
      </c>
      <c r="L25" s="3">
        <f t="shared" si="25"/>
        <v>2.8211954300011898E-2</v>
      </c>
      <c r="M25" s="3">
        <f t="shared" si="25"/>
        <v>2.491615828713932E-2</v>
      </c>
      <c r="N25" s="3">
        <f t="shared" si="25"/>
        <v>7.193830096183804E-3</v>
      </c>
      <c r="O25" s="3">
        <f t="shared" si="25"/>
        <v>2.8956837497156327E-8</v>
      </c>
      <c r="P25" s="3">
        <f t="shared" si="25"/>
        <v>3.233409080809598E-62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3.7584563685571656E-2</v>
      </c>
      <c r="C26" s="18">
        <f t="shared" si="3"/>
        <v>2.5824539759352179E-2</v>
      </c>
      <c r="D26" s="17"/>
      <c r="F26" s="3">
        <f t="shared" si="25"/>
        <v>2.5824539727196279E-2</v>
      </c>
      <c r="G26" s="3">
        <f t="shared" si="25"/>
        <v>2.5824539437793205E-2</v>
      </c>
      <c r="H26" s="3">
        <f t="shared" si="25"/>
        <v>2.5824536543762617E-2</v>
      </c>
      <c r="I26" s="3">
        <f t="shared" si="25"/>
        <v>2.5824507603474565E-2</v>
      </c>
      <c r="J26" s="3">
        <f t="shared" si="25"/>
        <v>2.5824218202377819E-2</v>
      </c>
      <c r="K26" s="3">
        <f t="shared" si="25"/>
        <v>2.5821324369778138E-2</v>
      </c>
      <c r="L26" s="3">
        <f t="shared" si="25"/>
        <v>2.5792403873164744E-2</v>
      </c>
      <c r="M26" s="3">
        <f t="shared" si="25"/>
        <v>2.5504974474689017E-2</v>
      </c>
      <c r="N26" s="3">
        <f t="shared" si="25"/>
        <v>2.2801090546452366E-2</v>
      </c>
      <c r="O26" s="3">
        <f t="shared" si="25"/>
        <v>7.4346902503867624E-3</v>
      </c>
      <c r="P26" s="3">
        <f t="shared" si="25"/>
        <v>1.010032806829069E-7</v>
      </c>
      <c r="Q26" s="3">
        <f t="shared" si="25"/>
        <v>2.1630247563662175E-56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4.4968580037028555E-2</v>
      </c>
      <c r="C27" s="18">
        <f t="shared" si="3"/>
        <v>3.0898133946774098E-2</v>
      </c>
      <c r="D27" s="17"/>
      <c r="F27" s="3">
        <f t="shared" si="25"/>
        <v>3.0898133943303482E-2</v>
      </c>
      <c r="G27" s="3">
        <f t="shared" si="25"/>
        <v>3.0898133912067912E-2</v>
      </c>
      <c r="H27" s="3">
        <f t="shared" si="25"/>
        <v>3.0898133599712239E-2</v>
      </c>
      <c r="I27" s="3">
        <f t="shared" si="25"/>
        <v>3.0898130476155698E-2</v>
      </c>
      <c r="J27" s="3">
        <f t="shared" si="25"/>
        <v>3.0898099240607619E-2</v>
      </c>
      <c r="K27" s="3">
        <f t="shared" si="25"/>
        <v>3.0897786886863572E-2</v>
      </c>
      <c r="L27" s="3">
        <f t="shared" si="25"/>
        <v>3.0894663523087649E-2</v>
      </c>
      <c r="M27" s="3">
        <f t="shared" si="25"/>
        <v>3.0863447245289867E-2</v>
      </c>
      <c r="N27" s="3">
        <f t="shared" si="25"/>
        <v>3.0553013987646621E-2</v>
      </c>
      <c r="O27" s="3">
        <f t="shared" si="25"/>
        <v>2.7615335563528753E-2</v>
      </c>
      <c r="P27" s="3">
        <f t="shared" si="25"/>
        <v>1.0048771815941729E-2</v>
      </c>
      <c r="Q27" s="3">
        <f t="shared" si="25"/>
        <v>4.0901532573398822E-7</v>
      </c>
      <c r="R27" s="3">
        <f t="shared" si="25"/>
        <v>5.1051152217221507E-51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5.7067791242124292E-2</v>
      </c>
      <c r="C28" s="18">
        <f t="shared" si="3"/>
        <v>3.9211561859274865E-2</v>
      </c>
      <c r="D28" s="17"/>
      <c r="F28" s="3">
        <f t="shared" si="25"/>
        <v>3.9211561858877551E-2</v>
      </c>
      <c r="G28" s="3">
        <f t="shared" si="25"/>
        <v>3.921156185530171E-2</v>
      </c>
      <c r="H28" s="3">
        <f t="shared" si="25"/>
        <v>3.9211561819543328E-2</v>
      </c>
      <c r="I28" s="3">
        <f t="shared" si="25"/>
        <v>3.9211561461959497E-2</v>
      </c>
      <c r="J28" s="3">
        <f t="shared" si="25"/>
        <v>3.9211557886121323E-2</v>
      </c>
      <c r="K28" s="3">
        <f t="shared" si="25"/>
        <v>3.9211522127757602E-2</v>
      </c>
      <c r="L28" s="3">
        <f t="shared" si="25"/>
        <v>3.9211164545913814E-2</v>
      </c>
      <c r="M28" s="3">
        <f t="shared" si="25"/>
        <v>3.9207588906820481E-2</v>
      </c>
      <c r="N28" s="3">
        <f t="shared" si="25"/>
        <v>3.9171850444285672E-2</v>
      </c>
      <c r="O28" s="3">
        <f t="shared" si="25"/>
        <v>3.8816252624198626E-2</v>
      </c>
      <c r="P28" s="3">
        <f t="shared" si="25"/>
        <v>3.5433070239402363E-2</v>
      </c>
      <c r="Q28" s="3">
        <f t="shared" si="25"/>
        <v>1.4235101881743551E-2</v>
      </c>
      <c r="R28" s="3">
        <f t="shared" si="25"/>
        <v>1.5591163508976631E-6</v>
      </c>
      <c r="S28" s="3">
        <f t="shared" si="25"/>
        <v>3.8730935747868884E-46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5.8095582624881272E-2</v>
      </c>
      <c r="C29" s="18">
        <f t="shared" si="3"/>
        <v>3.991776240613705E-2</v>
      </c>
      <c r="D29" s="17"/>
      <c r="F29" s="3">
        <f t="shared" si="25"/>
        <v>3.9917762406100565E-2</v>
      </c>
      <c r="G29" s="3">
        <f t="shared" si="25"/>
        <v>3.9917762405772182E-2</v>
      </c>
      <c r="H29" s="3">
        <f t="shared" si="25"/>
        <v>3.9917762402488385E-2</v>
      </c>
      <c r="I29" s="3">
        <f t="shared" si="25"/>
        <v>3.9917762369650396E-2</v>
      </c>
      <c r="J29" s="3">
        <f t="shared" si="25"/>
        <v>3.9917762041270538E-2</v>
      </c>
      <c r="K29" s="3">
        <f t="shared" si="25"/>
        <v>3.9917758757472069E-2</v>
      </c>
      <c r="L29" s="3">
        <f t="shared" si="25"/>
        <v>3.9917725919502212E-2</v>
      </c>
      <c r="M29" s="3">
        <f t="shared" si="25"/>
        <v>3.9917397541289402E-2</v>
      </c>
      <c r="N29" s="3">
        <f t="shared" si="25"/>
        <v>3.9914113907732633E-2</v>
      </c>
      <c r="O29" s="3">
        <f t="shared" si="25"/>
        <v>3.9881292424771231E-2</v>
      </c>
      <c r="P29" s="3">
        <f t="shared" si="25"/>
        <v>3.9554558344923101E-2</v>
      </c>
      <c r="Q29" s="3">
        <f t="shared" si="25"/>
        <v>3.6430882922780961E-2</v>
      </c>
      <c r="R29" s="3">
        <f t="shared" si="25"/>
        <v>1.6002994923252297E-2</v>
      </c>
      <c r="S29" s="3">
        <f t="shared" si="25"/>
        <v>4.2807215076983106E-6</v>
      </c>
      <c r="T29" s="3">
        <f t="shared" si="25"/>
        <v>8.0292327477080003E-42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4.0575296999550405E-2</v>
      </c>
      <c r="C30" s="18">
        <f t="shared" si="3"/>
        <v>2.7879487424106172E-2</v>
      </c>
      <c r="D30" s="17"/>
      <c r="F30" s="3">
        <f t="shared" si="25"/>
        <v>2.7879487424103871E-2</v>
      </c>
      <c r="G30" s="3">
        <f t="shared" si="25"/>
        <v>2.7879487424083183E-2</v>
      </c>
      <c r="H30" s="3">
        <f t="shared" si="25"/>
        <v>2.7879487423876293E-2</v>
      </c>
      <c r="I30" s="3">
        <f t="shared" si="25"/>
        <v>2.7879487421807382E-2</v>
      </c>
      <c r="J30" s="3">
        <f t="shared" si="25"/>
        <v>2.7879487401118275E-2</v>
      </c>
      <c r="K30" s="3">
        <f t="shared" si="25"/>
        <v>2.7879487194227226E-2</v>
      </c>
      <c r="L30" s="3">
        <f t="shared" si="25"/>
        <v>2.7879485125316815E-2</v>
      </c>
      <c r="M30" s="3">
        <f t="shared" si="25"/>
        <v>2.7879464436221132E-2</v>
      </c>
      <c r="N30" s="3">
        <f t="shared" si="25"/>
        <v>2.7879257546108743E-2</v>
      </c>
      <c r="O30" s="3">
        <f t="shared" si="25"/>
        <v>2.7877188729424799E-2</v>
      </c>
      <c r="P30" s="3">
        <f t="shared" si="25"/>
        <v>2.785650900426425E-2</v>
      </c>
      <c r="Q30" s="3">
        <f t="shared" si="25"/>
        <v>2.765055360727767E-2</v>
      </c>
      <c r="R30" s="3">
        <f t="shared" si="25"/>
        <v>2.5672918757448978E-2</v>
      </c>
      <c r="S30" s="3">
        <f t="shared" si="25"/>
        <v>1.2223326188857967E-2</v>
      </c>
      <c r="T30" s="3">
        <f t="shared" si="25"/>
        <v>7.3169645451773171E-6</v>
      </c>
      <c r="U30" s="3">
        <f t="shared" si="25"/>
        <v>4.3226138736718239E-38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4.6130270043481629E-2</v>
      </c>
      <c r="C31" s="18">
        <f t="shared" si="3"/>
        <v>3.1696336900802431E-2</v>
      </c>
      <c r="D31" s="17"/>
      <c r="F31" s="3">
        <f t="shared" si="25"/>
        <v>3.1696336900802195E-2</v>
      </c>
      <c r="G31" s="3">
        <f t="shared" si="25"/>
        <v>3.1696336900800072E-2</v>
      </c>
      <c r="H31" s="3">
        <f t="shared" si="25"/>
        <v>3.1696336900778853E-2</v>
      </c>
      <c r="I31" s="3">
        <f t="shared" si="25"/>
        <v>3.1696336900566675E-2</v>
      </c>
      <c r="J31" s="3">
        <f t="shared" si="25"/>
        <v>3.1696336898444831E-2</v>
      </c>
      <c r="K31" s="3">
        <f t="shared" si="25"/>
        <v>3.1696336877226436E-2</v>
      </c>
      <c r="L31" s="3">
        <f t="shared" si="25"/>
        <v>3.1696336665042457E-2</v>
      </c>
      <c r="M31" s="3">
        <f t="shared" si="25"/>
        <v>3.1696334543202774E-2</v>
      </c>
      <c r="N31" s="3">
        <f t="shared" si="25"/>
        <v>3.1696313324813735E-2</v>
      </c>
      <c r="O31" s="3">
        <f t="shared" si="25"/>
        <v>3.1696101141704618E-2</v>
      </c>
      <c r="P31" s="3">
        <f t="shared" si="25"/>
        <v>3.1693979388734257E-2</v>
      </c>
      <c r="Q31" s="3">
        <f t="shared" si="25"/>
        <v>3.1672769669178764E-2</v>
      </c>
      <c r="R31" s="3">
        <f t="shared" si="25"/>
        <v>3.146145155741388E-2</v>
      </c>
      <c r="S31" s="3">
        <f t="shared" si="25"/>
        <v>2.9424283187833081E-2</v>
      </c>
      <c r="T31" s="3">
        <f t="shared" si="25"/>
        <v>1.506528138913365E-2</v>
      </c>
      <c r="U31" s="3">
        <f t="shared" si="25"/>
        <v>1.8650514170679486E-5</v>
      </c>
      <c r="V31" s="3">
        <f t="shared" si="26"/>
        <v>1.576980864178363E-34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3.9983194622094959E-2</v>
      </c>
      <c r="C32" s="18">
        <f t="shared" si="3"/>
        <v>2.7472650949533099E-2</v>
      </c>
      <c r="D32" s="17"/>
      <c r="F32" s="3">
        <f t="shared" si="25"/>
        <v>2.7472650949533082E-2</v>
      </c>
      <c r="G32" s="3">
        <f t="shared" si="25"/>
        <v>2.7472650949532915E-2</v>
      </c>
      <c r="H32" s="3">
        <f t="shared" si="25"/>
        <v>2.7472650949531257E-2</v>
      </c>
      <c r="I32" s="3">
        <f t="shared" si="25"/>
        <v>2.7472650949514666E-2</v>
      </c>
      <c r="J32" s="3">
        <f t="shared" si="25"/>
        <v>2.7472650949348764E-2</v>
      </c>
      <c r="K32" s="3">
        <f t="shared" si="25"/>
        <v>2.7472650947689747E-2</v>
      </c>
      <c r="L32" s="3">
        <f t="shared" si="25"/>
        <v>2.7472650931099584E-2</v>
      </c>
      <c r="M32" s="3">
        <f t="shared" si="25"/>
        <v>2.7472650765197948E-2</v>
      </c>
      <c r="N32" s="3">
        <f t="shared" si="25"/>
        <v>2.7472649106181645E-2</v>
      </c>
      <c r="O32" s="3">
        <f t="shared" si="25"/>
        <v>2.7472632516024102E-2</v>
      </c>
      <c r="P32" s="3">
        <f t="shared" si="25"/>
        <v>2.7472466614999701E-2</v>
      </c>
      <c r="Q32" s="3">
        <f t="shared" si="25"/>
        <v>2.747080765985583E-2</v>
      </c>
      <c r="R32" s="3">
        <f t="shared" si="25"/>
        <v>2.7454223617199913E-2</v>
      </c>
      <c r="S32" s="3">
        <f t="shared" si="25"/>
        <v>2.7288932840048484E-2</v>
      </c>
      <c r="T32" s="3">
        <f t="shared" si="25"/>
        <v>2.5689781483915437E-2</v>
      </c>
      <c r="U32" s="3">
        <f t="shared" si="25"/>
        <v>1.4044264081761041E-2</v>
      </c>
      <c r="V32" s="3">
        <f t="shared" si="26"/>
        <v>3.3487656528452513E-5</v>
      </c>
      <c r="W32" s="3">
        <f t="shared" si="26"/>
        <v>1.9894931641819504E-31</v>
      </c>
      <c r="X32" s="3">
        <f t="shared" si="26"/>
        <v>1.089731231489992E-293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6.7629463322439867E-2</v>
      </c>
      <c r="C33" s="18">
        <f t="shared" si="3"/>
        <v>4.6468539028017564E-2</v>
      </c>
      <c r="D33" s="17"/>
      <c r="F33" s="3">
        <f t="shared" si="25"/>
        <v>4.6468539028017557E-2</v>
      </c>
      <c r="G33" s="3">
        <f t="shared" si="25"/>
        <v>4.6468539028017536E-2</v>
      </c>
      <c r="H33" s="3">
        <f t="shared" si="25"/>
        <v>4.6468539028017279E-2</v>
      </c>
      <c r="I33" s="3">
        <f t="shared" si="25"/>
        <v>4.6468539028014753E-2</v>
      </c>
      <c r="J33" s="3">
        <f t="shared" si="25"/>
        <v>4.6468539027989433E-2</v>
      </c>
      <c r="K33" s="3">
        <f t="shared" si="25"/>
        <v>4.6468539027736296E-2</v>
      </c>
      <c r="L33" s="3">
        <f t="shared" si="25"/>
        <v>4.6468539025204932E-2</v>
      </c>
      <c r="M33" s="3">
        <f t="shared" si="25"/>
        <v>4.6468538999891222E-2</v>
      </c>
      <c r="N33" s="3">
        <f t="shared" si="25"/>
        <v>4.6468538746754176E-2</v>
      </c>
      <c r="O33" s="3">
        <f t="shared" si="25"/>
        <v>4.6468536215383778E-2</v>
      </c>
      <c r="P33" s="3">
        <f t="shared" si="25"/>
        <v>4.6468510901687389E-2</v>
      </c>
      <c r="Q33" s="3">
        <f t="shared" si="25"/>
        <v>4.6468257765481913E-2</v>
      </c>
      <c r="R33" s="3">
        <f t="shared" si="25"/>
        <v>4.6465726479268402E-2</v>
      </c>
      <c r="S33" s="3">
        <f t="shared" si="25"/>
        <v>4.6440421199727883E-2</v>
      </c>
      <c r="T33" s="3">
        <f t="shared" si="25"/>
        <v>4.6188125137679226E-2</v>
      </c>
      <c r="U33" s="3">
        <f t="shared" ref="P33:AE48" si="27">$C33*EXP(-U$15/$A33)</f>
        <v>4.3739334571894849E-2</v>
      </c>
      <c r="V33" s="3">
        <f t="shared" si="27"/>
        <v>2.5368252396700406E-2</v>
      </c>
      <c r="W33" s="3">
        <f t="shared" si="27"/>
        <v>1.0926330515435876E-4</v>
      </c>
      <c r="X33" s="3">
        <f t="shared" si="27"/>
        <v>2.4005578110724889E-28</v>
      </c>
      <c r="Y33" s="3">
        <f t="shared" si="27"/>
        <v>6.2905776334274789E-265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7.5219765579435285E-2</v>
      </c>
      <c r="C34" s="18">
        <f t="shared" si="3"/>
        <v>5.1683873282290876E-2</v>
      </c>
      <c r="D34" s="17"/>
      <c r="F34" s="3">
        <f t="shared" ref="F34:O48" si="28">$C34*EXP(-F$15/$A34)</f>
        <v>5.1683873282290876E-2</v>
      </c>
      <c r="G34" s="3">
        <f t="shared" si="28"/>
        <v>5.1683873282290876E-2</v>
      </c>
      <c r="H34" s="3">
        <f t="shared" si="28"/>
        <v>5.1683873282290849E-2</v>
      </c>
      <c r="I34" s="3">
        <f t="shared" si="28"/>
        <v>5.1683873282290592E-2</v>
      </c>
      <c r="J34" s="3">
        <f t="shared" si="28"/>
        <v>5.1683873282288052E-2</v>
      </c>
      <c r="K34" s="3">
        <f t="shared" si="28"/>
        <v>5.1683873282262656E-2</v>
      </c>
      <c r="L34" s="3">
        <f t="shared" si="28"/>
        <v>5.1683873282008679E-2</v>
      </c>
      <c r="M34" s="3">
        <f t="shared" si="28"/>
        <v>5.1683873279468884E-2</v>
      </c>
      <c r="N34" s="3">
        <f t="shared" si="28"/>
        <v>5.168387325407095E-2</v>
      </c>
      <c r="O34" s="3">
        <f t="shared" si="28"/>
        <v>5.168387300009164E-2</v>
      </c>
      <c r="P34" s="3">
        <f t="shared" si="27"/>
        <v>5.1683870460298632E-2</v>
      </c>
      <c r="Q34" s="3">
        <f t="shared" si="27"/>
        <v>5.1683845062375375E-2</v>
      </c>
      <c r="R34" s="3">
        <f t="shared" si="27"/>
        <v>5.1683591083829271E-2</v>
      </c>
      <c r="S34" s="3">
        <f t="shared" si="27"/>
        <v>5.1681051367011073E-2</v>
      </c>
      <c r="T34" s="3">
        <f t="shared" si="27"/>
        <v>5.1655661061869848E-2</v>
      </c>
      <c r="U34" s="3">
        <f t="shared" si="27"/>
        <v>5.1402443068320709E-2</v>
      </c>
      <c r="V34" s="3">
        <f t="shared" si="27"/>
        <v>4.8937539540411745E-2</v>
      </c>
      <c r="W34" s="3">
        <f t="shared" si="27"/>
        <v>2.9938209688984006E-2</v>
      </c>
      <c r="X34" s="3">
        <f t="shared" si="27"/>
        <v>2.1981776189164095E-4</v>
      </c>
      <c r="Y34" s="3">
        <f t="shared" si="27"/>
        <v>1.0009959954013374E-25</v>
      </c>
      <c r="Z34" s="3">
        <f t="shared" si="27"/>
        <v>3.8382028470424678E-239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7.6877667800260466E-2</v>
      </c>
      <c r="C35" s="18">
        <f t="shared" si="3"/>
        <v>5.2823026105162527E-2</v>
      </c>
      <c r="D35" s="17"/>
      <c r="F35" s="3">
        <f t="shared" si="28"/>
        <v>5.2823026105162527E-2</v>
      </c>
      <c r="G35" s="3">
        <f t="shared" si="28"/>
        <v>5.2823026105162527E-2</v>
      </c>
      <c r="H35" s="3">
        <f t="shared" si="28"/>
        <v>5.2823026105162527E-2</v>
      </c>
      <c r="I35" s="3">
        <f t="shared" si="28"/>
        <v>5.2823026105162506E-2</v>
      </c>
      <c r="J35" s="3">
        <f t="shared" si="28"/>
        <v>5.282302610516227E-2</v>
      </c>
      <c r="K35" s="3">
        <f t="shared" si="28"/>
        <v>5.2823026105159925E-2</v>
      </c>
      <c r="L35" s="3">
        <f t="shared" si="28"/>
        <v>5.2823026105136513E-2</v>
      </c>
      <c r="M35" s="3">
        <f t="shared" si="28"/>
        <v>5.2823026104902346E-2</v>
      </c>
      <c r="N35" s="3">
        <f t="shared" si="28"/>
        <v>5.2823026102560747E-2</v>
      </c>
      <c r="O35" s="3">
        <f t="shared" si="28"/>
        <v>5.2823026079144721E-2</v>
      </c>
      <c r="P35" s="3">
        <f t="shared" si="27"/>
        <v>5.2823025844984481E-2</v>
      </c>
      <c r="Q35" s="3">
        <f t="shared" si="27"/>
        <v>5.2823023503382159E-2</v>
      </c>
      <c r="R35" s="3">
        <f t="shared" si="27"/>
        <v>5.2823000087364631E-2</v>
      </c>
      <c r="S35" s="3">
        <f t="shared" si="27"/>
        <v>5.2822765927760265E-2</v>
      </c>
      <c r="T35" s="3">
        <f t="shared" si="27"/>
        <v>5.2820424388806256E-2</v>
      </c>
      <c r="U35" s="3">
        <f t="shared" si="27"/>
        <v>5.2797014707300464E-2</v>
      </c>
      <c r="V35" s="3">
        <f t="shared" si="27"/>
        <v>5.2563487760558733E-2</v>
      </c>
      <c r="W35" s="3">
        <f t="shared" si="27"/>
        <v>5.0284281417437612E-2</v>
      </c>
      <c r="X35" s="3">
        <f t="shared" si="27"/>
        <v>3.2278473432550352E-2</v>
      </c>
      <c r="Y35" s="3">
        <f t="shared" si="27"/>
        <v>3.8346027205635473E-4</v>
      </c>
      <c r="Z35" s="3">
        <f t="shared" si="27"/>
        <v>2.1468132399907015E-23</v>
      </c>
      <c r="AA35" s="3">
        <f t="shared" si="27"/>
        <v>6.4943120849834955E-216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6.1550157291991807E-2</v>
      </c>
      <c r="C36" s="18">
        <f t="shared" si="3"/>
        <v>4.2291417760733988E-2</v>
      </c>
      <c r="D36" s="17"/>
      <c r="F36" s="3">
        <f t="shared" si="28"/>
        <v>4.2291417760733988E-2</v>
      </c>
      <c r="G36" s="3">
        <f t="shared" si="28"/>
        <v>4.2291417760733988E-2</v>
      </c>
      <c r="H36" s="3">
        <f t="shared" si="28"/>
        <v>4.2291417760733988E-2</v>
      </c>
      <c r="I36" s="3">
        <f t="shared" si="28"/>
        <v>4.2291417760733988E-2</v>
      </c>
      <c r="J36" s="3">
        <f t="shared" si="28"/>
        <v>4.2291417760733967E-2</v>
      </c>
      <c r="K36" s="3">
        <f t="shared" si="28"/>
        <v>4.22914177607338E-2</v>
      </c>
      <c r="L36" s="3">
        <f t="shared" si="28"/>
        <v>4.2291417760732107E-2</v>
      </c>
      <c r="M36" s="3">
        <f t="shared" si="28"/>
        <v>4.2291417760715197E-2</v>
      </c>
      <c r="N36" s="3">
        <f t="shared" si="28"/>
        <v>4.2291417760546075E-2</v>
      </c>
      <c r="O36" s="3">
        <f t="shared" si="28"/>
        <v>4.2291417758854907E-2</v>
      </c>
      <c r="P36" s="3">
        <f t="shared" si="27"/>
        <v>4.2291417741943151E-2</v>
      </c>
      <c r="Q36" s="3">
        <f t="shared" si="27"/>
        <v>4.2291417572825583E-2</v>
      </c>
      <c r="R36" s="3">
        <f t="shared" si="27"/>
        <v>4.2291415881650002E-2</v>
      </c>
      <c r="S36" s="3">
        <f t="shared" si="27"/>
        <v>4.2291398969897892E-2</v>
      </c>
      <c r="T36" s="3">
        <f t="shared" si="27"/>
        <v>4.2291229852748746E-2</v>
      </c>
      <c r="U36" s="3">
        <f t="shared" si="27"/>
        <v>4.2289538718451924E-2</v>
      </c>
      <c r="V36" s="3">
        <f t="shared" si="27"/>
        <v>4.2272631094400583E-2</v>
      </c>
      <c r="W36" s="3">
        <f t="shared" si="27"/>
        <v>4.2103926195919322E-2</v>
      </c>
      <c r="X36" s="3">
        <f t="shared" si="27"/>
        <v>4.0453467811800516E-2</v>
      </c>
      <c r="Y36" s="3">
        <f t="shared" si="27"/>
        <v>2.7119855250294752E-2</v>
      </c>
      <c r="Z36" s="3">
        <f t="shared" si="27"/>
        <v>4.9728283807754685E-4</v>
      </c>
      <c r="AA36" s="3">
        <f t="shared" si="27"/>
        <v>2.1368031403689961E-21</v>
      </c>
      <c r="AB36" s="3">
        <f t="shared" si="27"/>
        <v>4.5853757749091322E-195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7.8191411886559037E-2</v>
      </c>
      <c r="C37" s="18">
        <f t="shared" si="3"/>
        <v>5.3725706170150357E-2</v>
      </c>
      <c r="D37" s="17"/>
      <c r="F37" s="3">
        <f t="shared" si="28"/>
        <v>5.3725706170150357E-2</v>
      </c>
      <c r="G37" s="3">
        <f t="shared" si="28"/>
        <v>5.3725706170150357E-2</v>
      </c>
      <c r="H37" s="3">
        <f t="shared" si="28"/>
        <v>5.3725706170150357E-2</v>
      </c>
      <c r="I37" s="3">
        <f t="shared" si="28"/>
        <v>5.3725706170150357E-2</v>
      </c>
      <c r="J37" s="3">
        <f t="shared" si="28"/>
        <v>5.3725706170150357E-2</v>
      </c>
      <c r="K37" s="3">
        <f t="shared" si="28"/>
        <v>5.3725706170150336E-2</v>
      </c>
      <c r="L37" s="3">
        <f t="shared" si="28"/>
        <v>5.3725706170150142E-2</v>
      </c>
      <c r="M37" s="3">
        <f t="shared" si="28"/>
        <v>5.3725706170148206E-2</v>
      </c>
      <c r="N37" s="3">
        <f t="shared" si="28"/>
        <v>5.3725706170128826E-2</v>
      </c>
      <c r="O37" s="3">
        <f t="shared" si="28"/>
        <v>5.3725706169935016E-2</v>
      </c>
      <c r="P37" s="3">
        <f t="shared" si="27"/>
        <v>5.3725706167996969E-2</v>
      </c>
      <c r="Q37" s="3">
        <f t="shared" si="27"/>
        <v>5.3725706148616457E-2</v>
      </c>
      <c r="R37" s="3">
        <f t="shared" si="27"/>
        <v>5.3725705954811367E-2</v>
      </c>
      <c r="S37" s="3">
        <f t="shared" si="27"/>
        <v>5.372570401676046E-2</v>
      </c>
      <c r="T37" s="3">
        <f t="shared" si="27"/>
        <v>5.3725684636255273E-2</v>
      </c>
      <c r="U37" s="3">
        <f t="shared" si="27"/>
        <v>5.372549083158789E-2</v>
      </c>
      <c r="V37" s="3">
        <f t="shared" si="27"/>
        <v>5.3723552823364808E-2</v>
      </c>
      <c r="W37" s="3">
        <f t="shared" si="27"/>
        <v>5.3704176585692938E-2</v>
      </c>
      <c r="X37" s="3">
        <f t="shared" si="27"/>
        <v>5.3510798152235459E-2</v>
      </c>
      <c r="Y37" s="3">
        <f t="shared" si="27"/>
        <v>5.161490060044744E-2</v>
      </c>
      <c r="Z37" s="3">
        <f t="shared" si="27"/>
        <v>3.5984192393054573E-2</v>
      </c>
      <c r="AA37" s="3">
        <f t="shared" si="27"/>
        <v>9.7606425358874409E-4</v>
      </c>
      <c r="AB37" s="3">
        <f t="shared" si="27"/>
        <v>2.1044804026107844E-19</v>
      </c>
      <c r="AC37" s="3">
        <f t="shared" si="27"/>
        <v>4.5688790939433862E-176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0</v>
      </c>
      <c r="C38" s="18">
        <f t="shared" si="3"/>
        <v>0</v>
      </c>
      <c r="D38" s="17"/>
      <c r="F38" s="3">
        <f t="shared" si="28"/>
        <v>0</v>
      </c>
      <c r="G38" s="3">
        <f t="shared" si="28"/>
        <v>0</v>
      </c>
      <c r="H38" s="3">
        <f t="shared" si="28"/>
        <v>0</v>
      </c>
      <c r="I38" s="3">
        <f t="shared" si="28"/>
        <v>0</v>
      </c>
      <c r="J38" s="3">
        <f t="shared" si="28"/>
        <v>0</v>
      </c>
      <c r="K38" s="3">
        <f t="shared" si="28"/>
        <v>0</v>
      </c>
      <c r="L38" s="3">
        <f t="shared" si="28"/>
        <v>0</v>
      </c>
      <c r="M38" s="3">
        <f t="shared" si="28"/>
        <v>0</v>
      </c>
      <c r="N38" s="3">
        <f t="shared" si="28"/>
        <v>0</v>
      </c>
      <c r="O38" s="3">
        <f t="shared" si="28"/>
        <v>0</v>
      </c>
      <c r="P38" s="3">
        <f t="shared" si="27"/>
        <v>0</v>
      </c>
      <c r="Q38" s="3">
        <f t="shared" si="27"/>
        <v>0</v>
      </c>
      <c r="R38" s="3">
        <f t="shared" si="27"/>
        <v>0</v>
      </c>
      <c r="S38" s="3">
        <f t="shared" si="27"/>
        <v>0</v>
      </c>
      <c r="T38" s="3">
        <f t="shared" si="27"/>
        <v>0</v>
      </c>
      <c r="U38" s="3">
        <f t="shared" si="27"/>
        <v>0</v>
      </c>
      <c r="V38" s="3">
        <f t="shared" si="27"/>
        <v>0</v>
      </c>
      <c r="W38" s="3">
        <f t="shared" si="27"/>
        <v>0</v>
      </c>
      <c r="X38" s="3">
        <f t="shared" si="27"/>
        <v>0</v>
      </c>
      <c r="Y38" s="3">
        <f t="shared" si="27"/>
        <v>0</v>
      </c>
      <c r="Z38" s="3">
        <f t="shared" si="27"/>
        <v>0</v>
      </c>
      <c r="AA38" s="3">
        <f t="shared" si="27"/>
        <v>0</v>
      </c>
      <c r="AB38" s="3">
        <f t="shared" si="27"/>
        <v>0</v>
      </c>
      <c r="AC38" s="3">
        <f t="shared" si="27"/>
        <v>0</v>
      </c>
      <c r="AD38" s="3">
        <f t="shared" si="27"/>
        <v>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0.10575724566109329</v>
      </c>
      <c r="C39" s="18">
        <f t="shared" si="3"/>
        <v>7.2666327012941595E-2</v>
      </c>
      <c r="D39" s="17"/>
      <c r="F39" s="3">
        <f t="shared" si="28"/>
        <v>7.2666327012941595E-2</v>
      </c>
      <c r="G39" s="3">
        <f t="shared" si="28"/>
        <v>7.2666327012941595E-2</v>
      </c>
      <c r="H39" s="3">
        <f t="shared" si="28"/>
        <v>7.2666327012941595E-2</v>
      </c>
      <c r="I39" s="3">
        <f t="shared" si="28"/>
        <v>7.2666327012941595E-2</v>
      </c>
      <c r="J39" s="3">
        <f t="shared" si="28"/>
        <v>7.2666327012941595E-2</v>
      </c>
      <c r="K39" s="3">
        <f t="shared" si="28"/>
        <v>7.2666327012941595E-2</v>
      </c>
      <c r="L39" s="3">
        <f t="shared" si="28"/>
        <v>7.2666327012941581E-2</v>
      </c>
      <c r="M39" s="3">
        <f t="shared" si="28"/>
        <v>7.2666327012941526E-2</v>
      </c>
      <c r="N39" s="3">
        <f t="shared" si="28"/>
        <v>7.2666327012940873E-2</v>
      </c>
      <c r="O39" s="3">
        <f t="shared" si="28"/>
        <v>7.2666327012934323E-2</v>
      </c>
      <c r="P39" s="3">
        <f t="shared" si="27"/>
        <v>7.2666327012868931E-2</v>
      </c>
      <c r="Q39" s="3">
        <f t="shared" si="27"/>
        <v>7.2666327012214926E-2</v>
      </c>
      <c r="R39" s="3">
        <f t="shared" si="27"/>
        <v>7.2666327005674963E-2</v>
      </c>
      <c r="S39" s="3">
        <f t="shared" si="27"/>
        <v>7.2666326940275264E-2</v>
      </c>
      <c r="T39" s="3">
        <f t="shared" si="27"/>
        <v>7.2666326286278324E-2</v>
      </c>
      <c r="U39" s="3">
        <f t="shared" si="27"/>
        <v>7.2666319746309257E-2</v>
      </c>
      <c r="V39" s="3">
        <f t="shared" si="27"/>
        <v>7.2666254346650916E-2</v>
      </c>
      <c r="W39" s="3">
        <f t="shared" si="27"/>
        <v>7.2665600353304771E-2</v>
      </c>
      <c r="X39" s="3">
        <f t="shared" si="27"/>
        <v>7.2659060743559822E-2</v>
      </c>
      <c r="Y39" s="3">
        <f t="shared" si="27"/>
        <v>7.2593697006984134E-2</v>
      </c>
      <c r="Z39" s="3">
        <f t="shared" si="27"/>
        <v>7.1943284978325514E-2</v>
      </c>
      <c r="AA39" s="3">
        <f t="shared" si="27"/>
        <v>6.5751211712546775E-2</v>
      </c>
      <c r="AB39" s="3">
        <f t="shared" si="27"/>
        <v>2.6732447773502237E-2</v>
      </c>
      <c r="AC39" s="3">
        <f t="shared" si="27"/>
        <v>3.2990461424853041E-6</v>
      </c>
      <c r="AD39" s="3">
        <f t="shared" si="27"/>
        <v>2.7032425738651794E-45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3.649721609173627E-2</v>
      </c>
      <c r="C40" s="18">
        <f t="shared" si="3"/>
        <v>2.5077417845043044E-2</v>
      </c>
      <c r="D40" s="17"/>
      <c r="F40" s="3">
        <f t="shared" si="28"/>
        <v>2.5077417845043044E-2</v>
      </c>
      <c r="G40" s="3">
        <f t="shared" si="28"/>
        <v>2.5077417845043044E-2</v>
      </c>
      <c r="H40" s="3">
        <f t="shared" si="28"/>
        <v>2.5077417845043044E-2</v>
      </c>
      <c r="I40" s="3">
        <f t="shared" si="28"/>
        <v>2.5077417845043044E-2</v>
      </c>
      <c r="J40" s="3">
        <f t="shared" si="28"/>
        <v>2.5077417845043044E-2</v>
      </c>
      <c r="K40" s="3">
        <f t="shared" si="28"/>
        <v>2.5077417845043044E-2</v>
      </c>
      <c r="L40" s="3">
        <f t="shared" si="28"/>
        <v>2.5077417845043044E-2</v>
      </c>
      <c r="M40" s="3">
        <f t="shared" si="28"/>
        <v>2.507741784504304E-2</v>
      </c>
      <c r="N40" s="3">
        <f t="shared" si="28"/>
        <v>2.5077417845043019E-2</v>
      </c>
      <c r="O40" s="3">
        <f t="shared" si="28"/>
        <v>2.5077417845042794E-2</v>
      </c>
      <c r="P40" s="3">
        <f t="shared" si="27"/>
        <v>2.5077417845040535E-2</v>
      </c>
      <c r="Q40" s="3">
        <f t="shared" si="27"/>
        <v>2.5077417845017966E-2</v>
      </c>
      <c r="R40" s="3">
        <f t="shared" si="27"/>
        <v>2.5077417844792269E-2</v>
      </c>
      <c r="S40" s="3">
        <f t="shared" si="27"/>
        <v>2.5077417842535303E-2</v>
      </c>
      <c r="T40" s="3">
        <f t="shared" si="27"/>
        <v>2.5077417819965628E-2</v>
      </c>
      <c r="U40" s="3">
        <f t="shared" si="27"/>
        <v>2.5077417594268868E-2</v>
      </c>
      <c r="V40" s="3">
        <f t="shared" si="27"/>
        <v>2.5077415337301387E-2</v>
      </c>
      <c r="W40" s="3">
        <f t="shared" si="27"/>
        <v>2.5077392767637739E-2</v>
      </c>
      <c r="X40" s="3">
        <f t="shared" si="27"/>
        <v>2.5077167072118461E-2</v>
      </c>
      <c r="Y40" s="3">
        <f t="shared" si="27"/>
        <v>2.5074910228641448E-2</v>
      </c>
      <c r="Z40" s="3">
        <f t="shared" si="27"/>
        <v>2.5052352961728398E-2</v>
      </c>
      <c r="AA40" s="3">
        <f t="shared" si="27"/>
        <v>2.4827893368343287E-2</v>
      </c>
      <c r="AB40" s="3">
        <f t="shared" si="27"/>
        <v>2.2690986013917645E-2</v>
      </c>
      <c r="AC40" s="3">
        <f t="shared" si="27"/>
        <v>9.22546646285719E-3</v>
      </c>
      <c r="AD40" s="3">
        <f t="shared" si="27"/>
        <v>1.1385130087894385E-6</v>
      </c>
      <c r="AE40" s="3">
        <f t="shared" si="27"/>
        <v>9.3289899665980836E-46</v>
      </c>
      <c r="AF40" s="3">
        <f t="shared" si="29"/>
        <v>0</v>
      </c>
      <c r="AG40" s="3">
        <f t="shared" si="29"/>
        <v>0</v>
      </c>
      <c r="AH40" s="3">
        <f t="shared" si="29"/>
        <v>0</v>
      </c>
      <c r="AI40" s="3">
        <f t="shared" si="29"/>
        <v>0</v>
      </c>
      <c r="AJ40" s="3">
        <f t="shared" si="29"/>
        <v>0</v>
      </c>
    </row>
    <row r="41" spans="1:36" x14ac:dyDescent="0.25">
      <c r="A41" s="3">
        <f t="shared" si="30"/>
        <v>1000000000</v>
      </c>
      <c r="B41" s="106">
        <v>0.10142700955239531</v>
      </c>
      <c r="C41" s="18">
        <f t="shared" si="3"/>
        <v>6.9691000347133242E-2</v>
      </c>
      <c r="D41" s="17"/>
      <c r="F41" s="3">
        <f t="shared" si="28"/>
        <v>6.9691000347133242E-2</v>
      </c>
      <c r="G41" s="3">
        <f t="shared" si="28"/>
        <v>6.9691000347133242E-2</v>
      </c>
      <c r="H41" s="3">
        <f t="shared" si="28"/>
        <v>6.9691000347133242E-2</v>
      </c>
      <c r="I41" s="3">
        <f t="shared" si="28"/>
        <v>6.9691000347133242E-2</v>
      </c>
      <c r="J41" s="3">
        <f t="shared" si="28"/>
        <v>6.9691000347133242E-2</v>
      </c>
      <c r="K41" s="3">
        <f t="shared" si="28"/>
        <v>6.9691000347133242E-2</v>
      </c>
      <c r="L41" s="3">
        <f t="shared" si="28"/>
        <v>6.9691000347133242E-2</v>
      </c>
      <c r="M41" s="3">
        <f t="shared" si="28"/>
        <v>6.9691000347133242E-2</v>
      </c>
      <c r="N41" s="3">
        <f t="shared" si="28"/>
        <v>6.9691000347133228E-2</v>
      </c>
      <c r="O41" s="3">
        <f t="shared" si="28"/>
        <v>6.9691000347133172E-2</v>
      </c>
      <c r="P41" s="3">
        <f t="shared" si="27"/>
        <v>6.9691000347132548E-2</v>
      </c>
      <c r="Q41" s="3">
        <f t="shared" si="27"/>
        <v>6.9691000347126275E-2</v>
      </c>
      <c r="R41" s="3">
        <f t="shared" si="27"/>
        <v>6.9691000347063548E-2</v>
      </c>
      <c r="S41" s="3">
        <f t="shared" si="27"/>
        <v>6.9691000346436327E-2</v>
      </c>
      <c r="T41" s="3">
        <f t="shared" si="27"/>
        <v>6.9691000340164136E-2</v>
      </c>
      <c r="U41" s="3">
        <f t="shared" si="27"/>
        <v>6.9691000277442239E-2</v>
      </c>
      <c r="V41" s="3">
        <f t="shared" si="27"/>
        <v>6.969099965022324E-2</v>
      </c>
      <c r="W41" s="3">
        <f t="shared" si="27"/>
        <v>6.9690993378033556E-2</v>
      </c>
      <c r="X41" s="3">
        <f t="shared" si="27"/>
        <v>6.9690930656167743E-2</v>
      </c>
      <c r="Y41" s="3">
        <f t="shared" si="27"/>
        <v>6.9690303440614304E-2</v>
      </c>
      <c r="Z41" s="3">
        <f t="shared" si="27"/>
        <v>6.9684031595541915E-2</v>
      </c>
      <c r="AA41" s="3">
        <f t="shared" si="27"/>
        <v>6.9621344180674019E-2</v>
      </c>
      <c r="AB41" s="3">
        <f t="shared" si="27"/>
        <v>6.8997563307492488E-2</v>
      </c>
      <c r="AC41" s="3">
        <f t="shared" si="27"/>
        <v>6.3059024814443199E-2</v>
      </c>
      <c r="AD41" s="3">
        <f t="shared" si="27"/>
        <v>2.563788626238217E-2</v>
      </c>
      <c r="AE41" s="3">
        <f t="shared" si="27"/>
        <v>3.1639665208371568E-6</v>
      </c>
      <c r="AF41" s="3">
        <f t="shared" si="29"/>
        <v>2.5925581613623012E-45</v>
      </c>
      <c r="AG41" s="3">
        <f t="shared" si="29"/>
        <v>0</v>
      </c>
      <c r="AH41" s="3">
        <f t="shared" si="29"/>
        <v>0</v>
      </c>
      <c r="AI41" s="3">
        <f t="shared" si="29"/>
        <v>0</v>
      </c>
      <c r="AJ41" s="3">
        <f t="shared" si="29"/>
        <v>0</v>
      </c>
    </row>
    <row r="42" spans="1:36" x14ac:dyDescent="0.25">
      <c r="A42" s="3">
        <f t="shared" si="30"/>
        <v>10000000000</v>
      </c>
      <c r="B42" s="106">
        <v>4.9018409679404296E-2</v>
      </c>
      <c r="C42" s="18">
        <f t="shared" si="3"/>
        <v>3.3680791941505174E-2</v>
      </c>
      <c r="D42" s="17"/>
      <c r="F42" s="3">
        <f t="shared" si="28"/>
        <v>3.3680791941505174E-2</v>
      </c>
      <c r="G42" s="3">
        <f t="shared" si="28"/>
        <v>3.3680791941505174E-2</v>
      </c>
      <c r="H42" s="3">
        <f t="shared" si="28"/>
        <v>3.3680791941505174E-2</v>
      </c>
      <c r="I42" s="3">
        <f t="shared" si="28"/>
        <v>3.3680791941505174E-2</v>
      </c>
      <c r="J42" s="3">
        <f t="shared" si="28"/>
        <v>3.3680791941505174E-2</v>
      </c>
      <c r="K42" s="3">
        <f t="shared" si="28"/>
        <v>3.3680791941505174E-2</v>
      </c>
      <c r="L42" s="3">
        <f t="shared" si="28"/>
        <v>3.3680791941505174E-2</v>
      </c>
      <c r="M42" s="3">
        <f t="shared" si="28"/>
        <v>3.3680791941505174E-2</v>
      </c>
      <c r="N42" s="3">
        <f t="shared" si="28"/>
        <v>3.3680791941505174E-2</v>
      </c>
      <c r="O42" s="3">
        <f t="shared" si="28"/>
        <v>3.3680791941505167E-2</v>
      </c>
      <c r="P42" s="3">
        <f t="shared" si="27"/>
        <v>3.3680791941505139E-2</v>
      </c>
      <c r="Q42" s="3">
        <f t="shared" si="27"/>
        <v>3.3680791941504834E-2</v>
      </c>
      <c r="R42" s="3">
        <f t="shared" si="27"/>
        <v>3.3680791941501802E-2</v>
      </c>
      <c r="S42" s="3">
        <f t="shared" si="27"/>
        <v>3.3680791941471493E-2</v>
      </c>
      <c r="T42" s="3">
        <f t="shared" si="27"/>
        <v>3.3680791941168367E-2</v>
      </c>
      <c r="U42" s="3">
        <f t="shared" si="27"/>
        <v>3.3680791938137097E-2</v>
      </c>
      <c r="V42" s="3">
        <f t="shared" si="27"/>
        <v>3.368079190782438E-2</v>
      </c>
      <c r="W42" s="3">
        <f t="shared" si="27"/>
        <v>3.3680791604697259E-2</v>
      </c>
      <c r="X42" s="3">
        <f t="shared" si="27"/>
        <v>3.368078857342615E-2</v>
      </c>
      <c r="Y42" s="3">
        <f t="shared" si="27"/>
        <v>3.3680758260730075E-2</v>
      </c>
      <c r="Z42" s="3">
        <f t="shared" si="27"/>
        <v>3.3680455135269793E-2</v>
      </c>
      <c r="AA42" s="3">
        <f t="shared" si="27"/>
        <v>3.367742403070937E-2</v>
      </c>
      <c r="AB42" s="3">
        <f t="shared" si="27"/>
        <v>3.3647127984347582E-2</v>
      </c>
      <c r="AC42" s="3">
        <f t="shared" si="27"/>
        <v>3.3345662462227518E-2</v>
      </c>
      <c r="AD42" s="3">
        <f t="shared" si="27"/>
        <v>3.0475640817757894E-2</v>
      </c>
      <c r="AE42" s="3">
        <f t="shared" si="27"/>
        <v>1.2390470917652541E-2</v>
      </c>
      <c r="AF42" s="3">
        <f t="shared" si="29"/>
        <v>1.5291055884892008E-6</v>
      </c>
      <c r="AG42" s="3">
        <f t="shared" si="29"/>
        <v>1.2529510495494956E-45</v>
      </c>
      <c r="AH42" s="3">
        <f t="shared" si="29"/>
        <v>0</v>
      </c>
      <c r="AI42" s="3">
        <f t="shared" si="29"/>
        <v>0</v>
      </c>
      <c r="AJ42" s="3">
        <f t="shared" si="29"/>
        <v>0</v>
      </c>
    </row>
    <row r="43" spans="1:36" x14ac:dyDescent="0.25">
      <c r="A43" s="3">
        <f t="shared" si="30"/>
        <v>100000000000</v>
      </c>
      <c r="B43" s="106">
        <v>6.4688593479822254E-2</v>
      </c>
      <c r="C43" s="18">
        <f t="shared" si="3"/>
        <v>4.444785280126981E-2</v>
      </c>
      <c r="D43" s="17"/>
      <c r="F43" s="3">
        <f t="shared" si="28"/>
        <v>4.444785280126981E-2</v>
      </c>
      <c r="G43" s="3">
        <f t="shared" si="28"/>
        <v>4.444785280126981E-2</v>
      </c>
      <c r="H43" s="3">
        <f t="shared" si="28"/>
        <v>4.444785280126981E-2</v>
      </c>
      <c r="I43" s="3">
        <f t="shared" si="28"/>
        <v>4.444785280126981E-2</v>
      </c>
      <c r="J43" s="3">
        <f t="shared" si="28"/>
        <v>4.444785280126981E-2</v>
      </c>
      <c r="K43" s="3">
        <f t="shared" si="28"/>
        <v>4.444785280126981E-2</v>
      </c>
      <c r="L43" s="3">
        <f t="shared" si="28"/>
        <v>4.444785280126981E-2</v>
      </c>
      <c r="M43" s="3">
        <f t="shared" si="28"/>
        <v>4.444785280126981E-2</v>
      </c>
      <c r="N43" s="3">
        <f t="shared" si="28"/>
        <v>4.444785280126981E-2</v>
      </c>
      <c r="O43" s="3">
        <f t="shared" si="28"/>
        <v>4.444785280126981E-2</v>
      </c>
      <c r="P43" s="3">
        <f t="shared" si="27"/>
        <v>4.4447852801269803E-2</v>
      </c>
      <c r="Q43" s="3">
        <f t="shared" si="27"/>
        <v>4.4447852801269769E-2</v>
      </c>
      <c r="R43" s="3">
        <f t="shared" si="27"/>
        <v>4.4447852801269366E-2</v>
      </c>
      <c r="S43" s="3">
        <f t="shared" si="27"/>
        <v>4.4447852801265363E-2</v>
      </c>
      <c r="T43" s="3">
        <f t="shared" si="27"/>
        <v>4.4447852801225367E-2</v>
      </c>
      <c r="U43" s="3">
        <f t="shared" si="27"/>
        <v>4.4447852800825333E-2</v>
      </c>
      <c r="V43" s="3">
        <f t="shared" si="27"/>
        <v>4.4447852796825026E-2</v>
      </c>
      <c r="W43" s="3">
        <f t="shared" si="27"/>
        <v>4.4447852756821962E-2</v>
      </c>
      <c r="X43" s="3">
        <f t="shared" si="27"/>
        <v>4.4447852356791287E-2</v>
      </c>
      <c r="Y43" s="3">
        <f t="shared" si="27"/>
        <v>4.4447848356484757E-2</v>
      </c>
      <c r="Z43" s="3">
        <f t="shared" si="27"/>
        <v>4.4447808353439235E-2</v>
      </c>
      <c r="AA43" s="3">
        <f t="shared" si="27"/>
        <v>4.4447408324964181E-2</v>
      </c>
      <c r="AB43" s="3">
        <f t="shared" si="27"/>
        <v>4.4443408238221536E-2</v>
      </c>
      <c r="AC43" s="3">
        <f t="shared" si="27"/>
        <v>4.4403427164988817E-2</v>
      </c>
      <c r="AD43" s="3">
        <f t="shared" si="27"/>
        <v>4.4005589276404675E-2</v>
      </c>
      <c r="AE43" s="3">
        <f t="shared" si="27"/>
        <v>4.0218080365943369E-2</v>
      </c>
      <c r="AF43" s="3">
        <f t="shared" si="29"/>
        <v>1.6351451249801665E-2</v>
      </c>
      <c r="AG43" s="3">
        <f t="shared" si="29"/>
        <v>2.0179293952709152E-6</v>
      </c>
      <c r="AH43" s="3">
        <f t="shared" si="29"/>
        <v>1.6534938939171423E-45</v>
      </c>
      <c r="AI43" s="3">
        <f t="shared" si="29"/>
        <v>0</v>
      </c>
      <c r="AJ43" s="3">
        <f t="shared" si="29"/>
        <v>0</v>
      </c>
    </row>
    <row r="44" spans="1:36" x14ac:dyDescent="0.25">
      <c r="A44" s="3">
        <f t="shared" si="30"/>
        <v>1000000000000</v>
      </c>
      <c r="B44" s="106">
        <v>1.791586070223062E-2</v>
      </c>
      <c r="C44" s="18">
        <f t="shared" si="3"/>
        <v>1.2310076575543269E-2</v>
      </c>
      <c r="D44" s="17"/>
      <c r="F44" s="3">
        <f t="shared" si="28"/>
        <v>1.2310076575543269E-2</v>
      </c>
      <c r="G44" s="3">
        <f t="shared" si="28"/>
        <v>1.2310076575543269E-2</v>
      </c>
      <c r="H44" s="3">
        <f t="shared" si="28"/>
        <v>1.2310076575543269E-2</v>
      </c>
      <c r="I44" s="3">
        <f t="shared" si="28"/>
        <v>1.2310076575543269E-2</v>
      </c>
      <c r="J44" s="3">
        <f t="shared" si="28"/>
        <v>1.2310076575543269E-2</v>
      </c>
      <c r="K44" s="3">
        <f t="shared" si="28"/>
        <v>1.2310076575543269E-2</v>
      </c>
      <c r="L44" s="3">
        <f t="shared" si="28"/>
        <v>1.2310076575543269E-2</v>
      </c>
      <c r="M44" s="3">
        <f t="shared" si="28"/>
        <v>1.2310076575543269E-2</v>
      </c>
      <c r="N44" s="3">
        <f t="shared" si="28"/>
        <v>1.2310076575543269E-2</v>
      </c>
      <c r="O44" s="3">
        <f t="shared" si="28"/>
        <v>1.2310076575543269E-2</v>
      </c>
      <c r="P44" s="3">
        <f t="shared" si="27"/>
        <v>1.2310076575543269E-2</v>
      </c>
      <c r="Q44" s="3">
        <f t="shared" si="27"/>
        <v>1.2310076575543267E-2</v>
      </c>
      <c r="R44" s="3">
        <f t="shared" si="27"/>
        <v>1.2310076575543257E-2</v>
      </c>
      <c r="S44" s="3">
        <f t="shared" si="27"/>
        <v>1.2310076575543146E-2</v>
      </c>
      <c r="T44" s="3">
        <f t="shared" si="27"/>
        <v>1.2310076575542037E-2</v>
      </c>
      <c r="U44" s="3">
        <f t="shared" si="27"/>
        <v>1.2310076575530959E-2</v>
      </c>
      <c r="V44" s="3">
        <f t="shared" si="27"/>
        <v>1.2310076575420168E-2</v>
      </c>
      <c r="W44" s="3">
        <f t="shared" si="27"/>
        <v>1.2310076574312261E-2</v>
      </c>
      <c r="X44" s="3">
        <f t="shared" si="27"/>
        <v>1.2310076563233192E-2</v>
      </c>
      <c r="Y44" s="3">
        <f t="shared" si="27"/>
        <v>1.2310076452442503E-2</v>
      </c>
      <c r="Z44" s="3">
        <f t="shared" si="27"/>
        <v>1.2310075344535673E-2</v>
      </c>
      <c r="AA44" s="3">
        <f t="shared" si="27"/>
        <v>1.2310064265472849E-2</v>
      </c>
      <c r="AB44" s="3">
        <f t="shared" si="27"/>
        <v>1.2309953475393015E-2</v>
      </c>
      <c r="AC44" s="3">
        <f t="shared" si="27"/>
        <v>1.2308845629434045E-2</v>
      </c>
      <c r="AD44" s="3">
        <f t="shared" si="27"/>
        <v>1.2297772651954848E-2</v>
      </c>
      <c r="AE44" s="3">
        <f t="shared" si="27"/>
        <v>1.2187589267056141E-2</v>
      </c>
      <c r="AF44" s="3">
        <f t="shared" si="29"/>
        <v>1.1138617904439518E-2</v>
      </c>
      <c r="AG44" s="3">
        <f t="shared" si="29"/>
        <v>4.5286240913885202E-3</v>
      </c>
      <c r="AH44" s="3">
        <f t="shared" si="29"/>
        <v>5.5887661190047451E-7</v>
      </c>
      <c r="AI44" s="3">
        <f t="shared" si="29"/>
        <v>4.5794420131655355E-46</v>
      </c>
      <c r="AJ44" s="3">
        <f t="shared" si="29"/>
        <v>0</v>
      </c>
    </row>
    <row r="45" spans="1:36" x14ac:dyDescent="0.25">
      <c r="A45" s="3">
        <f t="shared" si="30"/>
        <v>10000000000000</v>
      </c>
      <c r="B45" s="106">
        <v>2.1573674078757366E-2</v>
      </c>
      <c r="C45" s="18">
        <f t="shared" si="3"/>
        <v>1.4823378253451746E-2</v>
      </c>
      <c r="D45" s="17"/>
      <c r="F45" s="3">
        <f t="shared" si="28"/>
        <v>1.4823378253451746E-2</v>
      </c>
      <c r="G45" s="3">
        <f t="shared" si="28"/>
        <v>1.4823378253451746E-2</v>
      </c>
      <c r="H45" s="3">
        <f t="shared" si="28"/>
        <v>1.4823378253451746E-2</v>
      </c>
      <c r="I45" s="3">
        <f t="shared" si="28"/>
        <v>1.4823378253451746E-2</v>
      </c>
      <c r="J45" s="3">
        <f t="shared" si="28"/>
        <v>1.4823378253451746E-2</v>
      </c>
      <c r="K45" s="3">
        <f t="shared" si="28"/>
        <v>1.4823378253451746E-2</v>
      </c>
      <c r="L45" s="3">
        <f t="shared" si="28"/>
        <v>1.4823378253451746E-2</v>
      </c>
      <c r="M45" s="3">
        <f t="shared" si="28"/>
        <v>1.4823378253451746E-2</v>
      </c>
      <c r="N45" s="3">
        <f t="shared" si="28"/>
        <v>1.4823378253451746E-2</v>
      </c>
      <c r="O45" s="3">
        <f t="shared" si="28"/>
        <v>1.4823378253451746E-2</v>
      </c>
      <c r="P45" s="3">
        <f t="shared" si="27"/>
        <v>1.4823378253451746E-2</v>
      </c>
      <c r="Q45" s="3">
        <f t="shared" si="27"/>
        <v>1.4823378253451746E-2</v>
      </c>
      <c r="R45" s="3">
        <f t="shared" si="27"/>
        <v>1.4823378253451744E-2</v>
      </c>
      <c r="S45" s="3">
        <f t="shared" si="27"/>
        <v>1.482337825345173E-2</v>
      </c>
      <c r="T45" s="3">
        <f t="shared" si="27"/>
        <v>1.4823378253451598E-2</v>
      </c>
      <c r="U45" s="3">
        <f t="shared" si="27"/>
        <v>1.4823378253450262E-2</v>
      </c>
      <c r="V45" s="3">
        <f t="shared" si="27"/>
        <v>1.4823378253436922E-2</v>
      </c>
      <c r="W45" s="3">
        <f t="shared" si="27"/>
        <v>1.4823378253303512E-2</v>
      </c>
      <c r="X45" s="3">
        <f t="shared" si="27"/>
        <v>1.4823378251969407E-2</v>
      </c>
      <c r="Y45" s="3">
        <f t="shared" si="27"/>
        <v>1.4823378238628367E-2</v>
      </c>
      <c r="Z45" s="3">
        <f t="shared" si="27"/>
        <v>1.4823378105217964E-2</v>
      </c>
      <c r="AA45" s="3">
        <f t="shared" si="27"/>
        <v>1.4823376771113995E-2</v>
      </c>
      <c r="AB45" s="3">
        <f t="shared" si="27"/>
        <v>1.4823363430080904E-2</v>
      </c>
      <c r="AC45" s="3">
        <f t="shared" si="27"/>
        <v>1.4823230020410378E-2</v>
      </c>
      <c r="AD45" s="3">
        <f t="shared" si="27"/>
        <v>1.482189598974082E-2</v>
      </c>
      <c r="AE45" s="3">
        <f t="shared" si="27"/>
        <v>1.4808562284417475E-2</v>
      </c>
      <c r="AF45" s="3">
        <f t="shared" si="29"/>
        <v>1.4675883175430934E-2</v>
      </c>
      <c r="AG45" s="3">
        <f t="shared" si="29"/>
        <v>1.3412747305423668E-2</v>
      </c>
      <c r="AH45" s="3">
        <f t="shared" si="29"/>
        <v>5.4532161081527388E-3</v>
      </c>
      <c r="AI45" s="3">
        <f t="shared" si="29"/>
        <v>6.7298033154945467E-7</v>
      </c>
      <c r="AJ45" s="3">
        <f t="shared" si="29"/>
        <v>5.5144093324135536E-46</v>
      </c>
    </row>
    <row r="46" spans="1:36" x14ac:dyDescent="0.25">
      <c r="A46" s="3">
        <f t="shared" si="30"/>
        <v>100000000000000</v>
      </c>
      <c r="B46" s="106">
        <v>1.1532942507356727E-3</v>
      </c>
      <c r="C46" s="18">
        <f t="shared" si="3"/>
        <v>7.924341887142665E-4</v>
      </c>
      <c r="D46" s="17"/>
      <c r="F46" s="3">
        <f t="shared" si="28"/>
        <v>7.924341887142665E-4</v>
      </c>
      <c r="G46" s="3">
        <f t="shared" si="28"/>
        <v>7.924341887142665E-4</v>
      </c>
      <c r="H46" s="3">
        <f t="shared" si="28"/>
        <v>7.924341887142665E-4</v>
      </c>
      <c r="I46" s="3">
        <f t="shared" si="28"/>
        <v>7.924341887142665E-4</v>
      </c>
      <c r="J46" s="3">
        <f t="shared" si="28"/>
        <v>7.924341887142665E-4</v>
      </c>
      <c r="K46" s="3">
        <f t="shared" si="28"/>
        <v>7.924341887142665E-4</v>
      </c>
      <c r="L46" s="3">
        <f t="shared" si="28"/>
        <v>7.924341887142665E-4</v>
      </c>
      <c r="M46" s="3">
        <f t="shared" si="28"/>
        <v>7.924341887142665E-4</v>
      </c>
      <c r="N46" s="3">
        <f t="shared" si="28"/>
        <v>7.924341887142665E-4</v>
      </c>
      <c r="O46" s="3">
        <f t="shared" si="28"/>
        <v>7.924341887142665E-4</v>
      </c>
      <c r="P46" s="3">
        <f t="shared" si="27"/>
        <v>7.924341887142665E-4</v>
      </c>
      <c r="Q46" s="3">
        <f t="shared" si="27"/>
        <v>7.924341887142665E-4</v>
      </c>
      <c r="R46" s="3">
        <f t="shared" si="27"/>
        <v>7.924341887142665E-4</v>
      </c>
      <c r="S46" s="3">
        <f t="shared" si="27"/>
        <v>7.9243418871426639E-4</v>
      </c>
      <c r="T46" s="3">
        <f t="shared" si="27"/>
        <v>7.9243418871426574E-4</v>
      </c>
      <c r="U46" s="3">
        <f t="shared" si="27"/>
        <v>7.9243418871425858E-4</v>
      </c>
      <c r="V46" s="3">
        <f t="shared" si="27"/>
        <v>7.9243418871418724E-4</v>
      </c>
      <c r="W46" s="3">
        <f t="shared" si="27"/>
        <v>7.9243418871347406E-4</v>
      </c>
      <c r="X46" s="3">
        <f t="shared" si="27"/>
        <v>7.9243418870634217E-4</v>
      </c>
      <c r="Y46" s="3">
        <f t="shared" si="27"/>
        <v>7.9243418863502303E-4</v>
      </c>
      <c r="Z46" s="3">
        <f t="shared" si="27"/>
        <v>7.9243418792183235E-4</v>
      </c>
      <c r="AA46" s="3">
        <f t="shared" si="27"/>
        <v>7.9243418078992465E-4</v>
      </c>
      <c r="AB46" s="3">
        <f t="shared" si="27"/>
        <v>7.9243410947085161E-4</v>
      </c>
      <c r="AC46" s="3">
        <f t="shared" si="27"/>
        <v>7.9243339628047398E-4</v>
      </c>
      <c r="AD46" s="3">
        <f t="shared" si="27"/>
        <v>7.9242626441200091E-4</v>
      </c>
      <c r="AE46" s="3">
        <f t="shared" si="27"/>
        <v>7.9235494925743394E-4</v>
      </c>
      <c r="AF46" s="3">
        <f t="shared" si="29"/>
        <v>7.9164215061060727E-4</v>
      </c>
      <c r="AG46" s="3">
        <f t="shared" si="29"/>
        <v>7.8454933679371645E-4</v>
      </c>
      <c r="AH46" s="3">
        <f t="shared" si="29"/>
        <v>7.1702410527963714E-4</v>
      </c>
      <c r="AI46" s="3">
        <f t="shared" si="29"/>
        <v>2.9152024650934964E-4</v>
      </c>
      <c r="AJ46" s="3">
        <f t="shared" si="29"/>
        <v>3.5976456509019365E-8</v>
      </c>
    </row>
    <row r="47" spans="1:36" x14ac:dyDescent="0.25">
      <c r="A47" s="3">
        <f t="shared" si="30"/>
        <v>1000000000000000</v>
      </c>
      <c r="B47" s="106">
        <v>6.1147424789148317E-3</v>
      </c>
      <c r="C47" s="18">
        <f t="shared" si="3"/>
        <v>4.201469826442498E-3</v>
      </c>
      <c r="D47" s="17"/>
      <c r="F47" s="3">
        <f t="shared" si="28"/>
        <v>4.201469826442498E-3</v>
      </c>
      <c r="G47" s="3">
        <f t="shared" si="28"/>
        <v>4.201469826442498E-3</v>
      </c>
      <c r="H47" s="3">
        <f t="shared" si="28"/>
        <v>4.201469826442498E-3</v>
      </c>
      <c r="I47" s="3">
        <f t="shared" si="28"/>
        <v>4.201469826442498E-3</v>
      </c>
      <c r="J47" s="3">
        <f t="shared" si="28"/>
        <v>4.201469826442498E-3</v>
      </c>
      <c r="K47" s="3">
        <f t="shared" si="28"/>
        <v>4.201469826442498E-3</v>
      </c>
      <c r="L47" s="3">
        <f t="shared" si="28"/>
        <v>4.201469826442498E-3</v>
      </c>
      <c r="M47" s="3">
        <f t="shared" si="28"/>
        <v>4.201469826442498E-3</v>
      </c>
      <c r="N47" s="3">
        <f t="shared" si="28"/>
        <v>4.201469826442498E-3</v>
      </c>
      <c r="O47" s="3">
        <f t="shared" si="28"/>
        <v>4.201469826442498E-3</v>
      </c>
      <c r="P47" s="3">
        <f t="shared" si="27"/>
        <v>4.201469826442498E-3</v>
      </c>
      <c r="Q47" s="3">
        <f t="shared" si="27"/>
        <v>4.201469826442498E-3</v>
      </c>
      <c r="R47" s="3">
        <f t="shared" si="27"/>
        <v>4.201469826442498E-3</v>
      </c>
      <c r="S47" s="3">
        <f t="shared" si="27"/>
        <v>4.201469826442498E-3</v>
      </c>
      <c r="T47" s="3">
        <f t="shared" si="27"/>
        <v>4.2014698264424971E-3</v>
      </c>
      <c r="U47" s="3">
        <f t="shared" si="27"/>
        <v>4.2014698264424936E-3</v>
      </c>
      <c r="V47" s="3">
        <f t="shared" si="27"/>
        <v>4.2014698264424563E-3</v>
      </c>
      <c r="W47" s="3">
        <f t="shared" si="27"/>
        <v>4.2014698264420773E-3</v>
      </c>
      <c r="X47" s="3">
        <f t="shared" si="27"/>
        <v>4.2014698264382965E-3</v>
      </c>
      <c r="Y47" s="3">
        <f t="shared" si="27"/>
        <v>4.201469826400483E-3</v>
      </c>
      <c r="Z47" s="3">
        <f t="shared" si="27"/>
        <v>4.2014698260223506E-3</v>
      </c>
      <c r="AA47" s="3">
        <f t="shared" si="27"/>
        <v>4.2014698222410281E-3</v>
      </c>
      <c r="AB47" s="3">
        <f t="shared" si="27"/>
        <v>4.2014697844277998E-3</v>
      </c>
      <c r="AC47" s="3">
        <f t="shared" si="27"/>
        <v>4.2014694062955365E-3</v>
      </c>
      <c r="AD47" s="3">
        <f t="shared" si="27"/>
        <v>4.2014656249747722E-3</v>
      </c>
      <c r="AE47" s="3">
        <f t="shared" si="27"/>
        <v>4.2014278119543065E-3</v>
      </c>
      <c r="AF47" s="3">
        <f t="shared" si="29"/>
        <v>4.2010497004665026E-3</v>
      </c>
      <c r="AG47" s="3">
        <f t="shared" si="29"/>
        <v>4.1972704566508989E-3</v>
      </c>
      <c r="AH47" s="3">
        <f t="shared" si="29"/>
        <v>4.1596645031715413E-3</v>
      </c>
      <c r="AI47" s="3">
        <f t="shared" si="29"/>
        <v>3.8016471097142208E-3</v>
      </c>
      <c r="AJ47" s="3">
        <f t="shared" si="29"/>
        <v>1.545634371850343E-3</v>
      </c>
    </row>
    <row r="48" spans="1:36" x14ac:dyDescent="0.25">
      <c r="A48" s="3">
        <f t="shared" si="30"/>
        <v>1E+16</v>
      </c>
      <c r="B48" s="106">
        <v>9.9659153378541965E-3</v>
      </c>
      <c r="C48" s="18">
        <f t="shared" si="3"/>
        <v>6.8476297618842216E-3</v>
      </c>
      <c r="D48" s="17"/>
      <c r="F48" s="3">
        <f t="shared" si="28"/>
        <v>6.8476297618842216E-3</v>
      </c>
      <c r="G48" s="3">
        <f t="shared" si="28"/>
        <v>6.8476297618842216E-3</v>
      </c>
      <c r="H48" s="3">
        <f t="shared" si="28"/>
        <v>6.8476297618842216E-3</v>
      </c>
      <c r="I48" s="3">
        <f t="shared" si="28"/>
        <v>6.8476297618842216E-3</v>
      </c>
      <c r="J48" s="3">
        <f t="shared" si="28"/>
        <v>6.8476297618842216E-3</v>
      </c>
      <c r="K48" s="3">
        <f t="shared" si="28"/>
        <v>6.8476297618842216E-3</v>
      </c>
      <c r="L48" s="3">
        <f t="shared" si="28"/>
        <v>6.8476297618842216E-3</v>
      </c>
      <c r="M48" s="3">
        <f t="shared" si="28"/>
        <v>6.8476297618842216E-3</v>
      </c>
      <c r="N48" s="3">
        <f t="shared" si="28"/>
        <v>6.8476297618842216E-3</v>
      </c>
      <c r="O48" s="3">
        <f t="shared" si="28"/>
        <v>6.8476297618842216E-3</v>
      </c>
      <c r="P48" s="3">
        <f t="shared" si="27"/>
        <v>6.8476297618842216E-3</v>
      </c>
      <c r="Q48" s="3">
        <f t="shared" si="27"/>
        <v>6.8476297618842216E-3</v>
      </c>
      <c r="R48" s="3">
        <f t="shared" si="27"/>
        <v>6.8476297618842216E-3</v>
      </c>
      <c r="S48" s="3">
        <f t="shared" si="27"/>
        <v>6.8476297618842216E-3</v>
      </c>
      <c r="T48" s="3">
        <f t="shared" si="27"/>
        <v>6.8476297618842216E-3</v>
      </c>
      <c r="U48" s="3">
        <f t="shared" si="27"/>
        <v>6.8476297618842207E-3</v>
      </c>
      <c r="V48" s="3">
        <f t="shared" si="27"/>
        <v>6.8476297618842146E-3</v>
      </c>
      <c r="W48" s="3">
        <f t="shared" si="27"/>
        <v>6.847629761884153E-3</v>
      </c>
      <c r="X48" s="3">
        <f t="shared" si="27"/>
        <v>6.8476297618835363E-3</v>
      </c>
      <c r="Y48" s="3">
        <f t="shared" si="27"/>
        <v>6.8476297618773737E-3</v>
      </c>
      <c r="Z48" s="3">
        <f t="shared" si="27"/>
        <v>6.8476297618157451E-3</v>
      </c>
      <c r="AA48" s="3">
        <f t="shared" si="27"/>
        <v>6.8476297611994585E-3</v>
      </c>
      <c r="AB48" s="3">
        <f t="shared" si="27"/>
        <v>6.8476297550365923E-3</v>
      </c>
      <c r="AC48" s="3">
        <f t="shared" si="27"/>
        <v>6.847629693407924E-3</v>
      </c>
      <c r="AD48" s="3">
        <f t="shared" si="27"/>
        <v>6.8476290771212799E-3</v>
      </c>
      <c r="AE48" s="3">
        <f t="shared" si="27"/>
        <v>6.8476229142578832E-3</v>
      </c>
      <c r="AF48" s="3">
        <f t="shared" si="29"/>
        <v>6.847561285928983E-3</v>
      </c>
      <c r="AG48" s="3">
        <f t="shared" si="29"/>
        <v>6.8469450331450406E-3</v>
      </c>
      <c r="AH48" s="3">
        <f t="shared" si="29"/>
        <v>6.8407855547962318E-3</v>
      </c>
      <c r="AI48" s="3">
        <f t="shared" si="29"/>
        <v>6.7794947073293293E-3</v>
      </c>
      <c r="AJ48" s="3">
        <f t="shared" si="29"/>
        <v>6.1959916334095111E-3</v>
      </c>
    </row>
    <row r="49" spans="1:36" x14ac:dyDescent="0.25">
      <c r="B49" s="16">
        <f>SUM(B17:B48)</f>
        <v>1.4553817429393168</v>
      </c>
      <c r="C49" s="18">
        <f>SUM(C17:C48)</f>
        <v>0.99999999999999978</v>
      </c>
      <c r="F49" s="3">
        <f t="shared" ref="F49:AJ49" si="31">F16-F17</f>
        <v>62.700806083866155</v>
      </c>
      <c r="G49" s="3">
        <f t="shared" si="31"/>
        <v>-81.096514037899396</v>
      </c>
      <c r="H49" s="3">
        <f t="shared" si="31"/>
        <v>21.46717053411885</v>
      </c>
      <c r="I49" s="3">
        <f t="shared" si="31"/>
        <v>-3.5059294650045558</v>
      </c>
      <c r="J49" s="3">
        <f t="shared" si="31"/>
        <v>0.49076475422316435</v>
      </c>
      <c r="K49" s="3">
        <f t="shared" si="31"/>
        <v>-6.4318344818275364E-2</v>
      </c>
      <c r="L49" s="3">
        <f t="shared" si="31"/>
        <v>2.4434315487269487E-2</v>
      </c>
      <c r="M49" s="3">
        <f t="shared" si="31"/>
        <v>-4.8384220966909197E-2</v>
      </c>
      <c r="N49" s="3">
        <f t="shared" si="31"/>
        <v>0.10119117180693138</v>
      </c>
      <c r="O49" s="3">
        <f t="shared" si="31"/>
        <v>-0.19589553594596509</v>
      </c>
      <c r="P49" s="3">
        <f t="shared" si="31"/>
        <v>0.33262430182094249</v>
      </c>
      <c r="Q49" s="3">
        <f t="shared" si="31"/>
        <v>-0.47539607256476302</v>
      </c>
      <c r="R49" s="3">
        <f t="shared" si="31"/>
        <v>0.57477514287256781</v>
      </c>
      <c r="S49" s="3">
        <f t="shared" si="31"/>
        <v>-0.59894079497007624</v>
      </c>
      <c r="T49" s="3">
        <f t="shared" si="31"/>
        <v>0.54170358618830505</v>
      </c>
      <c r="U49" s="3">
        <f t="shared" si="31"/>
        <v>-0.41926006528728976</v>
      </c>
      <c r="V49" s="3">
        <f t="shared" si="31"/>
        <v>0.27881740149086909</v>
      </c>
      <c r="W49" s="3">
        <f t="shared" si="31"/>
        <v>-0.16244939266425718</v>
      </c>
      <c r="X49" s="3">
        <f t="shared" si="31"/>
        <v>8.7417458675190574E-2</v>
      </c>
      <c r="Y49" s="3">
        <f t="shared" si="31"/>
        <v>-3.9318442909461737E-2</v>
      </c>
      <c r="Z49" s="3">
        <f t="shared" si="31"/>
        <v>9.8829021339952305E-3</v>
      </c>
      <c r="AA49" s="3">
        <f t="shared" si="31"/>
        <v>-2.1282198918015638E-4</v>
      </c>
      <c r="AB49" s="3">
        <f t="shared" si="31"/>
        <v>2.7444750860468048E-3</v>
      </c>
      <c r="AC49" s="3">
        <f t="shared" si="31"/>
        <v>1.2078880349690735E-3</v>
      </c>
      <c r="AD49" s="3">
        <f t="shared" si="31"/>
        <v>-1.7672082416765988E-2</v>
      </c>
      <c r="AE49" s="3">
        <f t="shared" si="31"/>
        <v>3.4448465662762828E-2</v>
      </c>
      <c r="AF49" s="3">
        <f t="shared" si="31"/>
        <v>-2.7613987914946847E-2</v>
      </c>
      <c r="AG49" s="3">
        <f t="shared" si="31"/>
        <v>1.905923685609423E-2</v>
      </c>
      <c r="AH49" s="3">
        <f t="shared" si="31"/>
        <v>-1.368569350921689E-2</v>
      </c>
      <c r="AI49" s="3">
        <f t="shared" si="31"/>
        <v>8.9997864940869476E-3</v>
      </c>
      <c r="AJ49" s="3">
        <f t="shared" si="31"/>
        <v>-4.4217250429596788E-3</v>
      </c>
    </row>
    <row r="50" spans="1:36" x14ac:dyDescent="0.25">
      <c r="F50" s="57">
        <f t="shared" ref="F50:AJ50" si="32">F49/F17</f>
        <v>1.0406728711128148E-2</v>
      </c>
      <c r="G50" s="57">
        <f t="shared" si="32"/>
        <v>-1.3596990278862893E-2</v>
      </c>
      <c r="H50" s="57">
        <f t="shared" si="32"/>
        <v>3.7365759698687771E-3</v>
      </c>
      <c r="I50" s="57">
        <f t="shared" si="32"/>
        <v>-6.1988778522157598E-4</v>
      </c>
      <c r="J50" s="57">
        <f t="shared" si="32"/>
        <v>8.8822968384318234E-5</v>
      </c>
      <c r="K50" s="57">
        <f t="shared" si="32"/>
        <v>-1.1932068391548552E-5</v>
      </c>
      <c r="L50" s="57">
        <f t="shared" si="32"/>
        <v>4.6645335058138367E-6</v>
      </c>
      <c r="M50" s="57">
        <f t="shared" si="32"/>
        <v>-9.5343970946176814E-6</v>
      </c>
      <c r="N50" s="57">
        <f t="shared" si="32"/>
        <v>2.0615683209289786E-5</v>
      </c>
      <c r="O50" s="57">
        <f t="shared" si="32"/>
        <v>-4.1256965946547663E-5</v>
      </c>
      <c r="P50" s="57">
        <f t="shared" si="32"/>
        <v>7.2779699919913967E-5</v>
      </c>
      <c r="Q50" s="57">
        <f t="shared" si="32"/>
        <v>-1.0913372680352856E-4</v>
      </c>
      <c r="R50" s="57">
        <f t="shared" si="32"/>
        <v>1.3924402914376689E-4</v>
      </c>
      <c r="S50" s="57">
        <f t="shared" si="32"/>
        <v>-1.5233656445407616E-4</v>
      </c>
      <c r="T50" s="57">
        <f t="shared" si="32"/>
        <v>1.4424242103305984E-4</v>
      </c>
      <c r="U50" s="57">
        <f t="shared" si="32"/>
        <v>-1.173304016996645E-4</v>
      </c>
      <c r="V50" s="57">
        <f t="shared" si="32"/>
        <v>8.3082363176047546E-5</v>
      </c>
      <c r="W50" s="57">
        <f t="shared" si="32"/>
        <v>-5.2976746908870591E-5</v>
      </c>
      <c r="X50" s="57">
        <f t="shared" si="32"/>
        <v>3.1686352049409631E-5</v>
      </c>
      <c r="Y50" s="57">
        <f t="shared" si="32"/>
        <v>-1.5948699299951425E-5</v>
      </c>
      <c r="Z50" s="57">
        <f t="shared" si="32"/>
        <v>4.4980798086010798E-6</v>
      </c>
      <c r="AA50" s="57">
        <f t="shared" si="32"/>
        <v>-1.0986107262261372E-7</v>
      </c>
      <c r="AB50" s="57">
        <f t="shared" si="32"/>
        <v>1.6411559967159469E-6</v>
      </c>
      <c r="AC50" s="57">
        <f t="shared" si="32"/>
        <v>8.7240366459760181E-7</v>
      </c>
      <c r="AD50" s="57">
        <f t="shared" si="32"/>
        <v>-1.6432365539925814E-5</v>
      </c>
      <c r="AE50" s="57">
        <f t="shared" si="32"/>
        <v>4.4133282539143332E-5</v>
      </c>
      <c r="AF50" s="57">
        <f t="shared" si="32"/>
        <v>-5.0321012416126532E-5</v>
      </c>
      <c r="AG50" s="57">
        <f t="shared" si="32"/>
        <v>4.7801611524982276E-5</v>
      </c>
      <c r="AH50" s="57">
        <f t="shared" si="32"/>
        <v>-4.2673935957987284E-5</v>
      </c>
      <c r="AI50" s="57">
        <f t="shared" si="32"/>
        <v>3.1946566006466931E-5</v>
      </c>
      <c r="AJ50" s="57">
        <f t="shared" si="32"/>
        <v>-1.6855858555960592E-5</v>
      </c>
    </row>
    <row r="51" spans="1:36" x14ac:dyDescent="0.25">
      <c r="A51" s="13" t="s">
        <v>21</v>
      </c>
      <c r="B51" s="3">
        <f>STUTT!D8</f>
        <v>6190.9489999999996</v>
      </c>
      <c r="E51" s="11" t="s">
        <v>24</v>
      </c>
      <c r="F51" s="20">
        <f t="shared" ref="F51:AJ51" si="33">(F16-F17)^2</f>
        <v>3931.391083566587</v>
      </c>
      <c r="G51" s="20">
        <f t="shared" si="33"/>
        <v>6576.6445890992136</v>
      </c>
      <c r="H51" s="20">
        <f t="shared" si="33"/>
        <v>460.83941074094059</v>
      </c>
      <c r="I51" s="20">
        <f t="shared" si="33"/>
        <v>12.291541413587131</v>
      </c>
      <c r="J51" s="20">
        <f t="shared" si="33"/>
        <v>0.24085004398772292</v>
      </c>
      <c r="K51" s="20">
        <f t="shared" si="33"/>
        <v>4.1368494801625692E-3</v>
      </c>
      <c r="L51" s="20">
        <f t="shared" si="33"/>
        <v>5.9703577333141745E-4</v>
      </c>
      <c r="M51" s="20">
        <f t="shared" si="33"/>
        <v>2.3410328385746956E-3</v>
      </c>
      <c r="N51" s="20">
        <f t="shared" si="33"/>
        <v>1.0239653251659904E-2</v>
      </c>
      <c r="O51" s="20">
        <f t="shared" si="33"/>
        <v>3.83750610035569E-2</v>
      </c>
      <c r="P51" s="20">
        <f t="shared" si="33"/>
        <v>0.11063892616186945</v>
      </c>
      <c r="Q51" s="20">
        <f t="shared" si="33"/>
        <v>0.22600142581000143</v>
      </c>
      <c r="R51" s="20">
        <f t="shared" si="33"/>
        <v>0.33036646486418075</v>
      </c>
      <c r="S51" s="20">
        <f t="shared" si="33"/>
        <v>0.35873007587938688</v>
      </c>
      <c r="T51" s="20">
        <f t="shared" si="33"/>
        <v>0.29344277528927043</v>
      </c>
      <c r="U51" s="20">
        <f t="shared" si="33"/>
        <v>0.17577900234470248</v>
      </c>
      <c r="V51" s="20">
        <f t="shared" si="33"/>
        <v>7.7739143374120481E-2</v>
      </c>
      <c r="W51" s="20">
        <f t="shared" si="33"/>
        <v>2.6389805176986011E-2</v>
      </c>
      <c r="X51" s="20">
        <f t="shared" si="33"/>
        <v>7.6418120812286518E-3</v>
      </c>
      <c r="Y51" s="20">
        <f t="shared" si="33"/>
        <v>1.5459399528246019E-3</v>
      </c>
      <c r="Z51" s="20">
        <f t="shared" si="33"/>
        <v>9.7671754590127478E-5</v>
      </c>
      <c r="AA51" s="20">
        <f t="shared" si="33"/>
        <v>4.5293199078598597E-8</v>
      </c>
      <c r="AB51" s="20">
        <f t="shared" si="33"/>
        <v>7.5321434979316168E-6</v>
      </c>
      <c r="AC51" s="20">
        <f t="shared" si="33"/>
        <v>1.4589935050214496E-6</v>
      </c>
      <c r="AD51" s="20">
        <f t="shared" si="33"/>
        <v>3.1230249694496964E-4</v>
      </c>
      <c r="AE51" s="20">
        <f t="shared" si="33"/>
        <v>1.1866967865185496E-3</v>
      </c>
      <c r="AF51" s="20">
        <f t="shared" si="33"/>
        <v>7.6253232856683055E-4</v>
      </c>
      <c r="AG51" s="20">
        <f t="shared" si="33"/>
        <v>3.6325450953670068E-4</v>
      </c>
      <c r="AH51" s="20">
        <f t="shared" si="33"/>
        <v>1.8729820682822129E-4</v>
      </c>
      <c r="AI51" s="20">
        <f t="shared" si="33"/>
        <v>8.0996156939149835E-5</v>
      </c>
      <c r="AJ51" s="20">
        <f t="shared" si="33"/>
        <v>1.9551652355536774E-5</v>
      </c>
    </row>
    <row r="52" spans="1:36" x14ac:dyDescent="0.25">
      <c r="A52" s="13"/>
    </row>
    <row r="53" spans="1:36" x14ac:dyDescent="0.25">
      <c r="E53" s="119" t="s">
        <v>25</v>
      </c>
      <c r="F53" s="119"/>
      <c r="G53" s="104">
        <f>SUM(F51:AJ51)</f>
        <v>10983.074459207921</v>
      </c>
      <c r="I53" s="3">
        <f>G53+C123</f>
        <v>10983.074459207921</v>
      </c>
      <c r="K53" s="3">
        <f>SUM(Z51:AJ51)</f>
        <v>3.0193403224821175E-3</v>
      </c>
    </row>
    <row r="55" spans="1:36" x14ac:dyDescent="0.25">
      <c r="E55" s="30" t="s">
        <v>30</v>
      </c>
      <c r="F55" s="31">
        <f t="shared" ref="F55:AJ55" si="34">ABS(F17-F16)/F16</f>
        <v>1.0299544149317909E-2</v>
      </c>
      <c r="G55" s="31">
        <f t="shared" si="34"/>
        <v>1.3784416860920624E-2</v>
      </c>
      <c r="H55" s="31">
        <f t="shared" si="34"/>
        <v>3.7226659457520314E-3</v>
      </c>
      <c r="I55" s="31">
        <f t="shared" si="34"/>
        <v>6.2027228443420823E-4</v>
      </c>
      <c r="J55" s="31">
        <f t="shared" si="34"/>
        <v>8.8815079565313955E-5</v>
      </c>
      <c r="K55" s="31">
        <f t="shared" si="34"/>
        <v>1.1932210767503492E-5</v>
      </c>
      <c r="L55" s="31">
        <f t="shared" si="34"/>
        <v>4.6645117480424997E-6</v>
      </c>
      <c r="M55" s="31">
        <f t="shared" si="34"/>
        <v>9.5344880002123686E-6</v>
      </c>
      <c r="N55" s="31">
        <f t="shared" si="34"/>
        <v>2.0615258211657217E-5</v>
      </c>
      <c r="O55" s="31">
        <f t="shared" si="34"/>
        <v>4.1258668154014697E-5</v>
      </c>
      <c r="P55" s="31">
        <f t="shared" si="34"/>
        <v>7.2774403420671169E-5</v>
      </c>
      <c r="Q55" s="31">
        <f t="shared" si="34"/>
        <v>1.0914563827379773E-4</v>
      </c>
      <c r="R55" s="31">
        <f t="shared" si="34"/>
        <v>1.3922464294352732E-4</v>
      </c>
      <c r="S55" s="31">
        <f t="shared" si="34"/>
        <v>1.5235977441867209E-4</v>
      </c>
      <c r="T55" s="31">
        <f t="shared" si="34"/>
        <v>1.4422161815769147E-4</v>
      </c>
      <c r="U55" s="31">
        <f t="shared" si="34"/>
        <v>1.1734416973823701E-4</v>
      </c>
      <c r="V55" s="31">
        <f t="shared" si="34"/>
        <v>8.3075461070419881E-5</v>
      </c>
      <c r="W55" s="31">
        <f t="shared" si="34"/>
        <v>5.2979553593272645E-5</v>
      </c>
      <c r="X55" s="31">
        <f t="shared" si="34"/>
        <v>3.1685348056316311E-5</v>
      </c>
      <c r="Y55" s="31">
        <f t="shared" si="34"/>
        <v>1.5948953665017579E-5</v>
      </c>
      <c r="Z55" s="31">
        <f t="shared" si="34"/>
        <v>4.4980595759701235E-6</v>
      </c>
      <c r="AA55" s="31">
        <f t="shared" si="34"/>
        <v>1.0986108469207033E-7</v>
      </c>
      <c r="AB55" s="31">
        <f t="shared" si="34"/>
        <v>1.6411533033273617E-6</v>
      </c>
      <c r="AC55" s="31">
        <f t="shared" si="34"/>
        <v>8.7240290351011177E-7</v>
      </c>
      <c r="AD55" s="31">
        <f t="shared" si="34"/>
        <v>1.6432635567000235E-5</v>
      </c>
      <c r="AE55" s="31">
        <f t="shared" si="34"/>
        <v>4.4131334878472312E-5</v>
      </c>
      <c r="AF55" s="31">
        <f t="shared" si="34"/>
        <v>5.0323544747846609E-5</v>
      </c>
      <c r="AG55" s="31">
        <f t="shared" si="34"/>
        <v>4.7799326640139064E-5</v>
      </c>
      <c r="AH55" s="31">
        <f t="shared" si="34"/>
        <v>4.2675757100512749E-5</v>
      </c>
      <c r="AI55" s="31">
        <f t="shared" si="34"/>
        <v>3.1945545455990406E-5</v>
      </c>
      <c r="AJ55" s="31">
        <f t="shared" si="34"/>
        <v>1.6856142680717416E-5</v>
      </c>
    </row>
    <row r="56" spans="1:36" x14ac:dyDescent="0.25">
      <c r="E56" s="13" t="s">
        <v>31</v>
      </c>
      <c r="F56" s="32">
        <f>AVERAGE(F55:AJ55)</f>
        <v>9.6063757368217151E-4</v>
      </c>
    </row>
    <row r="57" spans="1:36" x14ac:dyDescent="0.25">
      <c r="A57" s="42"/>
      <c r="B57" s="15"/>
      <c r="C57" s="15"/>
      <c r="D57" s="15"/>
      <c r="F57" s="60">
        <f>AVERAGE(S55:X55)</f>
        <v>9.6944320839101569E-5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-26.816546265645783</v>
      </c>
    </row>
    <row r="119" spans="1:14" x14ac:dyDescent="0.25">
      <c r="L119" s="11">
        <f>L118+1</f>
        <v>2</v>
      </c>
      <c r="M119" s="11">
        <f t="shared" ref="M119:M124" si="35">INDEX($B$125:$K$126,1,L119)</f>
        <v>0</v>
      </c>
      <c r="N119" s="11">
        <f t="shared" ref="N119:N124" si="36">IF(L119=$B$3,0,INDEX($B$125:$K$126,2,L119))</f>
        <v>-16.655816896481024</v>
      </c>
    </row>
    <row r="120" spans="1:14" x14ac:dyDescent="0.25">
      <c r="L120" s="11">
        <f t="shared" ref="L120:L124" si="37">L119+1</f>
        <v>3</v>
      </c>
      <c r="M120" s="11">
        <f t="shared" si="35"/>
        <v>25</v>
      </c>
      <c r="N120" s="11">
        <f t="shared" si="36"/>
        <v>-11.048263335164281</v>
      </c>
    </row>
    <row r="121" spans="1:14" x14ac:dyDescent="0.25">
      <c r="A121" s="103">
        <f>(A165+A204+A243+A282+A321+A360+A399)*10^9</f>
        <v>5043284751259075</v>
      </c>
      <c r="L121" s="11">
        <f t="shared" si="37"/>
        <v>4</v>
      </c>
      <c r="M121" s="11">
        <f t="shared" si="35"/>
        <v>50</v>
      </c>
      <c r="N121" s="11">
        <f t="shared" si="36"/>
        <v>-6.0345060932417978</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9"/>
      <c r="B123" s="119"/>
      <c r="C123" s="3"/>
      <c r="D123" s="3"/>
      <c r="E123" s="3"/>
      <c r="F123" s="3"/>
      <c r="G123" s="3"/>
      <c r="H123" s="3"/>
      <c r="I123" s="3"/>
      <c r="J123" s="3"/>
      <c r="K123" s="3"/>
      <c r="L123" s="11">
        <f t="shared" si="37"/>
        <v>6</v>
      </c>
      <c r="M123" s="11">
        <f t="shared" si="35"/>
        <v>125</v>
      </c>
      <c r="N123" s="11">
        <f t="shared" si="36"/>
        <v>15.134789782053895</v>
      </c>
    </row>
    <row r="124" spans="1:14" x14ac:dyDescent="0.25">
      <c r="B124" s="3"/>
      <c r="C124" s="3"/>
      <c r="D124" s="3"/>
      <c r="E124" s="3"/>
      <c r="F124" s="3"/>
      <c r="G124" s="3"/>
      <c r="H124" s="3"/>
      <c r="I124" s="3"/>
      <c r="J124" s="3"/>
      <c r="K124" s="3"/>
      <c r="L124" s="11">
        <f t="shared" si="37"/>
        <v>7</v>
      </c>
      <c r="M124" s="11">
        <f t="shared" si="35"/>
        <v>160</v>
      </c>
      <c r="N124" s="11">
        <f t="shared" si="36"/>
        <v>28.990552967278404</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-26.816546265645783</v>
      </c>
      <c r="C126" s="107">
        <v>-16.655816896481024</v>
      </c>
      <c r="D126" s="107">
        <v>-11.048263335164281</v>
      </c>
      <c r="E126" s="107">
        <v>-6.0345060932417978</v>
      </c>
      <c r="F126" s="107">
        <v>1.1390608776796679E-2</v>
      </c>
      <c r="G126" s="107">
        <v>15.134789782053895</v>
      </c>
      <c r="H126" s="107">
        <v>28.990552967278404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6190.9489642580074</v>
      </c>
      <c r="C131" s="27">
        <f t="shared" ref="C131:AF131" si="40">($C$17+SUM(C132:C162))*$B$51</f>
        <v>6190.9486425804425</v>
      </c>
      <c r="D131" s="27">
        <f t="shared" si="40"/>
        <v>6190.9454258407577</v>
      </c>
      <c r="E131" s="27">
        <f t="shared" si="40"/>
        <v>6190.9132620390128</v>
      </c>
      <c r="F131" s="27">
        <f t="shared" si="40"/>
        <v>6190.5919832622012</v>
      </c>
      <c r="G131" s="27">
        <f t="shared" si="40"/>
        <v>6187.4148509025108</v>
      </c>
      <c r="H131" s="27">
        <f t="shared" si="40"/>
        <v>6158.9549351379474</v>
      </c>
      <c r="I131" s="27">
        <f t="shared" si="40"/>
        <v>6049.2086677403158</v>
      </c>
      <c r="J131" s="27">
        <f t="shared" si="40"/>
        <v>6032.6560970654527</v>
      </c>
      <c r="K131" s="27">
        <f t="shared" si="40"/>
        <v>6032.6403916818072</v>
      </c>
      <c r="L131" s="27">
        <f t="shared" si="40"/>
        <v>6032.483382163141</v>
      </c>
      <c r="M131" s="27">
        <f t="shared" si="40"/>
        <v>6030.9176855663645</v>
      </c>
      <c r="N131" s="27">
        <f t="shared" si="40"/>
        <v>6015.6922354681492</v>
      </c>
      <c r="O131" s="27">
        <f t="shared" si="40"/>
        <v>5899.3284201960432</v>
      </c>
      <c r="P131" s="27">
        <f t="shared" si="40"/>
        <v>5707.8256504324027</v>
      </c>
      <c r="Q131" s="27">
        <f t="shared" si="40"/>
        <v>5619.2891882356498</v>
      </c>
      <c r="R131" s="27">
        <f t="shared" si="40"/>
        <v>5480.860760229084</v>
      </c>
      <c r="S131" s="27">
        <f t="shared" si="40"/>
        <v>5341.8362838818384</v>
      </c>
      <c r="T131" s="27">
        <f t="shared" si="40"/>
        <v>5182.7210193457986</v>
      </c>
      <c r="U131" s="27">
        <f t="shared" si="40"/>
        <v>5015.2205639123949</v>
      </c>
      <c r="V131" s="27">
        <f t="shared" si="40"/>
        <v>4848.3042225999934</v>
      </c>
      <c r="W131" s="27">
        <f t="shared" si="40"/>
        <v>4685.8870995454645</v>
      </c>
      <c r="X131" s="27">
        <f t="shared" si="40"/>
        <v>4493.9685316757786</v>
      </c>
      <c r="Y131" s="27">
        <f t="shared" si="40"/>
        <v>4266.1249890049849</v>
      </c>
      <c r="Z131" s="27">
        <f t="shared" si="40"/>
        <v>4042.4756887141111</v>
      </c>
      <c r="AA131" s="27">
        <f t="shared" si="40"/>
        <v>3864.8791969348626</v>
      </c>
      <c r="AB131" s="27">
        <f t="shared" si="40"/>
        <v>3683.5003874546373</v>
      </c>
      <c r="AC131" s="27">
        <f t="shared" si="40"/>
        <v>3501.3984382726871</v>
      </c>
      <c r="AD131" s="27">
        <f t="shared" si="40"/>
        <v>3249.7130157682723</v>
      </c>
      <c r="AE131" s="27">
        <f t="shared" si="40"/>
        <v>2953.3320752701197</v>
      </c>
      <c r="AF131" s="27">
        <f t="shared" si="40"/>
        <v>2649.8434393519892</v>
      </c>
    </row>
    <row r="132" spans="1:33" x14ac:dyDescent="0.25">
      <c r="B132" s="3">
        <f t="shared" ref="B132:Z133" si="41">$C18*EXP(-B$129/$A18/EXP(-$B$126))</f>
        <v>2.556815152700256E-2</v>
      </c>
      <c r="C132" s="3">
        <f t="shared" ref="C132:AF132" si="42">$C18*EXP(-C$129/$A18/EXP(-$B$126))</f>
        <v>2.5568099567697639E-2</v>
      </c>
      <c r="D132" s="3">
        <f t="shared" si="42"/>
        <v>2.55675799804559E-2</v>
      </c>
      <c r="E132" s="3">
        <f t="shared" si="42"/>
        <v>2.556238468874238E-2</v>
      </c>
      <c r="F132" s="3">
        <f t="shared" si="42"/>
        <v>2.5510489798354293E-2</v>
      </c>
      <c r="G132" s="3">
        <f t="shared" si="42"/>
        <v>2.4997300174420107E-2</v>
      </c>
      <c r="H132" s="3">
        <f t="shared" si="42"/>
        <v>2.0400282809438508E-2</v>
      </c>
      <c r="I132" s="3">
        <f t="shared" si="42"/>
        <v>2.6734189087355329E-3</v>
      </c>
      <c r="J132" s="3">
        <f t="shared" si="42"/>
        <v>3.9936986251317736E-12</v>
      </c>
      <c r="K132" s="3">
        <f t="shared" si="42"/>
        <v>2.2103346009822563E-100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4.769766660113664E-2</v>
      </c>
      <c r="C133" s="3">
        <f t="shared" si="41"/>
        <v>4.7697666601111813E-2</v>
      </c>
      <c r="D133" s="3">
        <f t="shared" si="41"/>
        <v>4.7697666600863525E-2</v>
      </c>
      <c r="E133" s="3">
        <f t="shared" si="41"/>
        <v>4.7697666598380595E-2</v>
      </c>
      <c r="F133" s="3">
        <f t="shared" si="41"/>
        <v>4.7697666573551352E-2</v>
      </c>
      <c r="G133" s="3">
        <f t="shared" si="41"/>
        <v>4.7697666325258917E-2</v>
      </c>
      <c r="H133" s="3">
        <f t="shared" si="41"/>
        <v>4.7697663842334655E-2</v>
      </c>
      <c r="I133" s="3">
        <f t="shared" si="41"/>
        <v>4.7697639013099098E-2</v>
      </c>
      <c r="J133" s="3">
        <f t="shared" si="41"/>
        <v>4.7697390721454451E-2</v>
      </c>
      <c r="K133" s="3">
        <f t="shared" si="41"/>
        <v>4.7694907876093803E-2</v>
      </c>
      <c r="L133" s="3">
        <f t="shared" si="41"/>
        <v>4.7670086529704579E-2</v>
      </c>
      <c r="M133" s="3">
        <f t="shared" si="41"/>
        <v>4.7422582420555061E-2</v>
      </c>
      <c r="N133" s="3">
        <f t="shared" si="41"/>
        <v>4.5017129364328383E-2</v>
      </c>
      <c r="O133" s="3">
        <f t="shared" si="41"/>
        <v>2.6748767365011018E-2</v>
      </c>
      <c r="P133" s="3">
        <f t="shared" si="41"/>
        <v>1.4674507494813661E-4</v>
      </c>
      <c r="Q133" s="3">
        <f t="shared" si="41"/>
        <v>3.6237743066899401E-27</v>
      </c>
      <c r="R133" s="3">
        <f t="shared" si="41"/>
        <v>3.0558864432037817E-253</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9.1434549539592454E-3</v>
      </c>
      <c r="C134" s="3">
        <f t="shared" si="44"/>
        <v>9.143454953958817E-3</v>
      </c>
      <c r="D134" s="3">
        <f t="shared" si="44"/>
        <v>9.1434549539545235E-3</v>
      </c>
      <c r="E134" s="3">
        <f t="shared" si="44"/>
        <v>9.1434549539115874E-3</v>
      </c>
      <c r="F134" s="3">
        <f t="shared" si="44"/>
        <v>9.143454953482226E-3</v>
      </c>
      <c r="G134" s="3">
        <f t="shared" si="44"/>
        <v>9.1434549491886084E-3</v>
      </c>
      <c r="H134" s="3">
        <f t="shared" si="44"/>
        <v>9.1434549062524417E-3</v>
      </c>
      <c r="I134" s="3">
        <f t="shared" si="44"/>
        <v>9.1434544768907808E-3</v>
      </c>
      <c r="J134" s="3">
        <f t="shared" si="44"/>
        <v>9.1434501832752917E-3</v>
      </c>
      <c r="K134" s="3">
        <f t="shared" si="44"/>
        <v>9.1434072472312816E-3</v>
      </c>
      <c r="L134" s="3">
        <f t="shared" si="44"/>
        <v>9.1429778978801262E-3</v>
      </c>
      <c r="M134" s="3">
        <f t="shared" si="44"/>
        <v>9.1386855130711885E-3</v>
      </c>
      <c r="N134" s="3">
        <f t="shared" si="44"/>
        <v>9.0958723428518039E-3</v>
      </c>
      <c r="O134" s="3">
        <f t="shared" si="44"/>
        <v>8.6786185208576234E-3</v>
      </c>
      <c r="P134" s="3">
        <f t="shared" si="44"/>
        <v>5.4264152143884744E-3</v>
      </c>
      <c r="Q134" s="3">
        <f t="shared" si="44"/>
        <v>4.9560679303473152E-5</v>
      </c>
      <c r="R134" s="3">
        <f t="shared" si="44"/>
        <v>2.0016103464280023E-25</v>
      </c>
      <c r="S134" s="3">
        <f t="shared" si="44"/>
        <v>2.31101309144955E-229</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2.3869497919831086E-2</v>
      </c>
      <c r="C135" s="3">
        <f t="shared" si="47"/>
        <v>2.3869497919830986E-2</v>
      </c>
      <c r="D135" s="3">
        <f t="shared" si="47"/>
        <v>2.3869497919829973E-2</v>
      </c>
      <c r="E135" s="3">
        <f t="shared" si="47"/>
        <v>2.3869497919819863E-2</v>
      </c>
      <c r="F135" s="3">
        <f t="shared" si="47"/>
        <v>2.3869497919718749E-2</v>
      </c>
      <c r="G135" s="3">
        <f t="shared" si="47"/>
        <v>2.3869497918707631E-2</v>
      </c>
      <c r="H135" s="3">
        <f t="shared" si="47"/>
        <v>2.3869497908596427E-2</v>
      </c>
      <c r="I135" s="3">
        <f t="shared" si="47"/>
        <v>2.3869497807484399E-2</v>
      </c>
      <c r="J135" s="3">
        <f t="shared" si="47"/>
        <v>2.3869496796364152E-2</v>
      </c>
      <c r="K135" s="3">
        <f t="shared" si="47"/>
        <v>2.3869486685164018E-2</v>
      </c>
      <c r="L135" s="3">
        <f t="shared" si="47"/>
        <v>2.3869385573398256E-2</v>
      </c>
      <c r="M135" s="3">
        <f t="shared" si="47"/>
        <v>2.3868374479297485E-2</v>
      </c>
      <c r="N135" s="3">
        <f t="shared" si="47"/>
        <v>2.3858265893607043E-2</v>
      </c>
      <c r="O135" s="3">
        <f t="shared" si="47"/>
        <v>2.3757415199689755E-2</v>
      </c>
      <c r="P135" s="3">
        <f t="shared" si="47"/>
        <v>2.2772060119550495E-2</v>
      </c>
      <c r="Q135" s="3">
        <f t="shared" si="47"/>
        <v>1.4908490096398171E-2</v>
      </c>
      <c r="R135" s="3">
        <f t="shared" si="47"/>
        <v>2.1564880491535182E-4</v>
      </c>
      <c r="S135" s="3">
        <f t="shared" si="47"/>
        <v>8.647309458996267E-23</v>
      </c>
      <c r="T135" s="3">
        <f t="shared" si="47"/>
        <v>9.2943806824165328E-207</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2.1807397888222967E-2</v>
      </c>
      <c r="C136" s="3">
        <f t="shared" si="49"/>
        <v>2.1807397888222956E-2</v>
      </c>
      <c r="D136" s="3">
        <f t="shared" si="49"/>
        <v>2.1807397888222873E-2</v>
      </c>
      <c r="E136" s="3">
        <f t="shared" si="49"/>
        <v>2.180739788822204E-2</v>
      </c>
      <c r="F136" s="3">
        <f t="shared" si="49"/>
        <v>2.1807397888213707E-2</v>
      </c>
      <c r="G136" s="3">
        <f t="shared" si="49"/>
        <v>2.1807397888130377E-2</v>
      </c>
      <c r="H136" s="3">
        <f t="shared" si="49"/>
        <v>2.1807397887297061E-2</v>
      </c>
      <c r="I136" s="3">
        <f t="shared" si="49"/>
        <v>2.1807397878963894E-2</v>
      </c>
      <c r="J136" s="3">
        <f t="shared" si="49"/>
        <v>2.1807397795632247E-2</v>
      </c>
      <c r="K136" s="3">
        <f t="shared" si="49"/>
        <v>2.1807396962315779E-2</v>
      </c>
      <c r="L136" s="3">
        <f t="shared" si="49"/>
        <v>2.1807388629152869E-2</v>
      </c>
      <c r="M136" s="3">
        <f t="shared" si="49"/>
        <v>2.1807305297698924E-2</v>
      </c>
      <c r="N136" s="3">
        <f t="shared" si="49"/>
        <v>2.1806472000672886E-2</v>
      </c>
      <c r="O136" s="3">
        <f t="shared" si="49"/>
        <v>2.1798140781510995E-2</v>
      </c>
      <c r="P136" s="3">
        <f t="shared" si="49"/>
        <v>2.1715003452408874E-2</v>
      </c>
      <c r="Q136" s="3">
        <f t="shared" si="49"/>
        <v>2.0900871687815719E-2</v>
      </c>
      <c r="R136" s="3">
        <f t="shared" si="49"/>
        <v>1.4262950092286781E-2</v>
      </c>
      <c r="S136" s="3">
        <f t="shared" si="49"/>
        <v>3.1236257711049514E-4</v>
      </c>
      <c r="T136" s="3">
        <f t="shared" si="49"/>
        <v>7.927848537462529E-21</v>
      </c>
      <c r="U136" s="3">
        <f t="shared" si="49"/>
        <v>8.7926303354754588E-187</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2.6177921314185938E-2</v>
      </c>
      <c r="C137" s="3">
        <f t="shared" si="51"/>
        <v>2.6177921314185938E-2</v>
      </c>
      <c r="D137" s="3">
        <f t="shared" si="51"/>
        <v>2.6177921314185927E-2</v>
      </c>
      <c r="E137" s="3">
        <f t="shared" si="51"/>
        <v>2.617792131418584E-2</v>
      </c>
      <c r="F137" s="3">
        <f t="shared" si="51"/>
        <v>2.6177921314184935E-2</v>
      </c>
      <c r="G137" s="3">
        <f t="shared" si="51"/>
        <v>2.6177921314175911E-2</v>
      </c>
      <c r="H137" s="3">
        <f t="shared" si="51"/>
        <v>2.6177921314085674E-2</v>
      </c>
      <c r="I137" s="3">
        <f t="shared" si="51"/>
        <v>2.6177921313183295E-2</v>
      </c>
      <c r="J137" s="3">
        <f t="shared" si="51"/>
        <v>2.6177921304159531E-2</v>
      </c>
      <c r="K137" s="3">
        <f t="shared" si="51"/>
        <v>2.6177921213921859E-2</v>
      </c>
      <c r="L137" s="3">
        <f t="shared" si="51"/>
        <v>2.6177920311545175E-2</v>
      </c>
      <c r="M137" s="3">
        <f t="shared" si="51"/>
        <v>2.6177911287780038E-2</v>
      </c>
      <c r="N137" s="3">
        <f t="shared" si="51"/>
        <v>2.6177821050299744E-2</v>
      </c>
      <c r="O137" s="3">
        <f t="shared" si="51"/>
        <v>2.6176918692604738E-2</v>
      </c>
      <c r="P137" s="3">
        <f t="shared" si="51"/>
        <v>2.6167896826228158E-2</v>
      </c>
      <c r="Q137" s="3">
        <f t="shared" si="51"/>
        <v>2.607784900184185E-2</v>
      </c>
      <c r="R137" s="3">
        <f t="shared" si="51"/>
        <v>2.519423879783789E-2</v>
      </c>
      <c r="S137" s="3">
        <f t="shared" si="51"/>
        <v>1.7848264460140914E-2</v>
      </c>
      <c r="T137" s="3">
        <f t="shared" si="51"/>
        <v>5.6825530856311293E-4</v>
      </c>
      <c r="U137" s="3">
        <f t="shared" si="51"/>
        <v>6.0816103820890352E-19</v>
      </c>
      <c r="V137" s="3">
        <f t="shared" si="51"/>
        <v>1.1988628837972651E-168</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2.8069625647987036E-2</v>
      </c>
      <c r="C138" s="3">
        <f t="shared" si="53"/>
        <v>2.8069625647987036E-2</v>
      </c>
      <c r="D138" s="3">
        <f t="shared" si="53"/>
        <v>2.8069625647987036E-2</v>
      </c>
      <c r="E138" s="3">
        <f t="shared" si="53"/>
        <v>2.8069625647987026E-2</v>
      </c>
      <c r="F138" s="3">
        <f t="shared" si="53"/>
        <v>2.8069625647986939E-2</v>
      </c>
      <c r="G138" s="3">
        <f t="shared" si="53"/>
        <v>2.8069625647986068E-2</v>
      </c>
      <c r="H138" s="3">
        <f t="shared" si="53"/>
        <v>2.8069625647977339E-2</v>
      </c>
      <c r="I138" s="3">
        <f t="shared" si="53"/>
        <v>2.8069625647890055E-2</v>
      </c>
      <c r="J138" s="3">
        <f t="shared" si="53"/>
        <v>2.8069625647017211E-2</v>
      </c>
      <c r="K138" s="3">
        <f t="shared" si="53"/>
        <v>2.8069625638288784E-2</v>
      </c>
      <c r="L138" s="3">
        <f t="shared" si="53"/>
        <v>2.8069625551004528E-2</v>
      </c>
      <c r="M138" s="3">
        <f t="shared" si="53"/>
        <v>2.8069624678161955E-2</v>
      </c>
      <c r="N138" s="3">
        <f t="shared" si="53"/>
        <v>2.8069615949737729E-2</v>
      </c>
      <c r="O138" s="3">
        <f t="shared" si="53"/>
        <v>2.8069528665644765E-2</v>
      </c>
      <c r="P138" s="3">
        <f t="shared" si="53"/>
        <v>2.806865583964278E-2</v>
      </c>
      <c r="Q138" s="3">
        <f t="shared" si="53"/>
        <v>2.8059929072219419E-2</v>
      </c>
      <c r="R138" s="3">
        <f t="shared" si="53"/>
        <v>2.797281048604585E-2</v>
      </c>
      <c r="S138" s="3">
        <f t="shared" si="53"/>
        <v>2.7116363316202229E-2</v>
      </c>
      <c r="T138" s="3">
        <f t="shared" si="53"/>
        <v>1.9869404682648893E-2</v>
      </c>
      <c r="U138" s="3">
        <f t="shared" si="53"/>
        <v>8.865821143601262E-4</v>
      </c>
      <c r="V138" s="3">
        <f t="shared" si="53"/>
        <v>2.7737037336674006E-17</v>
      </c>
      <c r="W138" s="3">
        <f t="shared" si="53"/>
        <v>2.4915587094133043E-152</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2.86040710676531E-2</v>
      </c>
      <c r="C139" s="3">
        <f t="shared" si="55"/>
        <v>2.86040710676531E-2</v>
      </c>
      <c r="D139" s="3">
        <f t="shared" si="55"/>
        <v>2.86040710676531E-2</v>
      </c>
      <c r="E139" s="3">
        <f t="shared" si="55"/>
        <v>2.86040710676531E-2</v>
      </c>
      <c r="F139" s="3">
        <f t="shared" si="55"/>
        <v>2.860407106765309E-2</v>
      </c>
      <c r="G139" s="3">
        <f t="shared" si="55"/>
        <v>2.860407106765301E-2</v>
      </c>
      <c r="H139" s="3">
        <f t="shared" si="55"/>
        <v>2.8604071067652208E-2</v>
      </c>
      <c r="I139" s="3">
        <f t="shared" si="55"/>
        <v>2.8604071067644187E-2</v>
      </c>
      <c r="J139" s="3">
        <f t="shared" si="55"/>
        <v>2.8604071067563949E-2</v>
      </c>
      <c r="K139" s="3">
        <f t="shared" si="55"/>
        <v>2.8604071066761581E-2</v>
      </c>
      <c r="L139" s="3">
        <f t="shared" si="55"/>
        <v>2.8604071058737898E-2</v>
      </c>
      <c r="M139" s="3">
        <f t="shared" si="55"/>
        <v>2.8604070978501071E-2</v>
      </c>
      <c r="N139" s="3">
        <f t="shared" si="55"/>
        <v>2.8604070176132812E-2</v>
      </c>
      <c r="O139" s="3">
        <f t="shared" si="55"/>
        <v>2.8604062152451464E-2</v>
      </c>
      <c r="P139" s="3">
        <f t="shared" si="55"/>
        <v>2.8603981915761804E-2</v>
      </c>
      <c r="Q139" s="3">
        <f t="shared" si="55"/>
        <v>2.8603179561243919E-2</v>
      </c>
      <c r="R139" s="3">
        <f t="shared" si="55"/>
        <v>2.8595157253813144E-2</v>
      </c>
      <c r="S139" s="3">
        <f t="shared" si="55"/>
        <v>2.8515057825943959E-2</v>
      </c>
      <c r="T139" s="3">
        <f t="shared" si="55"/>
        <v>2.7726300818001554E-2</v>
      </c>
      <c r="U139" s="3">
        <f t="shared" si="55"/>
        <v>2.0944436135217522E-2</v>
      </c>
      <c r="V139" s="3">
        <f t="shared" si="55"/>
        <v>1.2671735306259097E-3</v>
      </c>
      <c r="W139" s="3">
        <f t="shared" si="55"/>
        <v>8.327416568657578E-16</v>
      </c>
      <c r="X139" s="3">
        <f t="shared" si="55"/>
        <v>1.2509854742694731E-137</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2.5824539759352179E-2</v>
      </c>
      <c r="C140" s="3">
        <f t="shared" si="57"/>
        <v>2.5824539759352179E-2</v>
      </c>
      <c r="D140" s="3">
        <f t="shared" si="57"/>
        <v>2.5824539759352179E-2</v>
      </c>
      <c r="E140" s="3">
        <f t="shared" si="57"/>
        <v>2.5824539759352179E-2</v>
      </c>
      <c r="F140" s="3">
        <f t="shared" si="57"/>
        <v>2.5824539759352179E-2</v>
      </c>
      <c r="G140" s="3">
        <f t="shared" si="57"/>
        <v>2.5824539759352172E-2</v>
      </c>
      <c r="H140" s="3">
        <f t="shared" si="57"/>
        <v>2.5824539759352106E-2</v>
      </c>
      <c r="I140" s="3">
        <f t="shared" si="57"/>
        <v>2.5824539759351454E-2</v>
      </c>
      <c r="J140" s="3">
        <f t="shared" si="57"/>
        <v>2.5824539759344921E-2</v>
      </c>
      <c r="K140" s="3">
        <f t="shared" si="57"/>
        <v>2.5824539759279574E-2</v>
      </c>
      <c r="L140" s="3">
        <f t="shared" si="57"/>
        <v>2.5824539758626103E-2</v>
      </c>
      <c r="M140" s="3">
        <f t="shared" si="57"/>
        <v>2.5824539752091411E-2</v>
      </c>
      <c r="N140" s="3">
        <f t="shared" si="57"/>
        <v>2.5824539686744499E-2</v>
      </c>
      <c r="O140" s="3">
        <f t="shared" si="57"/>
        <v>2.5824539033275373E-2</v>
      </c>
      <c r="P140" s="3">
        <f t="shared" si="57"/>
        <v>2.5824532498585025E-2</v>
      </c>
      <c r="Q140" s="3">
        <f t="shared" si="57"/>
        <v>2.5824467151772515E-2</v>
      </c>
      <c r="R140" s="3">
        <f t="shared" si="57"/>
        <v>2.5823813692741823E-2</v>
      </c>
      <c r="S140" s="3">
        <f t="shared" si="57"/>
        <v>2.5817280011793297E-2</v>
      </c>
      <c r="T140" s="3">
        <f t="shared" si="57"/>
        <v>2.5752034053066107E-2</v>
      </c>
      <c r="U140" s="3">
        <f t="shared" si="57"/>
        <v>2.5108575054772563E-2</v>
      </c>
      <c r="V140" s="3">
        <f t="shared" si="57"/>
        <v>1.9495184657614639E-2</v>
      </c>
      <c r="W140" s="3">
        <f t="shared" si="57"/>
        <v>1.5523163029108594E-3</v>
      </c>
      <c r="X140" s="3">
        <f t="shared" si="57"/>
        <v>1.5904091769748376E-14</v>
      </c>
      <c r="Y140" s="3">
        <f t="shared" si="57"/>
        <v>2.0267277654819181E-124</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3.0898133946774098E-2</v>
      </c>
      <c r="C141" s="3">
        <f t="shared" si="59"/>
        <v>3.0898133946774098E-2</v>
      </c>
      <c r="D141" s="3">
        <f t="shared" si="59"/>
        <v>3.0898133946774098E-2</v>
      </c>
      <c r="E141" s="3">
        <f t="shared" si="59"/>
        <v>3.0898133946774098E-2</v>
      </c>
      <c r="F141" s="3">
        <f t="shared" si="59"/>
        <v>3.0898133946774098E-2</v>
      </c>
      <c r="G141" s="3">
        <f t="shared" si="59"/>
        <v>3.0898133946774098E-2</v>
      </c>
      <c r="H141" s="3">
        <f t="shared" si="59"/>
        <v>3.0898133946774091E-2</v>
      </c>
      <c r="I141" s="3">
        <f t="shared" si="59"/>
        <v>3.0898133946774018E-2</v>
      </c>
      <c r="J141" s="3">
        <f t="shared" si="59"/>
        <v>3.0898133946773317E-2</v>
      </c>
      <c r="K141" s="3">
        <f t="shared" si="59"/>
        <v>3.0898133946766264E-2</v>
      </c>
      <c r="L141" s="3">
        <f t="shared" si="59"/>
        <v>3.089813394669573E-2</v>
      </c>
      <c r="M141" s="3">
        <f t="shared" si="59"/>
        <v>3.0898133945990437E-2</v>
      </c>
      <c r="N141" s="3">
        <f t="shared" si="59"/>
        <v>3.0898133938937478E-2</v>
      </c>
      <c r="O141" s="3">
        <f t="shared" si="59"/>
        <v>3.0898133868407892E-2</v>
      </c>
      <c r="P141" s="3">
        <f t="shared" si="59"/>
        <v>3.0898133163112046E-2</v>
      </c>
      <c r="Q141" s="3">
        <f t="shared" si="59"/>
        <v>3.089812611015447E-2</v>
      </c>
      <c r="R141" s="3">
        <f t="shared" si="59"/>
        <v>3.0898055580667255E-2</v>
      </c>
      <c r="S141" s="3">
        <f t="shared" si="59"/>
        <v>3.0897350294649694E-2</v>
      </c>
      <c r="T141" s="3">
        <f t="shared" si="59"/>
        <v>3.0890298319859486E-2</v>
      </c>
      <c r="U141" s="3">
        <f t="shared" si="59"/>
        <v>3.0819867035763442E-2</v>
      </c>
      <c r="V141" s="3">
        <f t="shared" si="59"/>
        <v>3.0124326314643481E-2</v>
      </c>
      <c r="W141" s="3">
        <f t="shared" si="59"/>
        <v>2.3976355507408956E-2</v>
      </c>
      <c r="X141" s="3">
        <f t="shared" si="59"/>
        <v>2.4459153944939738E-3</v>
      </c>
      <c r="Y141" s="3">
        <f t="shared" si="59"/>
        <v>2.9855478824608239E-13</v>
      </c>
      <c r="Z141" s="3">
        <f t="shared" si="59"/>
        <v>2.1920484260667948E-112</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3.9211561859274865E-2</v>
      </c>
      <c r="C142" s="3">
        <f t="shared" si="61"/>
        <v>3.9211561859274865E-2</v>
      </c>
      <c r="D142" s="3">
        <f t="shared" si="61"/>
        <v>3.9211561859274865E-2</v>
      </c>
      <c r="E142" s="3">
        <f t="shared" si="61"/>
        <v>3.9211561859274865E-2</v>
      </c>
      <c r="F142" s="3">
        <f t="shared" si="61"/>
        <v>3.9211561859274865E-2</v>
      </c>
      <c r="G142" s="3">
        <f t="shared" si="61"/>
        <v>3.9211561859274865E-2</v>
      </c>
      <c r="H142" s="3">
        <f t="shared" si="61"/>
        <v>3.9211561859274865E-2</v>
      </c>
      <c r="I142" s="3">
        <f t="shared" si="61"/>
        <v>3.9211561859274859E-2</v>
      </c>
      <c r="J142" s="3">
        <f t="shared" si="61"/>
        <v>3.9211561859274775E-2</v>
      </c>
      <c r="K142" s="3">
        <f t="shared" si="61"/>
        <v>3.921156185927397E-2</v>
      </c>
      <c r="L142" s="3">
        <f t="shared" si="61"/>
        <v>3.9211561859265893E-2</v>
      </c>
      <c r="M142" s="3">
        <f t="shared" si="61"/>
        <v>3.9211561859185153E-2</v>
      </c>
      <c r="N142" s="3">
        <f t="shared" si="61"/>
        <v>3.9211561858377729E-2</v>
      </c>
      <c r="O142" s="3">
        <f t="shared" si="61"/>
        <v>3.9211561850303528E-2</v>
      </c>
      <c r="P142" s="3">
        <f t="shared" si="61"/>
        <v>3.9211561769561469E-2</v>
      </c>
      <c r="Q142" s="3">
        <f t="shared" si="61"/>
        <v>3.9211560962140901E-2</v>
      </c>
      <c r="R142" s="3">
        <f t="shared" si="61"/>
        <v>3.9211552887936152E-2</v>
      </c>
      <c r="S142" s="3">
        <f t="shared" si="61"/>
        <v>3.9211472145980121E-2</v>
      </c>
      <c r="T142" s="3">
        <f t="shared" si="61"/>
        <v>3.921066473556397E-2</v>
      </c>
      <c r="U142" s="3">
        <f t="shared" si="61"/>
        <v>3.9202591545750211E-2</v>
      </c>
      <c r="V142" s="3">
        <f t="shared" si="61"/>
        <v>3.9121951012765492E-2</v>
      </c>
      <c r="W142" s="3">
        <f t="shared" si="61"/>
        <v>3.8324612970531753E-2</v>
      </c>
      <c r="X142" s="3">
        <f t="shared" si="61"/>
        <v>3.1192523123602513E-2</v>
      </c>
      <c r="Y142" s="3">
        <f t="shared" si="61"/>
        <v>3.9790352401367765E-3</v>
      </c>
      <c r="Z142" s="3">
        <f t="shared" si="61"/>
        <v>4.5399449118585801E-12</v>
      </c>
      <c r="AA142" s="3">
        <f t="shared" ref="AA142" si="62">$C28*EXP(-AA$129/$A28/EXP(-$B$126))</f>
        <v>1.697377963465245E-101</v>
      </c>
      <c r="AB142" s="3">
        <f t="shared" si="46"/>
        <v>0</v>
      </c>
      <c r="AC142" s="3">
        <f t="shared" si="46"/>
        <v>0</v>
      </c>
      <c r="AD142" s="3">
        <f t="shared" si="46"/>
        <v>0</v>
      </c>
      <c r="AE142" s="3">
        <f t="shared" si="46"/>
        <v>0</v>
      </c>
      <c r="AF142" s="3">
        <f t="shared" si="46"/>
        <v>0</v>
      </c>
    </row>
    <row r="143" spans="1:33" x14ac:dyDescent="0.25">
      <c r="B143" s="3">
        <f t="shared" ref="B143:Z143" si="63">$C29*EXP(-B$129/$A29/EXP(-$B$126))</f>
        <v>3.991776240613705E-2</v>
      </c>
      <c r="C143" s="3">
        <f t="shared" si="63"/>
        <v>3.991776240613705E-2</v>
      </c>
      <c r="D143" s="3">
        <f t="shared" si="63"/>
        <v>3.991776240613705E-2</v>
      </c>
      <c r="E143" s="3">
        <f t="shared" si="63"/>
        <v>3.991776240613705E-2</v>
      </c>
      <c r="F143" s="3">
        <f t="shared" si="63"/>
        <v>3.991776240613705E-2</v>
      </c>
      <c r="G143" s="3">
        <f t="shared" si="63"/>
        <v>3.991776240613705E-2</v>
      </c>
      <c r="H143" s="3">
        <f t="shared" si="63"/>
        <v>3.991776240613705E-2</v>
      </c>
      <c r="I143" s="3">
        <f t="shared" si="63"/>
        <v>3.991776240613705E-2</v>
      </c>
      <c r="J143" s="3">
        <f t="shared" si="63"/>
        <v>3.9917762406137043E-2</v>
      </c>
      <c r="K143" s="3">
        <f t="shared" si="63"/>
        <v>3.9917762406136967E-2</v>
      </c>
      <c r="L143" s="3">
        <f t="shared" si="63"/>
        <v>3.9917762406136224E-2</v>
      </c>
      <c r="M143" s="3">
        <f t="shared" si="63"/>
        <v>3.9917762406128814E-2</v>
      </c>
      <c r="N143" s="3">
        <f t="shared" si="63"/>
        <v>3.9917762406054665E-2</v>
      </c>
      <c r="O143" s="3">
        <f t="shared" si="63"/>
        <v>3.9917762405313188E-2</v>
      </c>
      <c r="P143" s="3">
        <f t="shared" si="63"/>
        <v>3.9917762397898397E-2</v>
      </c>
      <c r="Q143" s="3">
        <f t="shared" si="63"/>
        <v>3.991776232375057E-2</v>
      </c>
      <c r="R143" s="3">
        <f t="shared" si="63"/>
        <v>3.9917761582272268E-2</v>
      </c>
      <c r="S143" s="3">
        <f t="shared" si="63"/>
        <v>3.9917754167490015E-2</v>
      </c>
      <c r="T143" s="3">
        <f t="shared" si="63"/>
        <v>3.9917680019743197E-2</v>
      </c>
      <c r="U143" s="3">
        <f t="shared" si="63"/>
        <v>3.9916938549850157E-2</v>
      </c>
      <c r="V143" s="3">
        <f t="shared" si="63"/>
        <v>3.9909524608380709E-2</v>
      </c>
      <c r="W143" s="3">
        <f t="shared" si="63"/>
        <v>3.9835460887746671E-2</v>
      </c>
      <c r="X143" s="3">
        <f t="shared" si="63"/>
        <v>3.9102341321876503E-2</v>
      </c>
      <c r="Y143" s="3">
        <f t="shared" si="63"/>
        <v>3.2473711147435448E-2</v>
      </c>
      <c r="Z143" s="3">
        <f t="shared" si="63"/>
        <v>5.0678474485381445E-3</v>
      </c>
      <c r="AA143" s="3">
        <f t="shared" ref="AA143" si="64">$C29*EXP(-AA$129/$A29/EXP(-$B$126))</f>
        <v>4.3424980649076054E-11</v>
      </c>
      <c r="AB143" s="3">
        <f t="shared" si="46"/>
        <v>9.2661779442537684E-92</v>
      </c>
      <c r="AC143" s="3">
        <f t="shared" si="46"/>
        <v>0</v>
      </c>
      <c r="AD143" s="3">
        <f t="shared" si="46"/>
        <v>0</v>
      </c>
      <c r="AE143" s="3">
        <f t="shared" si="46"/>
        <v>0</v>
      </c>
      <c r="AF143" s="3">
        <f t="shared" si="46"/>
        <v>0</v>
      </c>
    </row>
    <row r="144" spans="1:33" x14ac:dyDescent="0.25">
      <c r="B144" s="3">
        <f t="shared" ref="B144:Z144" si="65">$C30*EXP(-B$129/$A30/EXP(-$B$126))</f>
        <v>2.7879487424106172E-2</v>
      </c>
      <c r="C144" s="3">
        <f t="shared" si="65"/>
        <v>2.7879487424106172E-2</v>
      </c>
      <c r="D144" s="3">
        <f t="shared" si="65"/>
        <v>2.7879487424106172E-2</v>
      </c>
      <c r="E144" s="3">
        <f t="shared" si="65"/>
        <v>2.7879487424106172E-2</v>
      </c>
      <c r="F144" s="3">
        <f t="shared" si="65"/>
        <v>2.7879487424106172E-2</v>
      </c>
      <c r="G144" s="3">
        <f t="shared" si="65"/>
        <v>2.7879487424106172E-2</v>
      </c>
      <c r="H144" s="3">
        <f t="shared" si="65"/>
        <v>2.7879487424106172E-2</v>
      </c>
      <c r="I144" s="3">
        <f t="shared" si="65"/>
        <v>2.7879487424106172E-2</v>
      </c>
      <c r="J144" s="3">
        <f t="shared" si="65"/>
        <v>2.7879487424106172E-2</v>
      </c>
      <c r="K144" s="3">
        <f t="shared" si="65"/>
        <v>2.7879487424106165E-2</v>
      </c>
      <c r="L144" s="3">
        <f t="shared" si="65"/>
        <v>2.787948742410612E-2</v>
      </c>
      <c r="M144" s="3">
        <f t="shared" si="65"/>
        <v>2.7879487424105651E-2</v>
      </c>
      <c r="N144" s="3">
        <f t="shared" si="65"/>
        <v>2.7879487424100981E-2</v>
      </c>
      <c r="O144" s="3">
        <f t="shared" si="65"/>
        <v>2.7879487424054265E-2</v>
      </c>
      <c r="P144" s="3">
        <f t="shared" si="65"/>
        <v>2.7879487423587108E-2</v>
      </c>
      <c r="Q144" s="3">
        <f t="shared" si="65"/>
        <v>2.7879487418915529E-2</v>
      </c>
      <c r="R144" s="3">
        <f t="shared" si="65"/>
        <v>2.7879487372199745E-2</v>
      </c>
      <c r="S144" s="3">
        <f t="shared" si="65"/>
        <v>2.7879486905041915E-2</v>
      </c>
      <c r="T144" s="3">
        <f t="shared" si="65"/>
        <v>2.787948223346403E-2</v>
      </c>
      <c r="U144" s="3">
        <f t="shared" si="65"/>
        <v>2.7879435517728247E-2</v>
      </c>
      <c r="V144" s="3">
        <f t="shared" si="65"/>
        <v>2.7878968364675707E-2</v>
      </c>
      <c r="W144" s="3">
        <f t="shared" si="65"/>
        <v>2.7874297264652393E-2</v>
      </c>
      <c r="X144" s="3">
        <f t="shared" si="65"/>
        <v>2.782762928794974E-2</v>
      </c>
      <c r="Y144" s="3">
        <f t="shared" si="65"/>
        <v>2.7365225319201651E-2</v>
      </c>
      <c r="Z144" s="3">
        <f t="shared" si="65"/>
        <v>2.3143403137226074E-2</v>
      </c>
      <c r="AA144" s="3">
        <f t="shared" ref="AA144" si="66">$C30*EXP(-AA$129/$A30/EXP(-$B$126))</f>
        <v>4.3322064139214508E-3</v>
      </c>
      <c r="AB144" s="3">
        <f t="shared" ref="AB144:AF153" si="67">$C30*EXP(-AB$129/$A30/EXP(-$B$126))</f>
        <v>2.2883810708406785E-10</v>
      </c>
      <c r="AC144" s="3">
        <f t="shared" si="67"/>
        <v>3.8700841074946166E-83</v>
      </c>
      <c r="AD144" s="3">
        <f t="shared" si="67"/>
        <v>0</v>
      </c>
      <c r="AE144" s="3">
        <f t="shared" si="67"/>
        <v>0</v>
      </c>
      <c r="AF144" s="3">
        <f t="shared" si="67"/>
        <v>0</v>
      </c>
    </row>
    <row r="145" spans="1:32" x14ac:dyDescent="0.25">
      <c r="B145" s="3">
        <f t="shared" ref="B145:Z145" si="68">$C31*EXP(-B$129/$A31/EXP(-$B$126))</f>
        <v>3.1696336900802431E-2</v>
      </c>
      <c r="C145" s="3">
        <f t="shared" si="68"/>
        <v>3.1696336900802431E-2</v>
      </c>
      <c r="D145" s="3">
        <f t="shared" si="68"/>
        <v>3.1696336900802431E-2</v>
      </c>
      <c r="E145" s="3">
        <f t="shared" si="68"/>
        <v>3.1696336900802431E-2</v>
      </c>
      <c r="F145" s="3">
        <f t="shared" si="68"/>
        <v>3.1696336900802431E-2</v>
      </c>
      <c r="G145" s="3">
        <f t="shared" si="68"/>
        <v>3.1696336900802431E-2</v>
      </c>
      <c r="H145" s="3">
        <f t="shared" si="68"/>
        <v>3.1696336900802431E-2</v>
      </c>
      <c r="I145" s="3">
        <f t="shared" si="68"/>
        <v>3.1696336900802431E-2</v>
      </c>
      <c r="J145" s="3">
        <f t="shared" si="68"/>
        <v>3.1696336900802431E-2</v>
      </c>
      <c r="K145" s="3">
        <f t="shared" si="68"/>
        <v>3.1696336900802431E-2</v>
      </c>
      <c r="L145" s="3">
        <f t="shared" si="68"/>
        <v>3.1696336900802424E-2</v>
      </c>
      <c r="M145" s="3">
        <f t="shared" si="68"/>
        <v>3.1696336900802376E-2</v>
      </c>
      <c r="N145" s="3">
        <f t="shared" si="68"/>
        <v>3.1696336900801897E-2</v>
      </c>
      <c r="O145" s="3">
        <f t="shared" si="68"/>
        <v>3.1696336900797109E-2</v>
      </c>
      <c r="P145" s="3">
        <f t="shared" si="68"/>
        <v>3.1696336900749196E-2</v>
      </c>
      <c r="Q145" s="3">
        <f t="shared" si="68"/>
        <v>3.1696336900270086E-2</v>
      </c>
      <c r="R145" s="3">
        <f t="shared" si="68"/>
        <v>3.1696336895478995E-2</v>
      </c>
      <c r="S145" s="3">
        <f t="shared" si="68"/>
        <v>3.1696336847568077E-2</v>
      </c>
      <c r="T145" s="3">
        <f t="shared" si="68"/>
        <v>3.1696336368458866E-2</v>
      </c>
      <c r="U145" s="3">
        <f t="shared" si="68"/>
        <v>3.1696331577367225E-2</v>
      </c>
      <c r="V145" s="3">
        <f t="shared" si="68"/>
        <v>3.169628366649057E-2</v>
      </c>
      <c r="W145" s="3">
        <f t="shared" si="68"/>
        <v>3.1695804561707126E-2</v>
      </c>
      <c r="X145" s="3">
        <f t="shared" si="68"/>
        <v>3.1691013912159297E-2</v>
      </c>
      <c r="Y145" s="3">
        <f t="shared" si="68"/>
        <v>3.1643147223071905E-2</v>
      </c>
      <c r="Z145" s="3">
        <f t="shared" si="68"/>
        <v>3.1168438798212326E-2</v>
      </c>
      <c r="AA145" s="3">
        <f t="shared" ref="AA145" si="69">$C31*EXP(-AA$129/$A31/EXP(-$B$126))</f>
        <v>2.6795929381197032E-2</v>
      </c>
      <c r="AB145" s="3">
        <f t="shared" si="67"/>
        <v>5.9102598656708884E-3</v>
      </c>
      <c r="AC145" s="3">
        <f t="shared" si="67"/>
        <v>1.6105866576625416E-9</v>
      </c>
      <c r="AD145" s="3">
        <f t="shared" si="67"/>
        <v>3.6371339944448965E-75</v>
      </c>
      <c r="AE145" s="3">
        <f t="shared" si="67"/>
        <v>0</v>
      </c>
      <c r="AF145" s="3">
        <f t="shared" si="67"/>
        <v>0</v>
      </c>
    </row>
    <row r="146" spans="1:32" x14ac:dyDescent="0.25">
      <c r="B146" s="3">
        <f t="shared" ref="B146:Z146" si="70">$C32*EXP(-B$129/$A32/EXP(-$B$126))</f>
        <v>2.7472650949533099E-2</v>
      </c>
      <c r="C146" s="3">
        <f t="shared" si="70"/>
        <v>2.7472650949533099E-2</v>
      </c>
      <c r="D146" s="3">
        <f t="shared" si="70"/>
        <v>2.7472650949533099E-2</v>
      </c>
      <c r="E146" s="3">
        <f t="shared" si="70"/>
        <v>2.7472650949533099E-2</v>
      </c>
      <c r="F146" s="3">
        <f t="shared" si="70"/>
        <v>2.7472650949533099E-2</v>
      </c>
      <c r="G146" s="3">
        <f t="shared" si="70"/>
        <v>2.7472650949533099E-2</v>
      </c>
      <c r="H146" s="3">
        <f t="shared" si="70"/>
        <v>2.7472650949533099E-2</v>
      </c>
      <c r="I146" s="3">
        <f t="shared" si="70"/>
        <v>2.7472650949533099E-2</v>
      </c>
      <c r="J146" s="3">
        <f t="shared" si="70"/>
        <v>2.7472650949533099E-2</v>
      </c>
      <c r="K146" s="3">
        <f t="shared" si="70"/>
        <v>2.7472650949533099E-2</v>
      </c>
      <c r="L146" s="3">
        <f t="shared" si="70"/>
        <v>2.7472650949533099E-2</v>
      </c>
      <c r="M146" s="3">
        <f t="shared" si="70"/>
        <v>2.7472650949533096E-2</v>
      </c>
      <c r="N146" s="3">
        <f t="shared" si="70"/>
        <v>2.7472650949533058E-2</v>
      </c>
      <c r="O146" s="3">
        <f t="shared" si="70"/>
        <v>2.7472650949532683E-2</v>
      </c>
      <c r="P146" s="3">
        <f t="shared" si="70"/>
        <v>2.7472650949528936E-2</v>
      </c>
      <c r="Q146" s="3">
        <f t="shared" si="70"/>
        <v>2.7472650949491476E-2</v>
      </c>
      <c r="R146" s="3">
        <f t="shared" si="70"/>
        <v>2.7472650949116873E-2</v>
      </c>
      <c r="S146" s="3">
        <f t="shared" si="70"/>
        <v>2.7472650945370831E-2</v>
      </c>
      <c r="T146" s="3">
        <f t="shared" si="70"/>
        <v>2.7472650907910415E-2</v>
      </c>
      <c r="U146" s="3">
        <f t="shared" si="70"/>
        <v>2.7472650533306251E-2</v>
      </c>
      <c r="V146" s="3">
        <f t="shared" si="70"/>
        <v>2.7472646787264896E-2</v>
      </c>
      <c r="W146" s="3">
        <f t="shared" si="70"/>
        <v>2.7472609326879456E-2</v>
      </c>
      <c r="X146" s="3">
        <f t="shared" si="70"/>
        <v>2.7472234725834391E-2</v>
      </c>
      <c r="Y146" s="3">
        <f t="shared" si="70"/>
        <v>2.7468488996303941E-2</v>
      </c>
      <c r="Z146" s="3">
        <f t="shared" si="70"/>
        <v>2.7431059778852712E-2</v>
      </c>
      <c r="AA146" s="3">
        <f t="shared" ref="AA146" si="71">$C32*EXP(-AA$129/$A32/EXP(-$B$126))</f>
        <v>2.7059561275497541E-2</v>
      </c>
      <c r="AB146" s="3">
        <f t="shared" si="67"/>
        <v>2.3610348361428217E-2</v>
      </c>
      <c r="AC146" s="3">
        <f t="shared" si="67"/>
        <v>6.0383576825381565E-3</v>
      </c>
      <c r="AD146" s="3">
        <f t="shared" si="67"/>
        <v>7.2290833870180329E-9</v>
      </c>
      <c r="AE146" s="3">
        <f t="shared" si="67"/>
        <v>4.3724739279123965E-68</v>
      </c>
      <c r="AF146" s="3">
        <f t="shared" si="67"/>
        <v>0</v>
      </c>
    </row>
    <row r="147" spans="1:32" x14ac:dyDescent="0.25">
      <c r="B147" s="3">
        <f t="shared" ref="B147:Z147" si="72">$C33*EXP(-B$129/$A33/EXP(-$B$126))</f>
        <v>4.6468539028017564E-2</v>
      </c>
      <c r="C147" s="3">
        <f t="shared" si="72"/>
        <v>4.6468539028017564E-2</v>
      </c>
      <c r="D147" s="3">
        <f t="shared" si="72"/>
        <v>4.6468539028017564E-2</v>
      </c>
      <c r="E147" s="3">
        <f t="shared" si="72"/>
        <v>4.6468539028017564E-2</v>
      </c>
      <c r="F147" s="3">
        <f t="shared" si="72"/>
        <v>4.6468539028017564E-2</v>
      </c>
      <c r="G147" s="3">
        <f t="shared" si="72"/>
        <v>4.6468539028017564E-2</v>
      </c>
      <c r="H147" s="3">
        <f t="shared" si="72"/>
        <v>4.6468539028017564E-2</v>
      </c>
      <c r="I147" s="3">
        <f t="shared" si="72"/>
        <v>4.6468539028017564E-2</v>
      </c>
      <c r="J147" s="3">
        <f t="shared" si="72"/>
        <v>4.6468539028017564E-2</v>
      </c>
      <c r="K147" s="3">
        <f t="shared" si="72"/>
        <v>4.6468539028017564E-2</v>
      </c>
      <c r="L147" s="3">
        <f t="shared" si="72"/>
        <v>4.6468539028017564E-2</v>
      </c>
      <c r="M147" s="3">
        <f t="shared" si="72"/>
        <v>4.6468539028017564E-2</v>
      </c>
      <c r="N147" s="3">
        <f t="shared" si="72"/>
        <v>4.6468539028017557E-2</v>
      </c>
      <c r="O147" s="3">
        <f t="shared" si="72"/>
        <v>4.6468539028017501E-2</v>
      </c>
      <c r="P147" s="3">
        <f t="shared" si="72"/>
        <v>4.6468539028016932E-2</v>
      </c>
      <c r="Q147" s="3">
        <f t="shared" si="72"/>
        <v>4.6468539028011215E-2</v>
      </c>
      <c r="R147" s="3">
        <f t="shared" si="72"/>
        <v>4.6468539027954059E-2</v>
      </c>
      <c r="S147" s="3">
        <f t="shared" si="72"/>
        <v>4.6468539027382474E-2</v>
      </c>
      <c r="T147" s="3">
        <f t="shared" si="72"/>
        <v>4.6468539021666665E-2</v>
      </c>
      <c r="U147" s="3">
        <f t="shared" si="72"/>
        <v>4.6468538964508581E-2</v>
      </c>
      <c r="V147" s="3">
        <f t="shared" si="72"/>
        <v>4.646853839292777E-2</v>
      </c>
      <c r="W147" s="3">
        <f t="shared" si="72"/>
        <v>4.6468532677120034E-2</v>
      </c>
      <c r="X147" s="3">
        <f t="shared" si="72"/>
        <v>4.6468475519081336E-2</v>
      </c>
      <c r="Y147" s="3">
        <f t="shared" si="72"/>
        <v>4.6467903942561166E-2</v>
      </c>
      <c r="Z147" s="3">
        <f t="shared" si="72"/>
        <v>4.6462188564026376E-2</v>
      </c>
      <c r="AA147" s="3">
        <f t="shared" ref="AA147" si="73">$C33*EXP(-AA$129/$A33/EXP(-$B$126))</f>
        <v>4.6405073427776701E-2</v>
      </c>
      <c r="AB147" s="3">
        <f t="shared" si="67"/>
        <v>4.5837769443077055E-2</v>
      </c>
      <c r="AC147" s="3">
        <f t="shared" si="67"/>
        <v>4.0532518745969449E-2</v>
      </c>
      <c r="AD147" s="3">
        <f t="shared" si="67"/>
        <v>1.1846900915260703E-2</v>
      </c>
      <c r="AE147" s="3">
        <f t="shared" si="67"/>
        <v>5.3903429245092289E-8</v>
      </c>
      <c r="AF147" s="3">
        <f t="shared" si="67"/>
        <v>2.0499005184727189E-61</v>
      </c>
    </row>
    <row r="148" spans="1:32" x14ac:dyDescent="0.25">
      <c r="B148" s="3">
        <f t="shared" ref="B148:Z148" si="74">$C34*EXP(-B$129/$A34/EXP(-$B$126))</f>
        <v>5.1683873282290876E-2</v>
      </c>
      <c r="C148" s="3">
        <f t="shared" si="74"/>
        <v>5.1683873282290876E-2</v>
      </c>
      <c r="D148" s="3">
        <f t="shared" si="74"/>
        <v>5.1683873282290876E-2</v>
      </c>
      <c r="E148" s="3">
        <f t="shared" si="74"/>
        <v>5.1683873282290876E-2</v>
      </c>
      <c r="F148" s="3">
        <f t="shared" si="74"/>
        <v>5.1683873282290876E-2</v>
      </c>
      <c r="G148" s="3">
        <f t="shared" si="74"/>
        <v>5.1683873282290876E-2</v>
      </c>
      <c r="H148" s="3">
        <f t="shared" si="74"/>
        <v>5.1683873282290876E-2</v>
      </c>
      <c r="I148" s="3">
        <f t="shared" si="74"/>
        <v>5.1683873282290876E-2</v>
      </c>
      <c r="J148" s="3">
        <f t="shared" si="74"/>
        <v>5.1683873282290876E-2</v>
      </c>
      <c r="K148" s="3">
        <f t="shared" si="74"/>
        <v>5.1683873282290876E-2</v>
      </c>
      <c r="L148" s="3">
        <f t="shared" si="74"/>
        <v>5.1683873282290876E-2</v>
      </c>
      <c r="M148" s="3">
        <f t="shared" si="74"/>
        <v>5.1683873282290876E-2</v>
      </c>
      <c r="N148" s="3">
        <f t="shared" si="74"/>
        <v>5.1683873282290876E-2</v>
      </c>
      <c r="O148" s="3">
        <f t="shared" si="74"/>
        <v>5.1683873282290869E-2</v>
      </c>
      <c r="P148" s="3">
        <f t="shared" si="74"/>
        <v>5.1683873282290814E-2</v>
      </c>
      <c r="Q148" s="3">
        <f t="shared" si="74"/>
        <v>5.1683873282290238E-2</v>
      </c>
      <c r="R148" s="3">
        <f t="shared" si="74"/>
        <v>5.1683873282284507E-2</v>
      </c>
      <c r="S148" s="3">
        <f t="shared" si="74"/>
        <v>5.1683873282227157E-2</v>
      </c>
      <c r="T148" s="3">
        <f t="shared" si="74"/>
        <v>5.1683873281653678E-2</v>
      </c>
      <c r="U148" s="3">
        <f t="shared" si="74"/>
        <v>5.1683873275918848E-2</v>
      </c>
      <c r="V148" s="3">
        <f t="shared" si="74"/>
        <v>5.1683873218570583E-2</v>
      </c>
      <c r="W148" s="3">
        <f t="shared" si="74"/>
        <v>5.1683872645087961E-2</v>
      </c>
      <c r="X148" s="3">
        <f t="shared" si="74"/>
        <v>5.168386691026202E-2</v>
      </c>
      <c r="Y148" s="3">
        <f t="shared" si="74"/>
        <v>5.1683809562037664E-2</v>
      </c>
      <c r="Z148" s="3">
        <f t="shared" si="74"/>
        <v>5.1683236083293921E-2</v>
      </c>
      <c r="AA148" s="3">
        <f>$C34*EXP(-AA$129/$A34/EXP(-$B$126))</f>
        <v>5.1677501645824554E-2</v>
      </c>
      <c r="AB148" s="3">
        <f t="shared" si="67"/>
        <v>5.1620192253569598E-2</v>
      </c>
      <c r="AC148" s="3">
        <f t="shared" si="67"/>
        <v>5.1050582255351244E-2</v>
      </c>
      <c r="AD148" s="3">
        <f t="shared" si="67"/>
        <v>4.5688986107632813E-2</v>
      </c>
      <c r="AE148" s="3">
        <f t="shared" si="67"/>
        <v>1.5063286260235871E-2</v>
      </c>
      <c r="AF148" s="3">
        <f t="shared" si="67"/>
        <v>2.2856083669468522E-7</v>
      </c>
    </row>
    <row r="149" spans="1:32" x14ac:dyDescent="0.25">
      <c r="B149" s="3">
        <f t="shared" ref="B149:Z149" si="75">$C35*EXP(-B$129/$A35/EXP(-$B$126))</f>
        <v>5.2823026105162527E-2</v>
      </c>
      <c r="C149" s="3">
        <f t="shared" si="75"/>
        <v>5.2823026105162527E-2</v>
      </c>
      <c r="D149" s="3">
        <f t="shared" si="75"/>
        <v>5.2823026105162527E-2</v>
      </c>
      <c r="E149" s="3">
        <f t="shared" si="75"/>
        <v>5.2823026105162527E-2</v>
      </c>
      <c r="F149" s="3">
        <f t="shared" si="75"/>
        <v>5.2823026105162527E-2</v>
      </c>
      <c r="G149" s="3">
        <f t="shared" si="75"/>
        <v>5.2823026105162527E-2</v>
      </c>
      <c r="H149" s="3">
        <f t="shared" si="75"/>
        <v>5.2823026105162527E-2</v>
      </c>
      <c r="I149" s="3">
        <f t="shared" si="75"/>
        <v>5.2823026105162527E-2</v>
      </c>
      <c r="J149" s="3">
        <f t="shared" si="75"/>
        <v>5.2823026105162527E-2</v>
      </c>
      <c r="K149" s="3">
        <f t="shared" si="75"/>
        <v>5.2823026105162527E-2</v>
      </c>
      <c r="L149" s="3">
        <f t="shared" si="75"/>
        <v>5.2823026105162527E-2</v>
      </c>
      <c r="M149" s="3">
        <f t="shared" si="75"/>
        <v>5.2823026105162527E-2</v>
      </c>
      <c r="N149" s="3">
        <f t="shared" si="75"/>
        <v>5.2823026105162527E-2</v>
      </c>
      <c r="O149" s="3">
        <f t="shared" si="75"/>
        <v>5.2823026105162527E-2</v>
      </c>
      <c r="P149" s="3">
        <f t="shared" si="75"/>
        <v>5.282302610516252E-2</v>
      </c>
      <c r="Q149" s="3">
        <f t="shared" si="75"/>
        <v>5.2823026105162471E-2</v>
      </c>
      <c r="R149" s="3">
        <f t="shared" si="75"/>
        <v>5.2823026105161937E-2</v>
      </c>
      <c r="S149" s="3">
        <f t="shared" si="75"/>
        <v>5.2823026105156649E-2</v>
      </c>
      <c r="T149" s="3">
        <f t="shared" si="75"/>
        <v>5.2823026105103782E-2</v>
      </c>
      <c r="U149" s="3">
        <f t="shared" si="75"/>
        <v>5.2823026104575045E-2</v>
      </c>
      <c r="V149" s="3">
        <f t="shared" si="75"/>
        <v>5.2823026099287733E-2</v>
      </c>
      <c r="W149" s="3">
        <f t="shared" si="75"/>
        <v>5.2823026046414596E-2</v>
      </c>
      <c r="X149" s="3">
        <f t="shared" si="75"/>
        <v>5.2823025517683225E-2</v>
      </c>
      <c r="Y149" s="3">
        <f t="shared" si="75"/>
        <v>5.2823020230369756E-2</v>
      </c>
      <c r="Z149" s="3">
        <f t="shared" si="75"/>
        <v>5.2822967357264231E-2</v>
      </c>
      <c r="AA149" s="3">
        <f t="shared" ref="AA149" si="76">$C35*EXP(-AA$129/$A35/EXP(-$B$126))</f>
        <v>5.2822438629119749E-2</v>
      </c>
      <c r="AB149" s="3">
        <f t="shared" si="67"/>
        <v>5.2817151638741046E-2</v>
      </c>
      <c r="AC149" s="3">
        <f t="shared" si="67"/>
        <v>5.2764310830792943E-2</v>
      </c>
      <c r="AD149" s="3">
        <f t="shared" si="67"/>
        <v>5.2238801588320137E-2</v>
      </c>
      <c r="AE149" s="3">
        <f t="shared" si="67"/>
        <v>4.7263138412908662E-2</v>
      </c>
      <c r="AF149" s="3">
        <f t="shared" si="67"/>
        <v>1.7370650066903737E-2</v>
      </c>
    </row>
    <row r="150" spans="1:32" x14ac:dyDescent="0.25">
      <c r="B150" s="3">
        <f t="shared" ref="B150:Z150" si="77">$C36*EXP(-B$129/$A36/EXP(-$B$126))</f>
        <v>4.2291417760733988E-2</v>
      </c>
      <c r="C150" s="3">
        <f t="shared" si="77"/>
        <v>4.2291417760733988E-2</v>
      </c>
      <c r="D150" s="3">
        <f t="shared" si="77"/>
        <v>4.2291417760733988E-2</v>
      </c>
      <c r="E150" s="3">
        <f t="shared" si="77"/>
        <v>4.2291417760733988E-2</v>
      </c>
      <c r="F150" s="3">
        <f t="shared" si="77"/>
        <v>4.2291417760733988E-2</v>
      </c>
      <c r="G150" s="3">
        <f t="shared" si="77"/>
        <v>4.2291417760733988E-2</v>
      </c>
      <c r="H150" s="3">
        <f t="shared" si="77"/>
        <v>4.2291417760733988E-2</v>
      </c>
      <c r="I150" s="3">
        <f t="shared" si="77"/>
        <v>4.2291417760733988E-2</v>
      </c>
      <c r="J150" s="3">
        <f t="shared" si="77"/>
        <v>4.2291417760733988E-2</v>
      </c>
      <c r="K150" s="3">
        <f t="shared" si="77"/>
        <v>4.2291417760733988E-2</v>
      </c>
      <c r="L150" s="3">
        <f t="shared" si="77"/>
        <v>4.2291417760733988E-2</v>
      </c>
      <c r="M150" s="3">
        <f t="shared" si="77"/>
        <v>4.2291417760733988E-2</v>
      </c>
      <c r="N150" s="3">
        <f t="shared" si="77"/>
        <v>4.2291417760733988E-2</v>
      </c>
      <c r="O150" s="3">
        <f t="shared" si="77"/>
        <v>4.2291417760733988E-2</v>
      </c>
      <c r="P150" s="3">
        <f t="shared" si="77"/>
        <v>4.2291417760733988E-2</v>
      </c>
      <c r="Q150" s="3">
        <f t="shared" si="77"/>
        <v>4.2291417760733981E-2</v>
      </c>
      <c r="R150" s="3">
        <f t="shared" si="77"/>
        <v>4.2291417760733946E-2</v>
      </c>
      <c r="S150" s="3">
        <f t="shared" si="77"/>
        <v>4.2291417760733564E-2</v>
      </c>
      <c r="T150" s="3">
        <f t="shared" si="77"/>
        <v>4.2291417760729741E-2</v>
      </c>
      <c r="U150" s="3">
        <f t="shared" si="77"/>
        <v>4.2291417760691556E-2</v>
      </c>
      <c r="V150" s="3">
        <f t="shared" si="77"/>
        <v>4.2291417760309695E-2</v>
      </c>
      <c r="W150" s="3">
        <f t="shared" si="77"/>
        <v>4.2291417756491034E-2</v>
      </c>
      <c r="X150" s="3">
        <f t="shared" si="77"/>
        <v>4.2291417718304469E-2</v>
      </c>
      <c r="Y150" s="3">
        <f t="shared" si="77"/>
        <v>4.229141733643877E-2</v>
      </c>
      <c r="Z150" s="3">
        <f t="shared" si="77"/>
        <v>4.2291413517782046E-2</v>
      </c>
      <c r="AA150" s="3">
        <f t="shared" ref="AA150" si="78">$C36*EXP(-AA$129/$A36/EXP(-$B$126))</f>
        <v>4.2291375331233776E-2</v>
      </c>
      <c r="AB150" s="3">
        <f t="shared" si="67"/>
        <v>4.2290993467647406E-2</v>
      </c>
      <c r="AC150" s="3">
        <f t="shared" si="67"/>
        <v>4.2287175021417454E-2</v>
      </c>
      <c r="AD150" s="3">
        <f t="shared" si="67"/>
        <v>4.2249009516158058E-2</v>
      </c>
      <c r="AE150" s="3">
        <f t="shared" si="67"/>
        <v>4.1869243849534797E-2</v>
      </c>
      <c r="AF150" s="3">
        <f t="shared" si="67"/>
        <v>3.8254363148902092E-2</v>
      </c>
    </row>
    <row r="151" spans="1:32" x14ac:dyDescent="0.25">
      <c r="B151" s="3">
        <f t="shared" ref="B151:Z151" si="79">$C37*EXP(-B$129/$A37/EXP(-$B$126))</f>
        <v>5.3725706170150357E-2</v>
      </c>
      <c r="C151" s="3">
        <f t="shared" si="79"/>
        <v>5.3725706170150357E-2</v>
      </c>
      <c r="D151" s="3">
        <f t="shared" si="79"/>
        <v>5.3725706170150357E-2</v>
      </c>
      <c r="E151" s="3">
        <f t="shared" si="79"/>
        <v>5.3725706170150357E-2</v>
      </c>
      <c r="F151" s="3">
        <f t="shared" si="79"/>
        <v>5.3725706170150357E-2</v>
      </c>
      <c r="G151" s="3">
        <f t="shared" si="79"/>
        <v>5.3725706170150357E-2</v>
      </c>
      <c r="H151" s="3">
        <f t="shared" si="79"/>
        <v>5.3725706170150357E-2</v>
      </c>
      <c r="I151" s="3">
        <f t="shared" si="79"/>
        <v>5.3725706170150357E-2</v>
      </c>
      <c r="J151" s="3">
        <f t="shared" si="79"/>
        <v>5.3725706170150357E-2</v>
      </c>
      <c r="K151" s="3">
        <f t="shared" si="79"/>
        <v>5.3725706170150357E-2</v>
      </c>
      <c r="L151" s="3">
        <f t="shared" si="79"/>
        <v>5.3725706170150357E-2</v>
      </c>
      <c r="M151" s="3">
        <f t="shared" si="79"/>
        <v>5.3725706170150357E-2</v>
      </c>
      <c r="N151" s="3">
        <f t="shared" si="79"/>
        <v>5.3725706170150357E-2</v>
      </c>
      <c r="O151" s="3">
        <f t="shared" si="79"/>
        <v>5.3725706170150357E-2</v>
      </c>
      <c r="P151" s="3">
        <f t="shared" si="79"/>
        <v>5.3725706170150357E-2</v>
      </c>
      <c r="Q151" s="3">
        <f t="shared" si="79"/>
        <v>5.3725706170150357E-2</v>
      </c>
      <c r="R151" s="3">
        <f t="shared" si="79"/>
        <v>5.372570617015035E-2</v>
      </c>
      <c r="S151" s="3">
        <f t="shared" si="79"/>
        <v>5.3725706170150309E-2</v>
      </c>
      <c r="T151" s="3">
        <f t="shared" si="79"/>
        <v>5.3725706170149871E-2</v>
      </c>
      <c r="U151" s="3">
        <f t="shared" si="79"/>
        <v>5.3725706170145493E-2</v>
      </c>
      <c r="V151" s="3">
        <f t="shared" si="79"/>
        <v>5.3725706170101729E-2</v>
      </c>
      <c r="W151" s="3">
        <f t="shared" si="79"/>
        <v>5.3725706169664121E-2</v>
      </c>
      <c r="X151" s="3">
        <f t="shared" si="79"/>
        <v>5.3725706165288024E-2</v>
      </c>
      <c r="Y151" s="3">
        <f t="shared" si="79"/>
        <v>5.3725706121527037E-2</v>
      </c>
      <c r="Z151" s="3">
        <f t="shared" si="79"/>
        <v>5.3725705683917158E-2</v>
      </c>
      <c r="AA151" s="3">
        <f t="shared" ref="AA151" si="80">$C37*EXP(-AA$129/$A37/EXP(-$B$126))</f>
        <v>5.3725701307818535E-2</v>
      </c>
      <c r="AB151" s="3">
        <f t="shared" si="67"/>
        <v>5.3725657546851928E-2</v>
      </c>
      <c r="AC151" s="3">
        <f t="shared" si="67"/>
        <v>5.3725219939146314E-2</v>
      </c>
      <c r="AD151" s="3">
        <f t="shared" si="67"/>
        <v>5.3720844058128221E-2</v>
      </c>
      <c r="AE151" s="3">
        <f t="shared" si="67"/>
        <v>5.3677104845840241E-2</v>
      </c>
      <c r="AF151" s="3">
        <f t="shared" si="67"/>
        <v>5.3241666618800476E-2</v>
      </c>
    </row>
    <row r="152" spans="1:32" x14ac:dyDescent="0.25">
      <c r="B152" s="3">
        <f t="shared" ref="B152:Z152" si="81">$C38*EXP(-B$129/$A38/EXP(-$B$126))</f>
        <v>0</v>
      </c>
      <c r="C152" s="3">
        <f t="shared" si="81"/>
        <v>0</v>
      </c>
      <c r="D152" s="3">
        <f t="shared" si="81"/>
        <v>0</v>
      </c>
      <c r="E152" s="3">
        <f t="shared" si="81"/>
        <v>0</v>
      </c>
      <c r="F152" s="3">
        <f t="shared" si="81"/>
        <v>0</v>
      </c>
      <c r="G152" s="3">
        <f t="shared" si="81"/>
        <v>0</v>
      </c>
      <c r="H152" s="3">
        <f t="shared" si="81"/>
        <v>0</v>
      </c>
      <c r="I152" s="3">
        <f t="shared" si="81"/>
        <v>0</v>
      </c>
      <c r="J152" s="3">
        <f t="shared" si="81"/>
        <v>0</v>
      </c>
      <c r="K152" s="3">
        <f t="shared" si="81"/>
        <v>0</v>
      </c>
      <c r="L152" s="3">
        <f t="shared" si="81"/>
        <v>0</v>
      </c>
      <c r="M152" s="3">
        <f t="shared" si="81"/>
        <v>0</v>
      </c>
      <c r="N152" s="3">
        <f t="shared" si="81"/>
        <v>0</v>
      </c>
      <c r="O152" s="3">
        <f t="shared" si="81"/>
        <v>0</v>
      </c>
      <c r="P152" s="3">
        <f t="shared" si="81"/>
        <v>0</v>
      </c>
      <c r="Q152" s="3">
        <f t="shared" si="81"/>
        <v>0</v>
      </c>
      <c r="R152" s="3">
        <f t="shared" si="81"/>
        <v>0</v>
      </c>
      <c r="S152" s="3">
        <f t="shared" si="81"/>
        <v>0</v>
      </c>
      <c r="T152" s="3">
        <f t="shared" si="81"/>
        <v>0</v>
      </c>
      <c r="U152" s="3">
        <f t="shared" si="81"/>
        <v>0</v>
      </c>
      <c r="V152" s="3">
        <f t="shared" si="81"/>
        <v>0</v>
      </c>
      <c r="W152" s="3">
        <f t="shared" si="81"/>
        <v>0</v>
      </c>
      <c r="X152" s="3">
        <f t="shared" si="81"/>
        <v>0</v>
      </c>
      <c r="Y152" s="3">
        <f t="shared" si="81"/>
        <v>0</v>
      </c>
      <c r="Z152" s="3">
        <f t="shared" si="81"/>
        <v>0</v>
      </c>
      <c r="AA152" s="3">
        <f t="shared" ref="AA152" si="82">$C38*EXP(-AA$129/$A38/EXP(-$B$126))</f>
        <v>0</v>
      </c>
      <c r="AB152" s="3">
        <f t="shared" si="67"/>
        <v>0</v>
      </c>
      <c r="AC152" s="3">
        <f t="shared" si="67"/>
        <v>0</v>
      </c>
      <c r="AD152" s="3">
        <f t="shared" si="67"/>
        <v>0</v>
      </c>
      <c r="AE152" s="3">
        <f t="shared" si="67"/>
        <v>0</v>
      </c>
      <c r="AF152" s="3">
        <f t="shared" si="67"/>
        <v>0</v>
      </c>
    </row>
    <row r="153" spans="1:32" x14ac:dyDescent="0.25">
      <c r="B153" s="3">
        <f t="shared" ref="B153:Z153" si="83">$C39*EXP(-B$129/$A39/EXP(-$B$126))</f>
        <v>7.2666327012941595E-2</v>
      </c>
      <c r="C153" s="3">
        <f t="shared" si="83"/>
        <v>7.2666327012941595E-2</v>
      </c>
      <c r="D153" s="3">
        <f t="shared" si="83"/>
        <v>7.2666327012941595E-2</v>
      </c>
      <c r="E153" s="3">
        <f t="shared" si="83"/>
        <v>7.2666327012941595E-2</v>
      </c>
      <c r="F153" s="3">
        <f t="shared" si="83"/>
        <v>7.2666327012941595E-2</v>
      </c>
      <c r="G153" s="3">
        <f t="shared" si="83"/>
        <v>7.2666327012941595E-2</v>
      </c>
      <c r="H153" s="3">
        <f t="shared" si="83"/>
        <v>7.2666327012941595E-2</v>
      </c>
      <c r="I153" s="3">
        <f t="shared" si="83"/>
        <v>7.2666327012941595E-2</v>
      </c>
      <c r="J153" s="3">
        <f t="shared" si="83"/>
        <v>7.2666327012941595E-2</v>
      </c>
      <c r="K153" s="3">
        <f t="shared" si="83"/>
        <v>7.2666327012941595E-2</v>
      </c>
      <c r="L153" s="3">
        <f t="shared" si="83"/>
        <v>7.2666327012941595E-2</v>
      </c>
      <c r="M153" s="3">
        <f t="shared" si="83"/>
        <v>7.2666327012941595E-2</v>
      </c>
      <c r="N153" s="3">
        <f t="shared" si="83"/>
        <v>7.2666327012941595E-2</v>
      </c>
      <c r="O153" s="3">
        <f t="shared" si="83"/>
        <v>7.2666327012941595E-2</v>
      </c>
      <c r="P153" s="3">
        <f t="shared" si="83"/>
        <v>7.2666327012941595E-2</v>
      </c>
      <c r="Q153" s="3">
        <f t="shared" si="83"/>
        <v>7.2666327012941595E-2</v>
      </c>
      <c r="R153" s="3">
        <f t="shared" si="83"/>
        <v>7.2666327012941595E-2</v>
      </c>
      <c r="S153" s="3">
        <f t="shared" si="83"/>
        <v>7.2666327012941595E-2</v>
      </c>
      <c r="T153" s="3">
        <f t="shared" si="83"/>
        <v>7.2666327012941581E-2</v>
      </c>
      <c r="U153" s="3">
        <f t="shared" si="83"/>
        <v>7.2666327012941428E-2</v>
      </c>
      <c r="V153" s="3">
        <f t="shared" si="83"/>
        <v>7.2666327012939957E-2</v>
      </c>
      <c r="W153" s="3">
        <f t="shared" si="83"/>
        <v>7.2666327012925191E-2</v>
      </c>
      <c r="X153" s="3">
        <f t="shared" si="83"/>
        <v>7.2666327012777518E-2</v>
      </c>
      <c r="Y153" s="3">
        <f t="shared" si="83"/>
        <v>7.2666327011300796E-2</v>
      </c>
      <c r="Z153" s="3">
        <f t="shared" si="83"/>
        <v>7.2666326996533609E-2</v>
      </c>
      <c r="AA153" s="3">
        <f t="shared" ref="AA153" si="84">$C39*EXP(-AA$129/$A39/EXP(-$B$126))</f>
        <v>7.266632684886179E-2</v>
      </c>
      <c r="AB153" s="3">
        <f t="shared" si="67"/>
        <v>7.2666325372143528E-2</v>
      </c>
      <c r="AC153" s="3">
        <f t="shared" si="67"/>
        <v>7.2666310604962536E-2</v>
      </c>
      <c r="AD153" s="3">
        <f t="shared" si="67"/>
        <v>7.2666162933317749E-2</v>
      </c>
      <c r="AE153" s="3">
        <f t="shared" si="67"/>
        <v>7.2664686233375061E-2</v>
      </c>
      <c r="AF153" s="3">
        <f t="shared" si="67"/>
        <v>7.2649920884345451E-2</v>
      </c>
    </row>
    <row r="154" spans="1:32" x14ac:dyDescent="0.25">
      <c r="B154" s="3">
        <f t="shared" ref="B154:Z154" si="85">$C40*EXP(-B$129/$A40/EXP(-$B$126))</f>
        <v>2.5077417845043044E-2</v>
      </c>
      <c r="C154" s="3">
        <f t="shared" si="85"/>
        <v>2.5077417845043044E-2</v>
      </c>
      <c r="D154" s="3">
        <f t="shared" si="85"/>
        <v>2.5077417845043044E-2</v>
      </c>
      <c r="E154" s="3">
        <f t="shared" si="85"/>
        <v>2.5077417845043044E-2</v>
      </c>
      <c r="F154" s="3">
        <f t="shared" si="85"/>
        <v>2.5077417845043044E-2</v>
      </c>
      <c r="G154" s="3">
        <f t="shared" si="85"/>
        <v>2.5077417845043044E-2</v>
      </c>
      <c r="H154" s="3">
        <f t="shared" si="85"/>
        <v>2.5077417845043044E-2</v>
      </c>
      <c r="I154" s="3">
        <f t="shared" si="85"/>
        <v>2.5077417845043044E-2</v>
      </c>
      <c r="J154" s="3">
        <f t="shared" si="85"/>
        <v>2.5077417845043044E-2</v>
      </c>
      <c r="K154" s="3">
        <f t="shared" si="85"/>
        <v>2.5077417845043044E-2</v>
      </c>
      <c r="L154" s="3">
        <f t="shared" si="85"/>
        <v>2.5077417845043044E-2</v>
      </c>
      <c r="M154" s="3">
        <f t="shared" si="85"/>
        <v>2.5077417845043044E-2</v>
      </c>
      <c r="N154" s="3">
        <f t="shared" si="85"/>
        <v>2.5077417845043044E-2</v>
      </c>
      <c r="O154" s="3">
        <f t="shared" si="85"/>
        <v>2.5077417845043044E-2</v>
      </c>
      <c r="P154" s="3">
        <f t="shared" si="85"/>
        <v>2.5077417845043044E-2</v>
      </c>
      <c r="Q154" s="3">
        <f t="shared" si="85"/>
        <v>2.5077417845043044E-2</v>
      </c>
      <c r="R154" s="3">
        <f t="shared" si="85"/>
        <v>2.5077417845043044E-2</v>
      </c>
      <c r="S154" s="3">
        <f t="shared" si="85"/>
        <v>2.5077417845043044E-2</v>
      </c>
      <c r="T154" s="3">
        <f t="shared" si="85"/>
        <v>2.5077417845043044E-2</v>
      </c>
      <c r="U154" s="3">
        <f t="shared" si="85"/>
        <v>2.5077417845043037E-2</v>
      </c>
      <c r="V154" s="3">
        <f t="shared" si="85"/>
        <v>2.5077417845042988E-2</v>
      </c>
      <c r="W154" s="3">
        <f t="shared" si="85"/>
        <v>2.5077417845042478E-2</v>
      </c>
      <c r="X154" s="3">
        <f t="shared" si="85"/>
        <v>2.5077417845037381E-2</v>
      </c>
      <c r="Y154" s="3">
        <f t="shared" si="85"/>
        <v>2.5077417844986419E-2</v>
      </c>
      <c r="Z154" s="3">
        <f t="shared" si="85"/>
        <v>2.5077417844476799E-2</v>
      </c>
      <c r="AA154" s="3">
        <f t="shared" ref="AA154:AF154" si="86">$C40*EXP(-AA$129/$A40/EXP(-$B$126))</f>
        <v>2.507741783938059E-2</v>
      </c>
      <c r="AB154" s="3">
        <f t="shared" si="86"/>
        <v>2.5077417788418495E-2</v>
      </c>
      <c r="AC154" s="3">
        <f t="shared" si="86"/>
        <v>2.507741727879757E-2</v>
      </c>
      <c r="AD154" s="3">
        <f t="shared" si="86"/>
        <v>2.5077412182588868E-2</v>
      </c>
      <c r="AE154" s="3">
        <f t="shared" si="86"/>
        <v>2.5077361220558824E-2</v>
      </c>
      <c r="AF154" s="3">
        <f t="shared" si="86"/>
        <v>2.5076851605954416E-2</v>
      </c>
    </row>
    <row r="155" spans="1:32" x14ac:dyDescent="0.25">
      <c r="B155" s="3">
        <f t="shared" ref="B155:Z155" si="87">$C41*EXP(-B$129/$A41/EXP(-$B$126))</f>
        <v>6.9691000347133242E-2</v>
      </c>
      <c r="C155" s="3">
        <f t="shared" si="87"/>
        <v>6.9691000347133242E-2</v>
      </c>
      <c r="D155" s="3">
        <f t="shared" si="87"/>
        <v>6.9691000347133242E-2</v>
      </c>
      <c r="E155" s="3">
        <f t="shared" si="87"/>
        <v>6.9691000347133242E-2</v>
      </c>
      <c r="F155" s="3">
        <f t="shared" si="87"/>
        <v>6.9691000347133242E-2</v>
      </c>
      <c r="G155" s="3">
        <f t="shared" si="87"/>
        <v>6.9691000347133242E-2</v>
      </c>
      <c r="H155" s="3">
        <f t="shared" si="87"/>
        <v>6.9691000347133242E-2</v>
      </c>
      <c r="I155" s="3">
        <f t="shared" si="87"/>
        <v>6.9691000347133242E-2</v>
      </c>
      <c r="J155" s="3">
        <f t="shared" si="87"/>
        <v>6.9691000347133242E-2</v>
      </c>
      <c r="K155" s="3">
        <f t="shared" si="87"/>
        <v>6.9691000347133242E-2</v>
      </c>
      <c r="L155" s="3">
        <f t="shared" si="87"/>
        <v>6.9691000347133242E-2</v>
      </c>
      <c r="M155" s="3">
        <f t="shared" si="87"/>
        <v>6.9691000347133242E-2</v>
      </c>
      <c r="N155" s="3">
        <f t="shared" si="87"/>
        <v>6.9691000347133242E-2</v>
      </c>
      <c r="O155" s="3">
        <f t="shared" si="87"/>
        <v>6.9691000347133242E-2</v>
      </c>
      <c r="P155" s="3">
        <f t="shared" si="87"/>
        <v>6.9691000347133242E-2</v>
      </c>
      <c r="Q155" s="3">
        <f t="shared" si="87"/>
        <v>6.9691000347133242E-2</v>
      </c>
      <c r="R155" s="3">
        <f t="shared" si="87"/>
        <v>6.9691000347133242E-2</v>
      </c>
      <c r="S155" s="3">
        <f t="shared" si="87"/>
        <v>6.9691000347133242E-2</v>
      </c>
      <c r="T155" s="3">
        <f t="shared" si="87"/>
        <v>6.9691000347133242E-2</v>
      </c>
      <c r="U155" s="3">
        <f t="shared" si="87"/>
        <v>6.9691000347133242E-2</v>
      </c>
      <c r="V155" s="3">
        <f t="shared" si="87"/>
        <v>6.9691000347133228E-2</v>
      </c>
      <c r="W155" s="3">
        <f t="shared" si="87"/>
        <v>6.9691000347133089E-2</v>
      </c>
      <c r="X155" s="3">
        <f t="shared" si="87"/>
        <v>6.9691000347131674E-2</v>
      </c>
      <c r="Y155" s="3">
        <f t="shared" si="87"/>
        <v>6.9691000347117504E-2</v>
      </c>
      <c r="Z155" s="3">
        <f t="shared" si="87"/>
        <v>6.9691000346975882E-2</v>
      </c>
      <c r="AA155" s="3">
        <f t="shared" ref="AA155:AF155" si="88">$C41*EXP(-AA$129/$A41/EXP(-$B$126))</f>
        <v>6.9691000345559626E-2</v>
      </c>
      <c r="AB155" s="3">
        <f t="shared" si="88"/>
        <v>6.9691000331397093E-2</v>
      </c>
      <c r="AC155" s="3">
        <f t="shared" si="88"/>
        <v>6.9691000189771687E-2</v>
      </c>
      <c r="AD155" s="3">
        <f t="shared" si="88"/>
        <v>6.969099877351774E-2</v>
      </c>
      <c r="AE155" s="3">
        <f t="shared" si="88"/>
        <v>6.9690984610979764E-2</v>
      </c>
      <c r="AF155" s="3">
        <f t="shared" si="88"/>
        <v>6.9690842985758408E-2</v>
      </c>
    </row>
    <row r="156" spans="1:32" x14ac:dyDescent="0.25">
      <c r="B156" s="3">
        <f t="shared" ref="B156:Z156" si="89">$C42*EXP(-B$129/$A42/EXP(-$B$126))</f>
        <v>3.3680791941505174E-2</v>
      </c>
      <c r="C156" s="3">
        <f t="shared" si="89"/>
        <v>3.3680791941505174E-2</v>
      </c>
      <c r="D156" s="3">
        <f t="shared" si="89"/>
        <v>3.3680791941505174E-2</v>
      </c>
      <c r="E156" s="3">
        <f t="shared" si="89"/>
        <v>3.3680791941505174E-2</v>
      </c>
      <c r="F156" s="3">
        <f t="shared" si="89"/>
        <v>3.3680791941505174E-2</v>
      </c>
      <c r="G156" s="3">
        <f t="shared" si="89"/>
        <v>3.3680791941505174E-2</v>
      </c>
      <c r="H156" s="3">
        <f t="shared" si="89"/>
        <v>3.3680791941505174E-2</v>
      </c>
      <c r="I156" s="3">
        <f t="shared" si="89"/>
        <v>3.3680791941505174E-2</v>
      </c>
      <c r="J156" s="3">
        <f t="shared" si="89"/>
        <v>3.3680791941505174E-2</v>
      </c>
      <c r="K156" s="3">
        <f t="shared" si="89"/>
        <v>3.3680791941505174E-2</v>
      </c>
      <c r="L156" s="3">
        <f t="shared" si="89"/>
        <v>3.3680791941505174E-2</v>
      </c>
      <c r="M156" s="3">
        <f t="shared" si="89"/>
        <v>3.3680791941505174E-2</v>
      </c>
      <c r="N156" s="3">
        <f t="shared" si="89"/>
        <v>3.3680791941505174E-2</v>
      </c>
      <c r="O156" s="3">
        <f t="shared" si="89"/>
        <v>3.3680791941505174E-2</v>
      </c>
      <c r="P156" s="3">
        <f t="shared" si="89"/>
        <v>3.3680791941505174E-2</v>
      </c>
      <c r="Q156" s="3">
        <f t="shared" si="89"/>
        <v>3.3680791941505174E-2</v>
      </c>
      <c r="R156" s="3">
        <f t="shared" si="89"/>
        <v>3.3680791941505174E-2</v>
      </c>
      <c r="S156" s="3">
        <f t="shared" si="89"/>
        <v>3.3680791941505174E-2</v>
      </c>
      <c r="T156" s="3">
        <f t="shared" si="89"/>
        <v>3.3680791941505174E-2</v>
      </c>
      <c r="U156" s="3">
        <f t="shared" si="89"/>
        <v>3.3680791941505174E-2</v>
      </c>
      <c r="V156" s="3">
        <f t="shared" si="89"/>
        <v>3.3680791941505174E-2</v>
      </c>
      <c r="W156" s="3">
        <f t="shared" si="89"/>
        <v>3.3680791941505167E-2</v>
      </c>
      <c r="X156" s="3">
        <f t="shared" si="89"/>
        <v>3.3680791941505098E-2</v>
      </c>
      <c r="Y156" s="3">
        <f t="shared" si="89"/>
        <v>3.3680791941504418E-2</v>
      </c>
      <c r="Z156" s="3">
        <f t="shared" si="89"/>
        <v>3.3680791941497569E-2</v>
      </c>
      <c r="AA156" s="3">
        <f t="shared" ref="AA156:AF156" si="90">$C42*EXP(-AA$129/$A42/EXP(-$B$126))</f>
        <v>3.3680791941429124E-2</v>
      </c>
      <c r="AB156" s="3">
        <f t="shared" si="90"/>
        <v>3.3680791940744664E-2</v>
      </c>
      <c r="AC156" s="3">
        <f t="shared" si="90"/>
        <v>3.3680791933900084E-2</v>
      </c>
      <c r="AD156" s="3">
        <f t="shared" si="90"/>
        <v>3.36807918654543E-2</v>
      </c>
      <c r="AE156" s="3">
        <f t="shared" si="90"/>
        <v>3.3680791180996414E-2</v>
      </c>
      <c r="AF156" s="3">
        <f t="shared" si="90"/>
        <v>3.3680784336418315E-2</v>
      </c>
    </row>
    <row r="157" spans="1:32" x14ac:dyDescent="0.25">
      <c r="B157" s="3">
        <f t="shared" ref="B157:Z157" si="91">$C43*EXP(-B$129/$A43/EXP(-$B$126))</f>
        <v>4.444785280126981E-2</v>
      </c>
      <c r="C157" s="3">
        <f t="shared" si="91"/>
        <v>4.444785280126981E-2</v>
      </c>
      <c r="D157" s="3">
        <f t="shared" si="91"/>
        <v>4.444785280126981E-2</v>
      </c>
      <c r="E157" s="3">
        <f t="shared" si="91"/>
        <v>4.444785280126981E-2</v>
      </c>
      <c r="F157" s="3">
        <f t="shared" si="91"/>
        <v>4.444785280126981E-2</v>
      </c>
      <c r="G157" s="3">
        <f t="shared" si="91"/>
        <v>4.444785280126981E-2</v>
      </c>
      <c r="H157" s="3">
        <f t="shared" si="91"/>
        <v>4.444785280126981E-2</v>
      </c>
      <c r="I157" s="3">
        <f t="shared" si="91"/>
        <v>4.444785280126981E-2</v>
      </c>
      <c r="J157" s="3">
        <f t="shared" si="91"/>
        <v>4.444785280126981E-2</v>
      </c>
      <c r="K157" s="3">
        <f t="shared" si="91"/>
        <v>4.444785280126981E-2</v>
      </c>
      <c r="L157" s="3">
        <f t="shared" si="91"/>
        <v>4.444785280126981E-2</v>
      </c>
      <c r="M157" s="3">
        <f t="shared" si="91"/>
        <v>4.444785280126981E-2</v>
      </c>
      <c r="N157" s="3">
        <f t="shared" si="91"/>
        <v>4.444785280126981E-2</v>
      </c>
      <c r="O157" s="3">
        <f t="shared" si="91"/>
        <v>4.444785280126981E-2</v>
      </c>
      <c r="P157" s="3">
        <f t="shared" si="91"/>
        <v>4.444785280126981E-2</v>
      </c>
      <c r="Q157" s="3">
        <f t="shared" si="91"/>
        <v>4.444785280126981E-2</v>
      </c>
      <c r="R157" s="3">
        <f t="shared" si="91"/>
        <v>4.444785280126981E-2</v>
      </c>
      <c r="S157" s="3">
        <f t="shared" si="91"/>
        <v>4.444785280126981E-2</v>
      </c>
      <c r="T157" s="3">
        <f t="shared" si="91"/>
        <v>4.444785280126981E-2</v>
      </c>
      <c r="U157" s="3">
        <f t="shared" si="91"/>
        <v>4.444785280126981E-2</v>
      </c>
      <c r="V157" s="3">
        <f t="shared" si="91"/>
        <v>4.444785280126981E-2</v>
      </c>
      <c r="W157" s="3">
        <f t="shared" si="91"/>
        <v>4.444785280126981E-2</v>
      </c>
      <c r="X157" s="3">
        <f t="shared" si="91"/>
        <v>4.4447852801269803E-2</v>
      </c>
      <c r="Y157" s="3">
        <f t="shared" si="91"/>
        <v>4.4447852801269713E-2</v>
      </c>
      <c r="Z157" s="3">
        <f t="shared" si="91"/>
        <v>4.4447852801268811E-2</v>
      </c>
      <c r="AA157" s="3">
        <f t="shared" ref="AA157:AF157" si="92">$C43*EXP(-AA$129/$A43/EXP(-$B$126))</f>
        <v>4.444785280125977E-2</v>
      </c>
      <c r="AB157" s="3">
        <f t="shared" si="92"/>
        <v>4.4447852801169446E-2</v>
      </c>
      <c r="AC157" s="3">
        <f t="shared" si="92"/>
        <v>4.4447852800266183E-2</v>
      </c>
      <c r="AD157" s="3">
        <f t="shared" si="92"/>
        <v>4.4447852791233533E-2</v>
      </c>
      <c r="AE157" s="3">
        <f t="shared" si="92"/>
        <v>4.4447852700907023E-2</v>
      </c>
      <c r="AF157" s="3">
        <f t="shared" si="92"/>
        <v>4.4447851797641935E-2</v>
      </c>
    </row>
    <row r="158" spans="1:32" x14ac:dyDescent="0.25">
      <c r="B158" s="3">
        <f t="shared" ref="B158:Z158" si="93">$C44*EXP(-B$129/$A44/EXP(-$B$126))</f>
        <v>1.2310076575543269E-2</v>
      </c>
      <c r="C158" s="3">
        <f t="shared" si="93"/>
        <v>1.2310076575543269E-2</v>
      </c>
      <c r="D158" s="3">
        <f t="shared" si="93"/>
        <v>1.2310076575543269E-2</v>
      </c>
      <c r="E158" s="3">
        <f t="shared" si="93"/>
        <v>1.2310076575543269E-2</v>
      </c>
      <c r="F158" s="3">
        <f t="shared" si="93"/>
        <v>1.2310076575543269E-2</v>
      </c>
      <c r="G158" s="3">
        <f t="shared" si="93"/>
        <v>1.2310076575543269E-2</v>
      </c>
      <c r="H158" s="3">
        <f t="shared" si="93"/>
        <v>1.2310076575543269E-2</v>
      </c>
      <c r="I158" s="3">
        <f t="shared" si="93"/>
        <v>1.2310076575543269E-2</v>
      </c>
      <c r="J158" s="3">
        <f t="shared" si="93"/>
        <v>1.2310076575543269E-2</v>
      </c>
      <c r="K158" s="3">
        <f t="shared" si="93"/>
        <v>1.2310076575543269E-2</v>
      </c>
      <c r="L158" s="3">
        <f t="shared" si="93"/>
        <v>1.2310076575543269E-2</v>
      </c>
      <c r="M158" s="3">
        <f t="shared" si="93"/>
        <v>1.2310076575543269E-2</v>
      </c>
      <c r="N158" s="3">
        <f t="shared" si="93"/>
        <v>1.2310076575543269E-2</v>
      </c>
      <c r="O158" s="3">
        <f t="shared" si="93"/>
        <v>1.2310076575543269E-2</v>
      </c>
      <c r="P158" s="3">
        <f t="shared" si="93"/>
        <v>1.2310076575543269E-2</v>
      </c>
      <c r="Q158" s="3">
        <f t="shared" si="93"/>
        <v>1.2310076575543269E-2</v>
      </c>
      <c r="R158" s="3">
        <f t="shared" si="93"/>
        <v>1.2310076575543269E-2</v>
      </c>
      <c r="S158" s="3">
        <f t="shared" si="93"/>
        <v>1.2310076575543269E-2</v>
      </c>
      <c r="T158" s="3">
        <f t="shared" si="93"/>
        <v>1.2310076575543269E-2</v>
      </c>
      <c r="U158" s="3">
        <f t="shared" si="93"/>
        <v>1.2310076575543269E-2</v>
      </c>
      <c r="V158" s="3">
        <f t="shared" si="93"/>
        <v>1.2310076575543269E-2</v>
      </c>
      <c r="W158" s="3">
        <f t="shared" si="93"/>
        <v>1.2310076575543269E-2</v>
      </c>
      <c r="X158" s="3">
        <f t="shared" si="93"/>
        <v>1.2310076575543269E-2</v>
      </c>
      <c r="Y158" s="3">
        <f t="shared" si="93"/>
        <v>1.2310076575543265E-2</v>
      </c>
      <c r="Z158" s="3">
        <f t="shared" si="93"/>
        <v>1.2310076575543241E-2</v>
      </c>
      <c r="AA158" s="3">
        <f t="shared" ref="AA158:AF158" si="94">$C44*EXP(-AA$129/$A44/EXP(-$B$126))</f>
        <v>1.2310076575542991E-2</v>
      </c>
      <c r="AB158" s="3">
        <f t="shared" si="94"/>
        <v>1.231007657554049E-2</v>
      </c>
      <c r="AC158" s="3">
        <f t="shared" si="94"/>
        <v>1.2310076575515473E-2</v>
      </c>
      <c r="AD158" s="3">
        <f t="shared" si="94"/>
        <v>1.2310076575265309E-2</v>
      </c>
      <c r="AE158" s="3">
        <f t="shared" si="94"/>
        <v>1.2310076572763666E-2</v>
      </c>
      <c r="AF158" s="3">
        <f t="shared" si="94"/>
        <v>1.2310076547747245E-2</v>
      </c>
    </row>
    <row r="159" spans="1:32" x14ac:dyDescent="0.25">
      <c r="A159" s="11" t="s">
        <v>75</v>
      </c>
      <c r="B159" s="3">
        <f t="shared" ref="B159:Z159" si="95">$C45*EXP(-B$129/$A45/EXP(-$B$126))</f>
        <v>1.4823378253451746E-2</v>
      </c>
      <c r="C159" s="3">
        <f t="shared" si="95"/>
        <v>1.4823378253451746E-2</v>
      </c>
      <c r="D159" s="3">
        <f t="shared" si="95"/>
        <v>1.4823378253451746E-2</v>
      </c>
      <c r="E159" s="3">
        <f t="shared" si="95"/>
        <v>1.4823378253451746E-2</v>
      </c>
      <c r="F159" s="3">
        <f t="shared" si="95"/>
        <v>1.4823378253451746E-2</v>
      </c>
      <c r="G159" s="3">
        <f t="shared" si="95"/>
        <v>1.4823378253451746E-2</v>
      </c>
      <c r="H159" s="3">
        <f t="shared" si="95"/>
        <v>1.4823378253451746E-2</v>
      </c>
      <c r="I159" s="3">
        <f t="shared" si="95"/>
        <v>1.4823378253451746E-2</v>
      </c>
      <c r="J159" s="3">
        <f t="shared" si="95"/>
        <v>1.4823378253451746E-2</v>
      </c>
      <c r="K159" s="3">
        <f t="shared" si="95"/>
        <v>1.4823378253451746E-2</v>
      </c>
      <c r="L159" s="3">
        <f t="shared" si="95"/>
        <v>1.4823378253451746E-2</v>
      </c>
      <c r="M159" s="3">
        <f t="shared" si="95"/>
        <v>1.4823378253451746E-2</v>
      </c>
      <c r="N159" s="3">
        <f t="shared" si="95"/>
        <v>1.4823378253451746E-2</v>
      </c>
      <c r="O159" s="3">
        <f t="shared" si="95"/>
        <v>1.4823378253451746E-2</v>
      </c>
      <c r="P159" s="3">
        <f t="shared" si="95"/>
        <v>1.4823378253451746E-2</v>
      </c>
      <c r="Q159" s="3">
        <f t="shared" si="95"/>
        <v>1.4823378253451746E-2</v>
      </c>
      <c r="R159" s="3">
        <f t="shared" si="95"/>
        <v>1.4823378253451746E-2</v>
      </c>
      <c r="S159" s="3">
        <f t="shared" si="95"/>
        <v>1.4823378253451746E-2</v>
      </c>
      <c r="T159" s="3">
        <f t="shared" si="95"/>
        <v>1.4823378253451746E-2</v>
      </c>
      <c r="U159" s="3">
        <f t="shared" si="95"/>
        <v>1.4823378253451746E-2</v>
      </c>
      <c r="V159" s="3">
        <f t="shared" si="95"/>
        <v>1.4823378253451746E-2</v>
      </c>
      <c r="W159" s="3">
        <f t="shared" si="95"/>
        <v>1.4823378253451746E-2</v>
      </c>
      <c r="X159" s="3">
        <f t="shared" si="95"/>
        <v>1.4823378253451746E-2</v>
      </c>
      <c r="Y159" s="3">
        <f t="shared" si="95"/>
        <v>1.4823378253451746E-2</v>
      </c>
      <c r="Z159" s="3">
        <f t="shared" si="95"/>
        <v>1.4823378253451742E-2</v>
      </c>
      <c r="AA159" s="3">
        <f t="shared" ref="AA159:AF159" si="96">$C45*EXP(-AA$129/$A45/EXP(-$B$126))</f>
        <v>1.4823378253451713E-2</v>
      </c>
      <c r="AB159" s="3">
        <f t="shared" si="96"/>
        <v>1.4823378253451411E-2</v>
      </c>
      <c r="AC159" s="3">
        <f t="shared" si="96"/>
        <v>1.4823378253448398E-2</v>
      </c>
      <c r="AD159" s="3">
        <f t="shared" si="96"/>
        <v>1.4823378253418274E-2</v>
      </c>
      <c r="AE159" s="3">
        <f t="shared" si="96"/>
        <v>1.4823378253117034E-2</v>
      </c>
      <c r="AF159" s="3">
        <f t="shared" si="96"/>
        <v>1.4823378250104642E-2</v>
      </c>
    </row>
    <row r="160" spans="1:32" x14ac:dyDescent="0.25">
      <c r="B160" s="3">
        <f t="shared" ref="B160:Z160" si="97">$C46*EXP(-B$129/$A46/EXP(-$B$126))</f>
        <v>7.924341887142665E-4</v>
      </c>
      <c r="C160" s="3">
        <f t="shared" si="97"/>
        <v>7.924341887142665E-4</v>
      </c>
      <c r="D160" s="3">
        <f t="shared" si="97"/>
        <v>7.924341887142665E-4</v>
      </c>
      <c r="E160" s="3">
        <f t="shared" si="97"/>
        <v>7.924341887142665E-4</v>
      </c>
      <c r="F160" s="3">
        <f t="shared" si="97"/>
        <v>7.924341887142665E-4</v>
      </c>
      <c r="G160" s="3">
        <f t="shared" si="97"/>
        <v>7.924341887142665E-4</v>
      </c>
      <c r="H160" s="3">
        <f t="shared" si="97"/>
        <v>7.924341887142665E-4</v>
      </c>
      <c r="I160" s="3">
        <f t="shared" si="97"/>
        <v>7.924341887142665E-4</v>
      </c>
      <c r="J160" s="3">
        <f t="shared" si="97"/>
        <v>7.924341887142665E-4</v>
      </c>
      <c r="K160" s="3">
        <f t="shared" si="97"/>
        <v>7.924341887142665E-4</v>
      </c>
      <c r="L160" s="3">
        <f t="shared" si="97"/>
        <v>7.924341887142665E-4</v>
      </c>
      <c r="M160" s="3">
        <f t="shared" si="97"/>
        <v>7.924341887142665E-4</v>
      </c>
      <c r="N160" s="3">
        <f t="shared" si="97"/>
        <v>7.924341887142665E-4</v>
      </c>
      <c r="O160" s="3">
        <f t="shared" si="97"/>
        <v>7.924341887142665E-4</v>
      </c>
      <c r="P160" s="3">
        <f t="shared" si="97"/>
        <v>7.924341887142665E-4</v>
      </c>
      <c r="Q160" s="3">
        <f t="shared" si="97"/>
        <v>7.924341887142665E-4</v>
      </c>
      <c r="R160" s="3">
        <f t="shared" si="97"/>
        <v>7.924341887142665E-4</v>
      </c>
      <c r="S160" s="3">
        <f t="shared" si="97"/>
        <v>7.924341887142665E-4</v>
      </c>
      <c r="T160" s="3">
        <f t="shared" si="97"/>
        <v>7.924341887142665E-4</v>
      </c>
      <c r="U160" s="3">
        <f t="shared" si="97"/>
        <v>7.924341887142665E-4</v>
      </c>
      <c r="V160" s="3">
        <f t="shared" si="97"/>
        <v>7.924341887142665E-4</v>
      </c>
      <c r="W160" s="3">
        <f t="shared" si="97"/>
        <v>7.924341887142665E-4</v>
      </c>
      <c r="X160" s="3">
        <f t="shared" si="97"/>
        <v>7.924341887142665E-4</v>
      </c>
      <c r="Y160" s="3">
        <f t="shared" si="97"/>
        <v>7.924341887142665E-4</v>
      </c>
      <c r="Z160" s="3">
        <f t="shared" si="97"/>
        <v>7.924341887142665E-4</v>
      </c>
      <c r="AA160" s="3">
        <f t="shared" ref="AA160:AF160" si="98">$C46*EXP(-AA$129/$A46/EXP(-$B$126))</f>
        <v>7.9243418871426628E-4</v>
      </c>
      <c r="AB160" s="3">
        <f t="shared" si="98"/>
        <v>7.9243418871426476E-4</v>
      </c>
      <c r="AC160" s="3">
        <f t="shared" si="98"/>
        <v>7.9243418871424861E-4</v>
      </c>
      <c r="AD160" s="3">
        <f t="shared" si="98"/>
        <v>7.9243418871408761E-4</v>
      </c>
      <c r="AE160" s="3">
        <f t="shared" si="98"/>
        <v>7.9243418871247724E-4</v>
      </c>
      <c r="AF160" s="3">
        <f t="shared" si="98"/>
        <v>7.9243418869637337E-4</v>
      </c>
    </row>
    <row r="161" spans="1:34" x14ac:dyDescent="0.25">
      <c r="A161" s="11" t="s">
        <v>75</v>
      </c>
      <c r="B161" s="3">
        <f t="shared" ref="B161:Z161" si="99">$C47*EXP(-B$129/$A47/EXP(-$B$126))</f>
        <v>4.201469826442498E-3</v>
      </c>
      <c r="C161" s="3">
        <f t="shared" si="99"/>
        <v>4.201469826442498E-3</v>
      </c>
      <c r="D161" s="3">
        <f t="shared" si="99"/>
        <v>4.201469826442498E-3</v>
      </c>
      <c r="E161" s="3">
        <f t="shared" si="99"/>
        <v>4.201469826442498E-3</v>
      </c>
      <c r="F161" s="3">
        <f t="shared" si="99"/>
        <v>4.201469826442498E-3</v>
      </c>
      <c r="G161" s="3">
        <f t="shared" si="99"/>
        <v>4.201469826442498E-3</v>
      </c>
      <c r="H161" s="3">
        <f t="shared" si="99"/>
        <v>4.201469826442498E-3</v>
      </c>
      <c r="I161" s="3">
        <f t="shared" si="99"/>
        <v>4.201469826442498E-3</v>
      </c>
      <c r="J161" s="3">
        <f t="shared" si="99"/>
        <v>4.201469826442498E-3</v>
      </c>
      <c r="K161" s="3">
        <f t="shared" si="99"/>
        <v>4.201469826442498E-3</v>
      </c>
      <c r="L161" s="3">
        <f t="shared" si="99"/>
        <v>4.201469826442498E-3</v>
      </c>
      <c r="M161" s="3">
        <f t="shared" si="99"/>
        <v>4.201469826442498E-3</v>
      </c>
      <c r="N161" s="3">
        <f t="shared" si="99"/>
        <v>4.201469826442498E-3</v>
      </c>
      <c r="O161" s="3">
        <f t="shared" si="99"/>
        <v>4.201469826442498E-3</v>
      </c>
      <c r="P161" s="3">
        <f t="shared" si="99"/>
        <v>4.201469826442498E-3</v>
      </c>
      <c r="Q161" s="3">
        <f t="shared" si="99"/>
        <v>4.201469826442498E-3</v>
      </c>
      <c r="R161" s="3">
        <f t="shared" si="99"/>
        <v>4.201469826442498E-3</v>
      </c>
      <c r="S161" s="3">
        <f t="shared" si="99"/>
        <v>4.201469826442498E-3</v>
      </c>
      <c r="T161" s="3">
        <f t="shared" si="99"/>
        <v>4.201469826442498E-3</v>
      </c>
      <c r="U161" s="3">
        <f t="shared" si="99"/>
        <v>4.201469826442498E-3</v>
      </c>
      <c r="V161" s="3">
        <f t="shared" si="99"/>
        <v>4.201469826442498E-3</v>
      </c>
      <c r="W161" s="3">
        <f t="shared" si="99"/>
        <v>4.201469826442498E-3</v>
      </c>
      <c r="X161" s="3">
        <f t="shared" si="99"/>
        <v>4.201469826442498E-3</v>
      </c>
      <c r="Y161" s="3">
        <f t="shared" si="99"/>
        <v>4.201469826442498E-3</v>
      </c>
      <c r="Z161" s="3">
        <f t="shared" si="99"/>
        <v>4.201469826442498E-3</v>
      </c>
      <c r="AA161" s="3">
        <f t="shared" ref="AA161:AF161" si="100">$C47*EXP(-AA$129/$A47/EXP(-$B$126))</f>
        <v>4.201469826442498E-3</v>
      </c>
      <c r="AB161" s="3">
        <f t="shared" si="100"/>
        <v>4.2014698264424971E-3</v>
      </c>
      <c r="AC161" s="3">
        <f t="shared" si="100"/>
        <v>4.2014698264424884E-3</v>
      </c>
      <c r="AD161" s="3">
        <f t="shared" si="100"/>
        <v>4.2014698264424034E-3</v>
      </c>
      <c r="AE161" s="3">
        <f t="shared" si="100"/>
        <v>4.2014698264415491E-3</v>
      </c>
      <c r="AF161" s="3">
        <f t="shared" si="100"/>
        <v>4.2014698264330108E-3</v>
      </c>
    </row>
    <row r="162" spans="1:34" x14ac:dyDescent="0.25">
      <c r="B162" s="3">
        <f t="shared" ref="B162:Z162" si="101">$C48*EXP(-B$129/$A48/EXP(-$B$126))</f>
        <v>6.8476297618842216E-3</v>
      </c>
      <c r="C162" s="3">
        <f t="shared" si="101"/>
        <v>6.8476297618842216E-3</v>
      </c>
      <c r="D162" s="3">
        <f t="shared" si="101"/>
        <v>6.8476297618842216E-3</v>
      </c>
      <c r="E162" s="3">
        <f t="shared" si="101"/>
        <v>6.8476297618842216E-3</v>
      </c>
      <c r="F162" s="3">
        <f t="shared" si="101"/>
        <v>6.8476297618842216E-3</v>
      </c>
      <c r="G162" s="3">
        <f t="shared" si="101"/>
        <v>6.8476297618842216E-3</v>
      </c>
      <c r="H162" s="3">
        <f t="shared" si="101"/>
        <v>6.8476297618842216E-3</v>
      </c>
      <c r="I162" s="3">
        <f t="shared" si="101"/>
        <v>6.8476297618842216E-3</v>
      </c>
      <c r="J162" s="3">
        <f t="shared" si="101"/>
        <v>6.8476297618842216E-3</v>
      </c>
      <c r="K162" s="3">
        <f t="shared" si="101"/>
        <v>6.8476297618842216E-3</v>
      </c>
      <c r="L162" s="3">
        <f t="shared" si="101"/>
        <v>6.8476297618842216E-3</v>
      </c>
      <c r="M162" s="3">
        <f t="shared" si="101"/>
        <v>6.8476297618842216E-3</v>
      </c>
      <c r="N162" s="3">
        <f t="shared" si="101"/>
        <v>6.8476297618842216E-3</v>
      </c>
      <c r="O162" s="3">
        <f t="shared" si="101"/>
        <v>6.8476297618842216E-3</v>
      </c>
      <c r="P162" s="3">
        <f t="shared" si="101"/>
        <v>6.8476297618842216E-3</v>
      </c>
      <c r="Q162" s="3">
        <f t="shared" si="101"/>
        <v>6.8476297618842216E-3</v>
      </c>
      <c r="R162" s="3">
        <f t="shared" si="101"/>
        <v>6.8476297618842216E-3</v>
      </c>
      <c r="S162" s="3">
        <f t="shared" si="101"/>
        <v>6.8476297618842216E-3</v>
      </c>
      <c r="T162" s="3">
        <f t="shared" si="101"/>
        <v>6.8476297618842216E-3</v>
      </c>
      <c r="U162" s="3">
        <f t="shared" si="101"/>
        <v>6.8476297618842216E-3</v>
      </c>
      <c r="V162" s="3">
        <f t="shared" si="101"/>
        <v>6.8476297618842216E-3</v>
      </c>
      <c r="W162" s="3">
        <f t="shared" si="101"/>
        <v>6.8476297618842216E-3</v>
      </c>
      <c r="X162" s="3">
        <f t="shared" si="101"/>
        <v>6.8476297618842216E-3</v>
      </c>
      <c r="Y162" s="3">
        <f t="shared" si="101"/>
        <v>6.8476297618842216E-3</v>
      </c>
      <c r="Z162" s="3">
        <f t="shared" si="101"/>
        <v>6.8476297618842216E-3</v>
      </c>
      <c r="AA162" s="3">
        <f t="shared" ref="AA162:AF162" si="102">$C48*EXP(-AA$129/$A48/EXP(-$B$126))</f>
        <v>6.8476297618842216E-3</v>
      </c>
      <c r="AB162" s="3">
        <f t="shared" si="102"/>
        <v>6.8476297618842216E-3</v>
      </c>
      <c r="AC162" s="3">
        <f t="shared" si="102"/>
        <v>6.8476297618842198E-3</v>
      </c>
      <c r="AD162" s="3">
        <f t="shared" si="102"/>
        <v>6.8476297618842059E-3</v>
      </c>
      <c r="AE162" s="3">
        <f t="shared" si="102"/>
        <v>6.8476297618840672E-3</v>
      </c>
      <c r="AF162" s="3">
        <f t="shared" si="102"/>
        <v>6.847629761882675E-3</v>
      </c>
    </row>
    <row r="163" spans="1:34" x14ac:dyDescent="0.25">
      <c r="A163" s="79">
        <f>AVERAGE(B163:AF163)</f>
        <v>4.6524152816254424E-2</v>
      </c>
      <c r="B163" s="80">
        <f>IF($A$64&lt;=B129,IF($B$64&gt;=B129,ABS((B131-B130)/B130),0),0)</f>
        <v>7.3363587356227609E-3</v>
      </c>
      <c r="C163" s="80">
        <f t="shared" ref="C163:AF163" si="103">IF($A$64&lt;=C129,IF($B$64&gt;=C129,ABS((C131-C130)/C130),0),0)</f>
        <v>7.3444726977362675E-3</v>
      </c>
      <c r="D163" s="80">
        <f t="shared" si="103"/>
        <v>7.3399684968455088E-3</v>
      </c>
      <c r="E163" s="80">
        <f t="shared" si="103"/>
        <v>7.3436433792591696E-3</v>
      </c>
      <c r="F163" s="80">
        <f t="shared" si="103"/>
        <v>7.3946622472742521E-3</v>
      </c>
      <c r="G163" s="80">
        <f t="shared" si="103"/>
        <v>7.9039346027095243E-3</v>
      </c>
      <c r="H163" s="80">
        <f t="shared" si="103"/>
        <v>1.2467172156978885E-2</v>
      </c>
      <c r="I163" s="80">
        <f t="shared" si="103"/>
        <v>3.006395399002321E-2</v>
      </c>
      <c r="J163" s="80">
        <f t="shared" si="103"/>
        <v>3.2717999051854046E-2</v>
      </c>
      <c r="K163" s="80">
        <f t="shared" si="103"/>
        <v>3.2720293198985645E-2</v>
      </c>
      <c r="L163" s="80">
        <f t="shared" si="103"/>
        <v>3.2743268994094368E-2</v>
      </c>
      <c r="M163" s="80">
        <f t="shared" si="103"/>
        <v>3.2972545062725261E-2</v>
      </c>
      <c r="N163" s="80">
        <f t="shared" si="103"/>
        <v>3.5198263907063092E-2</v>
      </c>
      <c r="O163" s="80">
        <f t="shared" si="103"/>
        <v>5.1837936867651695E-2</v>
      </c>
      <c r="P163" s="80">
        <f t="shared" si="103"/>
        <v>6.8191545997921668E-2</v>
      </c>
      <c r="Q163" s="80">
        <f t="shared" si="103"/>
        <v>5.6826912608223333E-2</v>
      </c>
      <c r="R163" s="80">
        <f t="shared" si="103"/>
        <v>6.180243143302902E-2</v>
      </c>
      <c r="S163" s="80">
        <f t="shared" si="103"/>
        <v>6.6901618405592903E-2</v>
      </c>
      <c r="T163" s="80">
        <f t="shared" si="103"/>
        <v>7.3684788363173354E-2</v>
      </c>
      <c r="U163" s="80">
        <f t="shared" si="103"/>
        <v>7.9625404523857773E-2</v>
      </c>
      <c r="V163" s="80">
        <f t="shared" si="103"/>
        <v>7.4565153879955617E-2</v>
      </c>
      <c r="W163" s="80">
        <f t="shared" si="103"/>
        <v>4.174479050470873E-2</v>
      </c>
      <c r="X163" s="80">
        <f t="shared" si="103"/>
        <v>2.8681882095855957E-3</v>
      </c>
      <c r="Y163" s="80">
        <f t="shared" si="103"/>
        <v>3.4828014763668556E-2</v>
      </c>
      <c r="Z163" s="80">
        <f t="shared" si="103"/>
        <v>5.9005993280632142E-2</v>
      </c>
      <c r="AA163" s="80">
        <f t="shared" si="103"/>
        <v>9.2352561178323106E-2</v>
      </c>
      <c r="AB163" s="80">
        <f t="shared" si="103"/>
        <v>0.11935916813293937</v>
      </c>
      <c r="AC163" s="80">
        <f t="shared" si="103"/>
        <v>0.13172036256322975</v>
      </c>
      <c r="AD163" s="80">
        <f t="shared" si="103"/>
        <v>0.10868520273029887</v>
      </c>
      <c r="AE163" s="80">
        <f t="shared" si="103"/>
        <v>6.2393894983292716E-2</v>
      </c>
      <c r="AF163" s="80">
        <f t="shared" si="103"/>
        <v>2.3082323566311E-3</v>
      </c>
    </row>
    <row r="164" spans="1:34" x14ac:dyDescent="0.25">
      <c r="B164" s="21">
        <f>(B131-B130)^2</f>
        <v>2093.4921488442096</v>
      </c>
      <c r="C164" s="21">
        <f t="shared" ref="C164:AF164" si="104">(C131-C130)^2</f>
        <v>2098.1595676147758</v>
      </c>
      <c r="D164" s="21">
        <f t="shared" si="104"/>
        <v>2095.5656529580742</v>
      </c>
      <c r="E164" s="21">
        <f t="shared" si="104"/>
        <v>2097.658276100819</v>
      </c>
      <c r="F164" s="21">
        <f t="shared" si="104"/>
        <v>2126.9037351860666</v>
      </c>
      <c r="G164" s="21">
        <f t="shared" si="104"/>
        <v>2429.9519880137796</v>
      </c>
      <c r="H164" s="21">
        <f t="shared" si="104"/>
        <v>6045.7040404524969</v>
      </c>
      <c r="I164" s="21">
        <f t="shared" si="104"/>
        <v>35156.297336689946</v>
      </c>
      <c r="J164" s="21">
        <f t="shared" si="104"/>
        <v>41637.475902237966</v>
      </c>
      <c r="K164" s="21">
        <f t="shared" si="104"/>
        <v>41643.295954135036</v>
      </c>
      <c r="L164" s="21">
        <f t="shared" si="104"/>
        <v>41701.609690854959</v>
      </c>
      <c r="M164" s="21">
        <f t="shared" si="104"/>
        <v>42285.759375118469</v>
      </c>
      <c r="N164" s="21">
        <f t="shared" si="104"/>
        <v>48165.66412463814</v>
      </c>
      <c r="O164" s="21">
        <f t="shared" si="104"/>
        <v>104024.44705925444</v>
      </c>
      <c r="P164" s="21">
        <f t="shared" si="104"/>
        <v>174481.41643572843</v>
      </c>
      <c r="Q164" s="21">
        <f t="shared" si="104"/>
        <v>114627.3068901119</v>
      </c>
      <c r="R164" s="21">
        <f t="shared" si="104"/>
        <v>130352.7071186095</v>
      </c>
      <c r="S164" s="21">
        <f t="shared" si="104"/>
        <v>146689.66699799971</v>
      </c>
      <c r="T164" s="21">
        <f t="shared" si="104"/>
        <v>169962.75131784269</v>
      </c>
      <c r="U164" s="21">
        <f t="shared" si="104"/>
        <v>188258.30031808134</v>
      </c>
      <c r="V164" s="21">
        <f t="shared" si="104"/>
        <v>152601.87394060622</v>
      </c>
      <c r="W164" s="21">
        <f t="shared" si="104"/>
        <v>41670.22400989665</v>
      </c>
      <c r="X164" s="21">
        <f t="shared" si="104"/>
        <v>165.19147677871791</v>
      </c>
      <c r="Y164" s="21">
        <f t="shared" si="104"/>
        <v>20615.23242285131</v>
      </c>
      <c r="Z164" s="21">
        <f t="shared" si="104"/>
        <v>50732.965462240114</v>
      </c>
      <c r="AA164" s="21">
        <f t="shared" si="104"/>
        <v>106768.72913095751</v>
      </c>
      <c r="AB164" s="21">
        <f t="shared" si="104"/>
        <v>154274.47778726841</v>
      </c>
      <c r="AC164" s="21">
        <f t="shared" si="104"/>
        <v>166077.44016730346</v>
      </c>
      <c r="AD164" s="21">
        <f t="shared" si="104"/>
        <v>101487.92122251401</v>
      </c>
      <c r="AE164" s="21">
        <f t="shared" si="104"/>
        <v>30084.141785811589</v>
      </c>
      <c r="AF164" s="21">
        <f t="shared" si="104"/>
        <v>37.238903529532543</v>
      </c>
    </row>
    <row r="165" spans="1:34" x14ac:dyDescent="0.25">
      <c r="A165" s="71">
        <f>SUM(B165:AF165)</f>
        <v>2122489.5702402298</v>
      </c>
      <c r="B165" s="60">
        <f>IF($A$64&lt;=B129,IF($B$64&gt;=B129,ABS(B164),0),0)</f>
        <v>2093.4921488442096</v>
      </c>
      <c r="C165" s="60">
        <f t="shared" ref="C165:AF165" si="105">IF($A$64&lt;=C129,IF($B$64&gt;=C129,ABS(C164),0),0)</f>
        <v>2098.1595676147758</v>
      </c>
      <c r="D165" s="60">
        <f t="shared" si="105"/>
        <v>2095.5656529580742</v>
      </c>
      <c r="E165" s="60">
        <f t="shared" si="105"/>
        <v>2097.658276100819</v>
      </c>
      <c r="F165" s="60">
        <f t="shared" si="105"/>
        <v>2126.9037351860666</v>
      </c>
      <c r="G165" s="60">
        <f t="shared" si="105"/>
        <v>2429.9519880137796</v>
      </c>
      <c r="H165" s="60">
        <f t="shared" si="105"/>
        <v>6045.7040404524969</v>
      </c>
      <c r="I165" s="60">
        <f t="shared" si="105"/>
        <v>35156.297336689946</v>
      </c>
      <c r="J165" s="60">
        <f t="shared" si="105"/>
        <v>41637.475902237966</v>
      </c>
      <c r="K165" s="60">
        <f t="shared" si="105"/>
        <v>41643.295954135036</v>
      </c>
      <c r="L165" s="60">
        <f t="shared" si="105"/>
        <v>41701.609690854959</v>
      </c>
      <c r="M165" s="60">
        <f t="shared" si="105"/>
        <v>42285.759375118469</v>
      </c>
      <c r="N165" s="60">
        <f t="shared" si="105"/>
        <v>48165.66412463814</v>
      </c>
      <c r="O165" s="60">
        <f t="shared" si="105"/>
        <v>104024.44705925444</v>
      </c>
      <c r="P165" s="60">
        <f t="shared" si="105"/>
        <v>174481.41643572843</v>
      </c>
      <c r="Q165" s="60">
        <f t="shared" si="105"/>
        <v>114627.3068901119</v>
      </c>
      <c r="R165" s="60">
        <f t="shared" si="105"/>
        <v>130352.7071186095</v>
      </c>
      <c r="S165" s="60">
        <f t="shared" si="105"/>
        <v>146689.66699799971</v>
      </c>
      <c r="T165" s="60">
        <f t="shared" si="105"/>
        <v>169962.75131784269</v>
      </c>
      <c r="U165" s="60">
        <f t="shared" si="105"/>
        <v>188258.30031808134</v>
      </c>
      <c r="V165" s="60">
        <f t="shared" si="105"/>
        <v>152601.87394060622</v>
      </c>
      <c r="W165" s="60">
        <f t="shared" si="105"/>
        <v>41670.22400989665</v>
      </c>
      <c r="X165" s="60">
        <f t="shared" si="105"/>
        <v>165.19147677871791</v>
      </c>
      <c r="Y165" s="60">
        <f t="shared" si="105"/>
        <v>20615.23242285131</v>
      </c>
      <c r="Z165" s="60">
        <f t="shared" si="105"/>
        <v>50732.965462240114</v>
      </c>
      <c r="AA165" s="60">
        <f t="shared" si="105"/>
        <v>106768.72913095751</v>
      </c>
      <c r="AB165" s="60">
        <f t="shared" si="105"/>
        <v>154274.47778726841</v>
      </c>
      <c r="AC165" s="60">
        <f t="shared" si="105"/>
        <v>166077.44016730346</v>
      </c>
      <c r="AD165" s="60">
        <f t="shared" si="105"/>
        <v>101487.92122251401</v>
      </c>
      <c r="AE165" s="60">
        <f t="shared" si="105"/>
        <v>30084.141785811589</v>
      </c>
      <c r="AF165" s="60">
        <f t="shared" si="105"/>
        <v>37.238903529532543</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6190.0271509604954</v>
      </c>
      <c r="C170" s="27">
        <f t="shared" ref="C170:AF170" si="106">($C$17+SUM(C171:C201))*$B$51</f>
        <v>6181.9683835426222</v>
      </c>
      <c r="D170" s="27">
        <f t="shared" si="106"/>
        <v>6120.9240987980284</v>
      </c>
      <c r="E170" s="27">
        <f t="shared" si="106"/>
        <v>6033.1174771343467</v>
      </c>
      <c r="F170" s="27">
        <f t="shared" si="106"/>
        <v>6032.6533281003813</v>
      </c>
      <c r="G170" s="27">
        <f t="shared" si="106"/>
        <v>6032.6127048121562</v>
      </c>
      <c r="H170" s="27">
        <f t="shared" si="106"/>
        <v>6032.2067667102619</v>
      </c>
      <c r="I170" s="27">
        <f t="shared" si="106"/>
        <v>6028.1767176020221</v>
      </c>
      <c r="J170" s="27">
        <f t="shared" si="106"/>
        <v>5990.6686024347091</v>
      </c>
      <c r="K170" s="27">
        <f t="shared" si="106"/>
        <v>5794.4067753058662</v>
      </c>
      <c r="L170" s="27">
        <f t="shared" si="106"/>
        <v>5676.8458190166803</v>
      </c>
      <c r="M170" s="27">
        <f t="shared" si="106"/>
        <v>5560.9087934971285</v>
      </c>
      <c r="N170" s="27">
        <f t="shared" si="106"/>
        <v>5426.0039728892853</v>
      </c>
      <c r="O170" s="27">
        <f t="shared" si="106"/>
        <v>5279.6762032450551</v>
      </c>
      <c r="P170" s="27">
        <f t="shared" si="106"/>
        <v>5118.2190954926236</v>
      </c>
      <c r="Q170" s="27">
        <f t="shared" si="106"/>
        <v>4951.5201563950859</v>
      </c>
      <c r="R170" s="27">
        <f t="shared" si="106"/>
        <v>4788.7578612742154</v>
      </c>
      <c r="S170" s="27">
        <f t="shared" si="106"/>
        <v>4617.8873145696944</v>
      </c>
      <c r="T170" s="27">
        <f t="shared" si="106"/>
        <v>4411.9423826182283</v>
      </c>
      <c r="U170" s="27">
        <f t="shared" si="106"/>
        <v>4180.4989687912785</v>
      </c>
      <c r="V170" s="27">
        <f t="shared" si="106"/>
        <v>3970.088342273003</v>
      </c>
      <c r="W170" s="27">
        <f t="shared" si="106"/>
        <v>3795.9779852759289</v>
      </c>
      <c r="X170" s="27">
        <f t="shared" si="106"/>
        <v>3611.4481857371238</v>
      </c>
      <c r="Y170" s="27">
        <f t="shared" si="106"/>
        <v>3411.7268089909321</v>
      </c>
      <c r="Z170" s="27">
        <f t="shared" si="106"/>
        <v>3128.3751211988847</v>
      </c>
      <c r="AA170" s="27">
        <f t="shared" si="106"/>
        <v>2821.3376822418618</v>
      </c>
      <c r="AB170" s="27">
        <f t="shared" si="106"/>
        <v>2520.9953226145167</v>
      </c>
      <c r="AC170" s="27">
        <f t="shared" si="106"/>
        <v>2255.9533859318467</v>
      </c>
      <c r="AD170" s="27">
        <f t="shared" si="106"/>
        <v>1981.2728018585706</v>
      </c>
      <c r="AE170" s="27">
        <f t="shared" si="106"/>
        <v>1765.4857290742259</v>
      </c>
      <c r="AF170" s="27">
        <f t="shared" si="106"/>
        <v>1432.8548686941401</v>
      </c>
      <c r="AG170" s="27"/>
      <c r="AH170" s="27"/>
    </row>
    <row r="171" spans="1:34" x14ac:dyDescent="0.25">
      <c r="B171" s="3">
        <f t="shared" ref="B171:AF171" si="107">$C18*EXP(-B$168/$A18/EXP(-$C$126))</f>
        <v>2.5419254670297344E-2</v>
      </c>
      <c r="C171" s="3">
        <f t="shared" si="107"/>
        <v>2.4117553855895986E-2</v>
      </c>
      <c r="D171" s="3">
        <f t="shared" si="107"/>
        <v>1.4257313670097017E-2</v>
      </c>
      <c r="E171" s="3">
        <f t="shared" si="107"/>
        <v>7.4315974855579923E-5</v>
      </c>
      <c r="F171" s="3">
        <f t="shared" si="107"/>
        <v>1.1003400626113444E-27</v>
      </c>
      <c r="G171" s="3">
        <f t="shared" si="107"/>
        <v>5.5715289373921082E-256</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4.7697666529776965E-2</v>
      </c>
      <c r="C172" s="3">
        <f t="shared" si="108"/>
        <v>4.7697665887515034E-2</v>
      </c>
      <c r="D172" s="3">
        <f t="shared" si="108"/>
        <v>4.7697659464896208E-2</v>
      </c>
      <c r="E172" s="3">
        <f t="shared" si="108"/>
        <v>4.7697595238755483E-2</v>
      </c>
      <c r="F172" s="3">
        <f t="shared" si="108"/>
        <v>4.7696952982104732E-2</v>
      </c>
      <c r="G172" s="3">
        <f t="shared" si="108"/>
        <v>4.7690530891223624E-2</v>
      </c>
      <c r="H172" s="3">
        <f t="shared" si="108"/>
        <v>4.7626357521356986E-2</v>
      </c>
      <c r="I172" s="3">
        <f t="shared" si="108"/>
        <v>4.698935411758981E-2</v>
      </c>
      <c r="J172" s="3">
        <f t="shared" si="108"/>
        <v>4.1069607572108383E-2</v>
      </c>
      <c r="K172" s="3">
        <f t="shared" si="108"/>
        <v>1.0683937249339496E-2</v>
      </c>
      <c r="L172" s="3">
        <f t="shared" si="108"/>
        <v>1.5164883677039148E-8</v>
      </c>
      <c r="M172" s="3">
        <f t="shared" si="108"/>
        <v>5.0340396436291278E-67</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9.1434549527252534E-3</v>
      </c>
      <c r="C173" s="3">
        <f t="shared" si="109"/>
        <v>9.1434549416188875E-3</v>
      </c>
      <c r="D173" s="3">
        <f t="shared" si="109"/>
        <v>9.143454830555231E-3</v>
      </c>
      <c r="E173" s="3">
        <f t="shared" si="109"/>
        <v>9.1434537199187402E-3</v>
      </c>
      <c r="F173" s="3">
        <f t="shared" si="109"/>
        <v>9.1434426135612468E-3</v>
      </c>
      <c r="G173" s="3">
        <f t="shared" si="109"/>
        <v>9.1433315507283008E-3</v>
      </c>
      <c r="H173" s="3">
        <f t="shared" si="109"/>
        <v>9.1422209965938365E-3</v>
      </c>
      <c r="I173" s="3">
        <f t="shared" si="109"/>
        <v>9.1311228714153047E-3</v>
      </c>
      <c r="J173" s="3">
        <f t="shared" si="109"/>
        <v>9.0208799139850013E-3</v>
      </c>
      <c r="K173" s="3">
        <f t="shared" si="109"/>
        <v>7.9890667264668324E-3</v>
      </c>
      <c r="L173" s="3">
        <f t="shared" si="109"/>
        <v>2.371196352274816E-3</v>
      </c>
      <c r="M173" s="3">
        <f t="shared" si="109"/>
        <v>1.2580045597739845E-8</v>
      </c>
      <c r="N173" s="3">
        <f t="shared" si="109"/>
        <v>2.222435603271656E-61</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2.3869497919540489E-2</v>
      </c>
      <c r="C174" s="3">
        <f t="shared" si="110"/>
        <v>2.3869497916925008E-2</v>
      </c>
      <c r="D174" s="3">
        <f t="shared" si="110"/>
        <v>2.3869497890770201E-2</v>
      </c>
      <c r="E174" s="3">
        <f t="shared" si="110"/>
        <v>2.3869497629222136E-2</v>
      </c>
      <c r="F174" s="3">
        <f t="shared" si="110"/>
        <v>2.386949501374163E-2</v>
      </c>
      <c r="G174" s="3">
        <f t="shared" si="110"/>
        <v>2.3869468858952355E-2</v>
      </c>
      <c r="H174" s="3">
        <f t="shared" si="110"/>
        <v>2.3869207312635841E-2</v>
      </c>
      <c r="I174" s="3">
        <f t="shared" si="110"/>
        <v>2.3866592007087645E-2</v>
      </c>
      <c r="J174" s="3">
        <f t="shared" si="110"/>
        <v>2.3840454706910732E-2</v>
      </c>
      <c r="K174" s="3">
        <f t="shared" si="110"/>
        <v>2.3580650866740296E-2</v>
      </c>
      <c r="L174" s="3">
        <f t="shared" si="110"/>
        <v>2.1133349050644755E-2</v>
      </c>
      <c r="M174" s="3">
        <f t="shared" si="110"/>
        <v>7.0646996953270076E-3</v>
      </c>
      <c r="N174" s="3">
        <f t="shared" si="110"/>
        <v>1.2312535649815567E-7</v>
      </c>
      <c r="O174" s="3">
        <f t="shared" si="110"/>
        <v>3.1833577927946825E-55</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2.1807397888199017E-2</v>
      </c>
      <c r="C175" s="3">
        <f t="shared" si="111"/>
        <v>2.180739788798346E-2</v>
      </c>
      <c r="D175" s="3">
        <f t="shared" si="111"/>
        <v>2.1807397885827907E-2</v>
      </c>
      <c r="E175" s="3">
        <f t="shared" si="111"/>
        <v>2.1807397864272382E-2</v>
      </c>
      <c r="F175" s="3">
        <f t="shared" si="111"/>
        <v>2.1807397648717097E-2</v>
      </c>
      <c r="G175" s="3">
        <f t="shared" si="111"/>
        <v>2.1807395493164402E-2</v>
      </c>
      <c r="H175" s="3">
        <f t="shared" si="111"/>
        <v>2.1807373937649154E-2</v>
      </c>
      <c r="I175" s="3">
        <f t="shared" si="111"/>
        <v>2.1807158383668552E-2</v>
      </c>
      <c r="J175" s="3">
        <f t="shared" si="111"/>
        <v>2.1805002961043894E-2</v>
      </c>
      <c r="K175" s="3">
        <f t="shared" si="111"/>
        <v>2.1783460448648838E-2</v>
      </c>
      <c r="L175" s="3">
        <f t="shared" si="111"/>
        <v>2.1569202437087882E-2</v>
      </c>
      <c r="M175" s="3">
        <f t="shared" si="111"/>
        <v>1.9539175641064433E-2</v>
      </c>
      <c r="N175" s="3">
        <f t="shared" si="111"/>
        <v>7.2715624824585042E-3</v>
      </c>
      <c r="O175" s="3">
        <f t="shared" si="111"/>
        <v>3.7054654995330696E-7</v>
      </c>
      <c r="P175" s="3">
        <f t="shared" si="111"/>
        <v>4.3751516603204484E-50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2.6177921314183346E-2</v>
      </c>
      <c r="C176" s="3">
        <f t="shared" si="112"/>
        <v>2.617792131416E-2</v>
      </c>
      <c r="D176" s="3">
        <f t="shared" si="112"/>
        <v>2.6177921313926582E-2</v>
      </c>
      <c r="E176" s="3">
        <f t="shared" si="112"/>
        <v>2.6177921311592391E-2</v>
      </c>
      <c r="F176" s="3">
        <f t="shared" si="112"/>
        <v>2.6177921288250472E-2</v>
      </c>
      <c r="G176" s="3">
        <f t="shared" si="112"/>
        <v>2.6177921054831275E-2</v>
      </c>
      <c r="H176" s="3">
        <f t="shared" si="112"/>
        <v>2.6177918720639428E-2</v>
      </c>
      <c r="I176" s="3">
        <f t="shared" si="112"/>
        <v>2.6177895378732375E-2</v>
      </c>
      <c r="J176" s="3">
        <f t="shared" si="112"/>
        <v>2.6177661960806588E-2</v>
      </c>
      <c r="K176" s="3">
        <f t="shared" si="112"/>
        <v>2.6175327896016905E-2</v>
      </c>
      <c r="L176" s="3">
        <f t="shared" si="112"/>
        <v>2.6151998691161919E-2</v>
      </c>
      <c r="M176" s="3">
        <f t="shared" si="112"/>
        <v>2.5919847180541983E-2</v>
      </c>
      <c r="N176" s="3">
        <f t="shared" si="112"/>
        <v>2.3708711120880448E-2</v>
      </c>
      <c r="O176" s="3">
        <f t="shared" si="112"/>
        <v>9.7199275663372511E-3</v>
      </c>
      <c r="P176" s="3">
        <f t="shared" si="112"/>
        <v>1.3038086671684936E-6</v>
      </c>
      <c r="Q176" s="3">
        <f t="shared" si="112"/>
        <v>2.4587944009752753E-45</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2.8069625647986787E-2</v>
      </c>
      <c r="C177" s="3">
        <f t="shared" si="113"/>
        <v>2.8069625647984528E-2</v>
      </c>
      <c r="D177" s="3">
        <f t="shared" si="113"/>
        <v>2.8069625647961949E-2</v>
      </c>
      <c r="E177" s="3">
        <f t="shared" si="113"/>
        <v>2.8069625647736171E-2</v>
      </c>
      <c r="F177" s="3">
        <f t="shared" si="113"/>
        <v>2.8069625645478373E-2</v>
      </c>
      <c r="G177" s="3">
        <f t="shared" si="113"/>
        <v>2.8069625622900416E-2</v>
      </c>
      <c r="H177" s="3">
        <f t="shared" si="113"/>
        <v>2.8069625397120858E-2</v>
      </c>
      <c r="I177" s="3">
        <f t="shared" si="113"/>
        <v>2.8069623139325352E-2</v>
      </c>
      <c r="J177" s="3">
        <f t="shared" si="113"/>
        <v>2.8069600561380279E-2</v>
      </c>
      <c r="K177" s="3">
        <f t="shared" si="113"/>
        <v>2.8069374782928397E-2</v>
      </c>
      <c r="L177" s="3">
        <f t="shared" si="113"/>
        <v>2.8067117098290111E-2</v>
      </c>
      <c r="M177" s="3">
        <f t="shared" si="113"/>
        <v>2.8044550236991136E-2</v>
      </c>
      <c r="N177" s="3">
        <f t="shared" si="113"/>
        <v>2.7819877167094012E-2</v>
      </c>
      <c r="O177" s="3">
        <f t="shared" si="113"/>
        <v>2.5669800597216241E-2</v>
      </c>
      <c r="P177" s="3">
        <f t="shared" si="113"/>
        <v>1.1484057670065337E-2</v>
      </c>
      <c r="Q177" s="3">
        <f t="shared" si="113"/>
        <v>3.6882815095194794E-6</v>
      </c>
      <c r="R177" s="3">
        <f t="shared" si="113"/>
        <v>4.3063668858367618E-41</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2.8604071067653079E-2</v>
      </c>
      <c r="C178" s="3">
        <f t="shared" si="114"/>
        <v>2.8604071067652868E-2</v>
      </c>
      <c r="D178" s="3">
        <f t="shared" si="114"/>
        <v>2.8604071067650793E-2</v>
      </c>
      <c r="E178" s="3">
        <f t="shared" si="114"/>
        <v>2.8604071067630039E-2</v>
      </c>
      <c r="F178" s="3">
        <f t="shared" si="114"/>
        <v>2.8604071067422489E-2</v>
      </c>
      <c r="G178" s="3">
        <f t="shared" si="114"/>
        <v>2.860407106534699E-2</v>
      </c>
      <c r="H178" s="3">
        <f t="shared" si="114"/>
        <v>2.8604071044592005E-2</v>
      </c>
      <c r="I178" s="3">
        <f t="shared" si="114"/>
        <v>2.8604070837042146E-2</v>
      </c>
      <c r="J178" s="3">
        <f t="shared" si="114"/>
        <v>2.8604068761543641E-2</v>
      </c>
      <c r="K178" s="3">
        <f t="shared" si="114"/>
        <v>2.8604048006566869E-2</v>
      </c>
      <c r="L178" s="3">
        <f t="shared" si="114"/>
        <v>2.8603840457627427E-2</v>
      </c>
      <c r="M178" s="3">
        <f t="shared" si="114"/>
        <v>2.8601765051059023E-2</v>
      </c>
      <c r="N178" s="3">
        <f t="shared" si="114"/>
        <v>2.8581019265753467E-2</v>
      </c>
      <c r="O178" s="3">
        <f t="shared" si="114"/>
        <v>2.8374387231815047E-2</v>
      </c>
      <c r="P178" s="3">
        <f t="shared" si="114"/>
        <v>2.6388474099270788E-2</v>
      </c>
      <c r="Q178" s="3">
        <f t="shared" si="114"/>
        <v>1.2772977445298045E-2</v>
      </c>
      <c r="R178" s="3">
        <f t="shared" si="114"/>
        <v>9.0171816265690095E-6</v>
      </c>
      <c r="S178" s="3">
        <f t="shared" si="114"/>
        <v>2.7724105252220614E-37</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2.5824539759352175E-2</v>
      </c>
      <c r="C179" s="3">
        <f t="shared" si="115"/>
        <v>2.5824539759352158E-2</v>
      </c>
      <c r="D179" s="3">
        <f t="shared" si="115"/>
        <v>2.5824539759351988E-2</v>
      </c>
      <c r="E179" s="3">
        <f t="shared" si="115"/>
        <v>2.5824539759350302E-2</v>
      </c>
      <c r="F179" s="3">
        <f t="shared" si="115"/>
        <v>2.5824539759333395E-2</v>
      </c>
      <c r="G179" s="3">
        <f t="shared" si="115"/>
        <v>2.5824539759164364E-2</v>
      </c>
      <c r="H179" s="3">
        <f t="shared" si="115"/>
        <v>2.5824539757474025E-2</v>
      </c>
      <c r="I179" s="3">
        <f t="shared" si="115"/>
        <v>2.5824539740570637E-2</v>
      </c>
      <c r="J179" s="3">
        <f t="shared" si="115"/>
        <v>2.5824539571536749E-2</v>
      </c>
      <c r="K179" s="3">
        <f t="shared" si="115"/>
        <v>2.5824537881197953E-2</v>
      </c>
      <c r="L179" s="3">
        <f t="shared" si="115"/>
        <v>2.5824520977816061E-2</v>
      </c>
      <c r="M179" s="3">
        <f t="shared" si="115"/>
        <v>2.582435194460567E-2</v>
      </c>
      <c r="N179" s="3">
        <f t="shared" si="115"/>
        <v>2.582266167335253E-2</v>
      </c>
      <c r="O179" s="3">
        <f t="shared" si="115"/>
        <v>2.5805765044423116E-2</v>
      </c>
      <c r="P179" s="3">
        <f t="shared" si="115"/>
        <v>2.5637405644562763E-2</v>
      </c>
      <c r="Q179" s="3">
        <f t="shared" si="115"/>
        <v>2.4013056187867868E-2</v>
      </c>
      <c r="R179" s="3">
        <f t="shared" si="115"/>
        <v>1.2479036576836081E-2</v>
      </c>
      <c r="S179" s="3">
        <f t="shared" si="115"/>
        <v>1.7927398138987016E-5</v>
      </c>
      <c r="T179" s="3">
        <f t="shared" si="115"/>
        <v>6.7124230917123356E-34</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3.0898133946774098E-2</v>
      </c>
      <c r="C180" s="3">
        <f t="shared" si="116"/>
        <v>3.0898133946774094E-2</v>
      </c>
      <c r="D180" s="3">
        <f t="shared" si="116"/>
        <v>3.0898133946774077E-2</v>
      </c>
      <c r="E180" s="3">
        <f t="shared" si="116"/>
        <v>3.0898133946773897E-2</v>
      </c>
      <c r="F180" s="3">
        <f t="shared" si="116"/>
        <v>3.0898133946772072E-2</v>
      </c>
      <c r="G180" s="3">
        <f t="shared" si="116"/>
        <v>3.0898133946753829E-2</v>
      </c>
      <c r="H180" s="3">
        <f t="shared" si="116"/>
        <v>3.0898133946571385E-2</v>
      </c>
      <c r="I180" s="3">
        <f t="shared" si="116"/>
        <v>3.0898133944746987E-2</v>
      </c>
      <c r="J180" s="3">
        <f t="shared" si="116"/>
        <v>3.089813392650299E-2</v>
      </c>
      <c r="K180" s="3">
        <f t="shared" si="116"/>
        <v>3.0898133744063003E-2</v>
      </c>
      <c r="L180" s="3">
        <f t="shared" si="116"/>
        <v>3.0898131919663212E-2</v>
      </c>
      <c r="M180" s="3">
        <f t="shared" si="116"/>
        <v>3.0898113675671236E-2</v>
      </c>
      <c r="N180" s="3">
        <f t="shared" si="116"/>
        <v>3.0897931236343944E-2</v>
      </c>
      <c r="O180" s="3">
        <f t="shared" si="116"/>
        <v>3.0896106902317148E-2</v>
      </c>
      <c r="P180" s="3">
        <f t="shared" si="116"/>
        <v>3.0877869485367596E-2</v>
      </c>
      <c r="Q180" s="3">
        <f t="shared" si="116"/>
        <v>3.0696086355694287E-2</v>
      </c>
      <c r="R180" s="3">
        <f t="shared" si="116"/>
        <v>2.8936087943590334E-2</v>
      </c>
      <c r="S180" s="3">
        <f t="shared" si="116"/>
        <v>1.6032745279676838E-2</v>
      </c>
      <c r="T180" s="3">
        <f t="shared" si="116"/>
        <v>4.37208567401972E-5</v>
      </c>
      <c r="U180" s="3">
        <f t="shared" si="116"/>
        <v>9.942517694746867E-31</v>
      </c>
      <c r="V180" s="3">
        <f t="shared" si="116"/>
        <v>3.6776759669624874E-287</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3.9211561859274865E-2</v>
      </c>
      <c r="C181" s="3">
        <f t="shared" si="117"/>
        <v>3.9211561859274865E-2</v>
      </c>
      <c r="D181" s="3">
        <f t="shared" si="117"/>
        <v>3.9211561859274859E-2</v>
      </c>
      <c r="E181" s="3">
        <f t="shared" si="117"/>
        <v>3.9211561859274845E-2</v>
      </c>
      <c r="F181" s="3">
        <f t="shared" si="117"/>
        <v>3.9211561859274636E-2</v>
      </c>
      <c r="G181" s="3">
        <f t="shared" si="117"/>
        <v>3.9211561859272548E-2</v>
      </c>
      <c r="H181" s="3">
        <f t="shared" si="117"/>
        <v>3.9211561859251655E-2</v>
      </c>
      <c r="I181" s="3">
        <f t="shared" si="117"/>
        <v>3.9211561859042801E-2</v>
      </c>
      <c r="J181" s="3">
        <f t="shared" si="117"/>
        <v>3.9211561856954236E-2</v>
      </c>
      <c r="K181" s="3">
        <f t="shared" si="117"/>
        <v>3.9211561836068561E-2</v>
      </c>
      <c r="L181" s="3">
        <f t="shared" si="117"/>
        <v>3.9211561627211816E-2</v>
      </c>
      <c r="M181" s="3">
        <f t="shared" si="117"/>
        <v>3.9211559538644414E-2</v>
      </c>
      <c r="N181" s="3">
        <f t="shared" si="117"/>
        <v>3.9211538652976483E-2</v>
      </c>
      <c r="O181" s="3">
        <f t="shared" si="117"/>
        <v>3.921132979690909E-2</v>
      </c>
      <c r="P181" s="3">
        <f t="shared" si="117"/>
        <v>3.920924129741888E-2</v>
      </c>
      <c r="Q181" s="3">
        <f t="shared" si="117"/>
        <v>3.9188362419685679E-2</v>
      </c>
      <c r="R181" s="3">
        <f t="shared" si="117"/>
        <v>3.8980184155406557E-2</v>
      </c>
      <c r="S181" s="3">
        <f t="shared" si="117"/>
        <v>3.6958266586615073E-2</v>
      </c>
      <c r="T181" s="3">
        <f t="shared" si="117"/>
        <v>2.169644931940657E-2</v>
      </c>
      <c r="U181" s="3">
        <f t="shared" si="117"/>
        <v>1.0547739388059797E-4</v>
      </c>
      <c r="V181" s="3">
        <f t="shared" si="117"/>
        <v>7.777976669430174E-28</v>
      </c>
      <c r="W181" s="3">
        <f t="shared" si="117"/>
        <v>3.6977631448274231E-259</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3.991776240613705E-2</v>
      </c>
      <c r="C182" s="3">
        <f t="shared" si="118"/>
        <v>3.991776240613705E-2</v>
      </c>
      <c r="D182" s="3">
        <f t="shared" si="118"/>
        <v>3.991776240613705E-2</v>
      </c>
      <c r="E182" s="3">
        <f t="shared" si="118"/>
        <v>3.991776240613705E-2</v>
      </c>
      <c r="F182" s="3">
        <f t="shared" si="118"/>
        <v>3.9917762406137029E-2</v>
      </c>
      <c r="G182" s="3">
        <f t="shared" si="118"/>
        <v>3.9917762406136835E-2</v>
      </c>
      <c r="H182" s="3">
        <f t="shared" si="118"/>
        <v>3.991776240613492E-2</v>
      </c>
      <c r="I182" s="3">
        <f t="shared" si="118"/>
        <v>3.9917762406115741E-2</v>
      </c>
      <c r="J182" s="3">
        <f t="shared" si="118"/>
        <v>3.9917762405923943E-2</v>
      </c>
      <c r="K182" s="3">
        <f t="shared" si="118"/>
        <v>3.9917762404005942E-2</v>
      </c>
      <c r="L182" s="3">
        <f t="shared" si="118"/>
        <v>3.9917762384826007E-2</v>
      </c>
      <c r="M182" s="3">
        <f t="shared" si="118"/>
        <v>3.9917762193026653E-2</v>
      </c>
      <c r="N182" s="3">
        <f t="shared" si="118"/>
        <v>3.9917760275033132E-2</v>
      </c>
      <c r="O182" s="3">
        <f t="shared" si="118"/>
        <v>3.9917741095102995E-2</v>
      </c>
      <c r="P182" s="3">
        <f t="shared" si="118"/>
        <v>3.9917549296308481E-2</v>
      </c>
      <c r="Q182" s="3">
        <f t="shared" si="118"/>
        <v>3.9915631359048624E-2</v>
      </c>
      <c r="R182" s="3">
        <f t="shared" si="118"/>
        <v>3.9896457054081437E-2</v>
      </c>
      <c r="S182" s="3">
        <f t="shared" si="118"/>
        <v>3.9705219867776947E-2</v>
      </c>
      <c r="T182" s="3">
        <f t="shared" si="118"/>
        <v>3.7842546459447957E-2</v>
      </c>
      <c r="U182" s="3">
        <f t="shared" si="118"/>
        <v>2.3404955941195515E-2</v>
      </c>
      <c r="V182" s="3">
        <f t="shared" si="118"/>
        <v>1.9168255046019702E-4</v>
      </c>
      <c r="W182" s="3">
        <f t="shared" si="118"/>
        <v>2.6021366119137937E-25</v>
      </c>
      <c r="X182" s="3">
        <f t="shared" si="118"/>
        <v>5.5310200461376365E-234</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2.7879487424106172E-2</v>
      </c>
      <c r="C183" s="3">
        <f t="shared" si="119"/>
        <v>2.7879487424106172E-2</v>
      </c>
      <c r="D183" s="3">
        <f t="shared" si="119"/>
        <v>2.7879487424106172E-2</v>
      </c>
      <c r="E183" s="3">
        <f t="shared" si="119"/>
        <v>2.7879487424106172E-2</v>
      </c>
      <c r="F183" s="3">
        <f t="shared" si="119"/>
        <v>2.7879487424106172E-2</v>
      </c>
      <c r="G183" s="3">
        <f t="shared" si="119"/>
        <v>2.7879487424106158E-2</v>
      </c>
      <c r="H183" s="3">
        <f t="shared" si="119"/>
        <v>2.787948742410604E-2</v>
      </c>
      <c r="I183" s="3">
        <f t="shared" si="119"/>
        <v>2.7879487424104829E-2</v>
      </c>
      <c r="J183" s="3">
        <f t="shared" si="119"/>
        <v>2.7879487424092745E-2</v>
      </c>
      <c r="K183" s="3">
        <f t="shared" si="119"/>
        <v>2.7879487423971904E-2</v>
      </c>
      <c r="L183" s="3">
        <f t="shared" si="119"/>
        <v>2.7879487422763499E-2</v>
      </c>
      <c r="M183" s="3">
        <f t="shared" si="119"/>
        <v>2.7879487410679454E-2</v>
      </c>
      <c r="N183" s="3">
        <f t="shared" si="119"/>
        <v>2.7879487289839005E-2</v>
      </c>
      <c r="O183" s="3">
        <f t="shared" si="119"/>
        <v>2.7879486081434535E-2</v>
      </c>
      <c r="P183" s="3">
        <f t="shared" si="119"/>
        <v>2.7879473997392691E-2</v>
      </c>
      <c r="Q183" s="3">
        <f t="shared" si="119"/>
        <v>2.7879353157262372E-2</v>
      </c>
      <c r="R183" s="3">
        <f t="shared" si="119"/>
        <v>2.7878144784765951E-2</v>
      </c>
      <c r="S183" s="3">
        <f t="shared" si="119"/>
        <v>2.786606394001858E-2</v>
      </c>
      <c r="T183" s="3">
        <f t="shared" si="119"/>
        <v>2.7745543052860366E-2</v>
      </c>
      <c r="U183" s="3">
        <f t="shared" si="119"/>
        <v>2.6568634343703632E-2</v>
      </c>
      <c r="V183" s="3">
        <f t="shared" si="119"/>
        <v>1.7223811127948723E-2</v>
      </c>
      <c r="W183" s="3">
        <f t="shared" si="119"/>
        <v>2.2580288238446285E-4</v>
      </c>
      <c r="X183" s="3">
        <f t="shared" si="119"/>
        <v>3.3863492803838201E-23</v>
      </c>
      <c r="Y183" s="3">
        <f t="shared" si="119"/>
        <v>1.9487424455162408E-211</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3.1696336900802431E-2</v>
      </c>
      <c r="C184" s="3">
        <f t="shared" si="120"/>
        <v>3.1696336900802431E-2</v>
      </c>
      <c r="D184" s="3">
        <f t="shared" si="120"/>
        <v>3.1696336900802431E-2</v>
      </c>
      <c r="E184" s="3">
        <f t="shared" si="120"/>
        <v>3.1696336900802431E-2</v>
      </c>
      <c r="F184" s="3">
        <f t="shared" si="120"/>
        <v>3.1696336900802431E-2</v>
      </c>
      <c r="G184" s="3">
        <f t="shared" si="120"/>
        <v>3.1696336900802431E-2</v>
      </c>
      <c r="H184" s="3">
        <f t="shared" si="120"/>
        <v>3.1696336900802417E-2</v>
      </c>
      <c r="I184" s="3">
        <f t="shared" si="120"/>
        <v>3.1696336900802292E-2</v>
      </c>
      <c r="J184" s="3">
        <f t="shared" si="120"/>
        <v>3.1696336900801057E-2</v>
      </c>
      <c r="K184" s="3">
        <f t="shared" si="120"/>
        <v>3.1696336900788664E-2</v>
      </c>
      <c r="L184" s="3">
        <f t="shared" si="120"/>
        <v>3.1696336900664729E-2</v>
      </c>
      <c r="M184" s="3">
        <f t="shared" si="120"/>
        <v>3.1696336899425415E-2</v>
      </c>
      <c r="N184" s="3">
        <f t="shared" si="120"/>
        <v>3.1696336887032217E-2</v>
      </c>
      <c r="O184" s="3">
        <f t="shared" si="120"/>
        <v>3.1696336763100283E-2</v>
      </c>
      <c r="P184" s="3">
        <f t="shared" si="120"/>
        <v>3.1696335523781011E-2</v>
      </c>
      <c r="Q184" s="3">
        <f t="shared" si="120"/>
        <v>3.1696323130590891E-2</v>
      </c>
      <c r="R184" s="3">
        <f t="shared" si="120"/>
        <v>3.1696199198956242E-2</v>
      </c>
      <c r="S184" s="3">
        <f t="shared" si="120"/>
        <v>3.1694959909260675E-2</v>
      </c>
      <c r="T184" s="3">
        <f t="shared" si="120"/>
        <v>3.1682569677016763E-2</v>
      </c>
      <c r="U184" s="3">
        <f t="shared" si="120"/>
        <v>3.1558933440655169E-2</v>
      </c>
      <c r="V184" s="3">
        <f t="shared" si="120"/>
        <v>3.0348798733196375E-2</v>
      </c>
      <c r="W184" s="3">
        <f t="shared" si="120"/>
        <v>2.0527373568118935E-2</v>
      </c>
      <c r="X184" s="3">
        <f t="shared" si="120"/>
        <v>4.1138854056227441E-4</v>
      </c>
      <c r="Y184" s="3">
        <f t="shared" si="120"/>
        <v>4.2997205568052034E-21</v>
      </c>
      <c r="Z184" s="3">
        <f t="shared" si="120"/>
        <v>6.6883754408459668E-191</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2.7472650949533099E-2</v>
      </c>
      <c r="C185" s="3">
        <f t="shared" si="121"/>
        <v>2.7472650949533099E-2</v>
      </c>
      <c r="D185" s="3">
        <f t="shared" si="121"/>
        <v>2.7472650949533099E-2</v>
      </c>
      <c r="E185" s="3">
        <f t="shared" si="121"/>
        <v>2.7472650949533099E-2</v>
      </c>
      <c r="F185" s="3">
        <f t="shared" si="121"/>
        <v>2.7472650949533099E-2</v>
      </c>
      <c r="G185" s="3">
        <f t="shared" si="121"/>
        <v>2.7472650949533099E-2</v>
      </c>
      <c r="H185" s="3">
        <f t="shared" si="121"/>
        <v>2.7472650949533099E-2</v>
      </c>
      <c r="I185" s="3">
        <f t="shared" si="121"/>
        <v>2.7472650949533085E-2</v>
      </c>
      <c r="J185" s="3">
        <f t="shared" si="121"/>
        <v>2.7472650949532992E-2</v>
      </c>
      <c r="K185" s="3">
        <f t="shared" si="121"/>
        <v>2.7472650949532024E-2</v>
      </c>
      <c r="L185" s="3">
        <f t="shared" si="121"/>
        <v>2.7472650949522334E-2</v>
      </c>
      <c r="M185" s="3">
        <f t="shared" si="121"/>
        <v>2.7472650949425435E-2</v>
      </c>
      <c r="N185" s="3">
        <f t="shared" si="121"/>
        <v>2.7472650948456436E-2</v>
      </c>
      <c r="O185" s="3">
        <f t="shared" si="121"/>
        <v>2.7472650938766496E-2</v>
      </c>
      <c r="P185" s="3">
        <f t="shared" si="121"/>
        <v>2.7472650841867046E-2</v>
      </c>
      <c r="Q185" s="3">
        <f t="shared" si="121"/>
        <v>2.7472649872872595E-2</v>
      </c>
      <c r="R185" s="3">
        <f t="shared" si="121"/>
        <v>2.7472640182929935E-2</v>
      </c>
      <c r="S185" s="3">
        <f t="shared" si="121"/>
        <v>2.7472543283691326E-2</v>
      </c>
      <c r="T185" s="3">
        <f t="shared" si="121"/>
        <v>2.7471574310102668E-2</v>
      </c>
      <c r="U185" s="3">
        <f t="shared" si="121"/>
        <v>2.7461886453713561E-2</v>
      </c>
      <c r="V185" s="3">
        <f t="shared" si="121"/>
        <v>2.7365195594521462E-2</v>
      </c>
      <c r="W185" s="3">
        <f t="shared" si="121"/>
        <v>2.6416814805051859E-2</v>
      </c>
      <c r="X185" s="3">
        <f t="shared" si="121"/>
        <v>1.8565190119523726E-2</v>
      </c>
      <c r="Y185" s="3">
        <f t="shared" si="121"/>
        <v>5.4561825918480469E-4</v>
      </c>
      <c r="Z185" s="3">
        <f t="shared" si="121"/>
        <v>2.6229127325060848E-19</v>
      </c>
      <c r="AA185" s="3">
        <f t="shared" si="121"/>
        <v>1.7287543999315868E-172</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4.6468539028017564E-2</v>
      </c>
      <c r="C186" s="3">
        <f t="shared" si="122"/>
        <v>4.6468539028017564E-2</v>
      </c>
      <c r="D186" s="3">
        <f t="shared" si="122"/>
        <v>4.6468539028017564E-2</v>
      </c>
      <c r="E186" s="3">
        <f t="shared" si="122"/>
        <v>4.6468539028017564E-2</v>
      </c>
      <c r="F186" s="3">
        <f t="shared" si="122"/>
        <v>4.6468539028017564E-2</v>
      </c>
      <c r="G186" s="3">
        <f t="shared" si="122"/>
        <v>4.6468539028017564E-2</v>
      </c>
      <c r="H186" s="3">
        <f t="shared" si="122"/>
        <v>4.6468539028017564E-2</v>
      </c>
      <c r="I186" s="3">
        <f t="shared" si="122"/>
        <v>4.6468539028017564E-2</v>
      </c>
      <c r="J186" s="3">
        <f t="shared" si="122"/>
        <v>4.646853902801755E-2</v>
      </c>
      <c r="K186" s="3">
        <f t="shared" si="122"/>
        <v>4.6468539028017397E-2</v>
      </c>
      <c r="L186" s="3">
        <f t="shared" si="122"/>
        <v>4.6468539028015926E-2</v>
      </c>
      <c r="M186" s="3">
        <f t="shared" si="122"/>
        <v>4.6468539028001139E-2</v>
      </c>
      <c r="N186" s="3">
        <f t="shared" si="122"/>
        <v>4.6468539027853285E-2</v>
      </c>
      <c r="O186" s="3">
        <f t="shared" si="122"/>
        <v>4.6468539026374767E-2</v>
      </c>
      <c r="P186" s="3">
        <f t="shared" si="122"/>
        <v>4.64685390115896E-2</v>
      </c>
      <c r="Q186" s="3">
        <f t="shared" si="122"/>
        <v>4.646853886373789E-2</v>
      </c>
      <c r="R186" s="3">
        <f t="shared" si="122"/>
        <v>4.6468537385220852E-2</v>
      </c>
      <c r="S186" s="3">
        <f t="shared" si="122"/>
        <v>4.6468522600053068E-2</v>
      </c>
      <c r="T186" s="3">
        <f t="shared" si="122"/>
        <v>4.6468374748633967E-2</v>
      </c>
      <c r="U186" s="3">
        <f t="shared" si="122"/>
        <v>4.6466896260316172E-2</v>
      </c>
      <c r="V186" s="3">
        <f t="shared" si="122"/>
        <v>4.6452113964156792E-2</v>
      </c>
      <c r="W186" s="3">
        <f t="shared" si="122"/>
        <v>4.630454940012297E-2</v>
      </c>
      <c r="X186" s="3">
        <f t="shared" si="122"/>
        <v>4.4854441888616495E-2</v>
      </c>
      <c r="Y186" s="3">
        <f t="shared" si="122"/>
        <v>3.2630475779869425E-2</v>
      </c>
      <c r="Z186" s="3">
        <f t="shared" si="122"/>
        <v>1.3545745007759345E-3</v>
      </c>
      <c r="AA186" s="3">
        <f t="shared" si="122"/>
        <v>2.0587224166257925E-17</v>
      </c>
      <c r="AB186" s="3">
        <f t="shared" si="122"/>
        <v>1.3537758670483014E-155</v>
      </c>
      <c r="AC186" s="3">
        <f t="shared" si="122"/>
        <v>0</v>
      </c>
      <c r="AD186" s="3">
        <f t="shared" si="122"/>
        <v>0</v>
      </c>
      <c r="AE186" s="3">
        <f t="shared" si="122"/>
        <v>0</v>
      </c>
      <c r="AF186" s="3">
        <f t="shared" si="122"/>
        <v>0</v>
      </c>
      <c r="AG186" s="3"/>
      <c r="AH186" s="3"/>
    </row>
    <row r="187" spans="2:34" x14ac:dyDescent="0.25">
      <c r="B187" s="3">
        <f t="shared" ref="B187:AF187" si="123">$C34*EXP(-B$168/$A34/EXP(-$C$126))</f>
        <v>5.1683873282290876E-2</v>
      </c>
      <c r="C187" s="3">
        <f t="shared" si="123"/>
        <v>5.1683873282290876E-2</v>
      </c>
      <c r="D187" s="3">
        <f t="shared" si="123"/>
        <v>5.1683873282290876E-2</v>
      </c>
      <c r="E187" s="3">
        <f t="shared" si="123"/>
        <v>5.1683873282290876E-2</v>
      </c>
      <c r="F187" s="3">
        <f t="shared" si="123"/>
        <v>5.1683873282290876E-2</v>
      </c>
      <c r="G187" s="3">
        <f t="shared" si="123"/>
        <v>5.1683873282290876E-2</v>
      </c>
      <c r="H187" s="3">
        <f t="shared" si="123"/>
        <v>5.1683873282290876E-2</v>
      </c>
      <c r="I187" s="3">
        <f t="shared" si="123"/>
        <v>5.1683873282290876E-2</v>
      </c>
      <c r="J187" s="3">
        <f t="shared" si="123"/>
        <v>5.1683873282290876E-2</v>
      </c>
      <c r="K187" s="3">
        <f t="shared" si="123"/>
        <v>5.1683873282290863E-2</v>
      </c>
      <c r="L187" s="3">
        <f t="shared" si="123"/>
        <v>5.168387328229071E-2</v>
      </c>
      <c r="M187" s="3">
        <f t="shared" si="123"/>
        <v>5.1683873282289232E-2</v>
      </c>
      <c r="N187" s="3">
        <f t="shared" si="123"/>
        <v>5.168387328227439E-2</v>
      </c>
      <c r="O187" s="3">
        <f t="shared" si="123"/>
        <v>5.168387328212605E-2</v>
      </c>
      <c r="P187" s="3">
        <f t="shared" si="123"/>
        <v>5.1683873280642612E-2</v>
      </c>
      <c r="Q187" s="3">
        <f t="shared" si="123"/>
        <v>5.1683873265808249E-2</v>
      </c>
      <c r="R187" s="3">
        <f t="shared" si="123"/>
        <v>5.1683873117464599E-2</v>
      </c>
      <c r="S187" s="3">
        <f t="shared" si="123"/>
        <v>5.16838716340281E-2</v>
      </c>
      <c r="T187" s="3">
        <f t="shared" si="123"/>
        <v>5.168385679966548E-2</v>
      </c>
      <c r="U187" s="3">
        <f t="shared" si="123"/>
        <v>5.1683708456273417E-2</v>
      </c>
      <c r="V187" s="3">
        <f t="shared" si="123"/>
        <v>5.1682225045770337E-2</v>
      </c>
      <c r="W187" s="3">
        <f t="shared" si="123"/>
        <v>5.1667393282240397E-2</v>
      </c>
      <c r="X187" s="3">
        <f t="shared" si="123"/>
        <v>5.1519309548558018E-2</v>
      </c>
      <c r="Y187" s="3">
        <f t="shared" si="123"/>
        <v>5.0061615870527064E-2</v>
      </c>
      <c r="Z187" s="3">
        <f t="shared" si="123"/>
        <v>3.7571034890954078E-2</v>
      </c>
      <c r="AA187" s="3">
        <f t="shared" si="123"/>
        <v>2.1297866536351103E-3</v>
      </c>
      <c r="AB187" s="3">
        <f t="shared" si="123"/>
        <v>7.2973560172892476E-16</v>
      </c>
      <c r="AC187" s="3">
        <f t="shared" si="123"/>
        <v>1.6272709463160445E-140</v>
      </c>
      <c r="AD187" s="3">
        <f t="shared" si="123"/>
        <v>0</v>
      </c>
      <c r="AE187" s="3">
        <f t="shared" si="123"/>
        <v>0</v>
      </c>
      <c r="AF187" s="3">
        <f t="shared" si="123"/>
        <v>0</v>
      </c>
      <c r="AG187" s="3"/>
      <c r="AH187" s="3"/>
    </row>
    <row r="188" spans="2:34" x14ac:dyDescent="0.25">
      <c r="B188" s="3">
        <f t="shared" ref="B188:AF188" si="124">$C35*EXP(-B$168/$A35/EXP(-$C$126))</f>
        <v>5.2823026105162527E-2</v>
      </c>
      <c r="C188" s="3">
        <f t="shared" si="124"/>
        <v>5.2823026105162527E-2</v>
      </c>
      <c r="D188" s="3">
        <f t="shared" si="124"/>
        <v>5.2823026105162527E-2</v>
      </c>
      <c r="E188" s="3">
        <f t="shared" si="124"/>
        <v>5.2823026105162527E-2</v>
      </c>
      <c r="F188" s="3">
        <f t="shared" si="124"/>
        <v>5.2823026105162527E-2</v>
      </c>
      <c r="G188" s="3">
        <f t="shared" si="124"/>
        <v>5.2823026105162527E-2</v>
      </c>
      <c r="H188" s="3">
        <f t="shared" si="124"/>
        <v>5.2823026105162527E-2</v>
      </c>
      <c r="I188" s="3">
        <f t="shared" si="124"/>
        <v>5.2823026105162527E-2</v>
      </c>
      <c r="J188" s="3">
        <f t="shared" si="124"/>
        <v>5.2823026105162527E-2</v>
      </c>
      <c r="K188" s="3">
        <f t="shared" si="124"/>
        <v>5.2823026105162527E-2</v>
      </c>
      <c r="L188" s="3">
        <f t="shared" si="124"/>
        <v>5.2823026105162506E-2</v>
      </c>
      <c r="M188" s="3">
        <f t="shared" si="124"/>
        <v>5.2823026105162374E-2</v>
      </c>
      <c r="N188" s="3">
        <f t="shared" si="124"/>
        <v>5.2823026105161007E-2</v>
      </c>
      <c r="O188" s="3">
        <f t="shared" si="124"/>
        <v>5.282302610514733E-2</v>
      </c>
      <c r="P188" s="3">
        <f t="shared" si="124"/>
        <v>5.2823026105010565E-2</v>
      </c>
      <c r="Q188" s="3">
        <f t="shared" si="124"/>
        <v>5.2823026103642888E-2</v>
      </c>
      <c r="R188" s="3">
        <f t="shared" si="124"/>
        <v>5.2823026089966106E-2</v>
      </c>
      <c r="S188" s="3">
        <f t="shared" si="124"/>
        <v>5.2823025953198328E-2</v>
      </c>
      <c r="T188" s="3">
        <f t="shared" si="124"/>
        <v>5.28230245855206E-2</v>
      </c>
      <c r="U188" s="3">
        <f t="shared" si="124"/>
        <v>5.2823010908745242E-2</v>
      </c>
      <c r="V188" s="3">
        <f t="shared" si="124"/>
        <v>5.2822874141186409E-2</v>
      </c>
      <c r="W188" s="3">
        <f t="shared" si="124"/>
        <v>5.28215064850742E-2</v>
      </c>
      <c r="X188" s="3">
        <f t="shared" si="124"/>
        <v>5.2807831871377137E-2</v>
      </c>
      <c r="Y188" s="3">
        <f t="shared" si="124"/>
        <v>5.2671280290477858E-2</v>
      </c>
      <c r="Z188" s="3">
        <f t="shared" si="124"/>
        <v>5.1325034989101029E-2</v>
      </c>
      <c r="AA188" s="3">
        <f t="shared" si="124"/>
        <v>3.9617133193436099E-2</v>
      </c>
      <c r="AB188" s="3">
        <f t="shared" si="124"/>
        <v>2.9745478545817224E-3</v>
      </c>
      <c r="AC188" s="3">
        <f t="shared" si="124"/>
        <v>1.6935581261131055E-14</v>
      </c>
      <c r="AD188" s="3">
        <f t="shared" si="124"/>
        <v>6.0616600264537165E-127</v>
      </c>
      <c r="AE188" s="3">
        <f t="shared" si="124"/>
        <v>0</v>
      </c>
      <c r="AF188" s="3">
        <f t="shared" si="124"/>
        <v>0</v>
      </c>
      <c r="AG188" s="3"/>
      <c r="AH188" s="3"/>
    </row>
    <row r="189" spans="2:34" x14ac:dyDescent="0.25">
      <c r="B189" s="3">
        <f t="shared" ref="B189:AF189" si="125">$C36*EXP(-B$168/$A36/EXP(-$C$126))</f>
        <v>4.2291417760733988E-2</v>
      </c>
      <c r="C189" s="3">
        <f t="shared" si="125"/>
        <v>4.2291417760733988E-2</v>
      </c>
      <c r="D189" s="3">
        <f t="shared" si="125"/>
        <v>4.2291417760733988E-2</v>
      </c>
      <c r="E189" s="3">
        <f t="shared" si="125"/>
        <v>4.2291417760733988E-2</v>
      </c>
      <c r="F189" s="3">
        <f t="shared" si="125"/>
        <v>4.2291417760733988E-2</v>
      </c>
      <c r="G189" s="3">
        <f t="shared" si="125"/>
        <v>4.2291417760733988E-2</v>
      </c>
      <c r="H189" s="3">
        <f t="shared" si="125"/>
        <v>4.2291417760733988E-2</v>
      </c>
      <c r="I189" s="3">
        <f t="shared" si="125"/>
        <v>4.2291417760733988E-2</v>
      </c>
      <c r="J189" s="3">
        <f t="shared" si="125"/>
        <v>4.2291417760733988E-2</v>
      </c>
      <c r="K189" s="3">
        <f t="shared" si="125"/>
        <v>4.2291417760733988E-2</v>
      </c>
      <c r="L189" s="3">
        <f t="shared" si="125"/>
        <v>4.2291417760733988E-2</v>
      </c>
      <c r="M189" s="3">
        <f t="shared" si="125"/>
        <v>4.2291417760733981E-2</v>
      </c>
      <c r="N189" s="3">
        <f t="shared" si="125"/>
        <v>4.2291417760733876E-2</v>
      </c>
      <c r="O189" s="3">
        <f t="shared" si="125"/>
        <v>4.2291417760732891E-2</v>
      </c>
      <c r="P189" s="3">
        <f t="shared" si="125"/>
        <v>4.229141776072301E-2</v>
      </c>
      <c r="Q189" s="3">
        <f t="shared" si="125"/>
        <v>4.2291417760624235E-2</v>
      </c>
      <c r="R189" s="3">
        <f t="shared" si="125"/>
        <v>4.2291417759636456E-2</v>
      </c>
      <c r="S189" s="3">
        <f t="shared" si="125"/>
        <v>4.2291417749758677E-2</v>
      </c>
      <c r="T189" s="3">
        <f t="shared" si="125"/>
        <v>4.2291417650980878E-2</v>
      </c>
      <c r="U189" s="3">
        <f t="shared" si="125"/>
        <v>4.2291416663202915E-2</v>
      </c>
      <c r="V189" s="3">
        <f t="shared" si="125"/>
        <v>4.2291406785424521E-2</v>
      </c>
      <c r="W189" s="3">
        <f t="shared" si="125"/>
        <v>4.2291308007767474E-2</v>
      </c>
      <c r="X189" s="3">
        <f t="shared" si="125"/>
        <v>4.2290320243885966E-2</v>
      </c>
      <c r="Y189" s="3">
        <f t="shared" si="125"/>
        <v>4.2280443873854108E-2</v>
      </c>
      <c r="Z189" s="3">
        <f t="shared" si="125"/>
        <v>4.2181806942278882E-2</v>
      </c>
      <c r="AA189" s="3">
        <f t="shared" si="125"/>
        <v>4.1208005629752603E-2</v>
      </c>
      <c r="AB189" s="3">
        <f t="shared" si="125"/>
        <v>3.2624642507586954E-2</v>
      </c>
      <c r="AC189" s="3">
        <f t="shared" si="125"/>
        <v>3.1563664195345051E-3</v>
      </c>
      <c r="AD189" s="3">
        <f t="shared" si="125"/>
        <v>2.2677957776258556E-13</v>
      </c>
      <c r="AE189" s="3">
        <f t="shared" si="125"/>
        <v>8.3132190276172181E-115</v>
      </c>
      <c r="AF189" s="3">
        <f t="shared" si="125"/>
        <v>0</v>
      </c>
      <c r="AG189" s="3"/>
      <c r="AH189" s="3"/>
    </row>
    <row r="190" spans="2:34" x14ac:dyDescent="0.25">
      <c r="B190" s="3">
        <f t="shared" ref="B190:AF190" si="126">$C37*EXP(-B$168/$A37/EXP(-$C$126))</f>
        <v>5.3725706170150357E-2</v>
      </c>
      <c r="C190" s="3">
        <f t="shared" si="126"/>
        <v>5.3725706170150357E-2</v>
      </c>
      <c r="D190" s="3">
        <f t="shared" si="126"/>
        <v>5.3725706170150357E-2</v>
      </c>
      <c r="E190" s="3">
        <f t="shared" si="126"/>
        <v>5.3725706170150357E-2</v>
      </c>
      <c r="F190" s="3">
        <f t="shared" si="126"/>
        <v>5.3725706170150357E-2</v>
      </c>
      <c r="G190" s="3">
        <f t="shared" si="126"/>
        <v>5.3725706170150357E-2</v>
      </c>
      <c r="H190" s="3">
        <f t="shared" si="126"/>
        <v>5.3725706170150357E-2</v>
      </c>
      <c r="I190" s="3">
        <f t="shared" si="126"/>
        <v>5.3725706170150357E-2</v>
      </c>
      <c r="J190" s="3">
        <f t="shared" si="126"/>
        <v>5.3725706170150357E-2</v>
      </c>
      <c r="K190" s="3">
        <f t="shared" si="126"/>
        <v>5.3725706170150357E-2</v>
      </c>
      <c r="L190" s="3">
        <f t="shared" si="126"/>
        <v>5.3725706170150357E-2</v>
      </c>
      <c r="M190" s="3">
        <f t="shared" si="126"/>
        <v>5.3725706170150357E-2</v>
      </c>
      <c r="N190" s="3">
        <f t="shared" si="126"/>
        <v>5.3725706170150343E-2</v>
      </c>
      <c r="O190" s="3">
        <f t="shared" si="126"/>
        <v>5.3725706170150232E-2</v>
      </c>
      <c r="P190" s="3">
        <f t="shared" si="126"/>
        <v>5.3725706170149101E-2</v>
      </c>
      <c r="Q190" s="3">
        <f t="shared" si="126"/>
        <v>5.3725706170137777E-2</v>
      </c>
      <c r="R190" s="3">
        <f t="shared" si="126"/>
        <v>5.3725706170024583E-2</v>
      </c>
      <c r="S190" s="3">
        <f t="shared" si="126"/>
        <v>5.3725706168892613E-2</v>
      </c>
      <c r="T190" s="3">
        <f t="shared" si="126"/>
        <v>5.3725706157572883E-2</v>
      </c>
      <c r="U190" s="3">
        <f t="shared" si="126"/>
        <v>5.3725706044375654E-2</v>
      </c>
      <c r="V190" s="3">
        <f t="shared" si="126"/>
        <v>5.3725704912403312E-2</v>
      </c>
      <c r="W190" s="3">
        <f t="shared" si="126"/>
        <v>5.3725693592681249E-2</v>
      </c>
      <c r="X190" s="3">
        <f t="shared" si="126"/>
        <v>5.3725580395591784E-2</v>
      </c>
      <c r="Y190" s="3">
        <f t="shared" si="126"/>
        <v>5.3724448437814529E-2</v>
      </c>
      <c r="Z190" s="3">
        <f t="shared" si="126"/>
        <v>5.3713130171681736E-2</v>
      </c>
      <c r="AA190" s="3">
        <f t="shared" si="126"/>
        <v>5.3600078572137513E-2</v>
      </c>
      <c r="AB190" s="3">
        <f t="shared" si="126"/>
        <v>5.2482567156428829E-2</v>
      </c>
      <c r="AC190" s="3">
        <f t="shared" si="126"/>
        <v>4.2511997213688757E-2</v>
      </c>
      <c r="AD190" s="3">
        <f t="shared" si="126"/>
        <v>5.1698256022512969E-3</v>
      </c>
      <c r="AE190" s="3">
        <f t="shared" si="126"/>
        <v>3.6569560118483339E-12</v>
      </c>
      <c r="AF190" s="3">
        <f t="shared" si="126"/>
        <v>1.1469861425984325E-103</v>
      </c>
      <c r="AG190" s="3"/>
      <c r="AH190" s="3"/>
    </row>
    <row r="191" spans="2:34" x14ac:dyDescent="0.25">
      <c r="B191" s="3">
        <f t="shared" ref="B191:AF191" si="127">$C38*EXP(-B$168/$A38/EXP(-$C$126))</f>
        <v>0</v>
      </c>
      <c r="C191" s="3">
        <f t="shared" si="127"/>
        <v>0</v>
      </c>
      <c r="D191" s="3">
        <f t="shared" si="127"/>
        <v>0</v>
      </c>
      <c r="E191" s="3">
        <f t="shared" si="127"/>
        <v>0</v>
      </c>
      <c r="F191" s="3">
        <f t="shared" si="127"/>
        <v>0</v>
      </c>
      <c r="G191" s="3">
        <f t="shared" si="127"/>
        <v>0</v>
      </c>
      <c r="H191" s="3">
        <f t="shared" si="127"/>
        <v>0</v>
      </c>
      <c r="I191" s="3">
        <f t="shared" si="127"/>
        <v>0</v>
      </c>
      <c r="J191" s="3">
        <f t="shared" si="127"/>
        <v>0</v>
      </c>
      <c r="K191" s="3">
        <f t="shared" si="127"/>
        <v>0</v>
      </c>
      <c r="L191" s="3">
        <f t="shared" si="127"/>
        <v>0</v>
      </c>
      <c r="M191" s="3">
        <f t="shared" si="127"/>
        <v>0</v>
      </c>
      <c r="N191" s="3">
        <f t="shared" si="127"/>
        <v>0</v>
      </c>
      <c r="O191" s="3">
        <f t="shared" si="127"/>
        <v>0</v>
      </c>
      <c r="P191" s="3">
        <f t="shared" si="127"/>
        <v>0</v>
      </c>
      <c r="Q191" s="3">
        <f t="shared" si="127"/>
        <v>0</v>
      </c>
      <c r="R191" s="3">
        <f t="shared" si="127"/>
        <v>0</v>
      </c>
      <c r="S191" s="3">
        <f t="shared" si="127"/>
        <v>0</v>
      </c>
      <c r="T191" s="3">
        <f t="shared" si="127"/>
        <v>0</v>
      </c>
      <c r="U191" s="3">
        <f t="shared" si="127"/>
        <v>0</v>
      </c>
      <c r="V191" s="3">
        <f t="shared" si="127"/>
        <v>0</v>
      </c>
      <c r="W191" s="3">
        <f t="shared" si="127"/>
        <v>0</v>
      </c>
      <c r="X191" s="3">
        <f t="shared" si="127"/>
        <v>0</v>
      </c>
      <c r="Y191" s="3">
        <f t="shared" si="127"/>
        <v>0</v>
      </c>
      <c r="Z191" s="3">
        <f t="shared" si="127"/>
        <v>0</v>
      </c>
      <c r="AA191" s="3">
        <f t="shared" si="127"/>
        <v>0</v>
      </c>
      <c r="AB191" s="3">
        <f t="shared" si="127"/>
        <v>0</v>
      </c>
      <c r="AC191" s="3">
        <f t="shared" si="127"/>
        <v>0</v>
      </c>
      <c r="AD191" s="3">
        <f t="shared" si="127"/>
        <v>0</v>
      </c>
      <c r="AE191" s="3">
        <f t="shared" si="127"/>
        <v>0</v>
      </c>
      <c r="AF191" s="3">
        <f t="shared" si="127"/>
        <v>0</v>
      </c>
      <c r="AG191" s="3"/>
      <c r="AH191" s="3"/>
    </row>
    <row r="192" spans="2:34" x14ac:dyDescent="0.25">
      <c r="B192" s="3">
        <f t="shared" ref="B192:AF192" si="128">$C39*EXP(-B$168/$A39/EXP(-$C$126))</f>
        <v>7.2666327012941595E-2</v>
      </c>
      <c r="C192" s="3">
        <f t="shared" si="128"/>
        <v>7.2666327012941595E-2</v>
      </c>
      <c r="D192" s="3">
        <f t="shared" si="128"/>
        <v>7.2666327012941595E-2</v>
      </c>
      <c r="E192" s="3">
        <f t="shared" si="128"/>
        <v>7.2666327012941595E-2</v>
      </c>
      <c r="F192" s="3">
        <f t="shared" si="128"/>
        <v>7.2666327012941595E-2</v>
      </c>
      <c r="G192" s="3">
        <f t="shared" si="128"/>
        <v>7.2666327012941595E-2</v>
      </c>
      <c r="H192" s="3">
        <f t="shared" si="128"/>
        <v>7.2666327012941595E-2</v>
      </c>
      <c r="I192" s="3">
        <f t="shared" si="128"/>
        <v>7.2666327012941595E-2</v>
      </c>
      <c r="J192" s="3">
        <f t="shared" si="128"/>
        <v>7.2666327012941595E-2</v>
      </c>
      <c r="K192" s="3">
        <f t="shared" si="128"/>
        <v>7.2666327012941595E-2</v>
      </c>
      <c r="L192" s="3">
        <f t="shared" si="128"/>
        <v>7.2666327012941595E-2</v>
      </c>
      <c r="M192" s="3">
        <f t="shared" si="128"/>
        <v>7.2666327012941595E-2</v>
      </c>
      <c r="N192" s="3">
        <f t="shared" si="128"/>
        <v>7.2666327012941595E-2</v>
      </c>
      <c r="O192" s="3">
        <f t="shared" si="128"/>
        <v>7.2666327012941581E-2</v>
      </c>
      <c r="P192" s="3">
        <f t="shared" si="128"/>
        <v>7.2666327012941553E-2</v>
      </c>
      <c r="Q192" s="3">
        <f t="shared" si="128"/>
        <v>7.2666327012941165E-2</v>
      </c>
      <c r="R192" s="3">
        <f t="shared" si="128"/>
        <v>7.2666327012937348E-2</v>
      </c>
      <c r="S192" s="3">
        <f t="shared" si="128"/>
        <v>7.2666327012899157E-2</v>
      </c>
      <c r="T192" s="3">
        <f t="shared" si="128"/>
        <v>7.2666327012517171E-2</v>
      </c>
      <c r="U192" s="3">
        <f t="shared" si="128"/>
        <v>7.2666327008697323E-2</v>
      </c>
      <c r="V192" s="3">
        <f t="shared" si="128"/>
        <v>7.266632697049881E-2</v>
      </c>
      <c r="W192" s="3">
        <f t="shared" si="128"/>
        <v>7.2666326588513783E-2</v>
      </c>
      <c r="X192" s="3">
        <f t="shared" si="128"/>
        <v>7.2666322768663555E-2</v>
      </c>
      <c r="Y192" s="3">
        <f t="shared" si="128"/>
        <v>7.2666284570172351E-2</v>
      </c>
      <c r="Z192" s="3">
        <f t="shared" si="128"/>
        <v>7.2665902586364697E-2</v>
      </c>
      <c r="AA192" s="3">
        <f t="shared" si="128"/>
        <v>7.2662082858724719E-2</v>
      </c>
      <c r="AB192" s="3">
        <f t="shared" si="128"/>
        <v>7.262389662383123E-2</v>
      </c>
      <c r="AC192" s="3">
        <f t="shared" si="128"/>
        <v>7.2243136280998724E-2</v>
      </c>
      <c r="AD192" s="3">
        <f t="shared" si="128"/>
        <v>6.8543619888735266E-2</v>
      </c>
      <c r="AE192" s="3">
        <f t="shared" si="128"/>
        <v>4.0520191005966912E-2</v>
      </c>
      <c r="AF192" s="3">
        <f t="shared" si="128"/>
        <v>2.1121072073055109E-4</v>
      </c>
      <c r="AG192" s="3"/>
      <c r="AH192" s="3"/>
    </row>
    <row r="193" spans="1:34" x14ac:dyDescent="0.25">
      <c r="B193" s="3">
        <f t="shared" ref="B193:AF193" si="129">$C40*EXP(-B$168/$A40/EXP(-$C$126))</f>
        <v>2.5077417845043044E-2</v>
      </c>
      <c r="C193" s="3">
        <f t="shared" si="129"/>
        <v>2.5077417845043044E-2</v>
      </c>
      <c r="D193" s="3">
        <f t="shared" si="129"/>
        <v>2.5077417845043044E-2</v>
      </c>
      <c r="E193" s="3">
        <f t="shared" si="129"/>
        <v>2.5077417845043044E-2</v>
      </c>
      <c r="F193" s="3">
        <f t="shared" si="129"/>
        <v>2.5077417845043044E-2</v>
      </c>
      <c r="G193" s="3">
        <f t="shared" si="129"/>
        <v>2.5077417845043044E-2</v>
      </c>
      <c r="H193" s="3">
        <f t="shared" si="129"/>
        <v>2.5077417845043044E-2</v>
      </c>
      <c r="I193" s="3">
        <f t="shared" si="129"/>
        <v>2.5077417845043044E-2</v>
      </c>
      <c r="J193" s="3">
        <f t="shared" si="129"/>
        <v>2.5077417845043044E-2</v>
      </c>
      <c r="K193" s="3">
        <f t="shared" si="129"/>
        <v>2.5077417845043044E-2</v>
      </c>
      <c r="L193" s="3">
        <f t="shared" si="129"/>
        <v>2.5077417845043044E-2</v>
      </c>
      <c r="M193" s="3">
        <f t="shared" si="129"/>
        <v>2.5077417845043044E-2</v>
      </c>
      <c r="N193" s="3">
        <f t="shared" si="129"/>
        <v>2.5077417845043044E-2</v>
      </c>
      <c r="O193" s="3">
        <f t="shared" si="129"/>
        <v>2.5077417845043044E-2</v>
      </c>
      <c r="P193" s="3">
        <f t="shared" si="129"/>
        <v>2.507741784504304E-2</v>
      </c>
      <c r="Q193" s="3">
        <f t="shared" si="129"/>
        <v>2.507741784504303E-2</v>
      </c>
      <c r="R193" s="3">
        <f t="shared" si="129"/>
        <v>2.5077417845042894E-2</v>
      </c>
      <c r="S193" s="3">
        <f t="shared" si="129"/>
        <v>2.507741784504158E-2</v>
      </c>
      <c r="T193" s="3">
        <f t="shared" si="129"/>
        <v>2.5077417845028396E-2</v>
      </c>
      <c r="U193" s="3">
        <f t="shared" si="129"/>
        <v>2.5077417844896571E-2</v>
      </c>
      <c r="V193" s="3">
        <f t="shared" si="129"/>
        <v>2.507741784357833E-2</v>
      </c>
      <c r="W193" s="3">
        <f t="shared" si="129"/>
        <v>2.5077417830395885E-2</v>
      </c>
      <c r="X193" s="3">
        <f t="shared" si="129"/>
        <v>2.5077417698571434E-2</v>
      </c>
      <c r="Y193" s="3">
        <f t="shared" si="129"/>
        <v>2.5077416380327015E-2</v>
      </c>
      <c r="Z193" s="3">
        <f t="shared" si="129"/>
        <v>2.5077403197886615E-2</v>
      </c>
      <c r="AA193" s="3">
        <f t="shared" si="129"/>
        <v>2.5077271373863737E-2</v>
      </c>
      <c r="AB193" s="3">
        <f t="shared" si="129"/>
        <v>2.5075953171747024E-2</v>
      </c>
      <c r="AC193" s="3">
        <f t="shared" si="129"/>
        <v>2.5062774961044535E-2</v>
      </c>
      <c r="AD193" s="3">
        <f t="shared" si="129"/>
        <v>2.4931373160395766E-2</v>
      </c>
      <c r="AE193" s="3">
        <f t="shared" si="129"/>
        <v>2.3654656389272131E-2</v>
      </c>
      <c r="AF193" s="3">
        <f t="shared" si="129"/>
        <v>1.3983667577372065E-2</v>
      </c>
      <c r="AG193" s="3"/>
      <c r="AH193" s="3"/>
    </row>
    <row r="194" spans="1:34" x14ac:dyDescent="0.25">
      <c r="B194" s="3">
        <f t="shared" ref="B194:AF194" si="130">$C41*EXP(-B$168/$A41/EXP(-$C$126))</f>
        <v>6.9691000347133242E-2</v>
      </c>
      <c r="C194" s="3">
        <f t="shared" si="130"/>
        <v>6.9691000347133242E-2</v>
      </c>
      <c r="D194" s="3">
        <f t="shared" si="130"/>
        <v>6.9691000347133242E-2</v>
      </c>
      <c r="E194" s="3">
        <f t="shared" si="130"/>
        <v>6.9691000347133242E-2</v>
      </c>
      <c r="F194" s="3">
        <f t="shared" si="130"/>
        <v>6.9691000347133242E-2</v>
      </c>
      <c r="G194" s="3">
        <f t="shared" si="130"/>
        <v>6.9691000347133242E-2</v>
      </c>
      <c r="H194" s="3">
        <f t="shared" si="130"/>
        <v>6.9691000347133242E-2</v>
      </c>
      <c r="I194" s="3">
        <f t="shared" si="130"/>
        <v>6.9691000347133242E-2</v>
      </c>
      <c r="J194" s="3">
        <f t="shared" si="130"/>
        <v>6.9691000347133242E-2</v>
      </c>
      <c r="K194" s="3">
        <f t="shared" si="130"/>
        <v>6.9691000347133242E-2</v>
      </c>
      <c r="L194" s="3">
        <f t="shared" si="130"/>
        <v>6.9691000347133242E-2</v>
      </c>
      <c r="M194" s="3">
        <f t="shared" si="130"/>
        <v>6.9691000347133242E-2</v>
      </c>
      <c r="N194" s="3">
        <f t="shared" si="130"/>
        <v>6.9691000347133242E-2</v>
      </c>
      <c r="O194" s="3">
        <f t="shared" si="130"/>
        <v>6.9691000347133242E-2</v>
      </c>
      <c r="P194" s="3">
        <f t="shared" si="130"/>
        <v>6.9691000347133242E-2</v>
      </c>
      <c r="Q194" s="3">
        <f t="shared" si="130"/>
        <v>6.9691000347133228E-2</v>
      </c>
      <c r="R194" s="3">
        <f t="shared" si="130"/>
        <v>6.96910003471332E-2</v>
      </c>
      <c r="S194" s="3">
        <f t="shared" si="130"/>
        <v>6.9691000347132825E-2</v>
      </c>
      <c r="T194" s="3">
        <f t="shared" si="130"/>
        <v>6.9691000347129176E-2</v>
      </c>
      <c r="U194" s="3">
        <f t="shared" si="130"/>
        <v>6.9691000347092538E-2</v>
      </c>
      <c r="V194" s="3">
        <f t="shared" si="130"/>
        <v>6.9691000346726192E-2</v>
      </c>
      <c r="W194" s="3">
        <f t="shared" si="130"/>
        <v>6.9691000343062748E-2</v>
      </c>
      <c r="X194" s="3">
        <f t="shared" si="130"/>
        <v>6.9691000306428288E-2</v>
      </c>
      <c r="Y194" s="3">
        <f t="shared" si="130"/>
        <v>6.9690999940083639E-2</v>
      </c>
      <c r="Z194" s="3">
        <f t="shared" si="130"/>
        <v>6.9690996276637399E-2</v>
      </c>
      <c r="AA194" s="3">
        <f t="shared" si="130"/>
        <v>6.9690959642185468E-2</v>
      </c>
      <c r="AB194" s="3">
        <f t="shared" si="130"/>
        <v>6.9690593298725345E-2</v>
      </c>
      <c r="AC194" s="3">
        <f t="shared" si="130"/>
        <v>6.9686929970038919E-2</v>
      </c>
      <c r="AD194" s="3">
        <f t="shared" si="130"/>
        <v>6.9650307272585907E-2</v>
      </c>
      <c r="AE194" s="3">
        <f t="shared" si="130"/>
        <v>6.9285137182458878E-2</v>
      </c>
      <c r="AF194" s="3">
        <f t="shared" si="130"/>
        <v>6.5737097687748491E-2</v>
      </c>
      <c r="AG194" s="3"/>
      <c r="AH194" s="3"/>
    </row>
    <row r="195" spans="1:34" x14ac:dyDescent="0.25">
      <c r="B195" s="3">
        <f t="shared" ref="B195:AF195" si="131">$C42*EXP(-B$168/$A42/EXP(-$C$126))</f>
        <v>3.3680791941505174E-2</v>
      </c>
      <c r="C195" s="3">
        <f t="shared" si="131"/>
        <v>3.3680791941505174E-2</v>
      </c>
      <c r="D195" s="3">
        <f t="shared" si="131"/>
        <v>3.3680791941505174E-2</v>
      </c>
      <c r="E195" s="3">
        <f t="shared" si="131"/>
        <v>3.3680791941505174E-2</v>
      </c>
      <c r="F195" s="3">
        <f t="shared" si="131"/>
        <v>3.3680791941505174E-2</v>
      </c>
      <c r="G195" s="3">
        <f t="shared" si="131"/>
        <v>3.3680791941505174E-2</v>
      </c>
      <c r="H195" s="3">
        <f t="shared" si="131"/>
        <v>3.3680791941505174E-2</v>
      </c>
      <c r="I195" s="3">
        <f t="shared" si="131"/>
        <v>3.3680791941505174E-2</v>
      </c>
      <c r="J195" s="3">
        <f t="shared" si="131"/>
        <v>3.3680791941505174E-2</v>
      </c>
      <c r="K195" s="3">
        <f t="shared" si="131"/>
        <v>3.3680791941505174E-2</v>
      </c>
      <c r="L195" s="3">
        <f t="shared" si="131"/>
        <v>3.3680791941505174E-2</v>
      </c>
      <c r="M195" s="3">
        <f t="shared" si="131"/>
        <v>3.3680791941505174E-2</v>
      </c>
      <c r="N195" s="3">
        <f t="shared" si="131"/>
        <v>3.3680791941505174E-2</v>
      </c>
      <c r="O195" s="3">
        <f t="shared" si="131"/>
        <v>3.3680791941505174E-2</v>
      </c>
      <c r="P195" s="3">
        <f t="shared" si="131"/>
        <v>3.3680791941505174E-2</v>
      </c>
      <c r="Q195" s="3">
        <f t="shared" si="131"/>
        <v>3.3680791941505174E-2</v>
      </c>
      <c r="R195" s="3">
        <f t="shared" si="131"/>
        <v>3.3680791941505167E-2</v>
      </c>
      <c r="S195" s="3">
        <f t="shared" si="131"/>
        <v>3.3680791941505153E-2</v>
      </c>
      <c r="T195" s="3">
        <f t="shared" si="131"/>
        <v>3.3680791941504973E-2</v>
      </c>
      <c r="U195" s="3">
        <f t="shared" si="131"/>
        <v>3.368079194150321E-2</v>
      </c>
      <c r="V195" s="3">
        <f t="shared" si="131"/>
        <v>3.3680791941485502E-2</v>
      </c>
      <c r="W195" s="3">
        <f t="shared" si="131"/>
        <v>3.3680791941308449E-2</v>
      </c>
      <c r="X195" s="3">
        <f t="shared" si="131"/>
        <v>3.3680791939537956E-2</v>
      </c>
      <c r="Y195" s="3">
        <f t="shared" si="131"/>
        <v>3.3680791921832973E-2</v>
      </c>
      <c r="Z195" s="3">
        <f t="shared" si="131"/>
        <v>3.3680791744783174E-2</v>
      </c>
      <c r="AA195" s="3">
        <f t="shared" si="131"/>
        <v>3.3680789974285259E-2</v>
      </c>
      <c r="AB195" s="3">
        <f t="shared" si="131"/>
        <v>3.3680772269311203E-2</v>
      </c>
      <c r="AC195" s="3">
        <f t="shared" si="131"/>
        <v>3.3680595220082495E-2</v>
      </c>
      <c r="AD195" s="3">
        <f t="shared" si="131"/>
        <v>3.3678824778982687E-2</v>
      </c>
      <c r="AE195" s="3">
        <f t="shared" si="131"/>
        <v>3.3661125485715156E-2</v>
      </c>
      <c r="AF195" s="3">
        <f t="shared" si="131"/>
        <v>3.3484643332100397E-2</v>
      </c>
      <c r="AG195" s="3"/>
      <c r="AH195" s="3"/>
    </row>
    <row r="196" spans="1:34" x14ac:dyDescent="0.25">
      <c r="B196" s="3">
        <f t="shared" ref="B196:AF196" si="132">$C43*EXP(-B$168/$A43/EXP(-$C$126))</f>
        <v>4.444785280126981E-2</v>
      </c>
      <c r="C196" s="3">
        <f t="shared" si="132"/>
        <v>4.444785280126981E-2</v>
      </c>
      <c r="D196" s="3">
        <f t="shared" si="132"/>
        <v>4.444785280126981E-2</v>
      </c>
      <c r="E196" s="3">
        <f t="shared" si="132"/>
        <v>4.444785280126981E-2</v>
      </c>
      <c r="F196" s="3">
        <f t="shared" si="132"/>
        <v>4.444785280126981E-2</v>
      </c>
      <c r="G196" s="3">
        <f t="shared" si="132"/>
        <v>4.444785280126981E-2</v>
      </c>
      <c r="H196" s="3">
        <f t="shared" si="132"/>
        <v>4.444785280126981E-2</v>
      </c>
      <c r="I196" s="3">
        <f t="shared" si="132"/>
        <v>4.444785280126981E-2</v>
      </c>
      <c r="J196" s="3">
        <f t="shared" si="132"/>
        <v>4.444785280126981E-2</v>
      </c>
      <c r="K196" s="3">
        <f t="shared" si="132"/>
        <v>4.444785280126981E-2</v>
      </c>
      <c r="L196" s="3">
        <f t="shared" si="132"/>
        <v>4.444785280126981E-2</v>
      </c>
      <c r="M196" s="3">
        <f t="shared" si="132"/>
        <v>4.444785280126981E-2</v>
      </c>
      <c r="N196" s="3">
        <f t="shared" si="132"/>
        <v>4.444785280126981E-2</v>
      </c>
      <c r="O196" s="3">
        <f t="shared" si="132"/>
        <v>4.444785280126981E-2</v>
      </c>
      <c r="P196" s="3">
        <f t="shared" si="132"/>
        <v>4.444785280126981E-2</v>
      </c>
      <c r="Q196" s="3">
        <f t="shared" si="132"/>
        <v>4.444785280126981E-2</v>
      </c>
      <c r="R196" s="3">
        <f t="shared" si="132"/>
        <v>4.444785280126981E-2</v>
      </c>
      <c r="S196" s="3">
        <f t="shared" si="132"/>
        <v>4.4447852801269803E-2</v>
      </c>
      <c r="T196" s="3">
        <f t="shared" si="132"/>
        <v>4.4447852801269783E-2</v>
      </c>
      <c r="U196" s="3">
        <f t="shared" si="132"/>
        <v>4.4447852801269547E-2</v>
      </c>
      <c r="V196" s="3">
        <f t="shared" si="132"/>
        <v>4.4447852801267215E-2</v>
      </c>
      <c r="W196" s="3">
        <f t="shared" si="132"/>
        <v>4.4447852801243852E-2</v>
      </c>
      <c r="X196" s="3">
        <f t="shared" si="132"/>
        <v>4.4447852801010199E-2</v>
      </c>
      <c r="Y196" s="3">
        <f t="shared" si="132"/>
        <v>4.4447852798673713E-2</v>
      </c>
      <c r="Z196" s="3">
        <f t="shared" si="132"/>
        <v>4.4447852775308813E-2</v>
      </c>
      <c r="AA196" s="3">
        <f t="shared" si="132"/>
        <v>4.444785254165981E-2</v>
      </c>
      <c r="AB196" s="3">
        <f t="shared" si="132"/>
        <v>4.4447850205169892E-2</v>
      </c>
      <c r="AC196" s="3">
        <f t="shared" si="132"/>
        <v>4.4447826840277462E-2</v>
      </c>
      <c r="AD196" s="3">
        <f t="shared" si="132"/>
        <v>4.4447593192028637E-2</v>
      </c>
      <c r="AE196" s="3">
        <f t="shared" si="132"/>
        <v>4.4445256777091179E-2</v>
      </c>
      <c r="AF196" s="3">
        <f t="shared" si="132"/>
        <v>4.4421899381481E-2</v>
      </c>
      <c r="AG196" s="3"/>
      <c r="AH196" s="3"/>
    </row>
    <row r="197" spans="1:34" x14ac:dyDescent="0.25">
      <c r="B197" s="3">
        <f t="shared" ref="B197:AF197" si="133">$C44*EXP(-B$168/$A44/EXP(-$C$126))</f>
        <v>1.2310076575543269E-2</v>
      </c>
      <c r="C197" s="3">
        <f t="shared" si="133"/>
        <v>1.2310076575543269E-2</v>
      </c>
      <c r="D197" s="3">
        <f t="shared" si="133"/>
        <v>1.2310076575543269E-2</v>
      </c>
      <c r="E197" s="3">
        <f t="shared" si="133"/>
        <v>1.2310076575543269E-2</v>
      </c>
      <c r="F197" s="3">
        <f t="shared" si="133"/>
        <v>1.2310076575543269E-2</v>
      </c>
      <c r="G197" s="3">
        <f t="shared" si="133"/>
        <v>1.2310076575543269E-2</v>
      </c>
      <c r="H197" s="3">
        <f t="shared" si="133"/>
        <v>1.2310076575543269E-2</v>
      </c>
      <c r="I197" s="3">
        <f t="shared" si="133"/>
        <v>1.2310076575543269E-2</v>
      </c>
      <c r="J197" s="3">
        <f t="shared" si="133"/>
        <v>1.2310076575543269E-2</v>
      </c>
      <c r="K197" s="3">
        <f t="shared" si="133"/>
        <v>1.2310076575543269E-2</v>
      </c>
      <c r="L197" s="3">
        <f t="shared" si="133"/>
        <v>1.2310076575543269E-2</v>
      </c>
      <c r="M197" s="3">
        <f t="shared" si="133"/>
        <v>1.2310076575543269E-2</v>
      </c>
      <c r="N197" s="3">
        <f t="shared" si="133"/>
        <v>1.2310076575543269E-2</v>
      </c>
      <c r="O197" s="3">
        <f t="shared" si="133"/>
        <v>1.2310076575543269E-2</v>
      </c>
      <c r="P197" s="3">
        <f t="shared" si="133"/>
        <v>1.2310076575543269E-2</v>
      </c>
      <c r="Q197" s="3">
        <f t="shared" si="133"/>
        <v>1.2310076575543269E-2</v>
      </c>
      <c r="R197" s="3">
        <f t="shared" si="133"/>
        <v>1.2310076575543269E-2</v>
      </c>
      <c r="S197" s="3">
        <f t="shared" si="133"/>
        <v>1.2310076575543269E-2</v>
      </c>
      <c r="T197" s="3">
        <f t="shared" si="133"/>
        <v>1.2310076575543267E-2</v>
      </c>
      <c r="U197" s="3">
        <f t="shared" si="133"/>
        <v>1.2310076575543262E-2</v>
      </c>
      <c r="V197" s="3">
        <f t="shared" si="133"/>
        <v>1.2310076575543196E-2</v>
      </c>
      <c r="W197" s="3">
        <f t="shared" si="133"/>
        <v>1.2310076575542551E-2</v>
      </c>
      <c r="X197" s="3">
        <f t="shared" si="133"/>
        <v>1.2310076575536079E-2</v>
      </c>
      <c r="Y197" s="3">
        <f t="shared" si="133"/>
        <v>1.2310076575471368E-2</v>
      </c>
      <c r="Z197" s="3">
        <f t="shared" si="133"/>
        <v>1.2310076574824266E-2</v>
      </c>
      <c r="AA197" s="3">
        <f t="shared" si="133"/>
        <v>1.2310076568353229E-2</v>
      </c>
      <c r="AB197" s="3">
        <f t="shared" si="133"/>
        <v>1.2310076503642856E-2</v>
      </c>
      <c r="AC197" s="3">
        <f t="shared" si="133"/>
        <v>1.2310075856539161E-2</v>
      </c>
      <c r="AD197" s="3">
        <f t="shared" si="133"/>
        <v>1.2310069385504073E-2</v>
      </c>
      <c r="AE197" s="3">
        <f t="shared" si="133"/>
        <v>1.2310004675340285E-2</v>
      </c>
      <c r="AF197" s="3">
        <f t="shared" si="133"/>
        <v>1.2309357592410973E-2</v>
      </c>
      <c r="AG197" s="3"/>
      <c r="AH197" s="3"/>
    </row>
    <row r="198" spans="1:34" x14ac:dyDescent="0.25">
      <c r="B198" s="3">
        <f t="shared" ref="B198:AF198" si="134">$C45*EXP(-B$168/$A45/EXP(-$C$126))</f>
        <v>1.4823378253451746E-2</v>
      </c>
      <c r="C198" s="3">
        <f t="shared" si="134"/>
        <v>1.4823378253451746E-2</v>
      </c>
      <c r="D198" s="3">
        <f t="shared" si="134"/>
        <v>1.4823378253451746E-2</v>
      </c>
      <c r="E198" s="3">
        <f t="shared" si="134"/>
        <v>1.4823378253451746E-2</v>
      </c>
      <c r="F198" s="3">
        <f t="shared" si="134"/>
        <v>1.4823378253451746E-2</v>
      </c>
      <c r="G198" s="3">
        <f t="shared" si="134"/>
        <v>1.4823378253451746E-2</v>
      </c>
      <c r="H198" s="3">
        <f t="shared" si="134"/>
        <v>1.4823378253451746E-2</v>
      </c>
      <c r="I198" s="3">
        <f t="shared" si="134"/>
        <v>1.4823378253451746E-2</v>
      </c>
      <c r="J198" s="3">
        <f t="shared" si="134"/>
        <v>1.4823378253451746E-2</v>
      </c>
      <c r="K198" s="3">
        <f t="shared" si="134"/>
        <v>1.4823378253451746E-2</v>
      </c>
      <c r="L198" s="3">
        <f t="shared" si="134"/>
        <v>1.4823378253451746E-2</v>
      </c>
      <c r="M198" s="3">
        <f t="shared" si="134"/>
        <v>1.4823378253451746E-2</v>
      </c>
      <c r="N198" s="3">
        <f t="shared" si="134"/>
        <v>1.4823378253451746E-2</v>
      </c>
      <c r="O198" s="3">
        <f t="shared" si="134"/>
        <v>1.4823378253451746E-2</v>
      </c>
      <c r="P198" s="3">
        <f t="shared" si="134"/>
        <v>1.4823378253451746E-2</v>
      </c>
      <c r="Q198" s="3">
        <f t="shared" si="134"/>
        <v>1.4823378253451746E-2</v>
      </c>
      <c r="R198" s="3">
        <f t="shared" si="134"/>
        <v>1.4823378253451746E-2</v>
      </c>
      <c r="S198" s="3">
        <f t="shared" si="134"/>
        <v>1.4823378253451746E-2</v>
      </c>
      <c r="T198" s="3">
        <f t="shared" si="134"/>
        <v>1.4823378253451746E-2</v>
      </c>
      <c r="U198" s="3">
        <f t="shared" si="134"/>
        <v>1.4823378253451744E-2</v>
      </c>
      <c r="V198" s="3">
        <f t="shared" si="134"/>
        <v>1.4823378253451737E-2</v>
      </c>
      <c r="W198" s="3">
        <f t="shared" si="134"/>
        <v>1.4823378253451659E-2</v>
      </c>
      <c r="X198" s="3">
        <f t="shared" si="134"/>
        <v>1.482337825345088E-2</v>
      </c>
      <c r="Y198" s="3">
        <f t="shared" si="134"/>
        <v>1.4823378253443088E-2</v>
      </c>
      <c r="Z198" s="3">
        <f t="shared" si="134"/>
        <v>1.4823378253365166E-2</v>
      </c>
      <c r="AA198" s="3">
        <f t="shared" si="134"/>
        <v>1.4823378252585945E-2</v>
      </c>
      <c r="AB198" s="3">
        <f t="shared" si="134"/>
        <v>1.4823378244793741E-2</v>
      </c>
      <c r="AC198" s="3">
        <f t="shared" si="134"/>
        <v>1.4823378166871697E-2</v>
      </c>
      <c r="AD198" s="3">
        <f t="shared" si="134"/>
        <v>1.4823377387651293E-2</v>
      </c>
      <c r="AE198" s="3">
        <f t="shared" si="134"/>
        <v>1.4823369595449498E-2</v>
      </c>
      <c r="AF198" s="3">
        <f t="shared" si="134"/>
        <v>1.4823291673656829E-2</v>
      </c>
      <c r="AG198" s="3"/>
      <c r="AH198" s="3"/>
    </row>
    <row r="199" spans="1:34" x14ac:dyDescent="0.25">
      <c r="B199" s="3">
        <f t="shared" ref="B199:AF199" si="135">$C46*EXP(-B$168/$A46/EXP(-$C$126))</f>
        <v>7.924341887142665E-4</v>
      </c>
      <c r="C199" s="3">
        <f t="shared" si="135"/>
        <v>7.924341887142665E-4</v>
      </c>
      <c r="D199" s="3">
        <f t="shared" si="135"/>
        <v>7.924341887142665E-4</v>
      </c>
      <c r="E199" s="3">
        <f t="shared" si="135"/>
        <v>7.924341887142665E-4</v>
      </c>
      <c r="F199" s="3">
        <f t="shared" si="135"/>
        <v>7.924341887142665E-4</v>
      </c>
      <c r="G199" s="3">
        <f t="shared" si="135"/>
        <v>7.924341887142665E-4</v>
      </c>
      <c r="H199" s="3">
        <f t="shared" si="135"/>
        <v>7.924341887142665E-4</v>
      </c>
      <c r="I199" s="3">
        <f t="shared" si="135"/>
        <v>7.924341887142665E-4</v>
      </c>
      <c r="J199" s="3">
        <f t="shared" si="135"/>
        <v>7.924341887142665E-4</v>
      </c>
      <c r="K199" s="3">
        <f t="shared" si="135"/>
        <v>7.924341887142665E-4</v>
      </c>
      <c r="L199" s="3">
        <f t="shared" si="135"/>
        <v>7.924341887142665E-4</v>
      </c>
      <c r="M199" s="3">
        <f t="shared" si="135"/>
        <v>7.924341887142665E-4</v>
      </c>
      <c r="N199" s="3">
        <f t="shared" si="135"/>
        <v>7.924341887142665E-4</v>
      </c>
      <c r="O199" s="3">
        <f t="shared" si="135"/>
        <v>7.924341887142665E-4</v>
      </c>
      <c r="P199" s="3">
        <f t="shared" si="135"/>
        <v>7.924341887142665E-4</v>
      </c>
      <c r="Q199" s="3">
        <f t="shared" si="135"/>
        <v>7.924341887142665E-4</v>
      </c>
      <c r="R199" s="3">
        <f t="shared" si="135"/>
        <v>7.924341887142665E-4</v>
      </c>
      <c r="S199" s="3">
        <f t="shared" si="135"/>
        <v>7.924341887142665E-4</v>
      </c>
      <c r="T199" s="3">
        <f t="shared" si="135"/>
        <v>7.924341887142665E-4</v>
      </c>
      <c r="U199" s="3">
        <f t="shared" si="135"/>
        <v>7.924341887142665E-4</v>
      </c>
      <c r="V199" s="3">
        <f t="shared" si="135"/>
        <v>7.9243418871426639E-4</v>
      </c>
      <c r="W199" s="3">
        <f t="shared" si="135"/>
        <v>7.9243418871426607E-4</v>
      </c>
      <c r="X199" s="3">
        <f t="shared" si="135"/>
        <v>7.9243418871426184E-4</v>
      </c>
      <c r="Y199" s="3">
        <f t="shared" si="135"/>
        <v>7.924341887142202E-4</v>
      </c>
      <c r="Z199" s="3">
        <f t="shared" si="135"/>
        <v>7.9243418871380365E-4</v>
      </c>
      <c r="AA199" s="3">
        <f t="shared" si="135"/>
        <v>7.9243418870963804E-4</v>
      </c>
      <c r="AB199" s="3">
        <f t="shared" si="135"/>
        <v>7.9243418866798223E-4</v>
      </c>
      <c r="AC199" s="3">
        <f t="shared" si="135"/>
        <v>7.9243418825142341E-4</v>
      </c>
      <c r="AD199" s="3">
        <f t="shared" si="135"/>
        <v>7.9243418408583507E-4</v>
      </c>
      <c r="AE199" s="3">
        <f t="shared" si="135"/>
        <v>7.9243414242995353E-4</v>
      </c>
      <c r="AF199" s="3">
        <f t="shared" si="135"/>
        <v>7.9243372587125801E-4</v>
      </c>
      <c r="AG199" s="3"/>
      <c r="AH199" s="3"/>
    </row>
    <row r="200" spans="1:34" x14ac:dyDescent="0.25">
      <c r="B200" s="3">
        <f t="shared" ref="B200:AF200" si="136">$C47*EXP(-B$168/$A47/EXP(-$C$126))</f>
        <v>4.201469826442498E-3</v>
      </c>
      <c r="C200" s="3">
        <f t="shared" si="136"/>
        <v>4.201469826442498E-3</v>
      </c>
      <c r="D200" s="3">
        <f t="shared" si="136"/>
        <v>4.201469826442498E-3</v>
      </c>
      <c r="E200" s="3">
        <f t="shared" si="136"/>
        <v>4.201469826442498E-3</v>
      </c>
      <c r="F200" s="3">
        <f t="shared" si="136"/>
        <v>4.201469826442498E-3</v>
      </c>
      <c r="G200" s="3">
        <f t="shared" si="136"/>
        <v>4.201469826442498E-3</v>
      </c>
      <c r="H200" s="3">
        <f t="shared" si="136"/>
        <v>4.201469826442498E-3</v>
      </c>
      <c r="I200" s="3">
        <f t="shared" si="136"/>
        <v>4.201469826442498E-3</v>
      </c>
      <c r="J200" s="3">
        <f t="shared" si="136"/>
        <v>4.201469826442498E-3</v>
      </c>
      <c r="K200" s="3">
        <f t="shared" si="136"/>
        <v>4.201469826442498E-3</v>
      </c>
      <c r="L200" s="3">
        <f t="shared" si="136"/>
        <v>4.201469826442498E-3</v>
      </c>
      <c r="M200" s="3">
        <f t="shared" si="136"/>
        <v>4.201469826442498E-3</v>
      </c>
      <c r="N200" s="3">
        <f t="shared" si="136"/>
        <v>4.201469826442498E-3</v>
      </c>
      <c r="O200" s="3">
        <f t="shared" si="136"/>
        <v>4.201469826442498E-3</v>
      </c>
      <c r="P200" s="3">
        <f t="shared" si="136"/>
        <v>4.201469826442498E-3</v>
      </c>
      <c r="Q200" s="3">
        <f t="shared" si="136"/>
        <v>4.201469826442498E-3</v>
      </c>
      <c r="R200" s="3">
        <f t="shared" si="136"/>
        <v>4.201469826442498E-3</v>
      </c>
      <c r="S200" s="3">
        <f t="shared" si="136"/>
        <v>4.201469826442498E-3</v>
      </c>
      <c r="T200" s="3">
        <f t="shared" si="136"/>
        <v>4.201469826442498E-3</v>
      </c>
      <c r="U200" s="3">
        <f t="shared" si="136"/>
        <v>4.201469826442498E-3</v>
      </c>
      <c r="V200" s="3">
        <f t="shared" si="136"/>
        <v>4.201469826442498E-3</v>
      </c>
      <c r="W200" s="3">
        <f t="shared" si="136"/>
        <v>4.2014698264424971E-3</v>
      </c>
      <c r="X200" s="3">
        <f t="shared" si="136"/>
        <v>4.2014698264424954E-3</v>
      </c>
      <c r="Y200" s="3">
        <f t="shared" si="136"/>
        <v>4.2014698264424728E-3</v>
      </c>
      <c r="Z200" s="3">
        <f t="shared" si="136"/>
        <v>4.2014698264422525E-3</v>
      </c>
      <c r="AA200" s="3">
        <f t="shared" si="136"/>
        <v>4.2014698264400442E-3</v>
      </c>
      <c r="AB200" s="3">
        <f t="shared" si="136"/>
        <v>4.2014698264179586E-3</v>
      </c>
      <c r="AC200" s="3">
        <f t="shared" si="136"/>
        <v>4.2014698261970997E-3</v>
      </c>
      <c r="AD200" s="3">
        <f t="shared" si="136"/>
        <v>4.201469823988513E-3</v>
      </c>
      <c r="AE200" s="3">
        <f t="shared" si="136"/>
        <v>4.2014698019026495E-3</v>
      </c>
      <c r="AF200" s="3">
        <f t="shared" si="136"/>
        <v>4.2014695810440187E-3</v>
      </c>
      <c r="AG200" s="3"/>
      <c r="AH200" s="3"/>
    </row>
    <row r="201" spans="1:34" x14ac:dyDescent="0.25">
      <c r="B201" s="3">
        <f t="shared" ref="B201:AF201" si="137">$C48*EXP(-B$168/$A48/EXP(-$C$126))</f>
        <v>6.8476297618842216E-3</v>
      </c>
      <c r="C201" s="3">
        <f t="shared" si="137"/>
        <v>6.8476297618842216E-3</v>
      </c>
      <c r="D201" s="3">
        <f t="shared" si="137"/>
        <v>6.8476297618842216E-3</v>
      </c>
      <c r="E201" s="3">
        <f t="shared" si="137"/>
        <v>6.8476297618842216E-3</v>
      </c>
      <c r="F201" s="3">
        <f t="shared" si="137"/>
        <v>6.8476297618842216E-3</v>
      </c>
      <c r="G201" s="3">
        <f t="shared" si="137"/>
        <v>6.8476297618842216E-3</v>
      </c>
      <c r="H201" s="3">
        <f t="shared" si="137"/>
        <v>6.8476297618842216E-3</v>
      </c>
      <c r="I201" s="3">
        <f t="shared" si="137"/>
        <v>6.8476297618842216E-3</v>
      </c>
      <c r="J201" s="3">
        <f t="shared" si="137"/>
        <v>6.8476297618842216E-3</v>
      </c>
      <c r="K201" s="3">
        <f t="shared" si="137"/>
        <v>6.8476297618842216E-3</v>
      </c>
      <c r="L201" s="3">
        <f t="shared" si="137"/>
        <v>6.8476297618842216E-3</v>
      </c>
      <c r="M201" s="3">
        <f t="shared" si="137"/>
        <v>6.8476297618842216E-3</v>
      </c>
      <c r="N201" s="3">
        <f t="shared" si="137"/>
        <v>6.8476297618842216E-3</v>
      </c>
      <c r="O201" s="3">
        <f t="shared" si="137"/>
        <v>6.8476297618842216E-3</v>
      </c>
      <c r="P201" s="3">
        <f t="shared" si="137"/>
        <v>6.8476297618842216E-3</v>
      </c>
      <c r="Q201" s="3">
        <f t="shared" si="137"/>
        <v>6.8476297618842216E-3</v>
      </c>
      <c r="R201" s="3">
        <f t="shared" si="137"/>
        <v>6.8476297618842216E-3</v>
      </c>
      <c r="S201" s="3">
        <f t="shared" si="137"/>
        <v>6.8476297618842216E-3</v>
      </c>
      <c r="T201" s="3">
        <f t="shared" si="137"/>
        <v>6.8476297618842216E-3</v>
      </c>
      <c r="U201" s="3">
        <f t="shared" si="137"/>
        <v>6.8476297618842216E-3</v>
      </c>
      <c r="V201" s="3">
        <f t="shared" si="137"/>
        <v>6.8476297618842216E-3</v>
      </c>
      <c r="W201" s="3">
        <f t="shared" si="137"/>
        <v>6.8476297618842216E-3</v>
      </c>
      <c r="X201" s="3">
        <f t="shared" si="137"/>
        <v>6.8476297618842207E-3</v>
      </c>
      <c r="Y201" s="3">
        <f t="shared" si="137"/>
        <v>6.8476297618842181E-3</v>
      </c>
      <c r="Z201" s="3">
        <f t="shared" si="137"/>
        <v>6.8476297618841817E-3</v>
      </c>
      <c r="AA201" s="3">
        <f t="shared" si="137"/>
        <v>6.8476297618838217E-3</v>
      </c>
      <c r="AB201" s="3">
        <f t="shared" si="137"/>
        <v>6.8476297618802221E-3</v>
      </c>
      <c r="AC201" s="3">
        <f t="shared" si="137"/>
        <v>6.8476297618442258E-3</v>
      </c>
      <c r="AD201" s="3">
        <f t="shared" si="137"/>
        <v>6.8476297614842672E-3</v>
      </c>
      <c r="AE201" s="3">
        <f t="shared" si="137"/>
        <v>6.8476297578846735E-3</v>
      </c>
      <c r="AF201" s="3">
        <f t="shared" si="137"/>
        <v>6.8476297218887424E-3</v>
      </c>
      <c r="AG201" s="3"/>
      <c r="AH201" s="3"/>
    </row>
    <row r="202" spans="1:34" x14ac:dyDescent="0.25">
      <c r="A202" s="79">
        <f>AVERAGE(B202:AF202)</f>
        <v>4.6665885424700522E-2</v>
      </c>
      <c r="B202" s="80">
        <f>IF($A$64&lt;=B168,IF($B$64&gt;=B168,ABS((B170-B169)/B169),0),0)</f>
        <v>3.0403109787023241E-3</v>
      </c>
      <c r="C202" s="80">
        <f t="shared" ref="C202:AF202" si="138">IF($A$64&lt;=C168,IF($B$64&gt;=C168,ABS((C170-C169)/C169),0),0)</f>
        <v>4.3462493717730238E-3</v>
      </c>
      <c r="D202" s="80">
        <f t="shared" si="138"/>
        <v>1.4172929178141067E-2</v>
      </c>
      <c r="E202" s="80">
        <f t="shared" si="138"/>
        <v>2.8313328531227432E-2</v>
      </c>
      <c r="F202" s="80">
        <f t="shared" si="138"/>
        <v>2.838610510816323E-2</v>
      </c>
      <c r="G202" s="80">
        <f t="shared" si="138"/>
        <v>2.8377083718832463E-2</v>
      </c>
      <c r="H202" s="80">
        <f t="shared" si="138"/>
        <v>2.8289543191562776E-2</v>
      </c>
      <c r="I202" s="80">
        <f t="shared" si="138"/>
        <v>2.7463523439380782E-2</v>
      </c>
      <c r="J202" s="80">
        <f t="shared" si="138"/>
        <v>2.1755201479410295E-2</v>
      </c>
      <c r="K202" s="80">
        <f t="shared" si="138"/>
        <v>2.6102117815287089E-2</v>
      </c>
      <c r="L202" s="80">
        <f t="shared" si="138"/>
        <v>2.6648486238624935E-2</v>
      </c>
      <c r="M202" s="80">
        <f t="shared" si="138"/>
        <v>2.7556163917413758E-2</v>
      </c>
      <c r="N202" s="80">
        <f t="shared" si="138"/>
        <v>2.9455059781650909E-2</v>
      </c>
      <c r="O202" s="80">
        <f t="shared" si="138"/>
        <v>3.2234519264820086E-2</v>
      </c>
      <c r="P202" s="80">
        <f t="shared" si="138"/>
        <v>3.4849598674784758E-2</v>
      </c>
      <c r="Q202" s="80">
        <f t="shared" si="138"/>
        <v>3.6347257165970849E-2</v>
      </c>
      <c r="R202" s="80">
        <f t="shared" si="138"/>
        <v>3.6210707105001176E-2</v>
      </c>
      <c r="S202" s="80">
        <f t="shared" si="138"/>
        <v>3.8321984905052162E-2</v>
      </c>
      <c r="T202" s="80">
        <f t="shared" si="138"/>
        <v>3.9147724944720123E-2</v>
      </c>
      <c r="U202" s="80">
        <f t="shared" si="138"/>
        <v>1.5035934585130849E-2</v>
      </c>
      <c r="V202" s="80">
        <f t="shared" si="138"/>
        <v>3.8648568316059326E-2</v>
      </c>
      <c r="W202" s="80">
        <f t="shared" si="138"/>
        <v>9.6962390615423971E-2</v>
      </c>
      <c r="X202" s="80">
        <f t="shared" si="138"/>
        <v>0.13512051158676183</v>
      </c>
      <c r="Y202" s="80">
        <f t="shared" si="138"/>
        <v>0.15711362226931236</v>
      </c>
      <c r="Z202" s="80">
        <f t="shared" si="138"/>
        <v>0.13476433866852805</v>
      </c>
      <c r="AA202" s="80">
        <f t="shared" si="138"/>
        <v>9.1713939903172725E-2</v>
      </c>
      <c r="AB202" s="80">
        <f t="shared" si="138"/>
        <v>4.1022502384011873E-2</v>
      </c>
      <c r="AC202" s="80">
        <f t="shared" si="138"/>
        <v>3.830095654440454E-3</v>
      </c>
      <c r="AD202" s="80">
        <f t="shared" si="138"/>
        <v>4.0948699109618937E-2</v>
      </c>
      <c r="AE202" s="80">
        <f t="shared" si="138"/>
        <v>5.3450544224087369E-2</v>
      </c>
      <c r="AF202" s="80">
        <f t="shared" si="138"/>
        <v>0.12701340603864913</v>
      </c>
    </row>
    <row r="203" spans="1:34" x14ac:dyDescent="0.25">
      <c r="B203" s="21">
        <f>(B170-B169)^2</f>
        <v>356.34110839448152</v>
      </c>
      <c r="C203" s="21">
        <f t="shared" ref="C203:AF203" si="139">(C170-C169)^2</f>
        <v>728.22598717608389</v>
      </c>
      <c r="D203" s="21">
        <f t="shared" si="139"/>
        <v>7743.7574729029493</v>
      </c>
      <c r="E203" s="21">
        <f t="shared" si="139"/>
        <v>30903.874349306618</v>
      </c>
      <c r="F203" s="21">
        <f t="shared" si="139"/>
        <v>31062.822640697577</v>
      </c>
      <c r="G203" s="21">
        <f t="shared" si="139"/>
        <v>31042.087092082074</v>
      </c>
      <c r="H203" s="21">
        <f t="shared" si="139"/>
        <v>30841.149444048078</v>
      </c>
      <c r="I203" s="21">
        <f t="shared" si="139"/>
        <v>28978.283768044741</v>
      </c>
      <c r="J203" s="21">
        <f t="shared" si="139"/>
        <v>17749.319856929258</v>
      </c>
      <c r="K203" s="21">
        <f t="shared" si="139"/>
        <v>24118.073165709615</v>
      </c>
      <c r="L203" s="21">
        <f t="shared" si="139"/>
        <v>24155.713449146384</v>
      </c>
      <c r="M203" s="21">
        <f t="shared" si="139"/>
        <v>24831.331480532681</v>
      </c>
      <c r="N203" s="21">
        <f t="shared" si="139"/>
        <v>27117.442767531455</v>
      </c>
      <c r="O203" s="21">
        <f t="shared" si="139"/>
        <v>30925.49915134133</v>
      </c>
      <c r="P203" s="21">
        <f t="shared" si="139"/>
        <v>34154.137043362345</v>
      </c>
      <c r="Q203" s="21">
        <f t="shared" si="139"/>
        <v>34880.224081684959</v>
      </c>
      <c r="R203" s="21">
        <f t="shared" si="139"/>
        <v>32370.959510340715</v>
      </c>
      <c r="S203" s="21">
        <f t="shared" si="139"/>
        <v>33862.83212395884</v>
      </c>
      <c r="T203" s="21">
        <f t="shared" si="139"/>
        <v>32311.675252913257</v>
      </c>
      <c r="U203" s="21">
        <f t="shared" si="139"/>
        <v>4072.6428261305919</v>
      </c>
      <c r="V203" s="21">
        <f t="shared" si="139"/>
        <v>21823.776701227198</v>
      </c>
      <c r="W203" s="21">
        <f t="shared" si="139"/>
        <v>112582.40532408839</v>
      </c>
      <c r="X203" s="21">
        <f t="shared" si="139"/>
        <v>184808.26741361909</v>
      </c>
      <c r="Y203" s="21">
        <f t="shared" si="139"/>
        <v>214597.25693610887</v>
      </c>
      <c r="Z203" s="21">
        <f t="shared" si="139"/>
        <v>138030.88023030138</v>
      </c>
      <c r="AA203" s="21">
        <f t="shared" si="139"/>
        <v>56177.59312582195</v>
      </c>
      <c r="AB203" s="21">
        <f t="shared" si="139"/>
        <v>9868.8862507331305</v>
      </c>
      <c r="AC203" s="21">
        <f t="shared" si="139"/>
        <v>74.089908774680552</v>
      </c>
      <c r="AD203" s="21">
        <f t="shared" si="139"/>
        <v>7156.2432864662887</v>
      </c>
      <c r="AE203" s="21">
        <f t="shared" si="139"/>
        <v>9939.0772358490831</v>
      </c>
      <c r="AF203" s="21">
        <f t="shared" si="139"/>
        <v>43459.866026413009</v>
      </c>
      <c r="AG203" s="3"/>
      <c r="AH203" s="3"/>
    </row>
    <row r="204" spans="1:34" x14ac:dyDescent="0.25">
      <c r="A204" s="71">
        <f>SUM(B204:AF204)</f>
        <v>1280724.735011637</v>
      </c>
      <c r="B204" s="60">
        <f>IF($A$64&lt;=B168,IF($B$64&gt;=B168,ABS(B203),0),0)</f>
        <v>356.34110839448152</v>
      </c>
      <c r="C204" s="60">
        <f t="shared" ref="C204" si="140">IF($A$64&lt;=C168,IF($B$64&gt;=C168,ABS(C203),0),0)</f>
        <v>728.22598717608389</v>
      </c>
      <c r="D204" s="60">
        <f t="shared" ref="D204" si="141">IF($A$64&lt;=D168,IF($B$64&gt;=D168,ABS(D203),0),0)</f>
        <v>7743.7574729029493</v>
      </c>
      <c r="E204" s="60">
        <f t="shared" ref="E204" si="142">IF($A$64&lt;=E168,IF($B$64&gt;=E168,ABS(E203),0),0)</f>
        <v>30903.874349306618</v>
      </c>
      <c r="F204" s="60">
        <f t="shared" ref="F204" si="143">IF($A$64&lt;=F168,IF($B$64&gt;=F168,ABS(F203),0),0)</f>
        <v>31062.822640697577</v>
      </c>
      <c r="G204" s="60">
        <f t="shared" ref="G204" si="144">IF($A$64&lt;=G168,IF($B$64&gt;=G168,ABS(G203),0),0)</f>
        <v>31042.087092082074</v>
      </c>
      <c r="H204" s="60">
        <f t="shared" ref="H204" si="145">IF($A$64&lt;=H168,IF($B$64&gt;=H168,ABS(H203),0),0)</f>
        <v>30841.149444048078</v>
      </c>
      <c r="I204" s="60">
        <f t="shared" ref="I204" si="146">IF($A$64&lt;=I168,IF($B$64&gt;=I168,ABS(I203),0),0)</f>
        <v>28978.283768044741</v>
      </c>
      <c r="J204" s="60">
        <f t="shared" ref="J204" si="147">IF($A$64&lt;=J168,IF($B$64&gt;=J168,ABS(J203),0),0)</f>
        <v>17749.319856929258</v>
      </c>
      <c r="K204" s="60">
        <f t="shared" ref="K204" si="148">IF($A$64&lt;=K168,IF($B$64&gt;=K168,ABS(K203),0),0)</f>
        <v>24118.073165709615</v>
      </c>
      <c r="L204" s="60">
        <f t="shared" ref="L204" si="149">IF($A$64&lt;=L168,IF($B$64&gt;=L168,ABS(L203),0),0)</f>
        <v>24155.713449146384</v>
      </c>
      <c r="M204" s="60">
        <f t="shared" ref="M204" si="150">IF($A$64&lt;=M168,IF($B$64&gt;=M168,ABS(M203),0),0)</f>
        <v>24831.331480532681</v>
      </c>
      <c r="N204" s="60">
        <f t="shared" ref="N204" si="151">IF($A$64&lt;=N168,IF($B$64&gt;=N168,ABS(N203),0),0)</f>
        <v>27117.442767531455</v>
      </c>
      <c r="O204" s="60">
        <f t="shared" ref="O204" si="152">IF($A$64&lt;=O168,IF($B$64&gt;=O168,ABS(O203),0),0)</f>
        <v>30925.49915134133</v>
      </c>
      <c r="P204" s="60">
        <f t="shared" ref="P204" si="153">IF($A$64&lt;=P168,IF($B$64&gt;=P168,ABS(P203),0),0)</f>
        <v>34154.137043362345</v>
      </c>
      <c r="Q204" s="60">
        <f t="shared" ref="Q204" si="154">IF($A$64&lt;=Q168,IF($B$64&gt;=Q168,ABS(Q203),0),0)</f>
        <v>34880.224081684959</v>
      </c>
      <c r="R204" s="60">
        <f t="shared" ref="R204" si="155">IF($A$64&lt;=R168,IF($B$64&gt;=R168,ABS(R203),0),0)</f>
        <v>32370.959510340715</v>
      </c>
      <c r="S204" s="60">
        <f t="shared" ref="S204" si="156">IF($A$64&lt;=S168,IF($B$64&gt;=S168,ABS(S203),0),0)</f>
        <v>33862.83212395884</v>
      </c>
      <c r="T204" s="60">
        <f t="shared" ref="T204" si="157">IF($A$64&lt;=T168,IF($B$64&gt;=T168,ABS(T203),0),0)</f>
        <v>32311.675252913257</v>
      </c>
      <c r="U204" s="60">
        <f t="shared" ref="U204" si="158">IF($A$64&lt;=U168,IF($B$64&gt;=U168,ABS(U203),0),0)</f>
        <v>4072.6428261305919</v>
      </c>
      <c r="V204" s="60">
        <f t="shared" ref="V204" si="159">IF($A$64&lt;=V168,IF($B$64&gt;=V168,ABS(V203),0),0)</f>
        <v>21823.776701227198</v>
      </c>
      <c r="W204" s="60">
        <f t="shared" ref="W204" si="160">IF($A$64&lt;=W168,IF($B$64&gt;=W168,ABS(W203),0),0)</f>
        <v>112582.40532408839</v>
      </c>
      <c r="X204" s="60">
        <f t="shared" ref="X204" si="161">IF($A$64&lt;=X168,IF($B$64&gt;=X168,ABS(X203),0),0)</f>
        <v>184808.26741361909</v>
      </c>
      <c r="Y204" s="60">
        <f t="shared" ref="Y204" si="162">IF($A$64&lt;=Y168,IF($B$64&gt;=Y168,ABS(Y203),0),0)</f>
        <v>214597.25693610887</v>
      </c>
      <c r="Z204" s="60">
        <f t="shared" ref="Z204" si="163">IF($A$64&lt;=Z168,IF($B$64&gt;=Z168,ABS(Z203),0),0)</f>
        <v>138030.88023030138</v>
      </c>
      <c r="AA204" s="60">
        <f t="shared" ref="AA204" si="164">IF($A$64&lt;=AA168,IF($B$64&gt;=AA168,ABS(AA203),0),0)</f>
        <v>56177.59312582195</v>
      </c>
      <c r="AB204" s="60">
        <f t="shared" ref="AB204" si="165">IF($A$64&lt;=AB168,IF($B$64&gt;=AB168,ABS(AB203),0),0)</f>
        <v>9868.8862507331305</v>
      </c>
      <c r="AC204" s="60">
        <f t="shared" ref="AC204" si="166">IF($A$64&lt;=AC168,IF($B$64&gt;=AC168,ABS(AC203),0),0)</f>
        <v>74.089908774680552</v>
      </c>
      <c r="AD204" s="60">
        <f t="shared" ref="AD204" si="167">IF($A$64&lt;=AD168,IF($B$64&gt;=AD168,ABS(AD203),0),0)</f>
        <v>7156.2432864662887</v>
      </c>
      <c r="AE204" s="60">
        <f t="shared" ref="AE204" si="168">IF($A$64&lt;=AE168,IF($B$64&gt;=AE168,ABS(AE203),0),0)</f>
        <v>9939.0772358490831</v>
      </c>
      <c r="AF204" s="60">
        <f t="shared" ref="AF204" si="169">IF($A$64&lt;=AF168,IF($B$64&gt;=AF168,ABS(AF203),0),0)</f>
        <v>43459.866026413009</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6064.8897183279505</v>
      </c>
      <c r="C209" s="27">
        <f t="shared" ref="C209:AF209" si="170">($C$17+SUM(C210:C240))*$B$51</f>
        <v>6032.65663155329</v>
      </c>
      <c r="D209" s="27">
        <f t="shared" si="170"/>
        <v>6032.6455426008833</v>
      </c>
      <c r="E209" s="27">
        <f t="shared" si="170"/>
        <v>6032.534868953665</v>
      </c>
      <c r="F209" s="27">
        <f t="shared" si="170"/>
        <v>6031.4303189527218</v>
      </c>
      <c r="G209" s="27">
        <f t="shared" si="170"/>
        <v>6020.6005310558521</v>
      </c>
      <c r="H209" s="27">
        <f t="shared" si="170"/>
        <v>5931.2156820514138</v>
      </c>
      <c r="I209" s="27">
        <f t="shared" si="170"/>
        <v>5719.6815659395097</v>
      </c>
      <c r="J209" s="27">
        <f t="shared" si="170"/>
        <v>5636.0044599396188</v>
      </c>
      <c r="K209" s="27">
        <f t="shared" si="170"/>
        <v>5498.6401503271773</v>
      </c>
      <c r="L209" s="27">
        <f t="shared" si="170"/>
        <v>5361.7987110959721</v>
      </c>
      <c r="M209" s="27">
        <f t="shared" si="170"/>
        <v>5205.0422833887387</v>
      </c>
      <c r="N209" s="27">
        <f t="shared" si="170"/>
        <v>5038.9028825232144</v>
      </c>
      <c r="O209" s="27">
        <f t="shared" si="170"/>
        <v>4872.1699379613055</v>
      </c>
      <c r="P209" s="27">
        <f t="shared" si="170"/>
        <v>4711.6225648171658</v>
      </c>
      <c r="Q209" s="27">
        <f t="shared" si="170"/>
        <v>4525.9166652552567</v>
      </c>
      <c r="R209" s="27">
        <f t="shared" si="170"/>
        <v>4303.5584641755995</v>
      </c>
      <c r="S209" s="27">
        <f t="shared" si="170"/>
        <v>4077.9417035220658</v>
      </c>
      <c r="T209" s="27">
        <f t="shared" si="170"/>
        <v>3893.8366414920793</v>
      </c>
      <c r="U209" s="27">
        <f t="shared" si="170"/>
        <v>3714.9425668555182</v>
      </c>
      <c r="V209" s="27">
        <f t="shared" si="170"/>
        <v>3534.080622555206</v>
      </c>
      <c r="W209" s="27">
        <f t="shared" si="170"/>
        <v>3297.7980548874893</v>
      </c>
      <c r="X209" s="27">
        <f t="shared" si="170"/>
        <v>3004.9125467856761</v>
      </c>
      <c r="Y209" s="27">
        <f t="shared" si="170"/>
        <v>2699.7167007720159</v>
      </c>
      <c r="Z209" s="27">
        <f t="shared" si="170"/>
        <v>2416.4957441856736</v>
      </c>
      <c r="AA209" s="27">
        <f t="shared" si="170"/>
        <v>2144.5162569927611</v>
      </c>
      <c r="AB209" s="27">
        <f t="shared" si="170"/>
        <v>1907.1597930400728</v>
      </c>
      <c r="AC209" s="27">
        <f t="shared" si="170"/>
        <v>1587.6607565241461</v>
      </c>
      <c r="AD209" s="27">
        <f t="shared" si="170"/>
        <v>1335.2239788049274</v>
      </c>
      <c r="AE209" s="27">
        <f t="shared" si="170"/>
        <v>992.0752447733264</v>
      </c>
      <c r="AF209" s="27">
        <f t="shared" si="170"/>
        <v>731.48635129416027</v>
      </c>
      <c r="AG209" s="27"/>
      <c r="AH209" s="27"/>
    </row>
    <row r="210" spans="1:34" x14ac:dyDescent="0.25">
      <c r="B210" s="3">
        <f t="shared" ref="B210:AF210" si="171">$C18*EXP(-B$207/$A18/EXP(-$D$126))</f>
        <v>5.2063099204332766E-3</v>
      </c>
      <c r="C210" s="3">
        <f t="shared" si="171"/>
        <v>3.1333240057959186E-9</v>
      </c>
      <c r="D210" s="3">
        <f t="shared" si="171"/>
        <v>1.9532516274169964E-71</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4.7697647156533088E-2</v>
      </c>
      <c r="C211" s="3">
        <f t="shared" si="172"/>
        <v>4.7697472155432977E-2</v>
      </c>
      <c r="D211" s="3">
        <f t="shared" si="172"/>
        <v>4.7695722179745471E-2</v>
      </c>
      <c r="E211" s="3">
        <f t="shared" si="172"/>
        <v>4.7678225953755343E-2</v>
      </c>
      <c r="F211" s="3">
        <f t="shared" si="172"/>
        <v>4.750361630348534E-2</v>
      </c>
      <c r="G211" s="3">
        <f t="shared" si="172"/>
        <v>4.5792306750558509E-2</v>
      </c>
      <c r="H211" s="3">
        <f t="shared" si="172"/>
        <v>3.1728607381266906E-2</v>
      </c>
      <c r="I211" s="3">
        <f t="shared" si="172"/>
        <v>8.0916279150917742E-4</v>
      </c>
      <c r="J211" s="3">
        <f t="shared" si="172"/>
        <v>9.4163986716519644E-20</v>
      </c>
      <c r="K211" s="3">
        <f t="shared" si="172"/>
        <v>4.2891790043071575E-179</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9.1434546177118266E-3</v>
      </c>
      <c r="C212" s="3">
        <f t="shared" si="173"/>
        <v>9.1434515914851754E-3</v>
      </c>
      <c r="D212" s="3">
        <f t="shared" si="173"/>
        <v>9.1434213292737494E-3</v>
      </c>
      <c r="E212" s="3">
        <f t="shared" si="173"/>
        <v>9.1431187126682027E-3</v>
      </c>
      <c r="F212" s="3">
        <f t="shared" si="173"/>
        <v>9.1400930974157909E-3</v>
      </c>
      <c r="G212" s="3">
        <f t="shared" si="173"/>
        <v>9.1098919578066328E-3</v>
      </c>
      <c r="H212" s="3">
        <f t="shared" si="173"/>
        <v>8.8133150768562457E-3</v>
      </c>
      <c r="I212" s="3">
        <f t="shared" si="173"/>
        <v>6.3299458949379007E-3</v>
      </c>
      <c r="J212" s="3">
        <f t="shared" si="173"/>
        <v>2.3121021222380768E-4</v>
      </c>
      <c r="K212" s="3">
        <f t="shared" si="173"/>
        <v>9.7741085197578695E-19</v>
      </c>
      <c r="L212" s="3">
        <f t="shared" si="173"/>
        <v>1.7814703525485731E-162</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2.3869497840646889E-2</v>
      </c>
      <c r="C213" s="3">
        <f t="shared" si="174"/>
        <v>2.3869497127989036E-2</v>
      </c>
      <c r="D213" s="3">
        <f t="shared" si="174"/>
        <v>2.3869490001411645E-2</v>
      </c>
      <c r="E213" s="3">
        <f t="shared" si="174"/>
        <v>2.3869418735754787E-2</v>
      </c>
      <c r="F213" s="3">
        <f t="shared" si="174"/>
        <v>2.3868706090888637E-2</v>
      </c>
      <c r="G213" s="3">
        <f t="shared" si="174"/>
        <v>2.3861580812341406E-2</v>
      </c>
      <c r="H213" s="3">
        <f t="shared" si="174"/>
        <v>2.3790444909136541E-2</v>
      </c>
      <c r="I213" s="3">
        <f t="shared" si="174"/>
        <v>2.3090646010103088E-2</v>
      </c>
      <c r="J213" s="3">
        <f t="shared" si="174"/>
        <v>1.7130548869175911E-2</v>
      </c>
      <c r="K213" s="3">
        <f t="shared" si="174"/>
        <v>8.6521337733184967E-4</v>
      </c>
      <c r="L213" s="3">
        <f t="shared" si="174"/>
        <v>9.3463641945380646E-17</v>
      </c>
      <c r="M213" s="3">
        <f t="shared" si="174"/>
        <v>2.0222621034882027E-146</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2.1807397881696989E-2</v>
      </c>
      <c r="C214" s="3">
        <f t="shared" si="175"/>
        <v>2.1807397822963169E-2</v>
      </c>
      <c r="D214" s="3">
        <f t="shared" si="175"/>
        <v>2.1807397235624991E-2</v>
      </c>
      <c r="E214" s="3">
        <f t="shared" si="175"/>
        <v>2.1807391362244074E-2</v>
      </c>
      <c r="F214" s="3">
        <f t="shared" si="175"/>
        <v>2.1807332628521903E-2</v>
      </c>
      <c r="G214" s="3">
        <f t="shared" si="175"/>
        <v>2.1806745300000444E-2</v>
      </c>
      <c r="H214" s="3">
        <f t="shared" si="175"/>
        <v>2.1800872884721691E-2</v>
      </c>
      <c r="I214" s="3">
        <f t="shared" si="175"/>
        <v>2.1742235638891931E-2</v>
      </c>
      <c r="J214" s="3">
        <f t="shared" si="175"/>
        <v>2.1164467892207495E-2</v>
      </c>
      <c r="K214" s="3">
        <f t="shared" si="175"/>
        <v>1.6167352695944073E-2</v>
      </c>
      <c r="L214" s="3">
        <f t="shared" si="175"/>
        <v>1.0938417574187674E-3</v>
      </c>
      <c r="M214" s="3">
        <f t="shared" si="175"/>
        <v>2.1984184347050542E-15</v>
      </c>
      <c r="N214" s="3">
        <f t="shared" si="175"/>
        <v>2.3641168755521418E-132</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2.6177921313479256E-2</v>
      </c>
      <c r="C215" s="3">
        <f t="shared" si="176"/>
        <v>2.6177921307119125E-2</v>
      </c>
      <c r="D215" s="3">
        <f t="shared" si="176"/>
        <v>2.6177921243517803E-2</v>
      </c>
      <c r="E215" s="3">
        <f t="shared" si="176"/>
        <v>2.6177920607504596E-2</v>
      </c>
      <c r="F215" s="3">
        <f t="shared" si="176"/>
        <v>2.6177914247373372E-2</v>
      </c>
      <c r="G215" s="3">
        <f t="shared" si="176"/>
        <v>2.6177850646146132E-2</v>
      </c>
      <c r="H215" s="3">
        <f t="shared" si="176"/>
        <v>2.6177214642372479E-2</v>
      </c>
      <c r="I215" s="3">
        <f t="shared" si="176"/>
        <v>2.6170855454435378E-2</v>
      </c>
      <c r="J215" s="3">
        <f t="shared" si="176"/>
        <v>2.6107348478664708E-2</v>
      </c>
      <c r="K215" s="3">
        <f t="shared" si="176"/>
        <v>2.5480693250870868E-2</v>
      </c>
      <c r="L215" s="3">
        <f t="shared" si="176"/>
        <v>1.9984623677272956E-2</v>
      </c>
      <c r="M215" s="3">
        <f t="shared" si="176"/>
        <v>1.7601242430104499E-3</v>
      </c>
      <c r="N215" s="3">
        <f t="shared" si="176"/>
        <v>4.9432983798503483E-14</v>
      </c>
      <c r="O215" s="3">
        <f t="shared" si="176"/>
        <v>1.5092175023017856E-119</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2.8069625647918681E-2</v>
      </c>
      <c r="C216" s="3">
        <f t="shared" si="177"/>
        <v>2.8069625647303482E-2</v>
      </c>
      <c r="D216" s="3">
        <f t="shared" si="177"/>
        <v>2.8069625641151515E-2</v>
      </c>
      <c r="E216" s="3">
        <f t="shared" si="177"/>
        <v>2.8069625579631819E-2</v>
      </c>
      <c r="F216" s="3">
        <f t="shared" si="177"/>
        <v>2.8069624964434846E-2</v>
      </c>
      <c r="G216" s="3">
        <f t="shared" si="177"/>
        <v>2.806961881246588E-2</v>
      </c>
      <c r="H216" s="3">
        <f t="shared" si="177"/>
        <v>2.8069557292850357E-2</v>
      </c>
      <c r="I216" s="3">
        <f t="shared" si="177"/>
        <v>2.8068942104110803E-2</v>
      </c>
      <c r="J216" s="3">
        <f t="shared" si="177"/>
        <v>2.8062790958222415E-2</v>
      </c>
      <c r="K216" s="3">
        <f t="shared" si="177"/>
        <v>2.8001353589955563E-2</v>
      </c>
      <c r="L216" s="3">
        <f t="shared" si="177"/>
        <v>2.7394329237849815E-2</v>
      </c>
      <c r="M216" s="3">
        <f t="shared" si="177"/>
        <v>2.2002758092074044E-2</v>
      </c>
      <c r="N216" s="3">
        <f t="shared" si="177"/>
        <v>2.458338334725529E-3</v>
      </c>
      <c r="O216" s="3">
        <f t="shared" si="177"/>
        <v>7.4522419868002142E-13</v>
      </c>
      <c r="P216" s="3">
        <f t="shared" si="177"/>
        <v>4.8835979313133689E-108</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2.8604071067646817E-2</v>
      </c>
      <c r="C217" s="3">
        <f t="shared" si="178"/>
        <v>2.8604071067590262E-2</v>
      </c>
      <c r="D217" s="3">
        <f t="shared" si="178"/>
        <v>2.8604071067024738E-2</v>
      </c>
      <c r="E217" s="3">
        <f t="shared" si="178"/>
        <v>2.8604071061369488E-2</v>
      </c>
      <c r="F217" s="3">
        <f t="shared" si="178"/>
        <v>2.8604071004816961E-2</v>
      </c>
      <c r="G217" s="3">
        <f t="shared" si="178"/>
        <v>2.8604070439291699E-2</v>
      </c>
      <c r="H217" s="3">
        <f t="shared" si="178"/>
        <v>2.8604064784039721E-2</v>
      </c>
      <c r="I217" s="3">
        <f t="shared" si="178"/>
        <v>2.8604008231581417E-2</v>
      </c>
      <c r="J217" s="3">
        <f t="shared" si="178"/>
        <v>2.8603442713147843E-2</v>
      </c>
      <c r="K217" s="3">
        <f t="shared" si="178"/>
        <v>2.8597788143710768E-2</v>
      </c>
      <c r="L217" s="3">
        <f t="shared" si="178"/>
        <v>2.8541303894251774E-2</v>
      </c>
      <c r="M217" s="3">
        <f t="shared" si="178"/>
        <v>2.7982561179406656E-2</v>
      </c>
      <c r="N217" s="3">
        <f t="shared" si="178"/>
        <v>2.2962754569047863E-2</v>
      </c>
      <c r="O217" s="3">
        <f t="shared" si="178"/>
        <v>3.1797223869515913E-3</v>
      </c>
      <c r="P217" s="3">
        <f t="shared" si="178"/>
        <v>8.2421670041265222E-12</v>
      </c>
      <c r="Q217" s="3">
        <f t="shared" si="178"/>
        <v>1.1286608600410805E-97</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2.5824539759351669E-2</v>
      </c>
      <c r="C218" s="3">
        <f t="shared" si="179"/>
        <v>2.5824539759347061E-2</v>
      </c>
      <c r="D218" s="3">
        <f t="shared" si="179"/>
        <v>2.5824539759301005E-2</v>
      </c>
      <c r="E218" s="3">
        <f t="shared" si="179"/>
        <v>2.5824539758840425E-2</v>
      </c>
      <c r="F218" s="3">
        <f t="shared" si="179"/>
        <v>2.5824539754234644E-2</v>
      </c>
      <c r="G218" s="3">
        <f t="shared" si="179"/>
        <v>2.5824539708176827E-2</v>
      </c>
      <c r="H218" s="3">
        <f t="shared" si="179"/>
        <v>2.5824539247598668E-2</v>
      </c>
      <c r="I218" s="3">
        <f t="shared" si="179"/>
        <v>2.5824534641817512E-2</v>
      </c>
      <c r="J218" s="3">
        <f t="shared" si="179"/>
        <v>2.5824488584051147E-2</v>
      </c>
      <c r="K218" s="3">
        <f t="shared" si="179"/>
        <v>2.5824028010905341E-2</v>
      </c>
      <c r="L218" s="3">
        <f t="shared" si="179"/>
        <v>2.5819422731204376E-2</v>
      </c>
      <c r="M218" s="3">
        <f t="shared" si="179"/>
        <v>2.5773415080103862E-2</v>
      </c>
      <c r="N218" s="3">
        <f t="shared" si="179"/>
        <v>2.5317823510204184E-2</v>
      </c>
      <c r="O218" s="3">
        <f t="shared" si="179"/>
        <v>2.118216603121955E-2</v>
      </c>
      <c r="P218" s="3">
        <f t="shared" si="179"/>
        <v>3.5596751371596716E-3</v>
      </c>
      <c r="Q218" s="3">
        <f t="shared" si="179"/>
        <v>6.3945551784710905E-11</v>
      </c>
      <c r="R218" s="3">
        <f t="shared" si="179"/>
        <v>2.2377423408198306E-88</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3.0898133946774042E-2</v>
      </c>
      <c r="C219" s="3">
        <f t="shared" si="180"/>
        <v>3.0898133946773546E-2</v>
      </c>
      <c r="D219" s="3">
        <f t="shared" si="180"/>
        <v>3.0898133946768574E-2</v>
      </c>
      <c r="E219" s="3">
        <f t="shared" si="180"/>
        <v>3.0898133946718864E-2</v>
      </c>
      <c r="F219" s="3">
        <f t="shared" si="180"/>
        <v>3.0898133946221758E-2</v>
      </c>
      <c r="G219" s="3">
        <f t="shared" si="180"/>
        <v>3.089813394125069E-2</v>
      </c>
      <c r="H219" s="3">
        <f t="shared" si="180"/>
        <v>3.0898133891540024E-2</v>
      </c>
      <c r="I219" s="3">
        <f t="shared" si="180"/>
        <v>3.0898133394433352E-2</v>
      </c>
      <c r="J219" s="3">
        <f t="shared" si="180"/>
        <v>3.089812842336705E-2</v>
      </c>
      <c r="K219" s="3">
        <f t="shared" si="180"/>
        <v>3.0898078712748061E-2</v>
      </c>
      <c r="L219" s="3">
        <f t="shared" si="180"/>
        <v>3.0897581610956893E-2</v>
      </c>
      <c r="M219" s="3">
        <f t="shared" si="180"/>
        <v>3.0892611032891447E-2</v>
      </c>
      <c r="N219" s="3">
        <f t="shared" si="180"/>
        <v>3.0842949210691809E-2</v>
      </c>
      <c r="O219" s="3">
        <f t="shared" si="180"/>
        <v>3.0350700778950631E-2</v>
      </c>
      <c r="P219" s="3">
        <f t="shared" si="180"/>
        <v>2.5840265237643566E-2</v>
      </c>
      <c r="Q219" s="3">
        <f t="shared" si="180"/>
        <v>5.171057984180551E-3</v>
      </c>
      <c r="R219" s="3">
        <f t="shared" si="180"/>
        <v>5.3260325015060964E-10</v>
      </c>
      <c r="S219" s="3">
        <f t="shared" si="180"/>
        <v>7.1556297238077187E-80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3.9211561859274859E-2</v>
      </c>
      <c r="C220" s="3">
        <f t="shared" si="181"/>
        <v>3.9211561859274803E-2</v>
      </c>
      <c r="D220" s="3">
        <f t="shared" si="181"/>
        <v>3.9211561859274234E-2</v>
      </c>
      <c r="E220" s="3">
        <f t="shared" si="181"/>
        <v>3.9211561859268544E-2</v>
      </c>
      <c r="F220" s="3">
        <f t="shared" si="181"/>
        <v>3.9211561859211631E-2</v>
      </c>
      <c r="G220" s="3">
        <f t="shared" si="181"/>
        <v>3.9211561858642552E-2</v>
      </c>
      <c r="H220" s="3">
        <f t="shared" si="181"/>
        <v>3.9211561852951687E-2</v>
      </c>
      <c r="I220" s="3">
        <f t="shared" si="181"/>
        <v>3.9211561796043064E-2</v>
      </c>
      <c r="J220" s="3">
        <f t="shared" si="181"/>
        <v>3.9211561226956834E-2</v>
      </c>
      <c r="K220" s="3">
        <f t="shared" si="181"/>
        <v>3.9211555536095025E-2</v>
      </c>
      <c r="L220" s="3">
        <f t="shared" si="181"/>
        <v>3.9211498627522316E-2</v>
      </c>
      <c r="M220" s="3">
        <f t="shared" si="181"/>
        <v>3.9210929546337862E-2</v>
      </c>
      <c r="N220" s="3">
        <f t="shared" si="181"/>
        <v>3.9205239188726364E-2</v>
      </c>
      <c r="O220" s="3">
        <f t="shared" si="181"/>
        <v>3.9148381011540639E-2</v>
      </c>
      <c r="P220" s="3">
        <f t="shared" si="181"/>
        <v>3.8584314848217387E-2</v>
      </c>
      <c r="Q220" s="3">
        <f t="shared" si="181"/>
        <v>3.3371878683976917E-2</v>
      </c>
      <c r="R220" s="3">
        <f t="shared" si="181"/>
        <v>7.8177052047221762E-3</v>
      </c>
      <c r="S220" s="3">
        <f t="shared" si="181"/>
        <v>3.8910393762607875E-9</v>
      </c>
      <c r="T220" s="3">
        <f t="shared" si="181"/>
        <v>3.6301869069901696E-72</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3.991776240613705E-2</v>
      </c>
      <c r="C221" s="3">
        <f t="shared" si="182"/>
        <v>3.9917762406137043E-2</v>
      </c>
      <c r="D221" s="3">
        <f t="shared" si="182"/>
        <v>3.9917762406136995E-2</v>
      </c>
      <c r="E221" s="3">
        <f t="shared" si="182"/>
        <v>3.9917762406136467E-2</v>
      </c>
      <c r="F221" s="3">
        <f t="shared" si="182"/>
        <v>3.9917762406131242E-2</v>
      </c>
      <c r="G221" s="3">
        <f t="shared" si="182"/>
        <v>3.9917762406078978E-2</v>
      </c>
      <c r="H221" s="3">
        <f t="shared" si="182"/>
        <v>3.9917762405556376E-2</v>
      </c>
      <c r="I221" s="3">
        <f t="shared" si="182"/>
        <v>3.9917762400330285E-2</v>
      </c>
      <c r="J221" s="3">
        <f t="shared" si="182"/>
        <v>3.9917762348069409E-2</v>
      </c>
      <c r="K221" s="3">
        <f t="shared" si="182"/>
        <v>3.9917761825460613E-2</v>
      </c>
      <c r="L221" s="3">
        <f t="shared" si="182"/>
        <v>3.9917756599373043E-2</v>
      </c>
      <c r="M221" s="3">
        <f t="shared" si="182"/>
        <v>3.9917704338535004E-2</v>
      </c>
      <c r="N221" s="3">
        <f t="shared" si="182"/>
        <v>3.9917181733917749E-2</v>
      </c>
      <c r="O221" s="3">
        <f t="shared" si="182"/>
        <v>3.9911956064038509E-2</v>
      </c>
      <c r="P221" s="3">
        <f t="shared" si="182"/>
        <v>3.9859736976360985E-2</v>
      </c>
      <c r="Q221" s="3">
        <f t="shared" si="182"/>
        <v>3.934128905553206E-2</v>
      </c>
      <c r="R221" s="3">
        <f t="shared" si="182"/>
        <v>3.4513591859330804E-2</v>
      </c>
      <c r="S221" s="3">
        <f t="shared" si="182"/>
        <v>9.3197849332717943E-3</v>
      </c>
      <c r="T221" s="3">
        <f t="shared" si="182"/>
        <v>1.9211585388106831E-8</v>
      </c>
      <c r="U221" s="3">
        <f t="shared" si="182"/>
        <v>2.6615605709579295E-65</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2.7879487424106172E-2</v>
      </c>
      <c r="C222" s="3">
        <f t="shared" si="183"/>
        <v>2.7879487424106172E-2</v>
      </c>
      <c r="D222" s="3">
        <f t="shared" si="183"/>
        <v>2.7879487424106168E-2</v>
      </c>
      <c r="E222" s="3">
        <f t="shared" si="183"/>
        <v>2.7879487424106134E-2</v>
      </c>
      <c r="F222" s="3">
        <f t="shared" si="183"/>
        <v>2.7879487424105807E-2</v>
      </c>
      <c r="G222" s="3">
        <f t="shared" si="183"/>
        <v>2.7879487424102511E-2</v>
      </c>
      <c r="H222" s="3">
        <f t="shared" si="183"/>
        <v>2.7879487424069586E-2</v>
      </c>
      <c r="I222" s="3">
        <f t="shared" si="183"/>
        <v>2.7879487423740325E-2</v>
      </c>
      <c r="J222" s="3">
        <f t="shared" si="183"/>
        <v>2.7879487420447702E-2</v>
      </c>
      <c r="K222" s="3">
        <f t="shared" si="183"/>
        <v>2.7879487387521478E-2</v>
      </c>
      <c r="L222" s="3">
        <f t="shared" si="183"/>
        <v>2.787948705825926E-2</v>
      </c>
      <c r="M222" s="3">
        <f t="shared" si="183"/>
        <v>2.7879483765637286E-2</v>
      </c>
      <c r="N222" s="3">
        <f t="shared" si="183"/>
        <v>2.78794508394389E-2</v>
      </c>
      <c r="O222" s="3">
        <f t="shared" si="183"/>
        <v>2.78791215795938E-2</v>
      </c>
      <c r="P222" s="3">
        <f t="shared" si="183"/>
        <v>2.7875829195008282E-2</v>
      </c>
      <c r="Q222" s="3">
        <f t="shared" si="183"/>
        <v>2.7842926726355424E-2</v>
      </c>
      <c r="R222" s="3">
        <f t="shared" si="183"/>
        <v>2.7516030448147776E-2</v>
      </c>
      <c r="S222" s="3">
        <f t="shared" si="183"/>
        <v>2.4450894409395789E-2</v>
      </c>
      <c r="T222" s="3">
        <f t="shared" si="183"/>
        <v>7.5055831102116269E-3</v>
      </c>
      <c r="U222" s="3">
        <f t="shared" si="183"/>
        <v>5.575467900225081E-8</v>
      </c>
      <c r="V222" s="3">
        <f t="shared" si="183"/>
        <v>2.8526608014838607E-59</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3.1696336900802431E-2</v>
      </c>
      <c r="C223" s="3">
        <f t="shared" si="184"/>
        <v>3.1696336900802431E-2</v>
      </c>
      <c r="D223" s="3">
        <f t="shared" si="184"/>
        <v>3.1696336900802431E-2</v>
      </c>
      <c r="E223" s="3">
        <f t="shared" si="184"/>
        <v>3.1696336900802424E-2</v>
      </c>
      <c r="F223" s="3">
        <f t="shared" si="184"/>
        <v>3.169633690080239E-2</v>
      </c>
      <c r="G223" s="3">
        <f t="shared" si="184"/>
        <v>3.1696336900802057E-2</v>
      </c>
      <c r="H223" s="3">
        <f t="shared" si="184"/>
        <v>3.1696336900798677E-2</v>
      </c>
      <c r="I223" s="3">
        <f t="shared" si="184"/>
        <v>3.1696336900764913E-2</v>
      </c>
      <c r="J223" s="3">
        <f t="shared" si="184"/>
        <v>3.1696336900427224E-2</v>
      </c>
      <c r="K223" s="3">
        <f t="shared" si="184"/>
        <v>3.169633689705037E-2</v>
      </c>
      <c r="L223" s="3">
        <f t="shared" si="184"/>
        <v>3.1696336863281785E-2</v>
      </c>
      <c r="M223" s="3">
        <f t="shared" si="184"/>
        <v>3.1696336525596003E-2</v>
      </c>
      <c r="N223" s="3">
        <f t="shared" si="184"/>
        <v>3.1696333148738327E-2</v>
      </c>
      <c r="O223" s="3">
        <f t="shared" si="184"/>
        <v>3.1696299380181411E-2</v>
      </c>
      <c r="P223" s="3">
        <f t="shared" si="184"/>
        <v>3.1695961696590919E-2</v>
      </c>
      <c r="Q223" s="3">
        <f t="shared" si="184"/>
        <v>3.1692585058546954E-2</v>
      </c>
      <c r="R223" s="3">
        <f t="shared" si="184"/>
        <v>3.1658838456408413E-2</v>
      </c>
      <c r="S223" s="3">
        <f t="shared" si="184"/>
        <v>3.1323342490891047E-2</v>
      </c>
      <c r="T223" s="3">
        <f t="shared" si="184"/>
        <v>2.8157839036586318E-2</v>
      </c>
      <c r="U223" s="3">
        <f t="shared" si="184"/>
        <v>9.703123312283771E-3</v>
      </c>
      <c r="V223" s="3">
        <f t="shared" si="184"/>
        <v>2.2910461495694388E-7</v>
      </c>
      <c r="W223" s="3">
        <f t="shared" si="184"/>
        <v>1.2338339202600713E-53</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2.7472650949533099E-2</v>
      </c>
      <c r="C224" s="3">
        <f t="shared" si="185"/>
        <v>2.7472650949533099E-2</v>
      </c>
      <c r="D224" s="3">
        <f t="shared" si="185"/>
        <v>2.7472650949533099E-2</v>
      </c>
      <c r="E224" s="3">
        <f t="shared" si="185"/>
        <v>2.7472650949533099E-2</v>
      </c>
      <c r="F224" s="3">
        <f t="shared" si="185"/>
        <v>2.7472650949533096E-2</v>
      </c>
      <c r="G224" s="3">
        <f t="shared" si="185"/>
        <v>2.7472650949533068E-2</v>
      </c>
      <c r="H224" s="3">
        <f t="shared" si="185"/>
        <v>2.7472650949532808E-2</v>
      </c>
      <c r="I224" s="3">
        <f t="shared" si="185"/>
        <v>2.7472650949530164E-2</v>
      </c>
      <c r="J224" s="3">
        <f t="shared" si="185"/>
        <v>2.7472650949503765E-2</v>
      </c>
      <c r="K224" s="3">
        <f t="shared" si="185"/>
        <v>2.7472650949239733E-2</v>
      </c>
      <c r="L224" s="3">
        <f t="shared" si="185"/>
        <v>2.7472650946599449E-2</v>
      </c>
      <c r="M224" s="3">
        <f t="shared" si="185"/>
        <v>2.7472650920196597E-2</v>
      </c>
      <c r="N224" s="3">
        <f t="shared" si="185"/>
        <v>2.7472650656168059E-2</v>
      </c>
      <c r="O224" s="3">
        <f t="shared" si="185"/>
        <v>2.7472648015882846E-2</v>
      </c>
      <c r="P224" s="3">
        <f t="shared" si="185"/>
        <v>2.7472621613044645E-2</v>
      </c>
      <c r="Q224" s="3">
        <f t="shared" si="185"/>
        <v>2.7472357586058274E-2</v>
      </c>
      <c r="R224" s="3">
        <f t="shared" si="185"/>
        <v>2.7469717455749981E-2</v>
      </c>
      <c r="S224" s="3">
        <f t="shared" si="185"/>
        <v>2.7443330103247589E-2</v>
      </c>
      <c r="T224" s="3">
        <f t="shared" si="185"/>
        <v>2.7180846688291793E-2</v>
      </c>
      <c r="U224" s="3">
        <f t="shared" si="185"/>
        <v>2.4690204940262236E-2</v>
      </c>
      <c r="V224" s="3">
        <f t="shared" si="185"/>
        <v>9.4436924077293503E-3</v>
      </c>
      <c r="W224" s="3">
        <f t="shared" si="185"/>
        <v>6.3286811645276883E-7</v>
      </c>
      <c r="X224" s="3">
        <f t="shared" si="185"/>
        <v>1.1561842589076504E-48</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4.6468539028017564E-2</v>
      </c>
      <c r="C225" s="3">
        <f t="shared" si="186"/>
        <v>4.6468539028017564E-2</v>
      </c>
      <c r="D225" s="3">
        <f t="shared" si="186"/>
        <v>4.6468539028017564E-2</v>
      </c>
      <c r="E225" s="3">
        <f t="shared" si="186"/>
        <v>4.6468539028017564E-2</v>
      </c>
      <c r="F225" s="3">
        <f t="shared" si="186"/>
        <v>4.6468539028017564E-2</v>
      </c>
      <c r="G225" s="3">
        <f t="shared" si="186"/>
        <v>4.6468539028017557E-2</v>
      </c>
      <c r="H225" s="3">
        <f t="shared" si="186"/>
        <v>4.6468539028017515E-2</v>
      </c>
      <c r="I225" s="3">
        <f t="shared" si="186"/>
        <v>4.6468539028017113E-2</v>
      </c>
      <c r="J225" s="3">
        <f t="shared" si="186"/>
        <v>4.6468539028013088E-2</v>
      </c>
      <c r="K225" s="3">
        <f t="shared" si="186"/>
        <v>4.6468539027972801E-2</v>
      </c>
      <c r="L225" s="3">
        <f t="shared" si="186"/>
        <v>4.6468539027569943E-2</v>
      </c>
      <c r="M225" s="3">
        <f t="shared" si="186"/>
        <v>4.6468539023541325E-2</v>
      </c>
      <c r="N225" s="3">
        <f t="shared" si="186"/>
        <v>4.6468538983255155E-2</v>
      </c>
      <c r="O225" s="3">
        <f t="shared" si="186"/>
        <v>4.6468538580393529E-2</v>
      </c>
      <c r="P225" s="3">
        <f t="shared" si="186"/>
        <v>4.64685345517774E-2</v>
      </c>
      <c r="Q225" s="3">
        <f t="shared" si="186"/>
        <v>4.6468494265635291E-2</v>
      </c>
      <c r="R225" s="3">
        <f t="shared" si="186"/>
        <v>4.6468091406135184E-2</v>
      </c>
      <c r="S225" s="3">
        <f t="shared" si="186"/>
        <v>4.6464063003222013E-2</v>
      </c>
      <c r="T225" s="3">
        <f t="shared" si="186"/>
        <v>4.6423798176720259E-2</v>
      </c>
      <c r="U225" s="3">
        <f t="shared" si="186"/>
        <v>4.602306402925968E-2</v>
      </c>
      <c r="V225" s="3">
        <f t="shared" si="186"/>
        <v>4.2201134123354127E-2</v>
      </c>
      <c r="W225" s="3">
        <f t="shared" si="186"/>
        <v>1.7734136966534489E-2</v>
      </c>
      <c r="X225" s="3">
        <f t="shared" si="186"/>
        <v>3.0455758300191708E-6</v>
      </c>
      <c r="Y225" s="3">
        <f t="shared" si="186"/>
        <v>6.7961507861667233E-44</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5.1683873282290876E-2</v>
      </c>
      <c r="C226" s="3">
        <f t="shared" si="187"/>
        <v>5.1683873282290876E-2</v>
      </c>
      <c r="D226" s="3">
        <f t="shared" si="187"/>
        <v>5.1683873282290876E-2</v>
      </c>
      <c r="E226" s="3">
        <f t="shared" si="187"/>
        <v>5.1683873282290876E-2</v>
      </c>
      <c r="F226" s="3">
        <f t="shared" si="187"/>
        <v>5.1683873282290876E-2</v>
      </c>
      <c r="G226" s="3">
        <f t="shared" si="187"/>
        <v>5.1683873282290876E-2</v>
      </c>
      <c r="H226" s="3">
        <f t="shared" si="187"/>
        <v>5.1683873282290869E-2</v>
      </c>
      <c r="I226" s="3">
        <f t="shared" si="187"/>
        <v>5.1683873282290828E-2</v>
      </c>
      <c r="J226" s="3">
        <f t="shared" si="187"/>
        <v>5.1683873282290425E-2</v>
      </c>
      <c r="K226" s="3">
        <f t="shared" si="187"/>
        <v>5.1683873282286387E-2</v>
      </c>
      <c r="L226" s="3">
        <f t="shared" si="187"/>
        <v>5.1683873282245968E-2</v>
      </c>
      <c r="M226" s="3">
        <f t="shared" si="187"/>
        <v>5.1683873281841763E-2</v>
      </c>
      <c r="N226" s="3">
        <f t="shared" si="187"/>
        <v>5.168387327779974E-2</v>
      </c>
      <c r="O226" s="3">
        <f t="shared" si="187"/>
        <v>5.1683873237379538E-2</v>
      </c>
      <c r="P226" s="3">
        <f t="shared" si="187"/>
        <v>5.168387283317747E-2</v>
      </c>
      <c r="Q226" s="3">
        <f t="shared" si="187"/>
        <v>5.1683868791156939E-2</v>
      </c>
      <c r="R226" s="3">
        <f t="shared" si="187"/>
        <v>5.1683828370969007E-2</v>
      </c>
      <c r="S226" s="3">
        <f t="shared" si="187"/>
        <v>5.1683424170828385E-2</v>
      </c>
      <c r="T226" s="3">
        <f t="shared" si="187"/>
        <v>5.1679382343278547E-2</v>
      </c>
      <c r="U226" s="3">
        <f t="shared" si="187"/>
        <v>5.1638981448392997E-2</v>
      </c>
      <c r="V226" s="3">
        <f t="shared" si="187"/>
        <v>5.1236705541986338E-2</v>
      </c>
      <c r="W226" s="3">
        <f t="shared" si="187"/>
        <v>4.7382339096893648E-2</v>
      </c>
      <c r="X226" s="3">
        <f t="shared" si="187"/>
        <v>2.1675518134288717E-2</v>
      </c>
      <c r="Y226" s="3">
        <f t="shared" si="187"/>
        <v>8.6996023093285712E-6</v>
      </c>
      <c r="Z226" s="3">
        <f t="shared" si="187"/>
        <v>9.4362300821877847E-40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5.2823026105162527E-2</v>
      </c>
      <c r="C227" s="3">
        <f t="shared" si="188"/>
        <v>5.2823026105162527E-2</v>
      </c>
      <c r="D227" s="3">
        <f t="shared" si="188"/>
        <v>5.2823026105162527E-2</v>
      </c>
      <c r="E227" s="3">
        <f t="shared" si="188"/>
        <v>5.2823026105162527E-2</v>
      </c>
      <c r="F227" s="3">
        <f t="shared" si="188"/>
        <v>5.2823026105162527E-2</v>
      </c>
      <c r="G227" s="3">
        <f t="shared" si="188"/>
        <v>5.2823026105162527E-2</v>
      </c>
      <c r="H227" s="3">
        <f t="shared" si="188"/>
        <v>5.2823026105162527E-2</v>
      </c>
      <c r="I227" s="3">
        <f t="shared" si="188"/>
        <v>5.282302610516252E-2</v>
      </c>
      <c r="J227" s="3">
        <f t="shared" si="188"/>
        <v>5.2823026105162485E-2</v>
      </c>
      <c r="K227" s="3">
        <f t="shared" si="188"/>
        <v>5.282302610516211E-2</v>
      </c>
      <c r="L227" s="3">
        <f t="shared" si="188"/>
        <v>5.2823026105158384E-2</v>
      </c>
      <c r="M227" s="3">
        <f t="shared" si="188"/>
        <v>5.2823026105121115E-2</v>
      </c>
      <c r="N227" s="3">
        <f t="shared" si="188"/>
        <v>5.2823026104748462E-2</v>
      </c>
      <c r="O227" s="3">
        <f t="shared" si="188"/>
        <v>5.2823026101021853E-2</v>
      </c>
      <c r="P227" s="3">
        <f t="shared" si="188"/>
        <v>5.2823026063755801E-2</v>
      </c>
      <c r="Q227" s="3">
        <f t="shared" si="188"/>
        <v>5.2823025691095316E-2</v>
      </c>
      <c r="R227" s="3">
        <f t="shared" si="188"/>
        <v>5.2823021964490575E-2</v>
      </c>
      <c r="S227" s="3">
        <f t="shared" si="188"/>
        <v>5.2822984698457608E-2</v>
      </c>
      <c r="T227" s="3">
        <f t="shared" si="188"/>
        <v>5.2822612039573898E-2</v>
      </c>
      <c r="U227" s="3">
        <f t="shared" si="188"/>
        <v>5.2818885595331953E-2</v>
      </c>
      <c r="V227" s="3">
        <f t="shared" si="188"/>
        <v>5.2781635608646918E-2</v>
      </c>
      <c r="W227" s="3">
        <f t="shared" si="188"/>
        <v>5.241057754895654E-2</v>
      </c>
      <c r="X227" s="3">
        <f t="shared" si="188"/>
        <v>4.8840484075465755E-2</v>
      </c>
      <c r="Y227" s="3">
        <f t="shared" si="188"/>
        <v>2.412071081491423E-2</v>
      </c>
      <c r="Z227" s="3">
        <f t="shared" si="188"/>
        <v>2.0820517681275089E-5</v>
      </c>
      <c r="AA227" s="3">
        <f t="shared" si="188"/>
        <v>4.7808568548882569E-36</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4.2291417760733988E-2</v>
      </c>
      <c r="C228" s="3">
        <f t="shared" si="189"/>
        <v>4.2291417760733988E-2</v>
      </c>
      <c r="D228" s="3">
        <f t="shared" si="189"/>
        <v>4.2291417760733988E-2</v>
      </c>
      <c r="E228" s="3">
        <f t="shared" si="189"/>
        <v>4.2291417760733988E-2</v>
      </c>
      <c r="F228" s="3">
        <f t="shared" si="189"/>
        <v>4.2291417760733988E-2</v>
      </c>
      <c r="G228" s="3">
        <f t="shared" si="189"/>
        <v>4.2291417760733988E-2</v>
      </c>
      <c r="H228" s="3">
        <f t="shared" si="189"/>
        <v>4.2291417760733988E-2</v>
      </c>
      <c r="I228" s="3">
        <f t="shared" si="189"/>
        <v>4.2291417760733988E-2</v>
      </c>
      <c r="J228" s="3">
        <f t="shared" si="189"/>
        <v>4.2291417760733981E-2</v>
      </c>
      <c r="K228" s="3">
        <f t="shared" si="189"/>
        <v>4.229141776073396E-2</v>
      </c>
      <c r="L228" s="3">
        <f t="shared" si="189"/>
        <v>4.2291417760733689E-2</v>
      </c>
      <c r="M228" s="3">
        <f t="shared" si="189"/>
        <v>4.2291417760730997E-2</v>
      </c>
      <c r="N228" s="3">
        <f t="shared" si="189"/>
        <v>4.2291417760704081E-2</v>
      </c>
      <c r="O228" s="3">
        <f t="shared" si="189"/>
        <v>4.2291417760434935E-2</v>
      </c>
      <c r="P228" s="3">
        <f t="shared" si="189"/>
        <v>4.229141775774347E-2</v>
      </c>
      <c r="Q228" s="3">
        <f t="shared" si="189"/>
        <v>4.2291417730828812E-2</v>
      </c>
      <c r="R228" s="3">
        <f t="shared" si="189"/>
        <v>4.2291417461682204E-2</v>
      </c>
      <c r="S228" s="3">
        <f t="shared" si="189"/>
        <v>4.2291414770216237E-2</v>
      </c>
      <c r="T228" s="3">
        <f t="shared" si="189"/>
        <v>4.2291387855566007E-2</v>
      </c>
      <c r="U228" s="3">
        <f t="shared" si="189"/>
        <v>4.2291118710005758E-2</v>
      </c>
      <c r="V228" s="3">
        <f t="shared" si="189"/>
        <v>4.2288427348608972E-2</v>
      </c>
      <c r="W228" s="3">
        <f t="shared" si="189"/>
        <v>4.2261523152987084E-2</v>
      </c>
      <c r="X228" s="3">
        <f t="shared" si="189"/>
        <v>4.1993420817388993E-2</v>
      </c>
      <c r="Y228" s="3">
        <f t="shared" si="189"/>
        <v>3.9404184144548784E-2</v>
      </c>
      <c r="Z228" s="3">
        <f t="shared" si="189"/>
        <v>2.0852263248125062E-2</v>
      </c>
      <c r="AA228" s="3">
        <f t="shared" si="189"/>
        <v>3.591383554142362E-5</v>
      </c>
      <c r="AB228" s="3">
        <f t="shared" si="189"/>
        <v>8.2479818230410608E-33</v>
      </c>
      <c r="AC228" s="3">
        <f t="shared" si="189"/>
        <v>0</v>
      </c>
      <c r="AD228" s="3">
        <f t="shared" si="189"/>
        <v>0</v>
      </c>
      <c r="AE228" s="3">
        <f t="shared" si="189"/>
        <v>0</v>
      </c>
      <c r="AF228" s="3">
        <f t="shared" si="189"/>
        <v>0</v>
      </c>
      <c r="AG228" s="3"/>
      <c r="AH228" s="3"/>
    </row>
    <row r="229" spans="2:34" x14ac:dyDescent="0.25">
      <c r="B229" s="3">
        <f t="shared" ref="B229:AF229" si="190">$C37*EXP(-B$207/$A37/EXP(-$D$126))</f>
        <v>5.3725706170150357E-2</v>
      </c>
      <c r="C229" s="3">
        <f t="shared" si="190"/>
        <v>5.3725706170150357E-2</v>
      </c>
      <c r="D229" s="3">
        <f t="shared" si="190"/>
        <v>5.3725706170150357E-2</v>
      </c>
      <c r="E229" s="3">
        <f t="shared" si="190"/>
        <v>5.3725706170150357E-2</v>
      </c>
      <c r="F229" s="3">
        <f t="shared" si="190"/>
        <v>5.3725706170150357E-2</v>
      </c>
      <c r="G229" s="3">
        <f t="shared" si="190"/>
        <v>5.3725706170150357E-2</v>
      </c>
      <c r="H229" s="3">
        <f t="shared" si="190"/>
        <v>5.3725706170150357E-2</v>
      </c>
      <c r="I229" s="3">
        <f t="shared" si="190"/>
        <v>5.3725706170150357E-2</v>
      </c>
      <c r="J229" s="3">
        <f t="shared" si="190"/>
        <v>5.3725706170150357E-2</v>
      </c>
      <c r="K229" s="3">
        <f t="shared" si="190"/>
        <v>5.372570617015035E-2</v>
      </c>
      <c r="L229" s="3">
        <f t="shared" si="190"/>
        <v>5.3725706170150322E-2</v>
      </c>
      <c r="M229" s="3">
        <f t="shared" si="190"/>
        <v>5.3725706170150017E-2</v>
      </c>
      <c r="N229" s="3">
        <f t="shared" si="190"/>
        <v>5.3725706170146929E-2</v>
      </c>
      <c r="O229" s="3">
        <f t="shared" si="190"/>
        <v>5.3725706170116086E-2</v>
      </c>
      <c r="P229" s="3">
        <f t="shared" si="190"/>
        <v>5.3725706169807652E-2</v>
      </c>
      <c r="Q229" s="3">
        <f t="shared" si="190"/>
        <v>5.3725706166723286E-2</v>
      </c>
      <c r="R229" s="3">
        <f t="shared" si="190"/>
        <v>5.372570613587966E-2</v>
      </c>
      <c r="S229" s="3">
        <f t="shared" si="190"/>
        <v>5.3725705827443439E-2</v>
      </c>
      <c r="T229" s="3">
        <f t="shared" si="190"/>
        <v>5.3725702743081229E-2</v>
      </c>
      <c r="U229" s="3">
        <f t="shared" si="190"/>
        <v>5.3725671899468898E-2</v>
      </c>
      <c r="V229" s="3">
        <f t="shared" si="190"/>
        <v>5.3725363464319512E-2</v>
      </c>
      <c r="W229" s="3">
        <f t="shared" si="190"/>
        <v>5.3722279210212623E-2</v>
      </c>
      <c r="X229" s="3">
        <f t="shared" si="190"/>
        <v>5.369144640577754E-2</v>
      </c>
      <c r="Y229" s="3">
        <f t="shared" si="190"/>
        <v>5.3384089959774797E-2</v>
      </c>
      <c r="Z229" s="3">
        <f t="shared" si="190"/>
        <v>5.04056528243974E-2</v>
      </c>
      <c r="AA229" s="3">
        <f t="shared" si="190"/>
        <v>2.8389205945399031E-2</v>
      </c>
      <c r="AB229" s="3">
        <f t="shared" si="190"/>
        <v>9.1178671563928098E-5</v>
      </c>
      <c r="AC229" s="3">
        <f t="shared" si="190"/>
        <v>1.0648622004802551E-29</v>
      </c>
      <c r="AD229" s="3">
        <f t="shared" si="190"/>
        <v>5.0268383314815798E-279</v>
      </c>
      <c r="AE229" s="3">
        <f t="shared" si="190"/>
        <v>0</v>
      </c>
      <c r="AF229" s="3">
        <f t="shared" si="190"/>
        <v>0</v>
      </c>
      <c r="AG229" s="3"/>
      <c r="AH229" s="3"/>
    </row>
    <row r="230" spans="2:34" x14ac:dyDescent="0.25">
      <c r="B230" s="3">
        <f t="shared" ref="B230:AF230" si="191">$C38*EXP(-B$207/$A38/EXP(-$D$126))</f>
        <v>0</v>
      </c>
      <c r="C230" s="3">
        <f t="shared" si="191"/>
        <v>0</v>
      </c>
      <c r="D230" s="3">
        <f t="shared" si="191"/>
        <v>0</v>
      </c>
      <c r="E230" s="3">
        <f t="shared" si="191"/>
        <v>0</v>
      </c>
      <c r="F230" s="3">
        <f t="shared" si="191"/>
        <v>0</v>
      </c>
      <c r="G230" s="3">
        <f t="shared" si="191"/>
        <v>0</v>
      </c>
      <c r="H230" s="3">
        <f t="shared" si="191"/>
        <v>0</v>
      </c>
      <c r="I230" s="3">
        <f t="shared" si="191"/>
        <v>0</v>
      </c>
      <c r="J230" s="3">
        <f t="shared" si="191"/>
        <v>0</v>
      </c>
      <c r="K230" s="3">
        <f t="shared" si="191"/>
        <v>0</v>
      </c>
      <c r="L230" s="3">
        <f t="shared" si="191"/>
        <v>0</v>
      </c>
      <c r="M230" s="3">
        <f t="shared" si="191"/>
        <v>0</v>
      </c>
      <c r="N230" s="3">
        <f t="shared" si="191"/>
        <v>0</v>
      </c>
      <c r="O230" s="3">
        <f t="shared" si="191"/>
        <v>0</v>
      </c>
      <c r="P230" s="3">
        <f t="shared" si="191"/>
        <v>0</v>
      </c>
      <c r="Q230" s="3">
        <f t="shared" si="191"/>
        <v>0</v>
      </c>
      <c r="R230" s="3">
        <f t="shared" si="191"/>
        <v>0</v>
      </c>
      <c r="S230" s="3">
        <f t="shared" si="191"/>
        <v>0</v>
      </c>
      <c r="T230" s="3">
        <f t="shared" si="191"/>
        <v>0</v>
      </c>
      <c r="U230" s="3">
        <f t="shared" si="191"/>
        <v>0</v>
      </c>
      <c r="V230" s="3">
        <f t="shared" si="191"/>
        <v>0</v>
      </c>
      <c r="W230" s="3">
        <f t="shared" si="191"/>
        <v>0</v>
      </c>
      <c r="X230" s="3">
        <f t="shared" si="191"/>
        <v>0</v>
      </c>
      <c r="Y230" s="3">
        <f t="shared" si="191"/>
        <v>0</v>
      </c>
      <c r="Z230" s="3">
        <f t="shared" si="191"/>
        <v>0</v>
      </c>
      <c r="AA230" s="3">
        <f t="shared" si="191"/>
        <v>0</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7.2666327012941595E-2</v>
      </c>
      <c r="C231" s="3">
        <f t="shared" si="192"/>
        <v>7.2666327012941595E-2</v>
      </c>
      <c r="D231" s="3">
        <f t="shared" si="192"/>
        <v>7.2666327012941595E-2</v>
      </c>
      <c r="E231" s="3">
        <f t="shared" si="192"/>
        <v>7.2666327012941595E-2</v>
      </c>
      <c r="F231" s="3">
        <f t="shared" si="192"/>
        <v>7.2666327012941595E-2</v>
      </c>
      <c r="G231" s="3">
        <f t="shared" si="192"/>
        <v>7.2666327012941595E-2</v>
      </c>
      <c r="H231" s="3">
        <f t="shared" si="192"/>
        <v>7.2666327012941595E-2</v>
      </c>
      <c r="I231" s="3">
        <f t="shared" si="192"/>
        <v>7.2666327012941595E-2</v>
      </c>
      <c r="J231" s="3">
        <f t="shared" si="192"/>
        <v>7.2666327012941595E-2</v>
      </c>
      <c r="K231" s="3">
        <f t="shared" si="192"/>
        <v>7.2666327012941595E-2</v>
      </c>
      <c r="L231" s="3">
        <f t="shared" si="192"/>
        <v>7.2666327012941595E-2</v>
      </c>
      <c r="M231" s="3">
        <f t="shared" si="192"/>
        <v>7.2666327012941581E-2</v>
      </c>
      <c r="N231" s="3">
        <f t="shared" si="192"/>
        <v>7.2666327012941484E-2</v>
      </c>
      <c r="O231" s="3">
        <f t="shared" si="192"/>
        <v>7.2666327012940443E-2</v>
      </c>
      <c r="P231" s="3">
        <f t="shared" si="192"/>
        <v>7.2666327012930035E-2</v>
      </c>
      <c r="Q231" s="3">
        <f t="shared" si="192"/>
        <v>7.2666327012825951E-2</v>
      </c>
      <c r="R231" s="3">
        <f t="shared" si="192"/>
        <v>7.2666327011785131E-2</v>
      </c>
      <c r="S231" s="3">
        <f t="shared" si="192"/>
        <v>7.2666327001376929E-2</v>
      </c>
      <c r="T231" s="3">
        <f t="shared" si="192"/>
        <v>7.2666326897294853E-2</v>
      </c>
      <c r="U231" s="3">
        <f t="shared" si="192"/>
        <v>7.2666325856474173E-2</v>
      </c>
      <c r="V231" s="3">
        <f t="shared" si="192"/>
        <v>7.2666315448268168E-2</v>
      </c>
      <c r="W231" s="3">
        <f t="shared" si="192"/>
        <v>7.2666211366290145E-2</v>
      </c>
      <c r="X231" s="3">
        <f t="shared" si="192"/>
        <v>7.2665170554709307E-2</v>
      </c>
      <c r="Y231" s="3">
        <f t="shared" si="192"/>
        <v>7.2654763258791125E-2</v>
      </c>
      <c r="Z231" s="3">
        <f t="shared" si="192"/>
        <v>7.255077224520376E-2</v>
      </c>
      <c r="AA231" s="3">
        <f t="shared" si="192"/>
        <v>7.1519013406637813E-2</v>
      </c>
      <c r="AB231" s="3">
        <f t="shared" si="192"/>
        <v>6.1974961792093129E-2</v>
      </c>
      <c r="AC231" s="3">
        <f t="shared" si="192"/>
        <v>1.479666347347615E-2</v>
      </c>
      <c r="AD231" s="3">
        <f t="shared" si="192"/>
        <v>8.9051058380458447E-9</v>
      </c>
      <c r="AE231" s="3">
        <f t="shared" si="192"/>
        <v>5.5512651862076794E-71</v>
      </c>
      <c r="AF231" s="3">
        <f t="shared" si="192"/>
        <v>0</v>
      </c>
      <c r="AG231" s="3"/>
      <c r="AH231" s="3"/>
    </row>
    <row r="232" spans="2:34" x14ac:dyDescent="0.25">
      <c r="B232" s="3">
        <f t="shared" ref="B232:AF232" si="193">$C40*EXP(-B$207/$A40/EXP(-$D$126))</f>
        <v>2.5077417845043044E-2</v>
      </c>
      <c r="C232" s="3">
        <f t="shared" si="193"/>
        <v>2.5077417845043044E-2</v>
      </c>
      <c r="D232" s="3">
        <f t="shared" si="193"/>
        <v>2.5077417845043044E-2</v>
      </c>
      <c r="E232" s="3">
        <f t="shared" si="193"/>
        <v>2.5077417845043044E-2</v>
      </c>
      <c r="F232" s="3">
        <f t="shared" si="193"/>
        <v>2.5077417845043044E-2</v>
      </c>
      <c r="G232" s="3">
        <f t="shared" si="193"/>
        <v>2.5077417845043044E-2</v>
      </c>
      <c r="H232" s="3">
        <f t="shared" si="193"/>
        <v>2.5077417845043044E-2</v>
      </c>
      <c r="I232" s="3">
        <f t="shared" si="193"/>
        <v>2.5077417845043044E-2</v>
      </c>
      <c r="J232" s="3">
        <f t="shared" si="193"/>
        <v>2.5077417845043044E-2</v>
      </c>
      <c r="K232" s="3">
        <f t="shared" si="193"/>
        <v>2.5077417845043044E-2</v>
      </c>
      <c r="L232" s="3">
        <f t="shared" si="193"/>
        <v>2.5077417845043044E-2</v>
      </c>
      <c r="M232" s="3">
        <f t="shared" si="193"/>
        <v>2.5077417845043044E-2</v>
      </c>
      <c r="N232" s="3">
        <f t="shared" si="193"/>
        <v>2.507741784504304E-2</v>
      </c>
      <c r="O232" s="3">
        <f t="shared" si="193"/>
        <v>2.5077417845043005E-2</v>
      </c>
      <c r="P232" s="3">
        <f t="shared" si="193"/>
        <v>2.5077417845042645E-2</v>
      </c>
      <c r="Q232" s="3">
        <f t="shared" si="193"/>
        <v>2.5077417845039054E-2</v>
      </c>
      <c r="R232" s="3">
        <f t="shared" si="193"/>
        <v>2.5077417845003131E-2</v>
      </c>
      <c r="S232" s="3">
        <f t="shared" si="193"/>
        <v>2.5077417844643943E-2</v>
      </c>
      <c r="T232" s="3">
        <f t="shared" si="193"/>
        <v>2.5077417841052035E-2</v>
      </c>
      <c r="U232" s="3">
        <f t="shared" si="193"/>
        <v>2.5077417805132927E-2</v>
      </c>
      <c r="V232" s="3">
        <f t="shared" si="193"/>
        <v>2.5077417445941864E-2</v>
      </c>
      <c r="W232" s="3">
        <f t="shared" si="193"/>
        <v>2.5077413854031529E-2</v>
      </c>
      <c r="X232" s="3">
        <f t="shared" si="193"/>
        <v>2.5077377934956489E-2</v>
      </c>
      <c r="Y232" s="3">
        <f t="shared" si="193"/>
        <v>2.5077018747035704E-2</v>
      </c>
      <c r="Z232" s="3">
        <f t="shared" si="193"/>
        <v>2.5073427150775023E-2</v>
      </c>
      <c r="AA232" s="3">
        <f t="shared" si="193"/>
        <v>2.5037539467895505E-2</v>
      </c>
      <c r="AB232" s="3">
        <f t="shared" si="193"/>
        <v>2.4681475681907993E-2</v>
      </c>
      <c r="AC232" s="3">
        <f t="shared" si="193"/>
        <v>2.1387788218800503E-2</v>
      </c>
      <c r="AD232" s="3">
        <f t="shared" si="193"/>
        <v>5.1063832161320427E-3</v>
      </c>
      <c r="AE232" s="3">
        <f t="shared" si="193"/>
        <v>3.0731849156932886E-9</v>
      </c>
      <c r="AF232" s="3">
        <f t="shared" si="193"/>
        <v>1.9157621193428096E-71</v>
      </c>
      <c r="AG232" s="3"/>
      <c r="AH232" s="3"/>
    </row>
    <row r="233" spans="2:34" x14ac:dyDescent="0.25">
      <c r="B233" s="3">
        <f t="shared" ref="B233:AF233" si="194">$C41*EXP(-B$207/$A41/EXP(-$D$126))</f>
        <v>6.9691000347133242E-2</v>
      </c>
      <c r="C233" s="3">
        <f t="shared" si="194"/>
        <v>6.9691000347133242E-2</v>
      </c>
      <c r="D233" s="3">
        <f t="shared" si="194"/>
        <v>6.9691000347133242E-2</v>
      </c>
      <c r="E233" s="3">
        <f t="shared" si="194"/>
        <v>6.9691000347133242E-2</v>
      </c>
      <c r="F233" s="3">
        <f t="shared" si="194"/>
        <v>6.9691000347133242E-2</v>
      </c>
      <c r="G233" s="3">
        <f t="shared" si="194"/>
        <v>6.9691000347133242E-2</v>
      </c>
      <c r="H233" s="3">
        <f t="shared" si="194"/>
        <v>6.9691000347133242E-2</v>
      </c>
      <c r="I233" s="3">
        <f t="shared" si="194"/>
        <v>6.9691000347133242E-2</v>
      </c>
      <c r="J233" s="3">
        <f t="shared" si="194"/>
        <v>6.9691000347133242E-2</v>
      </c>
      <c r="K233" s="3">
        <f t="shared" si="194"/>
        <v>6.9691000347133242E-2</v>
      </c>
      <c r="L233" s="3">
        <f t="shared" si="194"/>
        <v>6.9691000347133242E-2</v>
      </c>
      <c r="M233" s="3">
        <f t="shared" si="194"/>
        <v>6.9691000347133242E-2</v>
      </c>
      <c r="N233" s="3">
        <f t="shared" si="194"/>
        <v>6.9691000347133242E-2</v>
      </c>
      <c r="O233" s="3">
        <f t="shared" si="194"/>
        <v>6.9691000347133228E-2</v>
      </c>
      <c r="P233" s="3">
        <f t="shared" si="194"/>
        <v>6.9691000347133131E-2</v>
      </c>
      <c r="Q233" s="3">
        <f t="shared" si="194"/>
        <v>6.9691000347132132E-2</v>
      </c>
      <c r="R233" s="3">
        <f t="shared" si="194"/>
        <v>6.9691000347122153E-2</v>
      </c>
      <c r="S233" s="3">
        <f t="shared" si="194"/>
        <v>6.969100034702233E-2</v>
      </c>
      <c r="T233" s="3">
        <f t="shared" si="194"/>
        <v>6.9691000346024129E-2</v>
      </c>
      <c r="U233" s="3">
        <f t="shared" si="194"/>
        <v>6.9691000336042086E-2</v>
      </c>
      <c r="V233" s="3">
        <f t="shared" si="194"/>
        <v>6.9691000236221656E-2</v>
      </c>
      <c r="W233" s="3">
        <f t="shared" si="194"/>
        <v>6.9690999238017443E-2</v>
      </c>
      <c r="X233" s="3">
        <f t="shared" si="194"/>
        <v>6.9690989255975999E-2</v>
      </c>
      <c r="Y233" s="3">
        <f t="shared" si="194"/>
        <v>6.9690889435640155E-2</v>
      </c>
      <c r="Z233" s="3">
        <f t="shared" si="194"/>
        <v>6.9689891240145435E-2</v>
      </c>
      <c r="AA233" s="3">
        <f t="shared" si="194"/>
        <v>6.9679910071518081E-2</v>
      </c>
      <c r="AB233" s="3">
        <f t="shared" si="194"/>
        <v>6.9580176975572214E-2</v>
      </c>
      <c r="AC233" s="3">
        <f t="shared" si="194"/>
        <v>6.8590663558114759E-2</v>
      </c>
      <c r="AD233" s="3">
        <f t="shared" si="194"/>
        <v>5.9437393649979263E-2</v>
      </c>
      <c r="AE233" s="3">
        <f t="shared" si="194"/>
        <v>1.4190813292142706E-2</v>
      </c>
      <c r="AF233" s="3">
        <f t="shared" si="194"/>
        <v>8.5404858008026696E-9</v>
      </c>
      <c r="AG233" s="3"/>
      <c r="AH233" s="3"/>
    </row>
    <row r="234" spans="2:34" x14ac:dyDescent="0.25">
      <c r="B234" s="3">
        <f t="shared" ref="B234:AF234" si="195">$C42*EXP(-B$207/$A42/EXP(-$D$126))</f>
        <v>3.3680791941505174E-2</v>
      </c>
      <c r="C234" s="3">
        <f t="shared" si="195"/>
        <v>3.3680791941505174E-2</v>
      </c>
      <c r="D234" s="3">
        <f t="shared" si="195"/>
        <v>3.3680791941505174E-2</v>
      </c>
      <c r="E234" s="3">
        <f t="shared" si="195"/>
        <v>3.3680791941505174E-2</v>
      </c>
      <c r="F234" s="3">
        <f t="shared" si="195"/>
        <v>3.3680791941505174E-2</v>
      </c>
      <c r="G234" s="3">
        <f t="shared" si="195"/>
        <v>3.3680791941505174E-2</v>
      </c>
      <c r="H234" s="3">
        <f t="shared" si="195"/>
        <v>3.3680791941505174E-2</v>
      </c>
      <c r="I234" s="3">
        <f t="shared" si="195"/>
        <v>3.3680791941505174E-2</v>
      </c>
      <c r="J234" s="3">
        <f t="shared" si="195"/>
        <v>3.3680791941505174E-2</v>
      </c>
      <c r="K234" s="3">
        <f t="shared" si="195"/>
        <v>3.3680791941505174E-2</v>
      </c>
      <c r="L234" s="3">
        <f t="shared" si="195"/>
        <v>3.3680791941505174E-2</v>
      </c>
      <c r="M234" s="3">
        <f t="shared" si="195"/>
        <v>3.3680791941505174E-2</v>
      </c>
      <c r="N234" s="3">
        <f t="shared" si="195"/>
        <v>3.3680791941505174E-2</v>
      </c>
      <c r="O234" s="3">
        <f t="shared" si="195"/>
        <v>3.3680791941505174E-2</v>
      </c>
      <c r="P234" s="3">
        <f t="shared" si="195"/>
        <v>3.3680791941505167E-2</v>
      </c>
      <c r="Q234" s="3">
        <f t="shared" si="195"/>
        <v>3.3680791941505119E-2</v>
      </c>
      <c r="R234" s="3">
        <f t="shared" si="195"/>
        <v>3.368079194150464E-2</v>
      </c>
      <c r="S234" s="3">
        <f t="shared" si="195"/>
        <v>3.3680791941499817E-2</v>
      </c>
      <c r="T234" s="3">
        <f t="shared" si="195"/>
        <v>3.3680791941451571E-2</v>
      </c>
      <c r="U234" s="3">
        <f t="shared" si="195"/>
        <v>3.3680791940969151E-2</v>
      </c>
      <c r="V234" s="3">
        <f t="shared" si="195"/>
        <v>3.3680791936144955E-2</v>
      </c>
      <c r="W234" s="3">
        <f t="shared" si="195"/>
        <v>3.3680791887902989E-2</v>
      </c>
      <c r="X234" s="3">
        <f t="shared" si="195"/>
        <v>3.3680791405483329E-2</v>
      </c>
      <c r="Y234" s="3">
        <f t="shared" si="195"/>
        <v>3.3680786581287099E-2</v>
      </c>
      <c r="Z234" s="3">
        <f t="shared" si="195"/>
        <v>3.3680738339362803E-2</v>
      </c>
      <c r="AA234" s="3">
        <f t="shared" si="195"/>
        <v>3.3680255923920252E-2</v>
      </c>
      <c r="AB234" s="3">
        <f t="shared" si="195"/>
        <v>3.3675432149513275E-2</v>
      </c>
      <c r="AC234" s="3">
        <f t="shared" si="195"/>
        <v>3.3627232387169456E-2</v>
      </c>
      <c r="AD234" s="3">
        <f t="shared" si="195"/>
        <v>3.3149012884354075E-2</v>
      </c>
      <c r="AE234" s="3">
        <f t="shared" si="195"/>
        <v>2.8725351610663759E-2</v>
      </c>
      <c r="AF234" s="3">
        <f t="shared" si="195"/>
        <v>6.8582432106395431E-3</v>
      </c>
      <c r="AG234" s="3"/>
      <c r="AH234" s="3"/>
    </row>
    <row r="235" spans="2:34" x14ac:dyDescent="0.25">
      <c r="B235" s="3">
        <f t="shared" ref="B235:AF235" si="196">$C43*EXP(-B$207/$A43/EXP(-$D$126))</f>
        <v>4.444785280126981E-2</v>
      </c>
      <c r="C235" s="3">
        <f t="shared" si="196"/>
        <v>4.444785280126981E-2</v>
      </c>
      <c r="D235" s="3">
        <f t="shared" si="196"/>
        <v>4.444785280126981E-2</v>
      </c>
      <c r="E235" s="3">
        <f t="shared" si="196"/>
        <v>4.444785280126981E-2</v>
      </c>
      <c r="F235" s="3">
        <f t="shared" si="196"/>
        <v>4.444785280126981E-2</v>
      </c>
      <c r="G235" s="3">
        <f t="shared" si="196"/>
        <v>4.444785280126981E-2</v>
      </c>
      <c r="H235" s="3">
        <f t="shared" si="196"/>
        <v>4.444785280126981E-2</v>
      </c>
      <c r="I235" s="3">
        <f t="shared" si="196"/>
        <v>4.444785280126981E-2</v>
      </c>
      <c r="J235" s="3">
        <f t="shared" si="196"/>
        <v>4.444785280126981E-2</v>
      </c>
      <c r="K235" s="3">
        <f t="shared" si="196"/>
        <v>4.444785280126981E-2</v>
      </c>
      <c r="L235" s="3">
        <f t="shared" si="196"/>
        <v>4.444785280126981E-2</v>
      </c>
      <c r="M235" s="3">
        <f t="shared" si="196"/>
        <v>4.444785280126981E-2</v>
      </c>
      <c r="N235" s="3">
        <f t="shared" si="196"/>
        <v>4.444785280126981E-2</v>
      </c>
      <c r="O235" s="3">
        <f t="shared" si="196"/>
        <v>4.444785280126981E-2</v>
      </c>
      <c r="P235" s="3">
        <f t="shared" si="196"/>
        <v>4.444785280126981E-2</v>
      </c>
      <c r="Q235" s="3">
        <f t="shared" si="196"/>
        <v>4.4447852801269803E-2</v>
      </c>
      <c r="R235" s="3">
        <f t="shared" si="196"/>
        <v>4.4447852801269741E-2</v>
      </c>
      <c r="S235" s="3">
        <f t="shared" si="196"/>
        <v>4.4447852801269103E-2</v>
      </c>
      <c r="T235" s="3">
        <f t="shared" si="196"/>
        <v>4.444785280126274E-2</v>
      </c>
      <c r="U235" s="3">
        <f t="shared" si="196"/>
        <v>4.4447852801199068E-2</v>
      </c>
      <c r="V235" s="3">
        <f t="shared" si="196"/>
        <v>4.4447852800562439E-2</v>
      </c>
      <c r="W235" s="3">
        <f t="shared" si="196"/>
        <v>4.4447852794196045E-2</v>
      </c>
      <c r="X235" s="3">
        <f t="shared" si="196"/>
        <v>4.4447852730532103E-2</v>
      </c>
      <c r="Y235" s="3">
        <f t="shared" si="196"/>
        <v>4.4447852093892737E-2</v>
      </c>
      <c r="Z235" s="3">
        <f t="shared" si="196"/>
        <v>4.444784572749956E-2</v>
      </c>
      <c r="AA235" s="3">
        <f t="shared" si="196"/>
        <v>4.444778206361797E-2</v>
      </c>
      <c r="AB235" s="3">
        <f t="shared" si="196"/>
        <v>4.4447145429817411E-2</v>
      </c>
      <c r="AC235" s="3">
        <f t="shared" si="196"/>
        <v>4.4440779593314515E-2</v>
      </c>
      <c r="AD235" s="3">
        <f t="shared" si="196"/>
        <v>4.4377171351993018E-2</v>
      </c>
      <c r="AE235" s="3">
        <f t="shared" si="196"/>
        <v>4.3746074847351726E-2</v>
      </c>
      <c r="AF235" s="3">
        <f t="shared" si="196"/>
        <v>3.7908259469460769E-2</v>
      </c>
      <c r="AG235" s="3"/>
      <c r="AH235" s="3"/>
    </row>
    <row r="236" spans="2:34" x14ac:dyDescent="0.25">
      <c r="B236" s="3">
        <f t="shared" ref="B236:AF236" si="197">$C44*EXP(-B$207/$A44/EXP(-$D$126))</f>
        <v>1.2310076575543269E-2</v>
      </c>
      <c r="C236" s="3">
        <f t="shared" si="197"/>
        <v>1.2310076575543269E-2</v>
      </c>
      <c r="D236" s="3">
        <f t="shared" si="197"/>
        <v>1.2310076575543269E-2</v>
      </c>
      <c r="E236" s="3">
        <f t="shared" si="197"/>
        <v>1.2310076575543269E-2</v>
      </c>
      <c r="F236" s="3">
        <f t="shared" si="197"/>
        <v>1.2310076575543269E-2</v>
      </c>
      <c r="G236" s="3">
        <f t="shared" si="197"/>
        <v>1.2310076575543269E-2</v>
      </c>
      <c r="H236" s="3">
        <f t="shared" si="197"/>
        <v>1.2310076575543269E-2</v>
      </c>
      <c r="I236" s="3">
        <f t="shared" si="197"/>
        <v>1.2310076575543269E-2</v>
      </c>
      <c r="J236" s="3">
        <f t="shared" si="197"/>
        <v>1.2310076575543269E-2</v>
      </c>
      <c r="K236" s="3">
        <f t="shared" si="197"/>
        <v>1.2310076575543269E-2</v>
      </c>
      <c r="L236" s="3">
        <f t="shared" si="197"/>
        <v>1.2310076575543269E-2</v>
      </c>
      <c r="M236" s="3">
        <f t="shared" si="197"/>
        <v>1.2310076575543269E-2</v>
      </c>
      <c r="N236" s="3">
        <f t="shared" si="197"/>
        <v>1.2310076575543269E-2</v>
      </c>
      <c r="O236" s="3">
        <f t="shared" si="197"/>
        <v>1.2310076575543269E-2</v>
      </c>
      <c r="P236" s="3">
        <f t="shared" si="197"/>
        <v>1.2310076575543269E-2</v>
      </c>
      <c r="Q236" s="3">
        <f t="shared" si="197"/>
        <v>1.2310076575543269E-2</v>
      </c>
      <c r="R236" s="3">
        <f t="shared" si="197"/>
        <v>1.2310076575543267E-2</v>
      </c>
      <c r="S236" s="3">
        <f t="shared" si="197"/>
        <v>1.231007657554325E-2</v>
      </c>
      <c r="T236" s="3">
        <f t="shared" si="197"/>
        <v>1.2310076575543073E-2</v>
      </c>
      <c r="U236" s="3">
        <f t="shared" si="197"/>
        <v>1.231007657554131E-2</v>
      </c>
      <c r="V236" s="3">
        <f t="shared" si="197"/>
        <v>1.2310076575523677E-2</v>
      </c>
      <c r="W236" s="3">
        <f t="shared" si="197"/>
        <v>1.2310076575347358E-2</v>
      </c>
      <c r="X236" s="3">
        <f t="shared" si="197"/>
        <v>1.231007657358415E-2</v>
      </c>
      <c r="Y236" s="3">
        <f t="shared" si="197"/>
        <v>1.2310076555952072E-2</v>
      </c>
      <c r="Z236" s="3">
        <f t="shared" si="197"/>
        <v>1.2310076379631309E-2</v>
      </c>
      <c r="AA236" s="3">
        <f t="shared" si="197"/>
        <v>1.2310074616423809E-2</v>
      </c>
      <c r="AB236" s="3">
        <f t="shared" si="197"/>
        <v>1.2310056984362683E-2</v>
      </c>
      <c r="AC236" s="3">
        <f t="shared" si="197"/>
        <v>1.2309880665140457E-2</v>
      </c>
      <c r="AD236" s="3">
        <f t="shared" si="197"/>
        <v>1.2308117611812136E-2</v>
      </c>
      <c r="AE236" s="3">
        <f t="shared" si="197"/>
        <v>1.2290500960564566E-2</v>
      </c>
      <c r="AF236" s="3">
        <f t="shared" si="197"/>
        <v>1.2115715322809979E-2</v>
      </c>
      <c r="AG236" s="3"/>
      <c r="AH236" s="3"/>
    </row>
    <row r="237" spans="2:34" x14ac:dyDescent="0.25">
      <c r="B237" s="3">
        <f t="shared" ref="B237:AF237" si="198">$C45*EXP(-B$207/$A45/EXP(-$D$126))</f>
        <v>1.4823378253451746E-2</v>
      </c>
      <c r="C237" s="3">
        <f t="shared" si="198"/>
        <v>1.4823378253451746E-2</v>
      </c>
      <c r="D237" s="3">
        <f t="shared" si="198"/>
        <v>1.4823378253451746E-2</v>
      </c>
      <c r="E237" s="3">
        <f t="shared" si="198"/>
        <v>1.4823378253451746E-2</v>
      </c>
      <c r="F237" s="3">
        <f t="shared" si="198"/>
        <v>1.4823378253451746E-2</v>
      </c>
      <c r="G237" s="3">
        <f t="shared" si="198"/>
        <v>1.4823378253451746E-2</v>
      </c>
      <c r="H237" s="3">
        <f t="shared" si="198"/>
        <v>1.4823378253451746E-2</v>
      </c>
      <c r="I237" s="3">
        <f t="shared" si="198"/>
        <v>1.4823378253451746E-2</v>
      </c>
      <c r="J237" s="3">
        <f t="shared" si="198"/>
        <v>1.4823378253451746E-2</v>
      </c>
      <c r="K237" s="3">
        <f t="shared" si="198"/>
        <v>1.4823378253451746E-2</v>
      </c>
      <c r="L237" s="3">
        <f t="shared" si="198"/>
        <v>1.4823378253451746E-2</v>
      </c>
      <c r="M237" s="3">
        <f t="shared" si="198"/>
        <v>1.4823378253451746E-2</v>
      </c>
      <c r="N237" s="3">
        <f t="shared" si="198"/>
        <v>1.4823378253451746E-2</v>
      </c>
      <c r="O237" s="3">
        <f t="shared" si="198"/>
        <v>1.4823378253451746E-2</v>
      </c>
      <c r="P237" s="3">
        <f t="shared" si="198"/>
        <v>1.4823378253451746E-2</v>
      </c>
      <c r="Q237" s="3">
        <f t="shared" si="198"/>
        <v>1.4823378253451746E-2</v>
      </c>
      <c r="R237" s="3">
        <f t="shared" si="198"/>
        <v>1.4823378253451746E-2</v>
      </c>
      <c r="S237" s="3">
        <f t="shared" si="198"/>
        <v>1.4823378253451744E-2</v>
      </c>
      <c r="T237" s="3">
        <f t="shared" si="198"/>
        <v>1.4823378253451723E-2</v>
      </c>
      <c r="U237" s="3">
        <f t="shared" si="198"/>
        <v>1.482337825345151E-2</v>
      </c>
      <c r="V237" s="3">
        <f t="shared" si="198"/>
        <v>1.4823378253449388E-2</v>
      </c>
      <c r="W237" s="3">
        <f t="shared" si="198"/>
        <v>1.4823378253428153E-2</v>
      </c>
      <c r="X237" s="3">
        <f t="shared" si="198"/>
        <v>1.4823378253215835E-2</v>
      </c>
      <c r="Y237" s="3">
        <f t="shared" si="198"/>
        <v>1.4823378251092641E-2</v>
      </c>
      <c r="Z237" s="3">
        <f t="shared" si="198"/>
        <v>1.4823378229860689E-2</v>
      </c>
      <c r="AA237" s="3">
        <f t="shared" si="198"/>
        <v>1.4823378017541184E-2</v>
      </c>
      <c r="AB237" s="3">
        <f t="shared" si="198"/>
        <v>1.4823375894346289E-2</v>
      </c>
      <c r="AC237" s="3">
        <f t="shared" si="198"/>
        <v>1.4823354662414072E-2</v>
      </c>
      <c r="AD237" s="3">
        <f t="shared" si="198"/>
        <v>1.4823142344764515E-2</v>
      </c>
      <c r="AE237" s="3">
        <f t="shared" si="198"/>
        <v>1.4821019335520311E-2</v>
      </c>
      <c r="AF237" s="3">
        <f t="shared" si="198"/>
        <v>1.4799805959356538E-2</v>
      </c>
      <c r="AG237" s="3"/>
      <c r="AH237" s="3"/>
    </row>
    <row r="238" spans="2:34" x14ac:dyDescent="0.25">
      <c r="B238" s="3">
        <f t="shared" ref="B238:AF238" si="199">$C46*EXP(-B$207/$A46/EXP(-$D$126))</f>
        <v>7.924341887142665E-4</v>
      </c>
      <c r="C238" s="3">
        <f t="shared" si="199"/>
        <v>7.924341887142665E-4</v>
      </c>
      <c r="D238" s="3">
        <f t="shared" si="199"/>
        <v>7.924341887142665E-4</v>
      </c>
      <c r="E238" s="3">
        <f t="shared" si="199"/>
        <v>7.924341887142665E-4</v>
      </c>
      <c r="F238" s="3">
        <f t="shared" si="199"/>
        <v>7.924341887142665E-4</v>
      </c>
      <c r="G238" s="3">
        <f t="shared" si="199"/>
        <v>7.924341887142665E-4</v>
      </c>
      <c r="H238" s="3">
        <f t="shared" si="199"/>
        <v>7.924341887142665E-4</v>
      </c>
      <c r="I238" s="3">
        <f t="shared" si="199"/>
        <v>7.924341887142665E-4</v>
      </c>
      <c r="J238" s="3">
        <f t="shared" si="199"/>
        <v>7.924341887142665E-4</v>
      </c>
      <c r="K238" s="3">
        <f t="shared" si="199"/>
        <v>7.924341887142665E-4</v>
      </c>
      <c r="L238" s="3">
        <f t="shared" si="199"/>
        <v>7.924341887142665E-4</v>
      </c>
      <c r="M238" s="3">
        <f t="shared" si="199"/>
        <v>7.924341887142665E-4</v>
      </c>
      <c r="N238" s="3">
        <f t="shared" si="199"/>
        <v>7.924341887142665E-4</v>
      </c>
      <c r="O238" s="3">
        <f t="shared" si="199"/>
        <v>7.924341887142665E-4</v>
      </c>
      <c r="P238" s="3">
        <f t="shared" si="199"/>
        <v>7.924341887142665E-4</v>
      </c>
      <c r="Q238" s="3">
        <f t="shared" si="199"/>
        <v>7.924341887142665E-4</v>
      </c>
      <c r="R238" s="3">
        <f t="shared" si="199"/>
        <v>7.924341887142665E-4</v>
      </c>
      <c r="S238" s="3">
        <f t="shared" si="199"/>
        <v>7.924341887142665E-4</v>
      </c>
      <c r="T238" s="3">
        <f t="shared" si="199"/>
        <v>7.9243418871426639E-4</v>
      </c>
      <c r="U238" s="3">
        <f t="shared" si="199"/>
        <v>7.9243418871426531E-4</v>
      </c>
      <c r="V238" s="3">
        <f t="shared" si="199"/>
        <v>7.9243418871425392E-4</v>
      </c>
      <c r="W238" s="3">
        <f t="shared" si="199"/>
        <v>7.9243418871414041E-4</v>
      </c>
      <c r="X238" s="3">
        <f t="shared" si="199"/>
        <v>7.9243418871300536E-4</v>
      </c>
      <c r="Y238" s="3">
        <f t="shared" si="199"/>
        <v>7.9243418870165517E-4</v>
      </c>
      <c r="Z238" s="3">
        <f t="shared" si="199"/>
        <v>7.9243418858815254E-4</v>
      </c>
      <c r="AA238" s="3">
        <f t="shared" si="199"/>
        <v>7.9243418745312622E-4</v>
      </c>
      <c r="AB238" s="3">
        <f t="shared" si="199"/>
        <v>7.9243417610286358E-4</v>
      </c>
      <c r="AC238" s="3">
        <f t="shared" si="199"/>
        <v>7.9243406260024666E-4</v>
      </c>
      <c r="AD238" s="3">
        <f t="shared" si="199"/>
        <v>7.9243292757497151E-4</v>
      </c>
      <c r="AE238" s="3">
        <f t="shared" si="199"/>
        <v>7.9242157741163486E-4</v>
      </c>
      <c r="AF238" s="3">
        <f t="shared" si="199"/>
        <v>7.9230808471926083E-4</v>
      </c>
      <c r="AG238" s="3"/>
      <c r="AH238" s="3"/>
    </row>
    <row r="239" spans="2:34" x14ac:dyDescent="0.25">
      <c r="B239" s="3">
        <f t="shared" ref="B239:AF239" si="200">$C47*EXP(-B$207/$A47/EXP(-$D$126))</f>
        <v>4.201469826442498E-3</v>
      </c>
      <c r="C239" s="3">
        <f t="shared" si="200"/>
        <v>4.201469826442498E-3</v>
      </c>
      <c r="D239" s="3">
        <f t="shared" si="200"/>
        <v>4.201469826442498E-3</v>
      </c>
      <c r="E239" s="3">
        <f t="shared" si="200"/>
        <v>4.201469826442498E-3</v>
      </c>
      <c r="F239" s="3">
        <f t="shared" si="200"/>
        <v>4.201469826442498E-3</v>
      </c>
      <c r="G239" s="3">
        <f t="shared" si="200"/>
        <v>4.201469826442498E-3</v>
      </c>
      <c r="H239" s="3">
        <f t="shared" si="200"/>
        <v>4.201469826442498E-3</v>
      </c>
      <c r="I239" s="3">
        <f t="shared" si="200"/>
        <v>4.201469826442498E-3</v>
      </c>
      <c r="J239" s="3">
        <f t="shared" si="200"/>
        <v>4.201469826442498E-3</v>
      </c>
      <c r="K239" s="3">
        <f t="shared" si="200"/>
        <v>4.201469826442498E-3</v>
      </c>
      <c r="L239" s="3">
        <f t="shared" si="200"/>
        <v>4.201469826442498E-3</v>
      </c>
      <c r="M239" s="3">
        <f t="shared" si="200"/>
        <v>4.201469826442498E-3</v>
      </c>
      <c r="N239" s="3">
        <f t="shared" si="200"/>
        <v>4.201469826442498E-3</v>
      </c>
      <c r="O239" s="3">
        <f t="shared" si="200"/>
        <v>4.201469826442498E-3</v>
      </c>
      <c r="P239" s="3">
        <f t="shared" si="200"/>
        <v>4.201469826442498E-3</v>
      </c>
      <c r="Q239" s="3">
        <f t="shared" si="200"/>
        <v>4.201469826442498E-3</v>
      </c>
      <c r="R239" s="3">
        <f t="shared" si="200"/>
        <v>4.201469826442498E-3</v>
      </c>
      <c r="S239" s="3">
        <f t="shared" si="200"/>
        <v>4.201469826442498E-3</v>
      </c>
      <c r="T239" s="3">
        <f t="shared" si="200"/>
        <v>4.201469826442498E-3</v>
      </c>
      <c r="U239" s="3">
        <f t="shared" si="200"/>
        <v>4.2014698264424971E-3</v>
      </c>
      <c r="V239" s="3">
        <f t="shared" si="200"/>
        <v>4.201469826442491E-3</v>
      </c>
      <c r="W239" s="3">
        <f t="shared" si="200"/>
        <v>4.2014698264424312E-3</v>
      </c>
      <c r="X239" s="3">
        <f t="shared" si="200"/>
        <v>4.2014698264418292E-3</v>
      </c>
      <c r="Y239" s="3">
        <f t="shared" si="200"/>
        <v>4.2014698264358115E-3</v>
      </c>
      <c r="Z239" s="3">
        <f t="shared" si="200"/>
        <v>4.2014698263756331E-3</v>
      </c>
      <c r="AA239" s="3">
        <f t="shared" si="200"/>
        <v>4.2014698257738445E-3</v>
      </c>
      <c r="AB239" s="3">
        <f t="shared" si="200"/>
        <v>4.2014698197559578E-3</v>
      </c>
      <c r="AC239" s="3">
        <f t="shared" si="200"/>
        <v>4.2014697595770985E-3</v>
      </c>
      <c r="AD239" s="3">
        <f t="shared" si="200"/>
        <v>4.2014691577885498E-3</v>
      </c>
      <c r="AE239" s="3">
        <f t="shared" si="200"/>
        <v>4.2014631399078049E-3</v>
      </c>
      <c r="AF239" s="3">
        <f t="shared" si="200"/>
        <v>4.2014029615744328E-3</v>
      </c>
      <c r="AG239" s="3"/>
      <c r="AH239" s="3"/>
    </row>
    <row r="240" spans="2:34" x14ac:dyDescent="0.25">
      <c r="B240" s="3">
        <f t="shared" ref="B240:AF240" si="201">$C48*EXP(-B$207/$A48/EXP(-$D$126))</f>
        <v>6.8476297618842216E-3</v>
      </c>
      <c r="C240" s="3">
        <f t="shared" si="201"/>
        <v>6.8476297618842216E-3</v>
      </c>
      <c r="D240" s="3">
        <f t="shared" si="201"/>
        <v>6.8476297618842216E-3</v>
      </c>
      <c r="E240" s="3">
        <f t="shared" si="201"/>
        <v>6.8476297618842216E-3</v>
      </c>
      <c r="F240" s="3">
        <f t="shared" si="201"/>
        <v>6.8476297618842216E-3</v>
      </c>
      <c r="G240" s="3">
        <f t="shared" si="201"/>
        <v>6.8476297618842216E-3</v>
      </c>
      <c r="H240" s="3">
        <f t="shared" si="201"/>
        <v>6.8476297618842216E-3</v>
      </c>
      <c r="I240" s="3">
        <f t="shared" si="201"/>
        <v>6.8476297618842216E-3</v>
      </c>
      <c r="J240" s="3">
        <f t="shared" si="201"/>
        <v>6.8476297618842216E-3</v>
      </c>
      <c r="K240" s="3">
        <f t="shared" si="201"/>
        <v>6.8476297618842216E-3</v>
      </c>
      <c r="L240" s="3">
        <f t="shared" si="201"/>
        <v>6.8476297618842216E-3</v>
      </c>
      <c r="M240" s="3">
        <f t="shared" si="201"/>
        <v>6.8476297618842216E-3</v>
      </c>
      <c r="N240" s="3">
        <f t="shared" si="201"/>
        <v>6.8476297618842216E-3</v>
      </c>
      <c r="O240" s="3">
        <f t="shared" si="201"/>
        <v>6.8476297618842216E-3</v>
      </c>
      <c r="P240" s="3">
        <f t="shared" si="201"/>
        <v>6.8476297618842216E-3</v>
      </c>
      <c r="Q240" s="3">
        <f t="shared" si="201"/>
        <v>6.8476297618842216E-3</v>
      </c>
      <c r="R240" s="3">
        <f t="shared" si="201"/>
        <v>6.8476297618842216E-3</v>
      </c>
      <c r="S240" s="3">
        <f t="shared" si="201"/>
        <v>6.8476297618842216E-3</v>
      </c>
      <c r="T240" s="3">
        <f t="shared" si="201"/>
        <v>6.8476297618842216E-3</v>
      </c>
      <c r="U240" s="3">
        <f t="shared" si="201"/>
        <v>6.8476297618842216E-3</v>
      </c>
      <c r="V240" s="3">
        <f t="shared" si="201"/>
        <v>6.8476297618842207E-3</v>
      </c>
      <c r="W240" s="3">
        <f t="shared" si="201"/>
        <v>6.8476297618842111E-3</v>
      </c>
      <c r="X240" s="3">
        <f t="shared" si="201"/>
        <v>6.8476297618841131E-3</v>
      </c>
      <c r="Y240" s="3">
        <f t="shared" si="201"/>
        <v>6.8476297618831321E-3</v>
      </c>
      <c r="Z240" s="3">
        <f t="shared" si="201"/>
        <v>6.8476297618733232E-3</v>
      </c>
      <c r="AA240" s="3">
        <f t="shared" si="201"/>
        <v>6.8476297617752436E-3</v>
      </c>
      <c r="AB240" s="3">
        <f t="shared" si="201"/>
        <v>6.8476297607944379E-3</v>
      </c>
      <c r="AC240" s="3">
        <f t="shared" si="201"/>
        <v>6.8476297509863808E-3</v>
      </c>
      <c r="AD240" s="3">
        <f t="shared" si="201"/>
        <v>6.8476296529058119E-3</v>
      </c>
      <c r="AE240" s="3">
        <f t="shared" si="201"/>
        <v>6.8476286721002025E-3</v>
      </c>
      <c r="AF240" s="3">
        <f t="shared" si="201"/>
        <v>6.8476188640518298E-3</v>
      </c>
      <c r="AG240" s="3"/>
      <c r="AH240" s="3"/>
    </row>
    <row r="241" spans="1:34" x14ac:dyDescent="0.25">
      <c r="A241" s="79">
        <f>AVERAGE(B241:AF241)</f>
        <v>4.3546488290312949E-2</v>
      </c>
      <c r="B241" s="80">
        <f>IF($A$64&lt;=B207,IF($B$64&gt;=B207,ABS((B209-B208)/B208),0),0)</f>
        <v>2.0361680700214605E-2</v>
      </c>
      <c r="C241" s="80">
        <f t="shared" ref="C241:AF241" si="202">IF($A$64&lt;=C207,IF($B$64&gt;=C207,ABS((C209-C208)/C208),0),0)</f>
        <v>2.5574954885039542E-2</v>
      </c>
      <c r="D241" s="80">
        <f t="shared" si="202"/>
        <v>2.5562598612808945E-2</v>
      </c>
      <c r="E241" s="80">
        <f t="shared" si="202"/>
        <v>2.5486061095129877E-2</v>
      </c>
      <c r="F241" s="80">
        <f t="shared" si="202"/>
        <v>2.4757903983926959E-2</v>
      </c>
      <c r="G241" s="80">
        <f t="shared" si="202"/>
        <v>1.8640128359892393E-2</v>
      </c>
      <c r="H241" s="80">
        <f t="shared" si="202"/>
        <v>4.8529934596151332E-3</v>
      </c>
      <c r="I241" s="80">
        <f t="shared" si="202"/>
        <v>2.0186468511950623E-2</v>
      </c>
      <c r="J241" s="80">
        <f t="shared" si="202"/>
        <v>1.5786525034314353E-2</v>
      </c>
      <c r="K241" s="80">
        <f t="shared" si="202"/>
        <v>1.8170330613144606E-2</v>
      </c>
      <c r="L241" s="80">
        <f t="shared" si="202"/>
        <v>1.9552621846999723E-2</v>
      </c>
      <c r="M241" s="80">
        <f t="shared" si="202"/>
        <v>2.1551713898249499E-2</v>
      </c>
      <c r="N241" s="80">
        <f t="shared" si="202"/>
        <v>2.3054422448461991E-2</v>
      </c>
      <c r="O241" s="80">
        <f t="shared" si="202"/>
        <v>2.3305047146814022E-2</v>
      </c>
      <c r="P241" s="80">
        <f t="shared" si="202"/>
        <v>2.3736188906525499E-2</v>
      </c>
      <c r="Q241" s="80">
        <f t="shared" si="202"/>
        <v>2.8199259892580469E-2</v>
      </c>
      <c r="R241" s="80">
        <f t="shared" si="202"/>
        <v>3.2430335705333574E-2</v>
      </c>
      <c r="S241" s="80">
        <f t="shared" si="202"/>
        <v>2.6658977864905807E-2</v>
      </c>
      <c r="T241" s="80">
        <f t="shared" si="202"/>
        <v>6.1886151338733557E-3</v>
      </c>
      <c r="U241" s="80">
        <f t="shared" si="202"/>
        <v>5.3803450103961745E-2</v>
      </c>
      <c r="V241" s="80">
        <f t="shared" si="202"/>
        <v>0.10449131324432449</v>
      </c>
      <c r="W241" s="80">
        <f t="shared" si="202"/>
        <v>0.1236054388252473</v>
      </c>
      <c r="X241" s="80">
        <f t="shared" si="202"/>
        <v>0.10873441315748095</v>
      </c>
      <c r="Y241" s="80">
        <f t="shared" si="202"/>
        <v>7.293663762300702E-2</v>
      </c>
      <c r="Z241" s="80">
        <f t="shared" si="202"/>
        <v>4.1269604152524342E-2</v>
      </c>
      <c r="AA241" s="80">
        <f t="shared" si="202"/>
        <v>7.7989328345156976E-3</v>
      </c>
      <c r="AB241" s="80">
        <f t="shared" si="202"/>
        <v>7.8717287966167393E-3</v>
      </c>
      <c r="AC241" s="80">
        <f t="shared" si="202"/>
        <v>6.5661871594219517E-2</v>
      </c>
      <c r="AD241" s="80">
        <f t="shared" si="202"/>
        <v>7.4324396738922327E-2</v>
      </c>
      <c r="AE241" s="80">
        <f t="shared" si="202"/>
        <v>0.13932730396243923</v>
      </c>
      <c r="AF241" s="80">
        <f t="shared" si="202"/>
        <v>0.14605921786666087</v>
      </c>
    </row>
    <row r="242" spans="1:34" x14ac:dyDescent="0.25">
      <c r="B242" s="21">
        <f>(B209-B208)^2</f>
        <v>15890.645272655711</v>
      </c>
      <c r="C242" s="21">
        <f t="shared" ref="C242:AF242" si="203">(C209-C208)^2</f>
        <v>25069.755030867516</v>
      </c>
      <c r="D242" s="21">
        <f t="shared" si="203"/>
        <v>25044.809258007688</v>
      </c>
      <c r="E242" s="21">
        <f t="shared" si="203"/>
        <v>24890.235783199565</v>
      </c>
      <c r="F242" s="21">
        <f t="shared" si="203"/>
        <v>23444.636298566315</v>
      </c>
      <c r="G242" s="21">
        <f t="shared" si="203"/>
        <v>13077.382649895828</v>
      </c>
      <c r="H242" s="21">
        <f t="shared" si="203"/>
        <v>836.62793971529106</v>
      </c>
      <c r="I242" s="21">
        <f t="shared" si="203"/>
        <v>13886.011903169359</v>
      </c>
      <c r="J242" s="21">
        <f t="shared" si="203"/>
        <v>8172.165026665406</v>
      </c>
      <c r="K242" s="21">
        <f t="shared" si="203"/>
        <v>10355.330238355273</v>
      </c>
      <c r="L242" s="21">
        <f t="shared" si="203"/>
        <v>11433.585267330367</v>
      </c>
      <c r="M242" s="21">
        <f t="shared" si="203"/>
        <v>13144.267723225483</v>
      </c>
      <c r="N242" s="21">
        <f t="shared" si="203"/>
        <v>14139.684768014669</v>
      </c>
      <c r="O242" s="21">
        <f t="shared" si="203"/>
        <v>13515.338904434529</v>
      </c>
      <c r="P242" s="21">
        <f t="shared" si="203"/>
        <v>13122.862663180053</v>
      </c>
      <c r="Q242" s="21">
        <f t="shared" si="203"/>
        <v>17247.81461330333</v>
      </c>
      <c r="R242" s="21">
        <f t="shared" si="203"/>
        <v>20806.250158274048</v>
      </c>
      <c r="S242" s="21">
        <f t="shared" si="203"/>
        <v>12474.954184652379</v>
      </c>
      <c r="T242" s="21">
        <f t="shared" si="203"/>
        <v>573.56627458087689</v>
      </c>
      <c r="U242" s="21">
        <f t="shared" si="203"/>
        <v>35975.366447640117</v>
      </c>
      <c r="V242" s="21">
        <f t="shared" si="203"/>
        <v>111786.32307163159</v>
      </c>
      <c r="W242" s="21">
        <f t="shared" si="203"/>
        <v>131612.03706843784</v>
      </c>
      <c r="X242" s="21">
        <f t="shared" si="203"/>
        <v>86844.565975851627</v>
      </c>
      <c r="Y242" s="21">
        <f t="shared" si="203"/>
        <v>33680.591686153501</v>
      </c>
      <c r="Z242" s="21">
        <f t="shared" si="203"/>
        <v>9172.892284404752</v>
      </c>
      <c r="AA242" s="21">
        <f t="shared" si="203"/>
        <v>275.41098453336826</v>
      </c>
      <c r="AB242" s="21">
        <f t="shared" si="203"/>
        <v>228.9700927830479</v>
      </c>
      <c r="AC242" s="21">
        <f t="shared" si="203"/>
        <v>12448.980637704661</v>
      </c>
      <c r="AD242" s="21">
        <f t="shared" si="203"/>
        <v>11493.529011227345</v>
      </c>
      <c r="AE242" s="21">
        <f t="shared" si="203"/>
        <v>25792.036886965077</v>
      </c>
      <c r="AF242" s="21">
        <f t="shared" si="203"/>
        <v>15653.623565472657</v>
      </c>
      <c r="AG242" s="3"/>
      <c r="AH242" s="3"/>
    </row>
    <row r="243" spans="1:34" x14ac:dyDescent="0.25">
      <c r="A243" s="71">
        <f>SUM(B243:AF243)</f>
        <v>752090.25167089922</v>
      </c>
      <c r="B243" s="60">
        <f>IF($A$64&lt;=B207,IF($B$64&gt;=B207,ABS(B242),0),0)</f>
        <v>15890.645272655711</v>
      </c>
      <c r="C243" s="60">
        <f t="shared" ref="C243" si="204">IF($A$64&lt;=C207,IF($B$64&gt;=C207,ABS(C242),0),0)</f>
        <v>25069.755030867516</v>
      </c>
      <c r="D243" s="60">
        <f t="shared" ref="D243" si="205">IF($A$64&lt;=D207,IF($B$64&gt;=D207,ABS(D242),0),0)</f>
        <v>25044.809258007688</v>
      </c>
      <c r="E243" s="60">
        <f t="shared" ref="E243" si="206">IF($A$64&lt;=E207,IF($B$64&gt;=E207,ABS(E242),0),0)</f>
        <v>24890.235783199565</v>
      </c>
      <c r="F243" s="60">
        <f t="shared" ref="F243" si="207">IF($A$64&lt;=F207,IF($B$64&gt;=F207,ABS(F242),0),0)</f>
        <v>23444.636298566315</v>
      </c>
      <c r="G243" s="60">
        <f t="shared" ref="G243" si="208">IF($A$64&lt;=G207,IF($B$64&gt;=G207,ABS(G242),0),0)</f>
        <v>13077.382649895828</v>
      </c>
      <c r="H243" s="60">
        <f t="shared" ref="H243" si="209">IF($A$64&lt;=H207,IF($B$64&gt;=H207,ABS(H242),0),0)</f>
        <v>836.62793971529106</v>
      </c>
      <c r="I243" s="60">
        <f t="shared" ref="I243" si="210">IF($A$64&lt;=I207,IF($B$64&gt;=I207,ABS(I242),0),0)</f>
        <v>13886.011903169359</v>
      </c>
      <c r="J243" s="60">
        <f t="shared" ref="J243" si="211">IF($A$64&lt;=J207,IF($B$64&gt;=J207,ABS(J242),0),0)</f>
        <v>8172.165026665406</v>
      </c>
      <c r="K243" s="60">
        <f t="shared" ref="K243" si="212">IF($A$64&lt;=K207,IF($B$64&gt;=K207,ABS(K242),0),0)</f>
        <v>10355.330238355273</v>
      </c>
      <c r="L243" s="60">
        <f t="shared" ref="L243" si="213">IF($A$64&lt;=L207,IF($B$64&gt;=L207,ABS(L242),0),0)</f>
        <v>11433.585267330367</v>
      </c>
      <c r="M243" s="60">
        <f t="shared" ref="M243" si="214">IF($A$64&lt;=M207,IF($B$64&gt;=M207,ABS(M242),0),0)</f>
        <v>13144.267723225483</v>
      </c>
      <c r="N243" s="60">
        <f t="shared" ref="N243" si="215">IF($A$64&lt;=N207,IF($B$64&gt;=N207,ABS(N242),0),0)</f>
        <v>14139.684768014669</v>
      </c>
      <c r="O243" s="60">
        <f t="shared" ref="O243" si="216">IF($A$64&lt;=O207,IF($B$64&gt;=O207,ABS(O242),0),0)</f>
        <v>13515.338904434529</v>
      </c>
      <c r="P243" s="60">
        <f t="shared" ref="P243" si="217">IF($A$64&lt;=P207,IF($B$64&gt;=P207,ABS(P242),0),0)</f>
        <v>13122.862663180053</v>
      </c>
      <c r="Q243" s="60">
        <f t="shared" ref="Q243" si="218">IF($A$64&lt;=Q207,IF($B$64&gt;=Q207,ABS(Q242),0),0)</f>
        <v>17247.81461330333</v>
      </c>
      <c r="R243" s="60">
        <f t="shared" ref="R243" si="219">IF($A$64&lt;=R207,IF($B$64&gt;=R207,ABS(R242),0),0)</f>
        <v>20806.250158274048</v>
      </c>
      <c r="S243" s="60">
        <f t="shared" ref="S243" si="220">IF($A$64&lt;=S207,IF($B$64&gt;=S207,ABS(S242),0),0)</f>
        <v>12474.954184652379</v>
      </c>
      <c r="T243" s="60">
        <f t="shared" ref="T243" si="221">IF($A$64&lt;=T207,IF($B$64&gt;=T207,ABS(T242),0),0)</f>
        <v>573.56627458087689</v>
      </c>
      <c r="U243" s="60">
        <f t="shared" ref="U243" si="222">IF($A$64&lt;=U207,IF($B$64&gt;=U207,ABS(U242),0),0)</f>
        <v>35975.366447640117</v>
      </c>
      <c r="V243" s="60">
        <f t="shared" ref="V243" si="223">IF($A$64&lt;=V207,IF($B$64&gt;=V207,ABS(V242),0),0)</f>
        <v>111786.32307163159</v>
      </c>
      <c r="W243" s="60">
        <f t="shared" ref="W243" si="224">IF($A$64&lt;=W207,IF($B$64&gt;=W207,ABS(W242),0),0)</f>
        <v>131612.03706843784</v>
      </c>
      <c r="X243" s="60">
        <f t="shared" ref="X243" si="225">IF($A$64&lt;=X207,IF($B$64&gt;=X207,ABS(X242),0),0)</f>
        <v>86844.565975851627</v>
      </c>
      <c r="Y243" s="60">
        <f t="shared" ref="Y243" si="226">IF($A$64&lt;=Y207,IF($B$64&gt;=Y207,ABS(Y242),0),0)</f>
        <v>33680.591686153501</v>
      </c>
      <c r="Z243" s="60">
        <f t="shared" ref="Z243" si="227">IF($A$64&lt;=Z207,IF($B$64&gt;=Z207,ABS(Z242),0),0)</f>
        <v>9172.892284404752</v>
      </c>
      <c r="AA243" s="60">
        <f t="shared" ref="AA243" si="228">IF($A$64&lt;=AA207,IF($B$64&gt;=AA207,ABS(AA242),0),0)</f>
        <v>275.41098453336826</v>
      </c>
      <c r="AB243" s="60">
        <f t="shared" ref="AB243" si="229">IF($A$64&lt;=AB207,IF($B$64&gt;=AB207,ABS(AB242),0),0)</f>
        <v>228.9700927830479</v>
      </c>
      <c r="AC243" s="60">
        <f t="shared" ref="AC243" si="230">IF($A$64&lt;=AC207,IF($B$64&gt;=AC207,ABS(AC242),0),0)</f>
        <v>12448.980637704661</v>
      </c>
      <c r="AD243" s="60">
        <f t="shared" ref="AD243" si="231">IF($A$64&lt;=AD207,IF($B$64&gt;=AD207,ABS(AD242),0),0)</f>
        <v>11493.529011227345</v>
      </c>
      <c r="AE243" s="60">
        <f t="shared" ref="AE243" si="232">IF($A$64&lt;=AE207,IF($B$64&gt;=AE207,ABS(AE242),0),0)</f>
        <v>25792.036886965077</v>
      </c>
      <c r="AF243" s="60">
        <f t="shared" ref="AF243" si="233">IF($A$64&lt;=AF207,IF($B$64&gt;=AF207,ABS(AF242),0),0)</f>
        <v>15653.623565472657</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6032.6393353351787</v>
      </c>
      <c r="C248" s="27">
        <f t="shared" ref="C248:AF248" si="234">($C$17+SUM(C249:C279))*$B$51</f>
        <v>6032.4728242489491</v>
      </c>
      <c r="D248" s="27">
        <f t="shared" si="234"/>
        <v>6030.8126600012565</v>
      </c>
      <c r="E248" s="27">
        <f t="shared" si="234"/>
        <v>6014.6957367167352</v>
      </c>
      <c r="F248" s="27">
        <f t="shared" si="234"/>
        <v>5893.4152724879832</v>
      </c>
      <c r="G248" s="27">
        <f t="shared" si="234"/>
        <v>5706.0729419288837</v>
      </c>
      <c r="H248" s="27">
        <f t="shared" si="234"/>
        <v>5616.2398310974622</v>
      </c>
      <c r="I248" s="27">
        <f t="shared" si="234"/>
        <v>5477.8880203055014</v>
      </c>
      <c r="J248" s="27">
        <f t="shared" si="234"/>
        <v>5338.4783581442316</v>
      </c>
      <c r="K248" s="27">
        <f t="shared" si="234"/>
        <v>5179.0928765359804</v>
      </c>
      <c r="L248" s="27">
        <f t="shared" si="234"/>
        <v>5011.4637808921852</v>
      </c>
      <c r="M248" s="27">
        <f t="shared" si="234"/>
        <v>4844.5955042281121</v>
      </c>
      <c r="N248" s="27">
        <f t="shared" si="234"/>
        <v>4681.7600511944247</v>
      </c>
      <c r="O248" s="27">
        <f t="shared" si="234"/>
        <v>4488.8332416626527</v>
      </c>
      <c r="P248" s="27">
        <f t="shared" si="234"/>
        <v>4260.2300744990898</v>
      </c>
      <c r="Q248" s="27">
        <f t="shared" si="234"/>
        <v>4036.9706131852058</v>
      </c>
      <c r="R248" s="27">
        <f t="shared" si="234"/>
        <v>3860.1624151541751</v>
      </c>
      <c r="S248" s="27">
        <f t="shared" si="234"/>
        <v>3678.3677114091538</v>
      </c>
      <c r="T248" s="27">
        <f t="shared" si="234"/>
        <v>3495.795241580905</v>
      </c>
      <c r="U248" s="27">
        <f t="shared" si="234"/>
        <v>3241.5504964204688</v>
      </c>
      <c r="V248" s="27">
        <f t="shared" si="234"/>
        <v>2944.4856266055613</v>
      </c>
      <c r="W248" s="27">
        <f t="shared" si="234"/>
        <v>2641.2198050203965</v>
      </c>
      <c r="X248" s="27">
        <f t="shared" si="234"/>
        <v>2367.3594667453804</v>
      </c>
      <c r="Y248" s="27">
        <f t="shared" si="234"/>
        <v>2092.2196219337675</v>
      </c>
      <c r="Z248" s="27">
        <f t="shared" si="234"/>
        <v>1875.4181820279446</v>
      </c>
      <c r="AA248" s="27">
        <f t="shared" si="234"/>
        <v>1523.2783525461095</v>
      </c>
      <c r="AB248" s="27">
        <f t="shared" si="234"/>
        <v>1287.5007931406039</v>
      </c>
      <c r="AC248" s="27">
        <f t="shared" si="234"/>
        <v>927.60955668193253</v>
      </c>
      <c r="AD248" s="27">
        <f t="shared" si="234"/>
        <v>689.25703445001704</v>
      </c>
      <c r="AE248" s="27">
        <f t="shared" si="234"/>
        <v>462.36618545029495</v>
      </c>
      <c r="AF248" s="27">
        <f t="shared" si="234"/>
        <v>366.69782697268892</v>
      </c>
      <c r="AG248" s="27"/>
      <c r="AH248" s="27"/>
    </row>
    <row r="249" spans="1:34" x14ac:dyDescent="0.25">
      <c r="B249" s="3">
        <f t="shared" ref="B249:AF249" si="235">$C18*EXP(-B$246/$A18/EXP(-$E$126))</f>
        <v>2.5592492543133259E-106</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4.7694740879344305E-2</v>
      </c>
      <c r="C250" s="3">
        <f t="shared" si="236"/>
        <v>4.7668417457590984E-2</v>
      </c>
      <c r="D250" s="3">
        <f t="shared" si="236"/>
        <v>4.740598097386628E-2</v>
      </c>
      <c r="E250" s="3">
        <f t="shared" si="236"/>
        <v>4.4859783811457041E-2</v>
      </c>
      <c r="F250" s="3">
        <f t="shared" si="236"/>
        <v>2.5828403381440202E-2</v>
      </c>
      <c r="G250" s="3">
        <f t="shared" si="236"/>
        <v>1.0339544397422385E-4</v>
      </c>
      <c r="H250" s="3">
        <f t="shared" si="236"/>
        <v>1.0927978236240476E-28</v>
      </c>
      <c r="I250" s="3">
        <f t="shared" si="236"/>
        <v>1.9007456780262256E-268</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9.1434043592701093E-3</v>
      </c>
      <c r="C251" s="3">
        <f t="shared" si="237"/>
        <v>9.1429490196655583E-3</v>
      </c>
      <c r="D251" s="3">
        <f t="shared" si="237"/>
        <v>9.1383968706036205E-3</v>
      </c>
      <c r="E251" s="3">
        <f t="shared" si="237"/>
        <v>9.0929998488736789E-3</v>
      </c>
      <c r="F251" s="3">
        <f t="shared" si="237"/>
        <v>8.6512501925602638E-3</v>
      </c>
      <c r="G251" s="3">
        <f t="shared" si="237"/>
        <v>5.2576993993081588E-3</v>
      </c>
      <c r="H251" s="3">
        <f t="shared" si="237"/>
        <v>3.6138036898347122E-5</v>
      </c>
      <c r="I251" s="3">
        <f t="shared" si="237"/>
        <v>8.5045747578677029E-27</v>
      </c>
      <c r="J251" s="3">
        <f t="shared" si="237"/>
        <v>4.4313195008272162E-243</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2.3869486005063636E-2</v>
      </c>
      <c r="C252" s="3">
        <f t="shared" si="238"/>
        <v>2.3869378772424107E-2</v>
      </c>
      <c r="D252" s="3">
        <f t="shared" si="238"/>
        <v>2.3868306472524081E-2</v>
      </c>
      <c r="E252" s="3">
        <f t="shared" si="238"/>
        <v>2.3857586122606862E-2</v>
      </c>
      <c r="F252" s="3">
        <f t="shared" si="238"/>
        <v>2.3750647091935261E-2</v>
      </c>
      <c r="G252" s="3">
        <f t="shared" si="238"/>
        <v>2.2707269264930639E-2</v>
      </c>
      <c r="H252" s="3">
        <f t="shared" si="238"/>
        <v>1.4489704980270008E-2</v>
      </c>
      <c r="I252" s="3">
        <f t="shared" si="238"/>
        <v>1.6218320352826134E-4</v>
      </c>
      <c r="J252" s="3">
        <f t="shared" si="238"/>
        <v>5.0057503907474724E-24</v>
      </c>
      <c r="K252" s="3">
        <f t="shared" si="238"/>
        <v>3.9273747486115147E-219</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2.1807396906265167E-2</v>
      </c>
      <c r="C253" s="3">
        <f t="shared" si="239"/>
        <v>2.1807388068646964E-2</v>
      </c>
      <c r="D253" s="3">
        <f t="shared" si="239"/>
        <v>2.1807299692661913E-2</v>
      </c>
      <c r="E253" s="3">
        <f t="shared" si="239"/>
        <v>2.18064159525094E-2</v>
      </c>
      <c r="F253" s="3">
        <f t="shared" si="239"/>
        <v>2.179758052048968E-2</v>
      </c>
      <c r="G253" s="3">
        <f t="shared" si="239"/>
        <v>2.1709422855833251E-2</v>
      </c>
      <c r="H253" s="3">
        <f t="shared" si="239"/>
        <v>2.0847220056543266E-2</v>
      </c>
      <c r="I253" s="3">
        <f t="shared" si="239"/>
        <v>1.3901026735223585E-2</v>
      </c>
      <c r="J253" s="3">
        <f t="shared" si="239"/>
        <v>2.4156508198672601E-4</v>
      </c>
      <c r="K253" s="3">
        <f t="shared" si="239"/>
        <v>6.0660634377027278E-22</v>
      </c>
      <c r="L253" s="3">
        <f t="shared" si="239"/>
        <v>6.0483212374997114E-198</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2.6177921207852284E-2</v>
      </c>
      <c r="C254" s="3">
        <f t="shared" si="240"/>
        <v>2.6177920250849428E-2</v>
      </c>
      <c r="D254" s="3">
        <f t="shared" si="240"/>
        <v>2.6177910680822772E-2</v>
      </c>
      <c r="E254" s="3">
        <f t="shared" si="240"/>
        <v>2.6177814980748646E-2</v>
      </c>
      <c r="F254" s="3">
        <f t="shared" si="240"/>
        <v>2.6176857999249289E-2</v>
      </c>
      <c r="G254" s="3">
        <f t="shared" si="240"/>
        <v>2.6167290108183406E-2</v>
      </c>
      <c r="H254" s="3">
        <f t="shared" si="240"/>
        <v>2.6071803330313673E-2</v>
      </c>
      <c r="I254" s="3">
        <f t="shared" si="240"/>
        <v>2.5135891467223868E-2</v>
      </c>
      <c r="J254" s="3">
        <f t="shared" si="240"/>
        <v>1.743919778274608E-2</v>
      </c>
      <c r="K254" s="3">
        <f t="shared" si="240"/>
        <v>4.5065958234466387E-4</v>
      </c>
      <c r="L254" s="3">
        <f t="shared" si="240"/>
        <v>5.9850761033161379E-20</v>
      </c>
      <c r="M254" s="3">
        <f t="shared" si="240"/>
        <v>1.0215987405577393E-178</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2.8069625637701691E-2</v>
      </c>
      <c r="C255" s="3">
        <f t="shared" si="241"/>
        <v>2.8069625545133606E-2</v>
      </c>
      <c r="D255" s="3">
        <f t="shared" si="241"/>
        <v>2.8069624619452734E-2</v>
      </c>
      <c r="E255" s="3">
        <f t="shared" si="241"/>
        <v>2.8069615362645701E-2</v>
      </c>
      <c r="F255" s="3">
        <f t="shared" si="241"/>
        <v>2.8069522794743271E-2</v>
      </c>
      <c r="G255" s="3">
        <f t="shared" si="241"/>
        <v>2.8068597132508689E-2</v>
      </c>
      <c r="H255" s="3">
        <f t="shared" si="241"/>
        <v>2.8059342188927389E-2</v>
      </c>
      <c r="I255" s="3">
        <f t="shared" si="241"/>
        <v>2.7966960424907962E-2</v>
      </c>
      <c r="J255" s="3">
        <f t="shared" si="241"/>
        <v>2.7059707165312922E-2</v>
      </c>
      <c r="K255" s="3">
        <f t="shared" si="241"/>
        <v>1.9458140648351465E-2</v>
      </c>
      <c r="L255" s="3">
        <f t="shared" si="241"/>
        <v>7.1925650181093074E-4</v>
      </c>
      <c r="M255" s="3">
        <f t="shared" si="241"/>
        <v>3.4253770076790732E-18</v>
      </c>
      <c r="N255" s="3">
        <f t="shared" si="241"/>
        <v>2.0556737799494205E-161</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2.860407106670761E-2</v>
      </c>
      <c r="C256" s="3">
        <f t="shared" si="242"/>
        <v>2.8604071058198208E-2</v>
      </c>
      <c r="D256" s="3">
        <f t="shared" si="242"/>
        <v>2.8604070973104172E-2</v>
      </c>
      <c r="E256" s="3">
        <f t="shared" si="242"/>
        <v>2.860407012216384E-2</v>
      </c>
      <c r="F256" s="3">
        <f t="shared" si="242"/>
        <v>2.8604061612761907E-2</v>
      </c>
      <c r="G256" s="3">
        <f t="shared" si="242"/>
        <v>2.8603976518881778E-2</v>
      </c>
      <c r="H256" s="3">
        <f t="shared" si="242"/>
        <v>2.8603125594003371E-2</v>
      </c>
      <c r="I256" s="3">
        <f t="shared" si="242"/>
        <v>2.8594617737349812E-2</v>
      </c>
      <c r="J256" s="3">
        <f t="shared" si="242"/>
        <v>2.8509678230756893E-2</v>
      </c>
      <c r="K256" s="3">
        <f t="shared" si="242"/>
        <v>2.7674037304760108E-2</v>
      </c>
      <c r="L256" s="3">
        <f t="shared" si="242"/>
        <v>2.0552969836073687E-2</v>
      </c>
      <c r="M256" s="3">
        <f t="shared" si="242"/>
        <v>1.0492892248588127E-3</v>
      </c>
      <c r="N256" s="3">
        <f t="shared" si="242"/>
        <v>1.2621224613035179E-16</v>
      </c>
      <c r="O256" s="3">
        <f t="shared" si="242"/>
        <v>8.0013694109320115E-146</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2.5824539759275178E-2</v>
      </c>
      <c r="C257" s="3">
        <f t="shared" si="243"/>
        <v>2.5824539758582149E-2</v>
      </c>
      <c r="D257" s="3">
        <f t="shared" si="243"/>
        <v>2.5824539751651873E-2</v>
      </c>
      <c r="E257" s="3">
        <f t="shared" si="243"/>
        <v>2.5824539682349129E-2</v>
      </c>
      <c r="F257" s="3">
        <f t="shared" si="243"/>
        <v>2.5824538989321667E-2</v>
      </c>
      <c r="G257" s="3">
        <f t="shared" si="243"/>
        <v>2.5824532059048104E-2</v>
      </c>
      <c r="H257" s="3">
        <f t="shared" si="243"/>
        <v>2.5824462756414729E-2</v>
      </c>
      <c r="I257" s="3">
        <f t="shared" si="243"/>
        <v>2.5823769740309824E-2</v>
      </c>
      <c r="J257" s="3">
        <f t="shared" si="243"/>
        <v>2.5816840602042791E-2</v>
      </c>
      <c r="K257" s="3">
        <f t="shared" si="243"/>
        <v>2.5747651396092159E-2</v>
      </c>
      <c r="L257" s="3">
        <f t="shared" si="243"/>
        <v>2.50658762781534E-2</v>
      </c>
      <c r="M257" s="3">
        <f t="shared" si="243"/>
        <v>1.9166181837108213E-2</v>
      </c>
      <c r="N257" s="3">
        <f t="shared" si="243"/>
        <v>1.3093710319358001E-3</v>
      </c>
      <c r="O257" s="3">
        <f t="shared" si="243"/>
        <v>2.8995724995054633E-15</v>
      </c>
      <c r="P257" s="3">
        <f t="shared" si="243"/>
        <v>8.2233051825850843E-132</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3.0898133946765785E-2</v>
      </c>
      <c r="C258" s="3">
        <f t="shared" si="244"/>
        <v>3.0898133946690987E-2</v>
      </c>
      <c r="D258" s="3">
        <f t="shared" si="244"/>
        <v>3.0898133945942995E-2</v>
      </c>
      <c r="E258" s="3">
        <f t="shared" si="244"/>
        <v>3.0898133938463083E-2</v>
      </c>
      <c r="F258" s="3">
        <f t="shared" si="244"/>
        <v>3.0898133863663926E-2</v>
      </c>
      <c r="G258" s="3">
        <f t="shared" si="244"/>
        <v>3.0898133115672369E-2</v>
      </c>
      <c r="H258" s="3">
        <f t="shared" si="244"/>
        <v>3.0898125635757803E-2</v>
      </c>
      <c r="I258" s="3">
        <f t="shared" si="244"/>
        <v>3.0898050836711738E-2</v>
      </c>
      <c r="J258" s="3">
        <f t="shared" si="244"/>
        <v>3.0897302856210163E-2</v>
      </c>
      <c r="K258" s="3">
        <f t="shared" si="244"/>
        <v>3.0889824047013927E-2</v>
      </c>
      <c r="L258" s="3">
        <f t="shared" si="244"/>
        <v>3.0815135447861505E-2</v>
      </c>
      <c r="M258" s="3">
        <f t="shared" si="244"/>
        <v>3.007811019500695E-2</v>
      </c>
      <c r="N258" s="3">
        <f t="shared" si="244"/>
        <v>2.3611044347014939E-2</v>
      </c>
      <c r="O258" s="3">
        <f t="shared" si="244"/>
        <v>2.0977885231056388E-3</v>
      </c>
      <c r="P258" s="3">
        <f t="shared" si="244"/>
        <v>6.430234138076072E-14</v>
      </c>
      <c r="Q258" s="3">
        <f t="shared" si="244"/>
        <v>4.7084461051950877E-119</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3.9211561859273915E-2</v>
      </c>
      <c r="C259" s="3">
        <f t="shared" si="245"/>
        <v>3.9211561859265352E-2</v>
      </c>
      <c r="D259" s="3">
        <f t="shared" si="245"/>
        <v>3.9211561859179726E-2</v>
      </c>
      <c r="E259" s="3">
        <f t="shared" si="245"/>
        <v>3.9211561858323425E-2</v>
      </c>
      <c r="F259" s="3">
        <f t="shared" si="245"/>
        <v>3.9211561849760435E-2</v>
      </c>
      <c r="G259" s="3">
        <f t="shared" si="245"/>
        <v>3.9211561764130591E-2</v>
      </c>
      <c r="H259" s="3">
        <f t="shared" si="245"/>
        <v>3.9211560907832101E-2</v>
      </c>
      <c r="I259" s="3">
        <f t="shared" si="245"/>
        <v>3.9211552344848265E-2</v>
      </c>
      <c r="J259" s="3">
        <f t="shared" si="245"/>
        <v>3.9211466715112712E-2</v>
      </c>
      <c r="K259" s="3">
        <f t="shared" si="245"/>
        <v>3.9210610428042005E-2</v>
      </c>
      <c r="L259" s="3">
        <f t="shared" si="245"/>
        <v>3.9202048585729891E-2</v>
      </c>
      <c r="M259" s="3">
        <f t="shared" si="245"/>
        <v>3.9116532919054828E-2</v>
      </c>
      <c r="N259" s="3">
        <f t="shared" si="245"/>
        <v>3.827156935220348E-2</v>
      </c>
      <c r="O259" s="3">
        <f t="shared" si="245"/>
        <v>3.0763478438624561E-2</v>
      </c>
      <c r="P259" s="3">
        <f t="shared" si="245"/>
        <v>3.4643927888028648E-3</v>
      </c>
      <c r="Q259" s="3">
        <f t="shared" si="245"/>
        <v>1.1364333961617347E-12</v>
      </c>
      <c r="R259" s="3">
        <f t="shared" si="245"/>
        <v>1.6395044738900802E-107</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3.991776240613696E-2</v>
      </c>
      <c r="C260" s="3">
        <f t="shared" si="246"/>
        <v>3.9917762406136176E-2</v>
      </c>
      <c r="D260" s="3">
        <f t="shared" si="246"/>
        <v>3.9917762406128314E-2</v>
      </c>
      <c r="E260" s="3">
        <f t="shared" si="246"/>
        <v>3.9917762406049676E-2</v>
      </c>
      <c r="F260" s="3">
        <f t="shared" si="246"/>
        <v>3.9917762405263311E-2</v>
      </c>
      <c r="G260" s="3">
        <f t="shared" si="246"/>
        <v>3.9917762397399664E-2</v>
      </c>
      <c r="H260" s="3">
        <f t="shared" si="246"/>
        <v>3.9917762318763234E-2</v>
      </c>
      <c r="I260" s="3">
        <f t="shared" si="246"/>
        <v>3.9917761532398885E-2</v>
      </c>
      <c r="J260" s="3">
        <f t="shared" si="246"/>
        <v>3.9917753668756252E-2</v>
      </c>
      <c r="K260" s="3">
        <f t="shared" si="246"/>
        <v>3.9917675032415112E-2</v>
      </c>
      <c r="L260" s="3">
        <f t="shared" si="246"/>
        <v>3.9916888677523743E-2</v>
      </c>
      <c r="M260" s="3">
        <f t="shared" si="246"/>
        <v>3.9909025980549996E-2</v>
      </c>
      <c r="N260" s="3">
        <f t="shared" si="246"/>
        <v>3.9830484142740923E-2</v>
      </c>
      <c r="O260" s="3">
        <f t="shared" si="246"/>
        <v>3.9053517231672649E-2</v>
      </c>
      <c r="P260" s="3">
        <f t="shared" si="246"/>
        <v>3.2070507570358939E-2</v>
      </c>
      <c r="Q260" s="3">
        <f t="shared" si="246"/>
        <v>4.4726265181862799E-3</v>
      </c>
      <c r="R260" s="3">
        <f t="shared" si="246"/>
        <v>1.2448890418090146E-11</v>
      </c>
      <c r="S260" s="3">
        <f t="shared" si="246"/>
        <v>3.4738474315285013E-97</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2.7879487424106165E-2</v>
      </c>
      <c r="C261" s="3">
        <f t="shared" si="247"/>
        <v>2.7879487424106116E-2</v>
      </c>
      <c r="D261" s="3">
        <f t="shared" si="247"/>
        <v>2.787948742410562E-2</v>
      </c>
      <c r="E261" s="3">
        <f t="shared" si="247"/>
        <v>2.7879487424100669E-2</v>
      </c>
      <c r="F261" s="3">
        <f t="shared" si="247"/>
        <v>2.7879487424051122E-2</v>
      </c>
      <c r="G261" s="3">
        <f t="shared" si="247"/>
        <v>2.7879487423555685E-2</v>
      </c>
      <c r="H261" s="3">
        <f t="shared" si="247"/>
        <v>2.7879487418601311E-2</v>
      </c>
      <c r="I261" s="3">
        <f t="shared" si="247"/>
        <v>2.7879487369057546E-2</v>
      </c>
      <c r="J261" s="3">
        <f t="shared" si="247"/>
        <v>2.7879486873619901E-2</v>
      </c>
      <c r="K261" s="3">
        <f t="shared" si="247"/>
        <v>2.7879481919243929E-2</v>
      </c>
      <c r="L261" s="3">
        <f t="shared" si="247"/>
        <v>2.7879432375532649E-2</v>
      </c>
      <c r="M261" s="3">
        <f t="shared" si="247"/>
        <v>2.787893694326217E-2</v>
      </c>
      <c r="N261" s="3">
        <f t="shared" si="247"/>
        <v>2.7873983104756726E-2</v>
      </c>
      <c r="O261" s="3">
        <f t="shared" si="247"/>
        <v>2.7824493107814437E-2</v>
      </c>
      <c r="P261" s="3">
        <f t="shared" si="247"/>
        <v>2.7334400284348796E-2</v>
      </c>
      <c r="Q261" s="3">
        <f t="shared" si="247"/>
        <v>2.2884026180119577E-2</v>
      </c>
      <c r="R261" s="3">
        <f t="shared" si="247"/>
        <v>3.8704485262516419E-3</v>
      </c>
      <c r="S261" s="3">
        <f t="shared" si="247"/>
        <v>7.4139541757819271E-11</v>
      </c>
      <c r="T261" s="3">
        <f t="shared" si="247"/>
        <v>4.9310103122266748E-88</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3.1696336900802431E-2</v>
      </c>
      <c r="C262" s="3">
        <f t="shared" si="248"/>
        <v>3.1696336900802424E-2</v>
      </c>
      <c r="D262" s="3">
        <f t="shared" si="248"/>
        <v>3.1696336900802376E-2</v>
      </c>
      <c r="E262" s="3">
        <f t="shared" si="248"/>
        <v>3.1696336900801869E-2</v>
      </c>
      <c r="F262" s="3">
        <f t="shared" si="248"/>
        <v>3.169633690079679E-2</v>
      </c>
      <c r="G262" s="3">
        <f t="shared" si="248"/>
        <v>3.1696336900745976E-2</v>
      </c>
      <c r="H262" s="3">
        <f t="shared" si="248"/>
        <v>3.1696336900237862E-2</v>
      </c>
      <c r="I262" s="3">
        <f t="shared" si="248"/>
        <v>3.1696336895156739E-2</v>
      </c>
      <c r="J262" s="3">
        <f t="shared" si="248"/>
        <v>3.1696336844345488E-2</v>
      </c>
      <c r="K262" s="3">
        <f t="shared" si="248"/>
        <v>3.1696336336232978E-2</v>
      </c>
      <c r="L262" s="3">
        <f t="shared" si="248"/>
        <v>3.1696331255108373E-2</v>
      </c>
      <c r="M262" s="3">
        <f t="shared" si="248"/>
        <v>3.1696280443907078E-2</v>
      </c>
      <c r="N262" s="3">
        <f t="shared" si="248"/>
        <v>3.1695772336374071E-2</v>
      </c>
      <c r="O262" s="3">
        <f t="shared" si="248"/>
        <v>3.1690691709009677E-2</v>
      </c>
      <c r="P262" s="3">
        <f t="shared" si="248"/>
        <v>3.1639930205377663E-2</v>
      </c>
      <c r="Q262" s="3">
        <f t="shared" si="248"/>
        <v>3.1136765729129781E-2</v>
      </c>
      <c r="R262" s="3">
        <f t="shared" si="248"/>
        <v>2.6524873522453928E-2</v>
      </c>
      <c r="S262" s="3">
        <f t="shared" si="248"/>
        <v>5.3388970743506077E-3</v>
      </c>
      <c r="T262" s="3">
        <f t="shared" si="248"/>
        <v>5.8268496893354489E-10</v>
      </c>
      <c r="U262" s="3">
        <f t="shared" si="248"/>
        <v>1.397193259318087E-79</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2.7472650949533099E-2</v>
      </c>
      <c r="C263" s="3">
        <f t="shared" si="249"/>
        <v>2.7472650949533099E-2</v>
      </c>
      <c r="D263" s="3">
        <f t="shared" si="249"/>
        <v>2.7472650949533096E-2</v>
      </c>
      <c r="E263" s="3">
        <f t="shared" si="249"/>
        <v>2.7472650949533058E-2</v>
      </c>
      <c r="F263" s="3">
        <f t="shared" si="249"/>
        <v>2.7472650949532659E-2</v>
      </c>
      <c r="G263" s="3">
        <f t="shared" si="249"/>
        <v>2.7472650949528686E-2</v>
      </c>
      <c r="H263" s="3">
        <f t="shared" si="249"/>
        <v>2.7472650949488954E-2</v>
      </c>
      <c r="I263" s="3">
        <f t="shared" si="249"/>
        <v>2.7472650949091678E-2</v>
      </c>
      <c r="J263" s="3">
        <f t="shared" si="249"/>
        <v>2.7472650945118863E-2</v>
      </c>
      <c r="K263" s="3">
        <f t="shared" si="249"/>
        <v>2.7472650905390746E-2</v>
      </c>
      <c r="L263" s="3">
        <f t="shared" si="249"/>
        <v>2.7472650508109587E-2</v>
      </c>
      <c r="M263" s="3">
        <f t="shared" si="249"/>
        <v>2.7472646535298312E-2</v>
      </c>
      <c r="N263" s="3">
        <f t="shared" si="249"/>
        <v>2.7472606807217165E-2</v>
      </c>
      <c r="O263" s="3">
        <f t="shared" si="249"/>
        <v>2.7472209529565444E-2</v>
      </c>
      <c r="P263" s="3">
        <f t="shared" si="249"/>
        <v>2.7468237069008354E-2</v>
      </c>
      <c r="Q263" s="3">
        <f t="shared" si="249"/>
        <v>2.7428544042548766E-2</v>
      </c>
      <c r="R263" s="3">
        <f t="shared" si="249"/>
        <v>2.7034754857658234E-2</v>
      </c>
      <c r="S263" s="3">
        <f t="shared" si="249"/>
        <v>2.3394795006005692E-2</v>
      </c>
      <c r="T263" s="3">
        <f t="shared" si="249"/>
        <v>5.5091846167474035E-3</v>
      </c>
      <c r="U263" s="3">
        <f t="shared" si="249"/>
        <v>2.8891370694806209E-9</v>
      </c>
      <c r="V263" s="3">
        <f t="shared" si="249"/>
        <v>4.5454444132043181E-72</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4.6468539028017564E-2</v>
      </c>
      <c r="C264" s="3">
        <f t="shared" si="250"/>
        <v>4.6468539028017564E-2</v>
      </c>
      <c r="D264" s="3">
        <f t="shared" si="250"/>
        <v>4.6468539028017564E-2</v>
      </c>
      <c r="E264" s="3">
        <f t="shared" si="250"/>
        <v>4.6468539028017557E-2</v>
      </c>
      <c r="F264" s="3">
        <f t="shared" si="250"/>
        <v>4.6468539028017494E-2</v>
      </c>
      <c r="G264" s="3">
        <f t="shared" si="250"/>
        <v>4.6468539028016891E-2</v>
      </c>
      <c r="H264" s="3">
        <f t="shared" si="250"/>
        <v>4.6468539028010826E-2</v>
      </c>
      <c r="I264" s="3">
        <f t="shared" si="250"/>
        <v>4.6468539027950215E-2</v>
      </c>
      <c r="J264" s="3">
        <f t="shared" si="250"/>
        <v>4.6468539027344033E-2</v>
      </c>
      <c r="K264" s="3">
        <f t="shared" si="250"/>
        <v>4.6468539021282208E-2</v>
      </c>
      <c r="L264" s="3">
        <f t="shared" si="250"/>
        <v>4.646853896066401E-2</v>
      </c>
      <c r="M264" s="3">
        <f t="shared" si="250"/>
        <v>4.6468538354482045E-2</v>
      </c>
      <c r="N264" s="3">
        <f t="shared" si="250"/>
        <v>4.6468532292662838E-2</v>
      </c>
      <c r="O264" s="3">
        <f t="shared" si="250"/>
        <v>4.6468471674514247E-2</v>
      </c>
      <c r="P264" s="3">
        <f t="shared" si="250"/>
        <v>4.6467865497377484E-2</v>
      </c>
      <c r="Q264" s="3">
        <f t="shared" si="250"/>
        <v>4.6461804160906839E-2</v>
      </c>
      <c r="R264" s="3">
        <f t="shared" si="250"/>
        <v>4.6401234264916456E-2</v>
      </c>
      <c r="S264" s="3">
        <f t="shared" si="250"/>
        <v>4.5799861268804316E-2</v>
      </c>
      <c r="T264" s="3">
        <f t="shared" si="250"/>
        <v>4.0198556555368192E-2</v>
      </c>
      <c r="U264" s="3">
        <f t="shared" si="250"/>
        <v>1.0906199094844434E-2</v>
      </c>
      <c r="V264" s="3">
        <f t="shared" si="250"/>
        <v>2.3566932036596465E-8</v>
      </c>
      <c r="W264" s="3">
        <f t="shared" si="250"/>
        <v>5.231175948357616E-65</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5.1683873282290876E-2</v>
      </c>
      <c r="C265" s="3">
        <f t="shared" si="251"/>
        <v>5.1683873282290876E-2</v>
      </c>
      <c r="D265" s="3">
        <f t="shared" si="251"/>
        <v>5.1683873282290876E-2</v>
      </c>
      <c r="E265" s="3">
        <f t="shared" si="251"/>
        <v>5.1683873282290876E-2</v>
      </c>
      <c r="F265" s="3">
        <f t="shared" si="251"/>
        <v>5.1683873282290869E-2</v>
      </c>
      <c r="G265" s="3">
        <f t="shared" si="251"/>
        <v>5.1683873282290807E-2</v>
      </c>
      <c r="H265" s="3">
        <f t="shared" si="251"/>
        <v>5.1683873282290196E-2</v>
      </c>
      <c r="I265" s="3">
        <f t="shared" si="251"/>
        <v>5.1683873282284118E-2</v>
      </c>
      <c r="J265" s="3">
        <f t="shared" si="251"/>
        <v>5.1683873282223299E-2</v>
      </c>
      <c r="K265" s="3">
        <f t="shared" si="251"/>
        <v>5.1683873281615098E-2</v>
      </c>
      <c r="L265" s="3">
        <f t="shared" si="251"/>
        <v>5.1683873275533108E-2</v>
      </c>
      <c r="M265" s="3">
        <f t="shared" si="251"/>
        <v>5.1683873214713218E-2</v>
      </c>
      <c r="N265" s="3">
        <f t="shared" si="251"/>
        <v>5.1683872606514317E-2</v>
      </c>
      <c r="O265" s="3">
        <f t="shared" si="251"/>
        <v>5.1683866524525612E-2</v>
      </c>
      <c r="P265" s="3">
        <f t="shared" si="251"/>
        <v>5.1683805704678051E-2</v>
      </c>
      <c r="Q265" s="3">
        <f t="shared" si="251"/>
        <v>5.1683197510138737E-2</v>
      </c>
      <c r="R265" s="3">
        <f t="shared" si="251"/>
        <v>5.1677115958366333E-2</v>
      </c>
      <c r="S265" s="3">
        <f t="shared" si="251"/>
        <v>5.1616339785577121E-2</v>
      </c>
      <c r="T265" s="3">
        <f t="shared" si="251"/>
        <v>5.1012495474021903E-2</v>
      </c>
      <c r="U265" s="3">
        <f t="shared" si="251"/>
        <v>4.5349261110339115E-2</v>
      </c>
      <c r="V265" s="3">
        <f t="shared" si="251"/>
        <v>1.3979984067071434E-2</v>
      </c>
      <c r="W265" s="3">
        <f t="shared" si="251"/>
        <v>1.0836057161619924E-7</v>
      </c>
      <c r="X265" s="3">
        <f t="shared" si="251"/>
        <v>8.4823735884203081E-59</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5.2823026105162527E-2</v>
      </c>
      <c r="C266" s="3">
        <f t="shared" si="252"/>
        <v>5.2823026105162527E-2</v>
      </c>
      <c r="D266" s="3">
        <f t="shared" si="252"/>
        <v>5.2823026105162527E-2</v>
      </c>
      <c r="E266" s="3">
        <f t="shared" si="252"/>
        <v>5.2823026105162527E-2</v>
      </c>
      <c r="F266" s="3">
        <f t="shared" si="252"/>
        <v>5.2823026105162527E-2</v>
      </c>
      <c r="G266" s="3">
        <f t="shared" si="252"/>
        <v>5.282302610516252E-2</v>
      </c>
      <c r="H266" s="3">
        <f t="shared" si="252"/>
        <v>5.2823026105162464E-2</v>
      </c>
      <c r="I266" s="3">
        <f t="shared" si="252"/>
        <v>5.2823026105161902E-2</v>
      </c>
      <c r="J266" s="3">
        <f t="shared" si="252"/>
        <v>5.2823026105156295E-2</v>
      </c>
      <c r="K266" s="3">
        <f t="shared" si="252"/>
        <v>5.2823026105100222E-2</v>
      </c>
      <c r="L266" s="3">
        <f t="shared" si="252"/>
        <v>5.2823026104539483E-2</v>
      </c>
      <c r="M266" s="3">
        <f t="shared" si="252"/>
        <v>5.2823026098932101E-2</v>
      </c>
      <c r="N266" s="3">
        <f t="shared" si="252"/>
        <v>5.282302604285824E-2</v>
      </c>
      <c r="O266" s="3">
        <f t="shared" si="252"/>
        <v>5.2823025482119638E-2</v>
      </c>
      <c r="P266" s="3">
        <f t="shared" si="252"/>
        <v>5.2823019874733979E-2</v>
      </c>
      <c r="Q266" s="3">
        <f t="shared" si="252"/>
        <v>5.282296380091011E-2</v>
      </c>
      <c r="R266" s="3">
        <f t="shared" si="252"/>
        <v>5.2822403065945323E-2</v>
      </c>
      <c r="S266" s="3">
        <f t="shared" si="252"/>
        <v>5.2816796043669276E-2</v>
      </c>
      <c r="T266" s="3">
        <f t="shared" si="252"/>
        <v>5.2760758545241974E-2</v>
      </c>
      <c r="U266" s="3">
        <f t="shared" si="252"/>
        <v>5.2203643177549212E-2</v>
      </c>
      <c r="V266" s="3">
        <f t="shared" si="252"/>
        <v>4.6946003809077395E-2</v>
      </c>
      <c r="W266" s="3">
        <f t="shared" si="252"/>
        <v>1.6239655091822177E-2</v>
      </c>
      <c r="X266" s="3">
        <f t="shared" si="252"/>
        <v>3.9843594938510674E-7</v>
      </c>
      <c r="Y266" s="3">
        <f t="shared" si="252"/>
        <v>3.1490218012906713E-53</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4.2291417760733988E-2</v>
      </c>
      <c r="C267" s="3">
        <f t="shared" si="253"/>
        <v>4.2291417760733988E-2</v>
      </c>
      <c r="D267" s="3">
        <f t="shared" si="253"/>
        <v>4.2291417760733988E-2</v>
      </c>
      <c r="E267" s="3">
        <f t="shared" si="253"/>
        <v>4.2291417760733988E-2</v>
      </c>
      <c r="F267" s="3">
        <f t="shared" si="253"/>
        <v>4.2291417760733988E-2</v>
      </c>
      <c r="G267" s="3">
        <f t="shared" si="253"/>
        <v>4.2291417760733988E-2</v>
      </c>
      <c r="H267" s="3">
        <f t="shared" si="253"/>
        <v>4.2291417760733981E-2</v>
      </c>
      <c r="I267" s="3">
        <f t="shared" si="253"/>
        <v>4.2291417760733939E-2</v>
      </c>
      <c r="J267" s="3">
        <f t="shared" si="253"/>
        <v>4.2291417760733536E-2</v>
      </c>
      <c r="K267" s="3">
        <f t="shared" si="253"/>
        <v>4.2291417760729491E-2</v>
      </c>
      <c r="L267" s="3">
        <f t="shared" si="253"/>
        <v>4.2291417760688989E-2</v>
      </c>
      <c r="M267" s="3">
        <f t="shared" si="253"/>
        <v>4.2291417760284007E-2</v>
      </c>
      <c r="N267" s="3">
        <f t="shared" si="253"/>
        <v>4.2291417756234184E-2</v>
      </c>
      <c r="O267" s="3">
        <f t="shared" si="253"/>
        <v>4.2291417715735954E-2</v>
      </c>
      <c r="P267" s="3">
        <f t="shared" si="253"/>
        <v>4.2291417310753684E-2</v>
      </c>
      <c r="Q267" s="3">
        <f t="shared" si="253"/>
        <v>4.22914132609312E-2</v>
      </c>
      <c r="R267" s="3">
        <f t="shared" si="253"/>
        <v>4.2291372762727653E-2</v>
      </c>
      <c r="S267" s="3">
        <f t="shared" si="253"/>
        <v>4.2290967782825116E-2</v>
      </c>
      <c r="T267" s="3">
        <f t="shared" si="253"/>
        <v>4.2286918197087242E-2</v>
      </c>
      <c r="U267" s="3">
        <f t="shared" si="253"/>
        <v>4.2246443660901932E-2</v>
      </c>
      <c r="V267" s="3">
        <f t="shared" si="253"/>
        <v>4.1843822883356085E-2</v>
      </c>
      <c r="W267" s="3">
        <f t="shared" si="253"/>
        <v>3.8022734837671539E-2</v>
      </c>
      <c r="X267" s="3">
        <f t="shared" si="253"/>
        <v>1.4593629230648558E-2</v>
      </c>
      <c r="Y267" s="3">
        <f t="shared" si="253"/>
        <v>1.0124250497503735E-6</v>
      </c>
      <c r="Z267" s="3">
        <f t="shared" si="253"/>
        <v>2.6143192465686422E-48</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5.3725706170150357E-2</v>
      </c>
      <c r="C268" s="3">
        <f t="shared" si="254"/>
        <v>5.3725706170150357E-2</v>
      </c>
      <c r="D268" s="3">
        <f t="shared" si="254"/>
        <v>5.3725706170150357E-2</v>
      </c>
      <c r="E268" s="3">
        <f t="shared" si="254"/>
        <v>5.3725706170150357E-2</v>
      </c>
      <c r="F268" s="3">
        <f t="shared" si="254"/>
        <v>5.3725706170150357E-2</v>
      </c>
      <c r="G268" s="3">
        <f t="shared" si="254"/>
        <v>5.3725706170150357E-2</v>
      </c>
      <c r="H268" s="3">
        <f t="shared" si="254"/>
        <v>5.3725706170150357E-2</v>
      </c>
      <c r="I268" s="3">
        <f t="shared" si="254"/>
        <v>5.372570617015035E-2</v>
      </c>
      <c r="J268" s="3">
        <f t="shared" si="254"/>
        <v>5.3725706170150302E-2</v>
      </c>
      <c r="K268" s="3">
        <f t="shared" si="254"/>
        <v>5.3725706170149844E-2</v>
      </c>
      <c r="L268" s="3">
        <f t="shared" si="254"/>
        <v>5.3725706170145195E-2</v>
      </c>
      <c r="M268" s="3">
        <f t="shared" si="254"/>
        <v>5.3725706170098794E-2</v>
      </c>
      <c r="N268" s="3">
        <f t="shared" si="254"/>
        <v>5.3725706169634686E-2</v>
      </c>
      <c r="O268" s="3">
        <f t="shared" si="254"/>
        <v>5.3725706164993683E-2</v>
      </c>
      <c r="P268" s="3">
        <f t="shared" si="254"/>
        <v>5.3725706118583585E-2</v>
      </c>
      <c r="Q268" s="3">
        <f t="shared" si="254"/>
        <v>5.3725705654482599E-2</v>
      </c>
      <c r="R268" s="3">
        <f t="shared" si="254"/>
        <v>5.3725701013472973E-2</v>
      </c>
      <c r="S268" s="3">
        <f t="shared" si="254"/>
        <v>5.3725654603398773E-2</v>
      </c>
      <c r="T268" s="3">
        <f t="shared" si="254"/>
        <v>5.3725190504861783E-2</v>
      </c>
      <c r="U268" s="3">
        <f t="shared" si="254"/>
        <v>5.3720549739982512E-2</v>
      </c>
      <c r="V268" s="3">
        <f t="shared" si="254"/>
        <v>5.3674164133206088E-2</v>
      </c>
      <c r="W268" s="3">
        <f t="shared" si="254"/>
        <v>5.3212505238281742E-2</v>
      </c>
      <c r="X268" s="3">
        <f t="shared" si="254"/>
        <v>4.8808770325936432E-2</v>
      </c>
      <c r="Y268" s="3">
        <f t="shared" si="254"/>
        <v>2.0574982285826177E-2</v>
      </c>
      <c r="Z268" s="3">
        <f t="shared" si="254"/>
        <v>3.6454866040437156E-6</v>
      </c>
      <c r="AA268" s="3">
        <f t="shared" si="254"/>
        <v>1.111516397074175E-43</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0</v>
      </c>
      <c r="C269" s="3">
        <f t="shared" si="255"/>
        <v>0</v>
      </c>
      <c r="D269" s="3">
        <f t="shared" si="255"/>
        <v>0</v>
      </c>
      <c r="E269" s="3">
        <f t="shared" si="255"/>
        <v>0</v>
      </c>
      <c r="F269" s="3">
        <f t="shared" si="255"/>
        <v>0</v>
      </c>
      <c r="G269" s="3">
        <f t="shared" si="255"/>
        <v>0</v>
      </c>
      <c r="H269" s="3">
        <f t="shared" si="255"/>
        <v>0</v>
      </c>
      <c r="I269" s="3">
        <f t="shared" si="255"/>
        <v>0</v>
      </c>
      <c r="J269" s="3">
        <f t="shared" si="255"/>
        <v>0</v>
      </c>
      <c r="K269" s="3">
        <f t="shared" si="255"/>
        <v>0</v>
      </c>
      <c r="L269" s="3">
        <f t="shared" si="255"/>
        <v>0</v>
      </c>
      <c r="M269" s="3">
        <f t="shared" si="255"/>
        <v>0</v>
      </c>
      <c r="N269" s="3">
        <f t="shared" si="255"/>
        <v>0</v>
      </c>
      <c r="O269" s="3">
        <f t="shared" si="255"/>
        <v>0</v>
      </c>
      <c r="P269" s="3">
        <f t="shared" si="255"/>
        <v>0</v>
      </c>
      <c r="Q269" s="3">
        <f t="shared" si="255"/>
        <v>0</v>
      </c>
      <c r="R269" s="3">
        <f t="shared" si="255"/>
        <v>0</v>
      </c>
      <c r="S269" s="3">
        <f t="shared" si="255"/>
        <v>0</v>
      </c>
      <c r="T269" s="3">
        <f t="shared" si="255"/>
        <v>0</v>
      </c>
      <c r="U269" s="3">
        <f t="shared" si="255"/>
        <v>0</v>
      </c>
      <c r="V269" s="3">
        <f t="shared" si="255"/>
        <v>0</v>
      </c>
      <c r="W269" s="3">
        <f t="shared" si="255"/>
        <v>0</v>
      </c>
      <c r="X269" s="3">
        <f t="shared" si="255"/>
        <v>0</v>
      </c>
      <c r="Y269" s="3">
        <f t="shared" si="255"/>
        <v>0</v>
      </c>
      <c r="Z269" s="3">
        <f t="shared" si="255"/>
        <v>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7.2666327012941595E-2</v>
      </c>
      <c r="C270" s="3">
        <f t="shared" si="256"/>
        <v>7.2666327012941595E-2</v>
      </c>
      <c r="D270" s="3">
        <f t="shared" si="256"/>
        <v>7.2666327012941595E-2</v>
      </c>
      <c r="E270" s="3">
        <f t="shared" si="256"/>
        <v>7.2666327012941595E-2</v>
      </c>
      <c r="F270" s="3">
        <f t="shared" si="256"/>
        <v>7.2666327012941595E-2</v>
      </c>
      <c r="G270" s="3">
        <f t="shared" si="256"/>
        <v>7.2666327012941595E-2</v>
      </c>
      <c r="H270" s="3">
        <f t="shared" si="256"/>
        <v>7.2666327012941595E-2</v>
      </c>
      <c r="I270" s="3">
        <f t="shared" si="256"/>
        <v>7.2666327012941595E-2</v>
      </c>
      <c r="J270" s="3">
        <f t="shared" si="256"/>
        <v>7.2666327012941595E-2</v>
      </c>
      <c r="K270" s="3">
        <f t="shared" si="256"/>
        <v>7.2666327012941581E-2</v>
      </c>
      <c r="L270" s="3">
        <f t="shared" si="256"/>
        <v>7.2666327012941415E-2</v>
      </c>
      <c r="M270" s="3">
        <f t="shared" si="256"/>
        <v>7.2666327012939846E-2</v>
      </c>
      <c r="N270" s="3">
        <f t="shared" si="256"/>
        <v>7.2666327012924192E-2</v>
      </c>
      <c r="O270" s="3">
        <f t="shared" si="256"/>
        <v>7.2666327012767581E-2</v>
      </c>
      <c r="P270" s="3">
        <f t="shared" si="256"/>
        <v>7.2666327011201459E-2</v>
      </c>
      <c r="Q270" s="3">
        <f t="shared" si="256"/>
        <v>7.2666326995540348E-2</v>
      </c>
      <c r="R270" s="3">
        <f t="shared" si="256"/>
        <v>7.2666326838929068E-2</v>
      </c>
      <c r="S270" s="3">
        <f t="shared" si="256"/>
        <v>7.2666325272816357E-2</v>
      </c>
      <c r="T270" s="3">
        <f t="shared" si="256"/>
        <v>7.2666309611691071E-2</v>
      </c>
      <c r="U270" s="3">
        <f t="shared" si="256"/>
        <v>7.2666153000623845E-2</v>
      </c>
      <c r="V270" s="3">
        <f t="shared" si="256"/>
        <v>7.2664586908515613E-2</v>
      </c>
      <c r="W270" s="3">
        <f t="shared" si="256"/>
        <v>7.2648927843685762E-2</v>
      </c>
      <c r="X270" s="3">
        <f t="shared" si="256"/>
        <v>7.2492522672696361E-2</v>
      </c>
      <c r="Y270" s="3">
        <f t="shared" si="256"/>
        <v>7.094687163767853E-2</v>
      </c>
      <c r="Z270" s="3">
        <f t="shared" si="256"/>
        <v>5.7191781136182326E-2</v>
      </c>
      <c r="AA270" s="3">
        <f t="shared" si="256"/>
        <v>6.6273108362723742E-3</v>
      </c>
      <c r="AB270" s="3">
        <f t="shared" si="256"/>
        <v>2.8931738064054787E-12</v>
      </c>
      <c r="AC270" s="3">
        <f t="shared" si="256"/>
        <v>7.2735489318829493E-106</v>
      </c>
      <c r="AD270" s="3">
        <f t="shared" si="256"/>
        <v>0</v>
      </c>
      <c r="AE270" s="3">
        <f t="shared" si="256"/>
        <v>0</v>
      </c>
      <c r="AF270" s="3">
        <f t="shared" si="256"/>
        <v>0</v>
      </c>
      <c r="AG270" s="3"/>
      <c r="AH270" s="3"/>
    </row>
    <row r="271" spans="2:34" x14ac:dyDescent="0.25">
      <c r="B271" s="3">
        <f t="shared" ref="B271:AF271" si="257">$C40*EXP(-B$246/$A40/EXP(-$E$126))</f>
        <v>2.5077417845043044E-2</v>
      </c>
      <c r="C271" s="3">
        <f t="shared" si="257"/>
        <v>2.5077417845043044E-2</v>
      </c>
      <c r="D271" s="3">
        <f t="shared" si="257"/>
        <v>2.5077417845043044E-2</v>
      </c>
      <c r="E271" s="3">
        <f t="shared" si="257"/>
        <v>2.5077417845043044E-2</v>
      </c>
      <c r="F271" s="3">
        <f t="shared" si="257"/>
        <v>2.5077417845043044E-2</v>
      </c>
      <c r="G271" s="3">
        <f t="shared" si="257"/>
        <v>2.5077417845043044E-2</v>
      </c>
      <c r="H271" s="3">
        <f t="shared" si="257"/>
        <v>2.5077417845043044E-2</v>
      </c>
      <c r="I271" s="3">
        <f t="shared" si="257"/>
        <v>2.5077417845043044E-2</v>
      </c>
      <c r="J271" s="3">
        <f t="shared" si="257"/>
        <v>2.5077417845043044E-2</v>
      </c>
      <c r="K271" s="3">
        <f t="shared" si="257"/>
        <v>2.5077417845043044E-2</v>
      </c>
      <c r="L271" s="3">
        <f t="shared" si="257"/>
        <v>2.5077417845043037E-2</v>
      </c>
      <c r="M271" s="3">
        <f t="shared" si="257"/>
        <v>2.5077417845042981E-2</v>
      </c>
      <c r="N271" s="3">
        <f t="shared" si="257"/>
        <v>2.5077417845042443E-2</v>
      </c>
      <c r="O271" s="3">
        <f t="shared" si="257"/>
        <v>2.5077417845037038E-2</v>
      </c>
      <c r="P271" s="3">
        <f t="shared" si="257"/>
        <v>2.5077417844982991E-2</v>
      </c>
      <c r="Q271" s="3">
        <f t="shared" si="257"/>
        <v>2.5077417844442517E-2</v>
      </c>
      <c r="R271" s="3">
        <f t="shared" si="257"/>
        <v>2.5077417839037806E-2</v>
      </c>
      <c r="S271" s="3">
        <f t="shared" si="257"/>
        <v>2.5077417784990678E-2</v>
      </c>
      <c r="T271" s="3">
        <f t="shared" si="257"/>
        <v>2.5077417244519395E-2</v>
      </c>
      <c r="U271" s="3">
        <f t="shared" si="257"/>
        <v>2.5077411839807218E-2</v>
      </c>
      <c r="V271" s="3">
        <f t="shared" si="257"/>
        <v>2.5077357792749475E-2</v>
      </c>
      <c r="W271" s="3">
        <f t="shared" si="257"/>
        <v>2.5076817328578565E-2</v>
      </c>
      <c r="X271" s="3">
        <f t="shared" si="257"/>
        <v>2.5071413327469073E-2</v>
      </c>
      <c r="Y271" s="3">
        <f t="shared" si="257"/>
        <v>2.5017437325278565E-2</v>
      </c>
      <c r="Z271" s="3">
        <f t="shared" si="257"/>
        <v>2.4484027444236108E-2</v>
      </c>
      <c r="AA271" s="3">
        <f t="shared" si="257"/>
        <v>1.9737094907781225E-2</v>
      </c>
      <c r="AB271" s="3">
        <f t="shared" si="257"/>
        <v>2.2871094475517542E-3</v>
      </c>
      <c r="AC271" s="3">
        <f t="shared" si="257"/>
        <v>9.9844496651994528E-13</v>
      </c>
      <c r="AD271" s="3">
        <f t="shared" si="257"/>
        <v>2.5101286012255742E-106</v>
      </c>
      <c r="AE271" s="3">
        <f t="shared" si="257"/>
        <v>0</v>
      </c>
      <c r="AF271" s="3">
        <f t="shared" si="257"/>
        <v>0</v>
      </c>
      <c r="AG271" s="3"/>
      <c r="AH271" s="3"/>
    </row>
    <row r="272" spans="2:34" x14ac:dyDescent="0.25">
      <c r="B272" s="3">
        <f t="shared" ref="B272:AF272" si="258">$C41*EXP(-B$246/$A41/EXP(-$E$126))</f>
        <v>6.9691000347133242E-2</v>
      </c>
      <c r="C272" s="3">
        <f t="shared" si="258"/>
        <v>6.9691000347133242E-2</v>
      </c>
      <c r="D272" s="3">
        <f t="shared" si="258"/>
        <v>6.9691000347133242E-2</v>
      </c>
      <c r="E272" s="3">
        <f t="shared" si="258"/>
        <v>6.9691000347133242E-2</v>
      </c>
      <c r="F272" s="3">
        <f t="shared" si="258"/>
        <v>6.9691000347133242E-2</v>
      </c>
      <c r="G272" s="3">
        <f t="shared" si="258"/>
        <v>6.9691000347133242E-2</v>
      </c>
      <c r="H272" s="3">
        <f t="shared" si="258"/>
        <v>6.9691000347133242E-2</v>
      </c>
      <c r="I272" s="3">
        <f t="shared" si="258"/>
        <v>6.9691000347133242E-2</v>
      </c>
      <c r="J272" s="3">
        <f t="shared" si="258"/>
        <v>6.9691000347133242E-2</v>
      </c>
      <c r="K272" s="3">
        <f t="shared" si="258"/>
        <v>6.9691000347133242E-2</v>
      </c>
      <c r="L272" s="3">
        <f t="shared" si="258"/>
        <v>6.9691000347133242E-2</v>
      </c>
      <c r="M272" s="3">
        <f t="shared" si="258"/>
        <v>6.9691000347133228E-2</v>
      </c>
      <c r="N272" s="3">
        <f t="shared" si="258"/>
        <v>6.9691000347133075E-2</v>
      </c>
      <c r="O272" s="3">
        <f t="shared" si="258"/>
        <v>6.9691000347131576E-2</v>
      </c>
      <c r="P272" s="3">
        <f t="shared" si="258"/>
        <v>6.9691000347116547E-2</v>
      </c>
      <c r="Q272" s="3">
        <f t="shared" si="258"/>
        <v>6.9691000346966361E-2</v>
      </c>
      <c r="R272" s="3">
        <f t="shared" si="258"/>
        <v>6.9691000345464368E-2</v>
      </c>
      <c r="S272" s="3">
        <f t="shared" si="258"/>
        <v>6.969100033044448E-2</v>
      </c>
      <c r="T272" s="3">
        <f t="shared" si="258"/>
        <v>6.9691000180245669E-2</v>
      </c>
      <c r="U272" s="3">
        <f t="shared" si="258"/>
        <v>6.9690998678257524E-2</v>
      </c>
      <c r="V272" s="3">
        <f t="shared" si="258"/>
        <v>6.969098365837785E-2</v>
      </c>
      <c r="W272" s="3">
        <f t="shared" si="258"/>
        <v>6.9690833459759197E-2</v>
      </c>
      <c r="X272" s="3">
        <f t="shared" si="258"/>
        <v>6.9689331491376516E-2</v>
      </c>
      <c r="Y272" s="3">
        <f t="shared" si="258"/>
        <v>6.9674313587797909E-2</v>
      </c>
      <c r="Z272" s="3">
        <f t="shared" si="258"/>
        <v>6.9524312434942406E-2</v>
      </c>
      <c r="AA272" s="3">
        <f t="shared" si="258"/>
        <v>6.8041948164641652E-2</v>
      </c>
      <c r="AB272" s="3">
        <f t="shared" si="258"/>
        <v>5.4850060583150208E-2</v>
      </c>
      <c r="AC272" s="3">
        <f t="shared" si="258"/>
        <v>6.3559552378223512E-3</v>
      </c>
      <c r="AD272" s="3">
        <f t="shared" si="258"/>
        <v>2.7747126493762621E-12</v>
      </c>
      <c r="AE272" s="3">
        <f t="shared" si="258"/>
        <v>6.9757330798688662E-106</v>
      </c>
      <c r="AF272" s="3">
        <f t="shared" si="258"/>
        <v>0</v>
      </c>
      <c r="AG272" s="3"/>
      <c r="AH272" s="3"/>
    </row>
    <row r="273" spans="1:34" x14ac:dyDescent="0.25">
      <c r="B273" s="3">
        <f t="shared" ref="B273:AF273" si="259">$C42*EXP(-B$246/$A42/EXP(-$E$126))</f>
        <v>3.3680791941505174E-2</v>
      </c>
      <c r="C273" s="3">
        <f t="shared" si="259"/>
        <v>3.3680791941505174E-2</v>
      </c>
      <c r="D273" s="3">
        <f t="shared" si="259"/>
        <v>3.3680791941505174E-2</v>
      </c>
      <c r="E273" s="3">
        <f t="shared" si="259"/>
        <v>3.3680791941505174E-2</v>
      </c>
      <c r="F273" s="3">
        <f t="shared" si="259"/>
        <v>3.3680791941505174E-2</v>
      </c>
      <c r="G273" s="3">
        <f t="shared" si="259"/>
        <v>3.3680791941505174E-2</v>
      </c>
      <c r="H273" s="3">
        <f t="shared" si="259"/>
        <v>3.3680791941505174E-2</v>
      </c>
      <c r="I273" s="3">
        <f t="shared" si="259"/>
        <v>3.3680791941505174E-2</v>
      </c>
      <c r="J273" s="3">
        <f t="shared" si="259"/>
        <v>3.3680791941505174E-2</v>
      </c>
      <c r="K273" s="3">
        <f t="shared" si="259"/>
        <v>3.3680791941505174E-2</v>
      </c>
      <c r="L273" s="3">
        <f t="shared" si="259"/>
        <v>3.3680791941505174E-2</v>
      </c>
      <c r="M273" s="3">
        <f t="shared" si="259"/>
        <v>3.3680791941505174E-2</v>
      </c>
      <c r="N273" s="3">
        <f t="shared" si="259"/>
        <v>3.3680791941505167E-2</v>
      </c>
      <c r="O273" s="3">
        <f t="shared" si="259"/>
        <v>3.3680791941505091E-2</v>
      </c>
      <c r="P273" s="3">
        <f t="shared" si="259"/>
        <v>3.3680791941504369E-2</v>
      </c>
      <c r="Q273" s="3">
        <f t="shared" si="259"/>
        <v>3.3680791941497111E-2</v>
      </c>
      <c r="R273" s="3">
        <f t="shared" si="259"/>
        <v>3.3680791941424523E-2</v>
      </c>
      <c r="S273" s="3">
        <f t="shared" si="259"/>
        <v>3.3680791940698625E-2</v>
      </c>
      <c r="T273" s="3">
        <f t="shared" si="259"/>
        <v>3.3680791933439709E-2</v>
      </c>
      <c r="U273" s="3">
        <f t="shared" si="259"/>
        <v>3.368079186085049E-2</v>
      </c>
      <c r="V273" s="3">
        <f t="shared" si="259"/>
        <v>3.3680791134958338E-2</v>
      </c>
      <c r="W273" s="3">
        <f t="shared" si="259"/>
        <v>3.3680783876037679E-2</v>
      </c>
      <c r="X273" s="3">
        <f t="shared" si="259"/>
        <v>3.3680711286917138E-2</v>
      </c>
      <c r="Y273" s="3">
        <f t="shared" si="259"/>
        <v>3.3679985404316118E-2</v>
      </c>
      <c r="Z273" s="3">
        <f t="shared" si="259"/>
        <v>3.3672727438677663E-2</v>
      </c>
      <c r="AA273" s="3">
        <f t="shared" si="259"/>
        <v>3.3600233750896644E-2</v>
      </c>
      <c r="AB273" s="3">
        <f t="shared" si="259"/>
        <v>3.2883825573071221E-2</v>
      </c>
      <c r="AC273" s="3">
        <f t="shared" si="259"/>
        <v>2.6508350709246623E-2</v>
      </c>
      <c r="AD273" s="3">
        <f t="shared" si="259"/>
        <v>3.0717539551492552E-3</v>
      </c>
      <c r="AE273" s="3">
        <f t="shared" si="259"/>
        <v>1.3409840435006579E-12</v>
      </c>
      <c r="AF273" s="3">
        <f t="shared" si="259"/>
        <v>3.371284862209659E-106</v>
      </c>
      <c r="AG273" s="3"/>
      <c r="AH273" s="3"/>
    </row>
    <row r="274" spans="1:34" x14ac:dyDescent="0.25">
      <c r="B274" s="3">
        <f t="shared" ref="B274:AF274" si="260">$C43*EXP(-B$246/$A43/EXP(-$E$126))</f>
        <v>4.444785280126981E-2</v>
      </c>
      <c r="C274" s="3">
        <f t="shared" si="260"/>
        <v>4.444785280126981E-2</v>
      </c>
      <c r="D274" s="3">
        <f t="shared" si="260"/>
        <v>4.444785280126981E-2</v>
      </c>
      <c r="E274" s="3">
        <f t="shared" si="260"/>
        <v>4.444785280126981E-2</v>
      </c>
      <c r="F274" s="3">
        <f t="shared" si="260"/>
        <v>4.444785280126981E-2</v>
      </c>
      <c r="G274" s="3">
        <f t="shared" si="260"/>
        <v>4.444785280126981E-2</v>
      </c>
      <c r="H274" s="3">
        <f t="shared" si="260"/>
        <v>4.444785280126981E-2</v>
      </c>
      <c r="I274" s="3">
        <f t="shared" si="260"/>
        <v>4.444785280126981E-2</v>
      </c>
      <c r="J274" s="3">
        <f t="shared" si="260"/>
        <v>4.444785280126981E-2</v>
      </c>
      <c r="K274" s="3">
        <f t="shared" si="260"/>
        <v>4.444785280126981E-2</v>
      </c>
      <c r="L274" s="3">
        <f t="shared" si="260"/>
        <v>4.444785280126981E-2</v>
      </c>
      <c r="M274" s="3">
        <f t="shared" si="260"/>
        <v>4.444785280126981E-2</v>
      </c>
      <c r="N274" s="3">
        <f t="shared" si="260"/>
        <v>4.444785280126981E-2</v>
      </c>
      <c r="O274" s="3">
        <f t="shared" si="260"/>
        <v>4.4447852801269803E-2</v>
      </c>
      <c r="P274" s="3">
        <f t="shared" si="260"/>
        <v>4.4447852801269699E-2</v>
      </c>
      <c r="Q274" s="3">
        <f t="shared" si="260"/>
        <v>4.4447852801268742E-2</v>
      </c>
      <c r="R274" s="3">
        <f t="shared" si="260"/>
        <v>4.4447852801259166E-2</v>
      </c>
      <c r="S274" s="3">
        <f t="shared" si="260"/>
        <v>4.4447852801163375E-2</v>
      </c>
      <c r="T274" s="3">
        <f t="shared" si="260"/>
        <v>4.4447852800205426E-2</v>
      </c>
      <c r="U274" s="3">
        <f t="shared" si="260"/>
        <v>4.4447852790625977E-2</v>
      </c>
      <c r="V274" s="3">
        <f t="shared" si="260"/>
        <v>4.4447852694831473E-2</v>
      </c>
      <c r="W274" s="3">
        <f t="shared" si="260"/>
        <v>4.444785173688643E-2</v>
      </c>
      <c r="X274" s="3">
        <f t="shared" si="260"/>
        <v>4.444784215743719E-2</v>
      </c>
      <c r="Y274" s="3">
        <f t="shared" si="260"/>
        <v>4.4447746363058295E-2</v>
      </c>
      <c r="Z274" s="3">
        <f t="shared" si="260"/>
        <v>4.4446788430624364E-2</v>
      </c>
      <c r="AA274" s="3">
        <f t="shared" si="260"/>
        <v>4.4437210241700102E-2</v>
      </c>
      <c r="AB274" s="3">
        <f t="shared" si="260"/>
        <v>4.4341541803466576E-2</v>
      </c>
      <c r="AC274" s="3">
        <f t="shared" si="260"/>
        <v>4.3396112572202862E-2</v>
      </c>
      <c r="AD274" s="3">
        <f t="shared" si="260"/>
        <v>3.4982528688022749E-2</v>
      </c>
      <c r="AE274" s="3">
        <f t="shared" si="260"/>
        <v>4.0537309181243337E-3</v>
      </c>
      <c r="AF274" s="3">
        <f t="shared" si="260"/>
        <v>1.7696692369314036E-12</v>
      </c>
      <c r="AG274" s="3"/>
      <c r="AH274" s="3"/>
    </row>
    <row r="275" spans="1:34" x14ac:dyDescent="0.25">
      <c r="B275" s="3">
        <f t="shared" ref="B275:AF275" si="261">$C44*EXP(-B$246/$A44/EXP(-$E$126))</f>
        <v>1.2310076575543269E-2</v>
      </c>
      <c r="C275" s="3">
        <f t="shared" si="261"/>
        <v>1.2310076575543269E-2</v>
      </c>
      <c r="D275" s="3">
        <f t="shared" si="261"/>
        <v>1.2310076575543269E-2</v>
      </c>
      <c r="E275" s="3">
        <f t="shared" si="261"/>
        <v>1.2310076575543269E-2</v>
      </c>
      <c r="F275" s="3">
        <f t="shared" si="261"/>
        <v>1.2310076575543269E-2</v>
      </c>
      <c r="G275" s="3">
        <f t="shared" si="261"/>
        <v>1.2310076575543269E-2</v>
      </c>
      <c r="H275" s="3">
        <f t="shared" si="261"/>
        <v>1.2310076575543269E-2</v>
      </c>
      <c r="I275" s="3">
        <f t="shared" si="261"/>
        <v>1.2310076575543269E-2</v>
      </c>
      <c r="J275" s="3">
        <f t="shared" si="261"/>
        <v>1.2310076575543269E-2</v>
      </c>
      <c r="K275" s="3">
        <f t="shared" si="261"/>
        <v>1.2310076575543269E-2</v>
      </c>
      <c r="L275" s="3">
        <f t="shared" si="261"/>
        <v>1.2310076575543269E-2</v>
      </c>
      <c r="M275" s="3">
        <f t="shared" si="261"/>
        <v>1.2310076575543269E-2</v>
      </c>
      <c r="N275" s="3">
        <f t="shared" si="261"/>
        <v>1.2310076575543269E-2</v>
      </c>
      <c r="O275" s="3">
        <f t="shared" si="261"/>
        <v>1.2310076575543269E-2</v>
      </c>
      <c r="P275" s="3">
        <f t="shared" si="261"/>
        <v>1.2310076575543265E-2</v>
      </c>
      <c r="Q275" s="3">
        <f t="shared" si="261"/>
        <v>1.2310076575543239E-2</v>
      </c>
      <c r="R275" s="3">
        <f t="shared" si="261"/>
        <v>1.2310076575542974E-2</v>
      </c>
      <c r="S275" s="3">
        <f t="shared" si="261"/>
        <v>1.2310076575540322E-2</v>
      </c>
      <c r="T275" s="3">
        <f t="shared" si="261"/>
        <v>1.2310076575513791E-2</v>
      </c>
      <c r="U275" s="3">
        <f t="shared" si="261"/>
        <v>1.2310076575248482E-2</v>
      </c>
      <c r="V275" s="3">
        <f t="shared" si="261"/>
        <v>1.2310076572595401E-2</v>
      </c>
      <c r="W275" s="3">
        <f t="shared" si="261"/>
        <v>1.2310076546064587E-2</v>
      </c>
      <c r="X275" s="3">
        <f t="shared" si="261"/>
        <v>1.2310076280756456E-2</v>
      </c>
      <c r="Y275" s="3">
        <f t="shared" si="261"/>
        <v>1.2310073627675456E-2</v>
      </c>
      <c r="Z275" s="3">
        <f t="shared" si="261"/>
        <v>1.2310047096896905E-2</v>
      </c>
      <c r="AA275" s="3">
        <f t="shared" si="261"/>
        <v>1.2309781792256239E-2</v>
      </c>
      <c r="AB275" s="3">
        <f t="shared" si="261"/>
        <v>1.2307129060308985E-2</v>
      </c>
      <c r="AC275" s="3">
        <f t="shared" si="261"/>
        <v>1.2280633161715574E-2</v>
      </c>
      <c r="AD275" s="3">
        <f t="shared" si="261"/>
        <v>1.2018791351591489E-2</v>
      </c>
      <c r="AE275" s="3">
        <f t="shared" si="261"/>
        <v>9.6886031566275465E-3</v>
      </c>
      <c r="AF275" s="3">
        <f t="shared" si="261"/>
        <v>1.1227030075417334E-3</v>
      </c>
      <c r="AG275" s="3"/>
      <c r="AH275" s="3"/>
    </row>
    <row r="276" spans="1:34" x14ac:dyDescent="0.25">
      <c r="B276" s="3">
        <f t="shared" ref="B276:AF276" si="262">$C45*EXP(-B$246/$A45/EXP(-$E$126))</f>
        <v>1.4823378253451746E-2</v>
      </c>
      <c r="C276" s="3">
        <f t="shared" si="262"/>
        <v>1.4823378253451746E-2</v>
      </c>
      <c r="D276" s="3">
        <f t="shared" si="262"/>
        <v>1.4823378253451746E-2</v>
      </c>
      <c r="E276" s="3">
        <f t="shared" si="262"/>
        <v>1.4823378253451746E-2</v>
      </c>
      <c r="F276" s="3">
        <f t="shared" si="262"/>
        <v>1.4823378253451746E-2</v>
      </c>
      <c r="G276" s="3">
        <f t="shared" si="262"/>
        <v>1.4823378253451746E-2</v>
      </c>
      <c r="H276" s="3">
        <f t="shared" si="262"/>
        <v>1.4823378253451746E-2</v>
      </c>
      <c r="I276" s="3">
        <f t="shared" si="262"/>
        <v>1.4823378253451746E-2</v>
      </c>
      <c r="J276" s="3">
        <f t="shared" si="262"/>
        <v>1.4823378253451746E-2</v>
      </c>
      <c r="K276" s="3">
        <f t="shared" si="262"/>
        <v>1.4823378253451746E-2</v>
      </c>
      <c r="L276" s="3">
        <f t="shared" si="262"/>
        <v>1.4823378253451746E-2</v>
      </c>
      <c r="M276" s="3">
        <f t="shared" si="262"/>
        <v>1.4823378253451746E-2</v>
      </c>
      <c r="N276" s="3">
        <f t="shared" si="262"/>
        <v>1.4823378253451746E-2</v>
      </c>
      <c r="O276" s="3">
        <f t="shared" si="262"/>
        <v>1.4823378253451746E-2</v>
      </c>
      <c r="P276" s="3">
        <f t="shared" si="262"/>
        <v>1.4823378253451746E-2</v>
      </c>
      <c r="Q276" s="3">
        <f t="shared" si="262"/>
        <v>1.4823378253451742E-2</v>
      </c>
      <c r="R276" s="3">
        <f t="shared" si="262"/>
        <v>1.4823378253451709E-2</v>
      </c>
      <c r="S276" s="3">
        <f t="shared" si="262"/>
        <v>1.482337825345139E-2</v>
      </c>
      <c r="T276" s="3">
        <f t="shared" si="262"/>
        <v>1.4823378253448196E-2</v>
      </c>
      <c r="U276" s="3">
        <f t="shared" si="262"/>
        <v>1.482337825341625E-2</v>
      </c>
      <c r="V276" s="3">
        <f t="shared" si="262"/>
        <v>1.4823378253096773E-2</v>
      </c>
      <c r="W276" s="3">
        <f t="shared" si="262"/>
        <v>1.4823378249902023E-2</v>
      </c>
      <c r="X276" s="3">
        <f t="shared" si="262"/>
        <v>1.4823378217954512E-2</v>
      </c>
      <c r="Y276" s="3">
        <f t="shared" si="262"/>
        <v>1.4823377898479427E-2</v>
      </c>
      <c r="Z276" s="3">
        <f t="shared" si="262"/>
        <v>1.4823374703728935E-2</v>
      </c>
      <c r="AA276" s="3">
        <f t="shared" si="262"/>
        <v>1.4823342756261881E-2</v>
      </c>
      <c r="AB276" s="3">
        <f t="shared" si="262"/>
        <v>1.4823023285378262E-2</v>
      </c>
      <c r="AC276" s="3">
        <f t="shared" si="262"/>
        <v>1.4819828955203479E-2</v>
      </c>
      <c r="AD276" s="3">
        <f t="shared" si="262"/>
        <v>1.4787923489416569E-2</v>
      </c>
      <c r="AE276" s="3">
        <f t="shared" si="262"/>
        <v>1.4472622429328201E-2</v>
      </c>
      <c r="AF276" s="3">
        <f t="shared" si="262"/>
        <v>1.1666688542263479E-2</v>
      </c>
      <c r="AG276" s="3"/>
      <c r="AH276" s="3"/>
    </row>
    <row r="277" spans="1:34" x14ac:dyDescent="0.25">
      <c r="B277" s="3">
        <f t="shared" ref="B277:AF277" si="263">$C46*EXP(-B$246/$A46/EXP(-$E$126))</f>
        <v>7.924341887142665E-4</v>
      </c>
      <c r="C277" s="3">
        <f t="shared" si="263"/>
        <v>7.924341887142665E-4</v>
      </c>
      <c r="D277" s="3">
        <f t="shared" si="263"/>
        <v>7.924341887142665E-4</v>
      </c>
      <c r="E277" s="3">
        <f t="shared" si="263"/>
        <v>7.924341887142665E-4</v>
      </c>
      <c r="F277" s="3">
        <f t="shared" si="263"/>
        <v>7.924341887142665E-4</v>
      </c>
      <c r="G277" s="3">
        <f t="shared" si="263"/>
        <v>7.924341887142665E-4</v>
      </c>
      <c r="H277" s="3">
        <f t="shared" si="263"/>
        <v>7.924341887142665E-4</v>
      </c>
      <c r="I277" s="3">
        <f t="shared" si="263"/>
        <v>7.924341887142665E-4</v>
      </c>
      <c r="J277" s="3">
        <f t="shared" si="263"/>
        <v>7.924341887142665E-4</v>
      </c>
      <c r="K277" s="3">
        <f t="shared" si="263"/>
        <v>7.924341887142665E-4</v>
      </c>
      <c r="L277" s="3">
        <f t="shared" si="263"/>
        <v>7.924341887142665E-4</v>
      </c>
      <c r="M277" s="3">
        <f t="shared" si="263"/>
        <v>7.924341887142665E-4</v>
      </c>
      <c r="N277" s="3">
        <f t="shared" si="263"/>
        <v>7.924341887142665E-4</v>
      </c>
      <c r="O277" s="3">
        <f t="shared" si="263"/>
        <v>7.924341887142665E-4</v>
      </c>
      <c r="P277" s="3">
        <f t="shared" si="263"/>
        <v>7.924341887142665E-4</v>
      </c>
      <c r="Q277" s="3">
        <f t="shared" si="263"/>
        <v>7.924341887142665E-4</v>
      </c>
      <c r="R277" s="3">
        <f t="shared" si="263"/>
        <v>7.9243418871426628E-4</v>
      </c>
      <c r="S277" s="3">
        <f t="shared" si="263"/>
        <v>7.9243418871426455E-4</v>
      </c>
      <c r="T277" s="3">
        <f t="shared" si="263"/>
        <v>7.9243418871424753E-4</v>
      </c>
      <c r="U277" s="3">
        <f t="shared" si="263"/>
        <v>7.9243418871407676E-4</v>
      </c>
      <c r="V277" s="3">
        <f t="shared" si="263"/>
        <v>7.9243418871236893E-4</v>
      </c>
      <c r="W277" s="3">
        <f t="shared" si="263"/>
        <v>7.9243418869529025E-4</v>
      </c>
      <c r="X277" s="3">
        <f t="shared" si="263"/>
        <v>7.9243418852450391E-4</v>
      </c>
      <c r="Y277" s="3">
        <f t="shared" si="263"/>
        <v>7.92434186816641E-4</v>
      </c>
      <c r="Z277" s="3">
        <f t="shared" si="263"/>
        <v>7.924341697380118E-4</v>
      </c>
      <c r="AA277" s="3">
        <f t="shared" si="263"/>
        <v>7.9243399895173952E-4</v>
      </c>
      <c r="AB277" s="3">
        <f t="shared" si="263"/>
        <v>7.9243229109104117E-4</v>
      </c>
      <c r="AC277" s="3">
        <f t="shared" si="263"/>
        <v>7.9241521268650001E-4</v>
      </c>
      <c r="AD277" s="3">
        <f t="shared" si="263"/>
        <v>7.9224444888372457E-4</v>
      </c>
      <c r="AE277" s="3">
        <f t="shared" si="263"/>
        <v>7.905388335061696E-4</v>
      </c>
      <c r="AF277" s="3">
        <f t="shared" si="263"/>
        <v>7.7368334108873131E-4</v>
      </c>
      <c r="AG277" s="3"/>
      <c r="AH277" s="3"/>
    </row>
    <row r="278" spans="1:34" x14ac:dyDescent="0.25">
      <c r="B278" s="3">
        <f t="shared" ref="B278:AF278" si="264">$C47*EXP(-B$246/$A47/EXP(-$E$126))</f>
        <v>4.201469826442498E-3</v>
      </c>
      <c r="C278" s="3">
        <f t="shared" si="264"/>
        <v>4.201469826442498E-3</v>
      </c>
      <c r="D278" s="3">
        <f t="shared" si="264"/>
        <v>4.201469826442498E-3</v>
      </c>
      <c r="E278" s="3">
        <f t="shared" si="264"/>
        <v>4.201469826442498E-3</v>
      </c>
      <c r="F278" s="3">
        <f t="shared" si="264"/>
        <v>4.201469826442498E-3</v>
      </c>
      <c r="G278" s="3">
        <f t="shared" si="264"/>
        <v>4.201469826442498E-3</v>
      </c>
      <c r="H278" s="3">
        <f t="shared" si="264"/>
        <v>4.201469826442498E-3</v>
      </c>
      <c r="I278" s="3">
        <f t="shared" si="264"/>
        <v>4.201469826442498E-3</v>
      </c>
      <c r="J278" s="3">
        <f t="shared" si="264"/>
        <v>4.201469826442498E-3</v>
      </c>
      <c r="K278" s="3">
        <f t="shared" si="264"/>
        <v>4.201469826442498E-3</v>
      </c>
      <c r="L278" s="3">
        <f t="shared" si="264"/>
        <v>4.201469826442498E-3</v>
      </c>
      <c r="M278" s="3">
        <f t="shared" si="264"/>
        <v>4.201469826442498E-3</v>
      </c>
      <c r="N278" s="3">
        <f t="shared" si="264"/>
        <v>4.201469826442498E-3</v>
      </c>
      <c r="O278" s="3">
        <f t="shared" si="264"/>
        <v>4.201469826442498E-3</v>
      </c>
      <c r="P278" s="3">
        <f t="shared" si="264"/>
        <v>4.201469826442498E-3</v>
      </c>
      <c r="Q278" s="3">
        <f t="shared" si="264"/>
        <v>4.201469826442498E-3</v>
      </c>
      <c r="R278" s="3">
        <f t="shared" si="264"/>
        <v>4.201469826442498E-3</v>
      </c>
      <c r="S278" s="3">
        <f t="shared" si="264"/>
        <v>4.2014698264424971E-3</v>
      </c>
      <c r="T278" s="3">
        <f t="shared" si="264"/>
        <v>4.2014698264424876E-3</v>
      </c>
      <c r="U278" s="3">
        <f t="shared" si="264"/>
        <v>4.2014698264423974E-3</v>
      </c>
      <c r="V278" s="3">
        <f t="shared" si="264"/>
        <v>4.2014698264414918E-3</v>
      </c>
      <c r="W278" s="3">
        <f t="shared" si="264"/>
        <v>4.2014698264324366E-3</v>
      </c>
      <c r="X278" s="3">
        <f t="shared" si="264"/>
        <v>4.2014698263418858E-3</v>
      </c>
      <c r="Y278" s="3">
        <f t="shared" si="264"/>
        <v>4.2014698254363809E-3</v>
      </c>
      <c r="Z278" s="3">
        <f t="shared" si="264"/>
        <v>4.2014698163813265E-3</v>
      </c>
      <c r="AA278" s="3">
        <f t="shared" si="264"/>
        <v>4.2014697258307846E-3</v>
      </c>
      <c r="AB278" s="3">
        <f t="shared" si="264"/>
        <v>4.2014688203254689E-3</v>
      </c>
      <c r="AC278" s="3">
        <f t="shared" si="264"/>
        <v>4.2014597652830516E-3</v>
      </c>
      <c r="AD278" s="3">
        <f t="shared" si="264"/>
        <v>4.2013692159322226E-3</v>
      </c>
      <c r="AE278" s="3">
        <f t="shared" si="264"/>
        <v>4.2004638297499656E-3</v>
      </c>
      <c r="AF278" s="3">
        <f t="shared" si="264"/>
        <v>4.1914206919772996E-3</v>
      </c>
      <c r="AG278" s="3"/>
      <c r="AH278" s="3"/>
    </row>
    <row r="279" spans="1:34" x14ac:dyDescent="0.25">
      <c r="B279" s="3">
        <f t="shared" ref="B279:AF279" si="265">$C48*EXP(-B$246/$A48/EXP(-$E$126))</f>
        <v>6.8476297618842216E-3</v>
      </c>
      <c r="C279" s="3">
        <f t="shared" si="265"/>
        <v>6.8476297618842216E-3</v>
      </c>
      <c r="D279" s="3">
        <f t="shared" si="265"/>
        <v>6.8476297618842216E-3</v>
      </c>
      <c r="E279" s="3">
        <f t="shared" si="265"/>
        <v>6.8476297618842216E-3</v>
      </c>
      <c r="F279" s="3">
        <f t="shared" si="265"/>
        <v>6.8476297618842216E-3</v>
      </c>
      <c r="G279" s="3">
        <f t="shared" si="265"/>
        <v>6.8476297618842216E-3</v>
      </c>
      <c r="H279" s="3">
        <f t="shared" si="265"/>
        <v>6.8476297618842216E-3</v>
      </c>
      <c r="I279" s="3">
        <f t="shared" si="265"/>
        <v>6.8476297618842216E-3</v>
      </c>
      <c r="J279" s="3">
        <f t="shared" si="265"/>
        <v>6.8476297618842216E-3</v>
      </c>
      <c r="K279" s="3">
        <f t="shared" si="265"/>
        <v>6.8476297618842216E-3</v>
      </c>
      <c r="L279" s="3">
        <f t="shared" si="265"/>
        <v>6.8476297618842216E-3</v>
      </c>
      <c r="M279" s="3">
        <f t="shared" si="265"/>
        <v>6.8476297618842216E-3</v>
      </c>
      <c r="N279" s="3">
        <f t="shared" si="265"/>
        <v>6.8476297618842216E-3</v>
      </c>
      <c r="O279" s="3">
        <f t="shared" si="265"/>
        <v>6.8476297618842216E-3</v>
      </c>
      <c r="P279" s="3">
        <f t="shared" si="265"/>
        <v>6.8476297618842216E-3</v>
      </c>
      <c r="Q279" s="3">
        <f t="shared" si="265"/>
        <v>6.8476297618842216E-3</v>
      </c>
      <c r="R279" s="3">
        <f t="shared" si="265"/>
        <v>6.8476297618842216E-3</v>
      </c>
      <c r="S279" s="3">
        <f t="shared" si="265"/>
        <v>6.8476297618842216E-3</v>
      </c>
      <c r="T279" s="3">
        <f t="shared" si="265"/>
        <v>6.8476297618842198E-3</v>
      </c>
      <c r="U279" s="3">
        <f t="shared" si="265"/>
        <v>6.8476297618842051E-3</v>
      </c>
      <c r="V279" s="3">
        <f t="shared" si="265"/>
        <v>6.8476297618840576E-3</v>
      </c>
      <c r="W279" s="3">
        <f t="shared" si="265"/>
        <v>6.8476297618825814E-3</v>
      </c>
      <c r="X279" s="3">
        <f t="shared" si="265"/>
        <v>6.8476297618678241E-3</v>
      </c>
      <c r="Y279" s="3">
        <f t="shared" si="265"/>
        <v>6.8476297617202425E-3</v>
      </c>
      <c r="Z279" s="3">
        <f t="shared" si="265"/>
        <v>6.8476297602444343E-3</v>
      </c>
      <c r="AA279" s="3">
        <f t="shared" si="265"/>
        <v>6.8476297454863463E-3</v>
      </c>
      <c r="AB279" s="3">
        <f t="shared" si="265"/>
        <v>6.8476295979054726E-3</v>
      </c>
      <c r="AC279" s="3">
        <f t="shared" si="265"/>
        <v>6.8476281220969104E-3</v>
      </c>
      <c r="AD279" s="3">
        <f t="shared" si="265"/>
        <v>6.8476133640287783E-3</v>
      </c>
      <c r="AE279" s="3">
        <f t="shared" si="265"/>
        <v>6.8474657850968162E-3</v>
      </c>
      <c r="AF279" s="3">
        <f t="shared" si="265"/>
        <v>6.8459901706990631E-3</v>
      </c>
      <c r="AG279" s="3"/>
      <c r="AH279" s="3"/>
    </row>
    <row r="280" spans="1:34" x14ac:dyDescent="0.25">
      <c r="A280" s="79">
        <f>AVERAGE(B280:AF280)</f>
        <v>1.7189490540627572E-2</v>
      </c>
      <c r="B280" s="80">
        <f>IF($D$61&lt;=B246,IF($E$61&gt;=B246,ABS((B248-B247)/B247),0),0)</f>
        <v>2.2652066810122981E-2</v>
      </c>
      <c r="C280" s="80">
        <f t="shared" ref="C280:AF280" si="266">IF($D$61&lt;=C246,IF($E$61&gt;=C246,ABS((C248-C247)/C247),0),0)</f>
        <v>2.2514294715760445E-2</v>
      </c>
      <c r="D280" s="80">
        <f t="shared" si="266"/>
        <v>2.1115459633291023E-2</v>
      </c>
      <c r="E280" s="80">
        <f t="shared" si="266"/>
        <v>1.0765147161756784E-2</v>
      </c>
      <c r="F280" s="80">
        <f t="shared" si="266"/>
        <v>2.7172509480175504E-3</v>
      </c>
      <c r="G280" s="80">
        <f t="shared" si="266"/>
        <v>1.5150297899406433E-2</v>
      </c>
      <c r="H280" s="80">
        <f t="shared" si="266"/>
        <v>1.126578202730727E-2</v>
      </c>
      <c r="I280" s="80">
        <f t="shared" si="266"/>
        <v>1.3577400106204745E-2</v>
      </c>
      <c r="J280" s="80">
        <f t="shared" si="266"/>
        <v>1.4750204894180084E-2</v>
      </c>
      <c r="K280" s="80">
        <f t="shared" si="266"/>
        <v>1.6597014208188484E-2</v>
      </c>
      <c r="L280" s="80">
        <f t="shared" si="266"/>
        <v>1.7866535575582307E-2</v>
      </c>
      <c r="M280" s="80">
        <f t="shared" si="266"/>
        <v>1.8352928695043274E-2</v>
      </c>
      <c r="N280" s="80">
        <f t="shared" si="266"/>
        <v>1.9303669449015501E-2</v>
      </c>
      <c r="O280" s="80">
        <f t="shared" si="266"/>
        <v>2.3772676329788526E-2</v>
      </c>
      <c r="P280" s="80">
        <f t="shared" si="266"/>
        <v>2.8220803116509631E-2</v>
      </c>
      <c r="Q280" s="80">
        <f t="shared" si="266"/>
        <v>2.7918284044962844E-2</v>
      </c>
      <c r="R280" s="80">
        <f t="shared" si="266"/>
        <v>1.9611103693880805E-2</v>
      </c>
      <c r="S280" s="80">
        <f t="shared" si="266"/>
        <v>2.5466124724734716E-3</v>
      </c>
      <c r="T280" s="80">
        <f t="shared" si="266"/>
        <v>3.9752760649610933E-2</v>
      </c>
      <c r="U280" s="80">
        <f t="shared" si="266"/>
        <v>6.2167464424842667E-2</v>
      </c>
      <c r="V280" s="80">
        <f t="shared" si="266"/>
        <v>5.8469105229091621E-2</v>
      </c>
      <c r="W280" s="80">
        <f t="shared" si="266"/>
        <v>3.6585379938200276E-2</v>
      </c>
      <c r="X280" s="80">
        <f t="shared" si="266"/>
        <v>1.8351951875883316E-2</v>
      </c>
      <c r="Y280" s="80">
        <f t="shared" si="266"/>
        <v>8.8500128603338363E-3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19549.335191772891</v>
      </c>
      <c r="C281" s="21">
        <f t="shared" ref="C281:AF281" si="267">(C248-C247)^2</f>
        <v>19305.747057226366</v>
      </c>
      <c r="D281" s="21">
        <f t="shared" si="267"/>
        <v>16923.485557791442</v>
      </c>
      <c r="E281" s="21">
        <f t="shared" si="267"/>
        <v>4284.1873004640247</v>
      </c>
      <c r="F281" s="21">
        <f t="shared" si="267"/>
        <v>257.84396618682769</v>
      </c>
      <c r="G281" s="21">
        <f t="shared" si="267"/>
        <v>7705.0784904279562</v>
      </c>
      <c r="H281" s="21">
        <f t="shared" si="267"/>
        <v>4095.0089001671113</v>
      </c>
      <c r="I281" s="21">
        <f t="shared" si="267"/>
        <v>5685.0397420242343</v>
      </c>
      <c r="J281" s="21">
        <f t="shared" si="267"/>
        <v>6387.6097144328187</v>
      </c>
      <c r="K281" s="21">
        <f t="shared" si="267"/>
        <v>7640.1922174850097</v>
      </c>
      <c r="L281" s="21">
        <f t="shared" si="267"/>
        <v>8311.2983157147828</v>
      </c>
      <c r="M281" s="21">
        <f t="shared" si="267"/>
        <v>8203.7996896468467</v>
      </c>
      <c r="N281" s="21">
        <f t="shared" si="267"/>
        <v>8492.3707708165566</v>
      </c>
      <c r="O281" s="21">
        <f t="shared" si="267"/>
        <v>11948.71439486985</v>
      </c>
      <c r="P281" s="21">
        <f t="shared" si="267"/>
        <v>15306.279869968335</v>
      </c>
      <c r="Q281" s="21">
        <f t="shared" si="267"/>
        <v>13442.593629313526</v>
      </c>
      <c r="R281" s="21">
        <f t="shared" si="267"/>
        <v>5962.3636433446291</v>
      </c>
      <c r="S281" s="21">
        <f t="shared" si="267"/>
        <v>88.196385644941671</v>
      </c>
      <c r="T281" s="21">
        <f t="shared" si="267"/>
        <v>17863.493535028425</v>
      </c>
      <c r="U281" s="21">
        <f t="shared" si="267"/>
        <v>35995.308758997329</v>
      </c>
      <c r="V281" s="21">
        <f t="shared" si="267"/>
        <v>26455.465052468651</v>
      </c>
      <c r="W281" s="21">
        <f t="shared" si="267"/>
        <v>8689.8858354160293</v>
      </c>
      <c r="X281" s="21">
        <f t="shared" si="267"/>
        <v>1820.1079142721076</v>
      </c>
      <c r="Y281" s="21">
        <f t="shared" si="267"/>
        <v>348.99852050844078</v>
      </c>
      <c r="Z281" s="21">
        <f t="shared" si="267"/>
        <v>187.26542287562731</v>
      </c>
      <c r="AA281" s="21">
        <f t="shared" si="267"/>
        <v>16343.276681496238</v>
      </c>
      <c r="AB281" s="21">
        <f t="shared" si="267"/>
        <v>8637.9722741075966</v>
      </c>
      <c r="AC281" s="21">
        <f t="shared" si="267"/>
        <v>23679.885947109891</v>
      </c>
      <c r="AD281" s="21">
        <f t="shared" si="267"/>
        <v>10099.898804573564</v>
      </c>
      <c r="AE281" s="21">
        <f t="shared" si="267"/>
        <v>8884.0269156229915</v>
      </c>
      <c r="AF281" s="21">
        <f t="shared" si="267"/>
        <v>1333.51692039159</v>
      </c>
      <c r="AG281" s="3"/>
      <c r="AH281" s="3"/>
    </row>
    <row r="282" spans="1:34" s="3" customFormat="1" x14ac:dyDescent="0.25">
      <c r="A282" s="71">
        <f>SUM(B282:AF282)</f>
        <v>254762.40445398912</v>
      </c>
      <c r="B282" s="21">
        <f>IF($D$61&lt;=B246,IF($E$61&gt;=B246,ABS(B281),0),0)</f>
        <v>19549.335191772891</v>
      </c>
      <c r="C282" s="21">
        <f t="shared" ref="C282:AF282" si="268">IF($D$61&lt;=C246,IF($E$61&gt;=C246,ABS(C281),0),0)</f>
        <v>19305.747057226366</v>
      </c>
      <c r="D282" s="21">
        <f t="shared" si="268"/>
        <v>16923.485557791442</v>
      </c>
      <c r="E282" s="21">
        <f t="shared" si="268"/>
        <v>4284.1873004640247</v>
      </c>
      <c r="F282" s="21">
        <f t="shared" si="268"/>
        <v>257.84396618682769</v>
      </c>
      <c r="G282" s="21">
        <f t="shared" si="268"/>
        <v>7705.0784904279562</v>
      </c>
      <c r="H282" s="21">
        <f t="shared" si="268"/>
        <v>4095.0089001671113</v>
      </c>
      <c r="I282" s="21">
        <f t="shared" si="268"/>
        <v>5685.0397420242343</v>
      </c>
      <c r="J282" s="21">
        <f t="shared" si="268"/>
        <v>6387.6097144328187</v>
      </c>
      <c r="K282" s="21">
        <f t="shared" si="268"/>
        <v>7640.1922174850097</v>
      </c>
      <c r="L282" s="21">
        <f t="shared" si="268"/>
        <v>8311.2983157147828</v>
      </c>
      <c r="M282" s="21">
        <f t="shared" si="268"/>
        <v>8203.7996896468467</v>
      </c>
      <c r="N282" s="21">
        <f t="shared" si="268"/>
        <v>8492.3707708165566</v>
      </c>
      <c r="O282" s="21">
        <f t="shared" si="268"/>
        <v>11948.71439486985</v>
      </c>
      <c r="P282" s="21">
        <f t="shared" si="268"/>
        <v>15306.279869968335</v>
      </c>
      <c r="Q282" s="21">
        <f t="shared" si="268"/>
        <v>13442.593629313526</v>
      </c>
      <c r="R282" s="21">
        <f t="shared" si="268"/>
        <v>5962.3636433446291</v>
      </c>
      <c r="S282" s="21">
        <f t="shared" si="268"/>
        <v>88.196385644941671</v>
      </c>
      <c r="T282" s="21">
        <f t="shared" si="268"/>
        <v>17863.493535028425</v>
      </c>
      <c r="U282" s="21">
        <f t="shared" si="268"/>
        <v>35995.308758997329</v>
      </c>
      <c r="V282" s="21">
        <f t="shared" si="268"/>
        <v>26455.465052468651</v>
      </c>
      <c r="W282" s="21">
        <f t="shared" si="268"/>
        <v>8689.8858354160293</v>
      </c>
      <c r="X282" s="21">
        <f t="shared" si="268"/>
        <v>1820.1079142721076</v>
      </c>
      <c r="Y282" s="21">
        <f t="shared" si="268"/>
        <v>348.99852050844078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6024.9391933141123</v>
      </c>
      <c r="C287" s="27">
        <f t="shared" ref="C287:AF287" si="269">($C$17+SUM(C288:C318))*$B$51</f>
        <v>5963.6106802388986</v>
      </c>
      <c r="D287" s="27">
        <f t="shared" si="269"/>
        <v>5744.3292547997171</v>
      </c>
      <c r="E287" s="27">
        <f t="shared" si="269"/>
        <v>5655.2837551681368</v>
      </c>
      <c r="F287" s="27">
        <f t="shared" si="269"/>
        <v>5524.4923072586416</v>
      </c>
      <c r="G287" s="27">
        <f t="shared" si="269"/>
        <v>5389.6393773996551</v>
      </c>
      <c r="H287" s="27">
        <f t="shared" si="269"/>
        <v>5237.4559750105336</v>
      </c>
      <c r="I287" s="27">
        <f t="shared" si="269"/>
        <v>5073.7789129624371</v>
      </c>
      <c r="J287" s="27">
        <f t="shared" si="269"/>
        <v>4907.5285457349482</v>
      </c>
      <c r="K287" s="27">
        <f t="shared" si="269"/>
        <v>4747.2784283519404</v>
      </c>
      <c r="L287" s="27">
        <f t="shared" si="269"/>
        <v>4569.212147094443</v>
      </c>
      <c r="M287" s="27">
        <f t="shared" si="269"/>
        <v>4354.8161924392489</v>
      </c>
      <c r="N287" s="27">
        <f t="shared" si="269"/>
        <v>4126.6249009156609</v>
      </c>
      <c r="O287" s="27">
        <f t="shared" si="269"/>
        <v>3930.80983214252</v>
      </c>
      <c r="P287" s="27">
        <f t="shared" si="269"/>
        <v>3754.5684758112557</v>
      </c>
      <c r="Q287" s="27">
        <f t="shared" si="269"/>
        <v>3572.4436877835587</v>
      </c>
      <c r="R287" s="27">
        <f t="shared" si="269"/>
        <v>3354.6057720751919</v>
      </c>
      <c r="S287" s="27">
        <f t="shared" si="269"/>
        <v>3065.0367597889226</v>
      </c>
      <c r="T287" s="27">
        <f t="shared" si="269"/>
        <v>2757.4862191163843</v>
      </c>
      <c r="U287" s="27">
        <f t="shared" si="269"/>
        <v>2464.172445902168</v>
      </c>
      <c r="V287" s="27">
        <f t="shared" si="269"/>
        <v>2195.9113597455666</v>
      </c>
      <c r="W287" s="27">
        <f t="shared" si="269"/>
        <v>1936.4319288998456</v>
      </c>
      <c r="X287" s="27">
        <f t="shared" si="269"/>
        <v>1670.1840917186973</v>
      </c>
      <c r="Y287" s="27">
        <f t="shared" si="269"/>
        <v>1383.4251371165296</v>
      </c>
      <c r="Z287" s="27">
        <f t="shared" si="269"/>
        <v>1073.3867292713501</v>
      </c>
      <c r="AA287" s="27">
        <f t="shared" si="269"/>
        <v>779.38462223754482</v>
      </c>
      <c r="AB287" s="27">
        <f t="shared" si="269"/>
        <v>547.51307175698798</v>
      </c>
      <c r="AC287" s="27">
        <f t="shared" si="269"/>
        <v>398.29869056968306</v>
      </c>
      <c r="AD287" s="27">
        <f t="shared" si="269"/>
        <v>320.31036481697106</v>
      </c>
      <c r="AE287" s="27">
        <f t="shared" si="269"/>
        <v>281.6609744530453</v>
      </c>
      <c r="AF287" s="27">
        <f t="shared" si="269"/>
        <v>262.17277300556469</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4.6477744706330773E-2</v>
      </c>
      <c r="C289" s="3">
        <f t="shared" si="271"/>
        <v>3.6810884990855296E-2</v>
      </c>
      <c r="D289" s="3">
        <f t="shared" si="271"/>
        <v>3.575101566631292E-3</v>
      </c>
      <c r="E289" s="3">
        <f t="shared" si="271"/>
        <v>2.6693753226532614E-13</v>
      </c>
      <c r="F289" s="3">
        <f t="shared" si="271"/>
        <v>1.4375475213144059E-114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9.1221098491024531E-3</v>
      </c>
      <c r="C290" s="3">
        <f t="shared" si="272"/>
        <v>8.9322323293075118E-3</v>
      </c>
      <c r="D290" s="3">
        <f t="shared" si="272"/>
        <v>7.2378093564306615E-3</v>
      </c>
      <c r="E290" s="3">
        <f t="shared" si="272"/>
        <v>8.8323939070937617E-4</v>
      </c>
      <c r="F290" s="3">
        <f t="shared" si="272"/>
        <v>6.4683174815624701E-13</v>
      </c>
      <c r="G290" s="3">
        <f t="shared" si="272"/>
        <v>2.8702538862156385E-104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2.3864465933257886E-2</v>
      </c>
      <c r="C291" s="3">
        <f t="shared" si="273"/>
        <v>2.3819225763509755E-2</v>
      </c>
      <c r="D291" s="3">
        <f t="shared" si="273"/>
        <v>2.3371514271529042E-2</v>
      </c>
      <c r="E291" s="3">
        <f t="shared" si="273"/>
        <v>1.933209685612737E-2</v>
      </c>
      <c r="F291" s="3">
        <f t="shared" si="273"/>
        <v>2.8986786216811371E-3</v>
      </c>
      <c r="G291" s="3">
        <f t="shared" si="273"/>
        <v>1.6649880443361729E-11</v>
      </c>
      <c r="H291" s="3">
        <f t="shared" si="273"/>
        <v>6.5091103995906637E-94</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2.1806983136422899E-2</v>
      </c>
      <c r="C292" s="3">
        <f t="shared" si="274"/>
        <v>2.1803250725169043E-2</v>
      </c>
      <c r="D292" s="3">
        <f t="shared" si="274"/>
        <v>2.1765961730091078E-2</v>
      </c>
      <c r="E292" s="3">
        <f t="shared" si="274"/>
        <v>2.1396561385759086E-2</v>
      </c>
      <c r="F292" s="3">
        <f t="shared" si="274"/>
        <v>1.8030393793580519E-2</v>
      </c>
      <c r="G292" s="3">
        <f t="shared" si="274"/>
        <v>3.2554984444515878E-3</v>
      </c>
      <c r="H292" s="3">
        <f t="shared" si="274"/>
        <v>1.19878222089623E-10</v>
      </c>
      <c r="I292" s="3">
        <f t="shared" si="274"/>
        <v>5.4950076929108053E-85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2.6177876401405883E-2</v>
      </c>
      <c r="C293" s="3">
        <f t="shared" si="275"/>
        <v>2.6177472189852901E-2</v>
      </c>
      <c r="D293" s="3">
        <f t="shared" si="275"/>
        <v>2.6173430417584964E-2</v>
      </c>
      <c r="E293" s="3">
        <f t="shared" si="275"/>
        <v>2.6133047001492566E-2</v>
      </c>
      <c r="F293" s="3">
        <f t="shared" si="275"/>
        <v>2.5732623979919048E-2</v>
      </c>
      <c r="G293" s="3">
        <f t="shared" si="275"/>
        <v>2.2050798320825588E-2</v>
      </c>
      <c r="H293" s="3">
        <f t="shared" si="275"/>
        <v>4.7078948016041101E-3</v>
      </c>
      <c r="I293" s="3">
        <f t="shared" si="275"/>
        <v>9.2651206178631929E-10</v>
      </c>
      <c r="J293" s="3">
        <f t="shared" si="275"/>
        <v>8.0741042728017979E-77</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2.8069621303701813E-2</v>
      </c>
      <c r="C294" s="3">
        <f t="shared" si="276"/>
        <v>2.8069582205165079E-2</v>
      </c>
      <c r="D294" s="3">
        <f t="shared" si="276"/>
        <v>2.8069191222793059E-2</v>
      </c>
      <c r="E294" s="3">
        <f t="shared" si="276"/>
        <v>2.8065281698590863E-2</v>
      </c>
      <c r="F294" s="3">
        <f t="shared" si="276"/>
        <v>2.8026216392939531E-2</v>
      </c>
      <c r="G294" s="3">
        <f t="shared" si="276"/>
        <v>2.7638541602256716E-2</v>
      </c>
      <c r="H294" s="3">
        <f t="shared" si="276"/>
        <v>2.404482627217366E-2</v>
      </c>
      <c r="I294" s="3">
        <f t="shared" si="276"/>
        <v>5.9715469277308751E-3</v>
      </c>
      <c r="J294" s="3">
        <f t="shared" si="276"/>
        <v>5.3301436012532687E-9</v>
      </c>
      <c r="K294" s="3">
        <f t="shared" si="276"/>
        <v>1.7110374315130381E-69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2.8604070668300809E-2</v>
      </c>
      <c r="C295" s="3">
        <f t="shared" si="277"/>
        <v>2.8604067074130445E-2</v>
      </c>
      <c r="D295" s="3">
        <f t="shared" si="277"/>
        <v>2.8604031132451614E-2</v>
      </c>
      <c r="E295" s="3">
        <f t="shared" si="277"/>
        <v>2.8603671718147216E-2</v>
      </c>
      <c r="F295" s="3">
        <f t="shared" si="277"/>
        <v>2.8600077823479321E-2</v>
      </c>
      <c r="G295" s="3">
        <f t="shared" si="277"/>
        <v>2.8564163702866241E-2</v>
      </c>
      <c r="H295" s="3">
        <f t="shared" si="277"/>
        <v>2.8207493600029405E-2</v>
      </c>
      <c r="I295" s="3">
        <f t="shared" si="277"/>
        <v>2.4876790415269839E-2</v>
      </c>
      <c r="J295" s="3">
        <f t="shared" si="277"/>
        <v>7.0809713527446635E-3</v>
      </c>
      <c r="K295" s="3">
        <f t="shared" si="277"/>
        <v>2.4721666209155775E-8</v>
      </c>
      <c r="L295" s="3">
        <f t="shared" si="277"/>
        <v>6.6516095404720693E-63</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2.5824539726827914E-2</v>
      </c>
      <c r="C296" s="3">
        <f t="shared" si="278"/>
        <v>2.5824539434109513E-2</v>
      </c>
      <c r="D296" s="3">
        <f t="shared" si="278"/>
        <v>2.5824536506925694E-2</v>
      </c>
      <c r="E296" s="3">
        <f t="shared" si="278"/>
        <v>2.5824507235105786E-2</v>
      </c>
      <c r="F296" s="3">
        <f t="shared" si="278"/>
        <v>2.5824214518731532E-2</v>
      </c>
      <c r="G296" s="3">
        <f t="shared" si="278"/>
        <v>2.582128753746675E-2</v>
      </c>
      <c r="H296" s="3">
        <f t="shared" si="278"/>
        <v>2.5792035964943075E-2</v>
      </c>
      <c r="I296" s="3">
        <f t="shared" si="278"/>
        <v>2.5501336625516242E-2</v>
      </c>
      <c r="J296" s="3">
        <f t="shared" si="278"/>
        <v>2.2768589549685917E-2</v>
      </c>
      <c r="K296" s="3">
        <f t="shared" si="278"/>
        <v>7.3293923102121534E-3</v>
      </c>
      <c r="L296" s="3">
        <f t="shared" si="278"/>
        <v>8.7576254852647966E-8</v>
      </c>
      <c r="M296" s="3">
        <f t="shared" si="278"/>
        <v>5.1948184702684843E-57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3.0898133943263718E-2</v>
      </c>
      <c r="C297" s="3">
        <f t="shared" si="279"/>
        <v>3.0898133911670327E-2</v>
      </c>
      <c r="D297" s="3">
        <f t="shared" si="279"/>
        <v>3.0898133595736395E-2</v>
      </c>
      <c r="E297" s="3">
        <f t="shared" si="279"/>
        <v>3.0898130436397234E-2</v>
      </c>
      <c r="F297" s="3">
        <f t="shared" si="279"/>
        <v>3.0898098843023414E-2</v>
      </c>
      <c r="G297" s="3">
        <f t="shared" si="279"/>
        <v>3.0897782911061954E-2</v>
      </c>
      <c r="H297" s="3">
        <f t="shared" si="279"/>
        <v>3.0894623769113488E-2</v>
      </c>
      <c r="I297" s="3">
        <f t="shared" si="279"/>
        <v>3.0863050109525971E-2</v>
      </c>
      <c r="J297" s="3">
        <f t="shared" si="279"/>
        <v>3.0549082802678876E-2</v>
      </c>
      <c r="K297" s="3">
        <f t="shared" si="279"/>
        <v>2.7579824122218686E-2</v>
      </c>
      <c r="L297" s="3">
        <f t="shared" si="279"/>
        <v>9.9202966524574252E-3</v>
      </c>
      <c r="M297" s="3">
        <f t="shared" si="279"/>
        <v>3.5963034454624676E-7</v>
      </c>
      <c r="N297" s="3">
        <f t="shared" si="279"/>
        <v>1.4098503838791694E-51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3.9211561858872999E-2</v>
      </c>
      <c r="C298" s="3">
        <f t="shared" si="280"/>
        <v>3.9211561855256198E-2</v>
      </c>
      <c r="D298" s="3">
        <f t="shared" si="280"/>
        <v>3.9211561819088171E-2</v>
      </c>
      <c r="E298" s="3">
        <f t="shared" si="280"/>
        <v>3.9211561457407958E-2</v>
      </c>
      <c r="F298" s="3">
        <f t="shared" si="280"/>
        <v>3.9211557840605961E-2</v>
      </c>
      <c r="G298" s="3">
        <f t="shared" si="280"/>
        <v>3.9211521672604346E-2</v>
      </c>
      <c r="H298" s="3">
        <f t="shared" si="280"/>
        <v>3.9211159994423032E-2</v>
      </c>
      <c r="I298" s="3">
        <f t="shared" si="280"/>
        <v>3.9207543396086918E-2</v>
      </c>
      <c r="J298" s="3">
        <f t="shared" si="280"/>
        <v>3.9171395754164097E-2</v>
      </c>
      <c r="K298" s="3">
        <f t="shared" si="280"/>
        <v>3.8811747234600014E-2</v>
      </c>
      <c r="L298" s="3">
        <f t="shared" si="280"/>
        <v>3.539196466658108E-2</v>
      </c>
      <c r="M298" s="3">
        <f t="shared" si="280"/>
        <v>1.40708212354898E-2</v>
      </c>
      <c r="N298" s="3">
        <f t="shared" si="280"/>
        <v>1.3882484065321694E-6</v>
      </c>
      <c r="O298" s="3">
        <f t="shared" si="280"/>
        <v>1.2132339785038487E-46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3.9917762406100149E-2</v>
      </c>
      <c r="C299" s="3">
        <f t="shared" si="281"/>
        <v>3.9917762405768005E-2</v>
      </c>
      <c r="D299" s="3">
        <f t="shared" si="281"/>
        <v>3.9917762402446592E-2</v>
      </c>
      <c r="E299" s="3">
        <f t="shared" si="281"/>
        <v>3.9917762369232418E-2</v>
      </c>
      <c r="F299" s="3">
        <f t="shared" si="281"/>
        <v>3.9917762037090722E-2</v>
      </c>
      <c r="G299" s="3">
        <f t="shared" si="281"/>
        <v>3.9917758715673948E-2</v>
      </c>
      <c r="H299" s="3">
        <f t="shared" si="281"/>
        <v>3.9917725501521409E-2</v>
      </c>
      <c r="I299" s="3">
        <f t="shared" si="281"/>
        <v>3.9917393361515993E-2</v>
      </c>
      <c r="J299" s="3">
        <f t="shared" si="281"/>
        <v>3.9914072113456503E-2</v>
      </c>
      <c r="K299" s="3">
        <f t="shared" si="281"/>
        <v>3.9880874827653047E-2</v>
      </c>
      <c r="L299" s="3">
        <f t="shared" si="281"/>
        <v>3.9550416781227622E-2</v>
      </c>
      <c r="M299" s="3">
        <f t="shared" si="281"/>
        <v>3.6392755900939065E-2</v>
      </c>
      <c r="N299" s="3">
        <f t="shared" si="281"/>
        <v>1.5836300898315628E-2</v>
      </c>
      <c r="O299" s="3">
        <f t="shared" si="281"/>
        <v>3.8551541658590257E-6</v>
      </c>
      <c r="P299" s="3">
        <f t="shared" si="281"/>
        <v>2.8178754915831221E-42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2.7879487424103847E-2</v>
      </c>
      <c r="C300" s="3">
        <f t="shared" si="282"/>
        <v>2.7879487424082919E-2</v>
      </c>
      <c r="D300" s="3">
        <f t="shared" si="282"/>
        <v>2.787948742387366E-2</v>
      </c>
      <c r="E300" s="3">
        <f t="shared" si="282"/>
        <v>2.7879487421781049E-2</v>
      </c>
      <c r="F300" s="3">
        <f t="shared" si="282"/>
        <v>2.7879487400854934E-2</v>
      </c>
      <c r="G300" s="3">
        <f t="shared" si="282"/>
        <v>2.7879487191593798E-2</v>
      </c>
      <c r="H300" s="3">
        <f t="shared" si="282"/>
        <v>2.7879485098982509E-2</v>
      </c>
      <c r="I300" s="3">
        <f t="shared" si="282"/>
        <v>2.7879464172878267E-2</v>
      </c>
      <c r="J300" s="3">
        <f t="shared" si="282"/>
        <v>2.7879254912699734E-2</v>
      </c>
      <c r="K300" s="3">
        <f t="shared" si="282"/>
        <v>2.7877162397300054E-2</v>
      </c>
      <c r="L300" s="3">
        <f t="shared" si="282"/>
        <v>2.785624587947096E-2</v>
      </c>
      <c r="M300" s="3">
        <f t="shared" si="282"/>
        <v>2.7647941924329011E-2</v>
      </c>
      <c r="N300" s="3">
        <f t="shared" si="282"/>
        <v>2.5648680171269488E-2</v>
      </c>
      <c r="O300" s="3">
        <f t="shared" si="282"/>
        <v>1.2108411107776643E-2</v>
      </c>
      <c r="P300" s="3">
        <f t="shared" si="282"/>
        <v>6.6574592181489578E-6</v>
      </c>
      <c r="Q300" s="3">
        <f t="shared" si="282"/>
        <v>1.680823394301293E-38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3.1696336900802195E-2</v>
      </c>
      <c r="C301" s="3">
        <f t="shared" si="283"/>
        <v>3.1696336900800044E-2</v>
      </c>
      <c r="D301" s="3">
        <f t="shared" si="283"/>
        <v>3.1696336900778589E-2</v>
      </c>
      <c r="E301" s="3">
        <f t="shared" si="283"/>
        <v>3.1696336900563969E-2</v>
      </c>
      <c r="F301" s="3">
        <f t="shared" si="283"/>
        <v>3.1696336898417825E-2</v>
      </c>
      <c r="G301" s="3">
        <f t="shared" si="283"/>
        <v>3.1696336876956353E-2</v>
      </c>
      <c r="H301" s="3">
        <f t="shared" si="283"/>
        <v>3.1696336662341652E-2</v>
      </c>
      <c r="I301" s="3">
        <f t="shared" si="283"/>
        <v>3.1696334516194753E-2</v>
      </c>
      <c r="J301" s="3">
        <f t="shared" si="283"/>
        <v>3.1696313054733707E-2</v>
      </c>
      <c r="K301" s="3">
        <f t="shared" si="283"/>
        <v>3.1696098440922499E-2</v>
      </c>
      <c r="L301" s="3">
        <f t="shared" si="283"/>
        <v>3.1693952382731309E-2</v>
      </c>
      <c r="M301" s="3">
        <f t="shared" si="283"/>
        <v>3.1672499790909192E-2</v>
      </c>
      <c r="N301" s="3">
        <f t="shared" si="283"/>
        <v>3.1458770883562769E-2</v>
      </c>
      <c r="O301" s="3">
        <f t="shared" si="283"/>
        <v>2.9399221829788099E-2</v>
      </c>
      <c r="P301" s="3">
        <f t="shared" si="283"/>
        <v>1.4937457506872731E-2</v>
      </c>
      <c r="Q301" s="3">
        <f t="shared" si="283"/>
        <v>1.7127152288626053E-5</v>
      </c>
      <c r="R301" s="3">
        <f t="shared" si="283"/>
        <v>6.7262022862744451E-35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2.7472650949533082E-2</v>
      </c>
      <c r="C302" s="3">
        <f t="shared" si="284"/>
        <v>2.7472650949532912E-2</v>
      </c>
      <c r="D302" s="3">
        <f t="shared" si="284"/>
        <v>2.7472650949531236E-2</v>
      </c>
      <c r="E302" s="3">
        <f t="shared" si="284"/>
        <v>2.7472650949514454E-2</v>
      </c>
      <c r="F302" s="3">
        <f t="shared" si="284"/>
        <v>2.7472650949346651E-2</v>
      </c>
      <c r="G302" s="3">
        <f t="shared" si="284"/>
        <v>2.7472650947668629E-2</v>
      </c>
      <c r="H302" s="3">
        <f t="shared" si="284"/>
        <v>2.7472650930888416E-2</v>
      </c>
      <c r="I302" s="3">
        <f t="shared" si="284"/>
        <v>2.7472650763086252E-2</v>
      </c>
      <c r="J302" s="3">
        <f t="shared" si="284"/>
        <v>2.7472649085064711E-2</v>
      </c>
      <c r="K302" s="3">
        <f t="shared" si="284"/>
        <v>2.7472632304854895E-2</v>
      </c>
      <c r="L302" s="3">
        <f t="shared" si="284"/>
        <v>2.7472464503320446E-2</v>
      </c>
      <c r="M302" s="3">
        <f t="shared" si="284"/>
        <v>2.747078654434576E-2</v>
      </c>
      <c r="N302" s="3">
        <f t="shared" si="284"/>
        <v>2.7454012590302831E-2</v>
      </c>
      <c r="O302" s="3">
        <f t="shared" si="284"/>
        <v>2.7286835348705362E-2</v>
      </c>
      <c r="P302" s="3">
        <f t="shared" si="284"/>
        <v>2.5670042543977978E-2</v>
      </c>
      <c r="Q302" s="3">
        <f t="shared" si="284"/>
        <v>1.3936726253133877E-2</v>
      </c>
      <c r="R302" s="3">
        <f t="shared" si="284"/>
        <v>3.1010058234647786E-5</v>
      </c>
      <c r="S302" s="3">
        <f t="shared" si="284"/>
        <v>9.2240299266379153E-32</v>
      </c>
      <c r="T302" s="3">
        <f t="shared" si="284"/>
        <v>5.0015189478879335E-297</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4.6468539028017557E-2</v>
      </c>
      <c r="C303" s="3">
        <f t="shared" si="285"/>
        <v>4.6468539028017536E-2</v>
      </c>
      <c r="D303" s="3">
        <f t="shared" si="285"/>
        <v>4.6468539028017279E-2</v>
      </c>
      <c r="E303" s="3">
        <f t="shared" si="285"/>
        <v>4.6468539028014719E-2</v>
      </c>
      <c r="F303" s="3">
        <f t="shared" si="285"/>
        <v>4.6468539027989114E-2</v>
      </c>
      <c r="G303" s="3">
        <f t="shared" si="285"/>
        <v>4.6468539027733076E-2</v>
      </c>
      <c r="H303" s="3">
        <f t="shared" si="285"/>
        <v>4.6468539025172707E-2</v>
      </c>
      <c r="I303" s="3">
        <f t="shared" si="285"/>
        <v>4.6468538999569015E-2</v>
      </c>
      <c r="J303" s="3">
        <f t="shared" si="285"/>
        <v>4.6468538743532101E-2</v>
      </c>
      <c r="K303" s="3">
        <f t="shared" si="285"/>
        <v>4.646853618316301E-2</v>
      </c>
      <c r="L303" s="3">
        <f t="shared" si="285"/>
        <v>4.6468510579479878E-2</v>
      </c>
      <c r="M303" s="3">
        <f t="shared" si="285"/>
        <v>4.6468254543424452E-2</v>
      </c>
      <c r="N303" s="3">
        <f t="shared" si="285"/>
        <v>4.6465694260459017E-2</v>
      </c>
      <c r="O303" s="3">
        <f t="shared" si="285"/>
        <v>4.6440099188102678E-2</v>
      </c>
      <c r="P303" s="3">
        <f t="shared" si="285"/>
        <v>4.6184922615223965E-2</v>
      </c>
      <c r="Q303" s="3">
        <f t="shared" si="285"/>
        <v>4.3709016713561519E-2</v>
      </c>
      <c r="R303" s="3">
        <f t="shared" si="285"/>
        <v>2.5192960172541887E-2</v>
      </c>
      <c r="S303" s="3">
        <f t="shared" si="285"/>
        <v>1.0194380391493074E-4</v>
      </c>
      <c r="T303" s="3">
        <f t="shared" si="285"/>
        <v>1.1999887688044077E-28</v>
      </c>
      <c r="U303" s="3">
        <f t="shared" si="285"/>
        <v>6.128308887010363E-268</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5.1683873282290876E-2</v>
      </c>
      <c r="C304" s="3">
        <f t="shared" si="286"/>
        <v>5.1683873282290876E-2</v>
      </c>
      <c r="D304" s="3">
        <f t="shared" si="286"/>
        <v>5.1683873282290849E-2</v>
      </c>
      <c r="E304" s="3">
        <f t="shared" si="286"/>
        <v>5.1683873282290592E-2</v>
      </c>
      <c r="F304" s="3">
        <f t="shared" si="286"/>
        <v>5.1683873282288025E-2</v>
      </c>
      <c r="G304" s="3">
        <f t="shared" si="286"/>
        <v>5.1683873282262337E-2</v>
      </c>
      <c r="H304" s="3">
        <f t="shared" si="286"/>
        <v>5.1683873282005445E-2</v>
      </c>
      <c r="I304" s="3">
        <f t="shared" si="286"/>
        <v>5.1683873279436555E-2</v>
      </c>
      <c r="J304" s="3">
        <f t="shared" si="286"/>
        <v>5.1683873253747674E-2</v>
      </c>
      <c r="K304" s="3">
        <f t="shared" si="286"/>
        <v>5.1683872996858844E-2</v>
      </c>
      <c r="L304" s="3">
        <f t="shared" si="286"/>
        <v>5.1683870427970652E-2</v>
      </c>
      <c r="M304" s="3">
        <f t="shared" si="286"/>
        <v>5.168384473909577E-2</v>
      </c>
      <c r="N304" s="3">
        <f t="shared" si="286"/>
        <v>5.1683587851049158E-2</v>
      </c>
      <c r="O304" s="3">
        <f t="shared" si="286"/>
        <v>5.1681019040807644E-2</v>
      </c>
      <c r="P304" s="3">
        <f t="shared" si="286"/>
        <v>5.1655337959559879E-2</v>
      </c>
      <c r="Q304" s="3">
        <f t="shared" si="286"/>
        <v>5.1399227974314642E-2</v>
      </c>
      <c r="R304" s="3">
        <f t="shared" si="286"/>
        <v>4.8906938949684363E-2</v>
      </c>
      <c r="S304" s="3">
        <f t="shared" si="286"/>
        <v>2.975153227019733E-2</v>
      </c>
      <c r="T304" s="3">
        <f t="shared" si="286"/>
        <v>2.0648946573972976E-4</v>
      </c>
      <c r="U304" s="3">
        <f t="shared" si="286"/>
        <v>5.3552965989755821E-26</v>
      </c>
      <c r="V304" s="3">
        <f t="shared" si="286"/>
        <v>7.3729249274634725E-242</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5.2823026105162527E-2</v>
      </c>
      <c r="C305" s="3">
        <f t="shared" si="287"/>
        <v>5.2823026105162527E-2</v>
      </c>
      <c r="D305" s="3">
        <f t="shared" si="287"/>
        <v>5.2823026105162527E-2</v>
      </c>
      <c r="E305" s="3">
        <f t="shared" si="287"/>
        <v>5.2823026105162506E-2</v>
      </c>
      <c r="F305" s="3">
        <f t="shared" si="287"/>
        <v>5.2823026105162263E-2</v>
      </c>
      <c r="G305" s="3">
        <f t="shared" si="287"/>
        <v>5.2823026105159897E-2</v>
      </c>
      <c r="H305" s="3">
        <f t="shared" si="287"/>
        <v>5.2823026105136214E-2</v>
      </c>
      <c r="I305" s="3">
        <f t="shared" si="287"/>
        <v>5.2823026104899369E-2</v>
      </c>
      <c r="J305" s="3">
        <f t="shared" si="287"/>
        <v>5.2823026102530937E-2</v>
      </c>
      <c r="K305" s="3">
        <f t="shared" si="287"/>
        <v>5.2823026078846667E-2</v>
      </c>
      <c r="L305" s="3">
        <f t="shared" si="287"/>
        <v>5.2823025842003955E-2</v>
      </c>
      <c r="M305" s="3">
        <f t="shared" si="287"/>
        <v>5.2823023473576876E-2</v>
      </c>
      <c r="N305" s="3">
        <f t="shared" si="287"/>
        <v>5.2822999789311875E-2</v>
      </c>
      <c r="O305" s="3">
        <f t="shared" si="287"/>
        <v>5.282276294724593E-2</v>
      </c>
      <c r="P305" s="3">
        <f t="shared" si="287"/>
        <v>5.2820394584991728E-2</v>
      </c>
      <c r="Q305" s="3">
        <f t="shared" si="287"/>
        <v>5.2796716802000251E-2</v>
      </c>
      <c r="R305" s="3">
        <f t="shared" si="287"/>
        <v>5.2560521959538288E-2</v>
      </c>
      <c r="S305" s="3">
        <f t="shared" si="287"/>
        <v>5.025591661144601E-2</v>
      </c>
      <c r="T305" s="3">
        <f t="shared" si="287"/>
        <v>3.2096855635954463E-2</v>
      </c>
      <c r="U305" s="3">
        <f t="shared" si="287"/>
        <v>3.6242270159563878E-4</v>
      </c>
      <c r="V305" s="3">
        <f t="shared" si="287"/>
        <v>1.2210809007664114E-23</v>
      </c>
      <c r="W305" s="3">
        <f t="shared" si="287"/>
        <v>2.3016267074832852E-218</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4.2291417760733988E-2</v>
      </c>
      <c r="C306" s="3">
        <f t="shared" si="288"/>
        <v>4.2291417760733988E-2</v>
      </c>
      <c r="D306" s="3">
        <f t="shared" si="288"/>
        <v>4.2291417760733988E-2</v>
      </c>
      <c r="E306" s="3">
        <f t="shared" si="288"/>
        <v>4.2291417760733988E-2</v>
      </c>
      <c r="F306" s="3">
        <f t="shared" si="288"/>
        <v>4.2291417760733967E-2</v>
      </c>
      <c r="G306" s="3">
        <f t="shared" si="288"/>
        <v>4.22914177607338E-2</v>
      </c>
      <c r="H306" s="3">
        <f t="shared" si="288"/>
        <v>4.2291417760732086E-2</v>
      </c>
      <c r="I306" s="3">
        <f t="shared" si="288"/>
        <v>4.2291417760714982E-2</v>
      </c>
      <c r="J306" s="3">
        <f t="shared" si="288"/>
        <v>4.2291417760543924E-2</v>
      </c>
      <c r="K306" s="3">
        <f t="shared" si="288"/>
        <v>4.2291417758833376E-2</v>
      </c>
      <c r="L306" s="3">
        <f t="shared" si="288"/>
        <v>4.2291417741727885E-2</v>
      </c>
      <c r="M306" s="3">
        <f t="shared" si="288"/>
        <v>4.2291417570672958E-2</v>
      </c>
      <c r="N306" s="3">
        <f t="shared" si="288"/>
        <v>4.2291415860123721E-2</v>
      </c>
      <c r="O306" s="3">
        <f t="shared" si="288"/>
        <v>4.2291398754635216E-2</v>
      </c>
      <c r="P306" s="3">
        <f t="shared" si="288"/>
        <v>4.2291227700130669E-2</v>
      </c>
      <c r="Q306" s="3">
        <f t="shared" si="288"/>
        <v>4.2289517193136866E-2</v>
      </c>
      <c r="R306" s="3">
        <f t="shared" si="288"/>
        <v>4.2272415927802426E-2</v>
      </c>
      <c r="S306" s="3">
        <f t="shared" si="288"/>
        <v>4.2101783166059691E-2</v>
      </c>
      <c r="T306" s="3">
        <f t="shared" si="288"/>
        <v>4.043288228843045E-2</v>
      </c>
      <c r="U306" s="3">
        <f t="shared" si="288"/>
        <v>2.6982166252562646E-2</v>
      </c>
      <c r="V306" s="3">
        <f t="shared" si="288"/>
        <v>4.7260459343677878E-4</v>
      </c>
      <c r="W306" s="3">
        <f t="shared" si="288"/>
        <v>1.2844262817457988E-21</v>
      </c>
      <c r="X306" s="3">
        <f t="shared" si="288"/>
        <v>2.8237200267654311E-197</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5.3725706170150357E-2</v>
      </c>
      <c r="C307" s="3">
        <f t="shared" si="289"/>
        <v>5.3725706170150357E-2</v>
      </c>
      <c r="D307" s="3">
        <f t="shared" si="289"/>
        <v>5.3725706170150357E-2</v>
      </c>
      <c r="E307" s="3">
        <f t="shared" si="289"/>
        <v>5.3725706170150357E-2</v>
      </c>
      <c r="F307" s="3">
        <f t="shared" si="289"/>
        <v>5.3725706170150357E-2</v>
      </c>
      <c r="G307" s="3">
        <f t="shared" si="289"/>
        <v>5.3725706170150336E-2</v>
      </c>
      <c r="H307" s="3">
        <f t="shared" si="289"/>
        <v>5.3725706170150135E-2</v>
      </c>
      <c r="I307" s="3">
        <f t="shared" si="289"/>
        <v>5.3725706170148178E-2</v>
      </c>
      <c r="J307" s="3">
        <f t="shared" si="289"/>
        <v>5.3725706170128576E-2</v>
      </c>
      <c r="K307" s="3">
        <f t="shared" si="289"/>
        <v>5.3725706169932552E-2</v>
      </c>
      <c r="L307" s="3">
        <f t="shared" si="289"/>
        <v>5.3725706167972301E-2</v>
      </c>
      <c r="M307" s="3">
        <f t="shared" si="289"/>
        <v>5.3725706148369766E-2</v>
      </c>
      <c r="N307" s="3">
        <f t="shared" si="289"/>
        <v>5.37257059523445E-2</v>
      </c>
      <c r="O307" s="3">
        <f t="shared" si="289"/>
        <v>5.3725703992091811E-2</v>
      </c>
      <c r="P307" s="3">
        <f t="shared" si="289"/>
        <v>5.3725684389568859E-2</v>
      </c>
      <c r="Q307" s="3">
        <f t="shared" si="289"/>
        <v>5.3725488364732725E-2</v>
      </c>
      <c r="R307" s="3">
        <f t="shared" si="289"/>
        <v>5.3723528155708085E-2</v>
      </c>
      <c r="S307" s="3">
        <f t="shared" si="289"/>
        <v>5.3703929998603031E-2</v>
      </c>
      <c r="T307" s="3">
        <f t="shared" si="289"/>
        <v>5.3508341211230277E-2</v>
      </c>
      <c r="U307" s="3">
        <f t="shared" si="289"/>
        <v>5.1591206585168782E-2</v>
      </c>
      <c r="V307" s="3">
        <f t="shared" si="289"/>
        <v>3.5819346413218565E-2</v>
      </c>
      <c r="W307" s="3">
        <f t="shared" si="289"/>
        <v>9.3226070316202944E-4</v>
      </c>
      <c r="X307" s="3">
        <f t="shared" si="289"/>
        <v>1.329641581824817E-19</v>
      </c>
      <c r="Y307" s="3">
        <f t="shared" si="289"/>
        <v>4.6313402688488695E-178</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0</v>
      </c>
      <c r="C308" s="3">
        <f t="shared" si="290"/>
        <v>0</v>
      </c>
      <c r="D308" s="3">
        <f t="shared" si="290"/>
        <v>0</v>
      </c>
      <c r="E308" s="3">
        <f t="shared" si="290"/>
        <v>0</v>
      </c>
      <c r="F308" s="3">
        <f t="shared" si="290"/>
        <v>0</v>
      </c>
      <c r="G308" s="3">
        <f t="shared" si="290"/>
        <v>0</v>
      </c>
      <c r="H308" s="3">
        <f t="shared" si="290"/>
        <v>0</v>
      </c>
      <c r="I308" s="3">
        <f t="shared" si="290"/>
        <v>0</v>
      </c>
      <c r="J308" s="3">
        <f t="shared" si="290"/>
        <v>0</v>
      </c>
      <c r="K308" s="3">
        <f t="shared" si="290"/>
        <v>0</v>
      </c>
      <c r="L308" s="3">
        <f t="shared" si="290"/>
        <v>0</v>
      </c>
      <c r="M308" s="3">
        <f t="shared" si="290"/>
        <v>0</v>
      </c>
      <c r="N308" s="3">
        <f t="shared" si="290"/>
        <v>0</v>
      </c>
      <c r="O308" s="3">
        <f t="shared" si="290"/>
        <v>0</v>
      </c>
      <c r="P308" s="3">
        <f t="shared" si="290"/>
        <v>0</v>
      </c>
      <c r="Q308" s="3">
        <f t="shared" si="290"/>
        <v>0</v>
      </c>
      <c r="R308" s="3">
        <f t="shared" si="290"/>
        <v>0</v>
      </c>
      <c r="S308" s="3">
        <f t="shared" si="290"/>
        <v>0</v>
      </c>
      <c r="T308" s="3">
        <f t="shared" si="290"/>
        <v>0</v>
      </c>
      <c r="U308" s="3">
        <f t="shared" si="290"/>
        <v>0</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7.2666327012941595E-2</v>
      </c>
      <c r="C309" s="3">
        <f t="shared" si="291"/>
        <v>7.2666327012941595E-2</v>
      </c>
      <c r="D309" s="3">
        <f t="shared" si="291"/>
        <v>7.2666327012941595E-2</v>
      </c>
      <c r="E309" s="3">
        <f t="shared" si="291"/>
        <v>7.2666327012941595E-2</v>
      </c>
      <c r="F309" s="3">
        <f t="shared" si="291"/>
        <v>7.2666327012941595E-2</v>
      </c>
      <c r="G309" s="3">
        <f t="shared" si="291"/>
        <v>7.2666327012941595E-2</v>
      </c>
      <c r="H309" s="3">
        <f t="shared" si="291"/>
        <v>7.2666327012941581E-2</v>
      </c>
      <c r="I309" s="3">
        <f t="shared" si="291"/>
        <v>7.2666327012941526E-2</v>
      </c>
      <c r="J309" s="3">
        <f t="shared" si="291"/>
        <v>7.2666327012940859E-2</v>
      </c>
      <c r="K309" s="3">
        <f t="shared" si="291"/>
        <v>7.266632701293424E-2</v>
      </c>
      <c r="L309" s="3">
        <f t="shared" si="291"/>
        <v>7.2666327012868098E-2</v>
      </c>
      <c r="M309" s="3">
        <f t="shared" si="291"/>
        <v>7.26663270122066E-2</v>
      </c>
      <c r="N309" s="3">
        <f t="shared" si="291"/>
        <v>7.2666327005591724E-2</v>
      </c>
      <c r="O309" s="3">
        <f t="shared" si="291"/>
        <v>7.2666326939442819E-2</v>
      </c>
      <c r="P309" s="3">
        <f t="shared" si="291"/>
        <v>7.2666326277953872E-2</v>
      </c>
      <c r="Q309" s="3">
        <f t="shared" si="291"/>
        <v>7.2666319663064693E-2</v>
      </c>
      <c r="R309" s="3">
        <f t="shared" si="291"/>
        <v>7.2666253514206025E-2</v>
      </c>
      <c r="S309" s="3">
        <f t="shared" si="291"/>
        <v>7.266559202893115E-2</v>
      </c>
      <c r="T309" s="3">
        <f t="shared" si="291"/>
        <v>7.2658977507358183E-2</v>
      </c>
      <c r="U309" s="3">
        <f t="shared" si="291"/>
        <v>7.2592865398043563E-2</v>
      </c>
      <c r="V309" s="3">
        <f t="shared" si="291"/>
        <v>7.1935043822775463E-2</v>
      </c>
      <c r="W309" s="3">
        <f t="shared" si="291"/>
        <v>6.5675932035135928E-2</v>
      </c>
      <c r="X309" s="3">
        <f t="shared" si="291"/>
        <v>2.642795552251568E-2</v>
      </c>
      <c r="Y309" s="3">
        <f t="shared" si="291"/>
        <v>2.9419601920579874E-6</v>
      </c>
      <c r="Z309" s="3">
        <f t="shared" si="291"/>
        <v>8.5974377334595062E-46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2.5077417845043044E-2</v>
      </c>
      <c r="C310" s="3">
        <f t="shared" si="292"/>
        <v>2.5077417845043044E-2</v>
      </c>
      <c r="D310" s="3">
        <f t="shared" si="292"/>
        <v>2.5077417845043044E-2</v>
      </c>
      <c r="E310" s="3">
        <f t="shared" si="292"/>
        <v>2.5077417845043044E-2</v>
      </c>
      <c r="F310" s="3">
        <f t="shared" si="292"/>
        <v>2.5077417845043044E-2</v>
      </c>
      <c r="G310" s="3">
        <f t="shared" si="292"/>
        <v>2.5077417845043044E-2</v>
      </c>
      <c r="H310" s="3">
        <f t="shared" si="292"/>
        <v>2.5077417845043044E-2</v>
      </c>
      <c r="I310" s="3">
        <f t="shared" si="292"/>
        <v>2.507741784504304E-2</v>
      </c>
      <c r="J310" s="3">
        <f t="shared" si="292"/>
        <v>2.5077417845043019E-2</v>
      </c>
      <c r="K310" s="3">
        <f t="shared" si="292"/>
        <v>2.507741784504279E-2</v>
      </c>
      <c r="L310" s="3">
        <f t="shared" si="292"/>
        <v>2.5077417845040507E-2</v>
      </c>
      <c r="M310" s="3">
        <f t="shared" si="292"/>
        <v>2.5077417845017679E-2</v>
      </c>
      <c r="N310" s="3">
        <f t="shared" si="292"/>
        <v>2.5077417844789396E-2</v>
      </c>
      <c r="O310" s="3">
        <f t="shared" si="292"/>
        <v>2.5077417842506576E-2</v>
      </c>
      <c r="P310" s="3">
        <f t="shared" si="292"/>
        <v>2.5077417819678347E-2</v>
      </c>
      <c r="Q310" s="3">
        <f t="shared" si="292"/>
        <v>2.5077417591396065E-2</v>
      </c>
      <c r="R310" s="3">
        <f t="shared" si="292"/>
        <v>2.5077415308573377E-2</v>
      </c>
      <c r="S310" s="3">
        <f t="shared" si="292"/>
        <v>2.5077392480357927E-2</v>
      </c>
      <c r="T310" s="3">
        <f t="shared" si="292"/>
        <v>2.5077164199346379E-2</v>
      </c>
      <c r="U310" s="3">
        <f t="shared" si="292"/>
        <v>2.5074881503520829E-2</v>
      </c>
      <c r="V310" s="3">
        <f t="shared" si="292"/>
        <v>2.5052065970411461E-2</v>
      </c>
      <c r="W310" s="3">
        <f t="shared" si="292"/>
        <v>2.4825049315124279E-2</v>
      </c>
      <c r="X310" s="3">
        <f t="shared" si="292"/>
        <v>2.2665006719197883E-2</v>
      </c>
      <c r="Y310" s="3">
        <f t="shared" si="292"/>
        <v>9.1203850624004459E-3</v>
      </c>
      <c r="Z310" s="3">
        <f t="shared" si="292"/>
        <v>1.0152813284010058E-6</v>
      </c>
      <c r="AA310" s="3">
        <f t="shared" si="292"/>
        <v>2.967007516429254E-46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6.9691000347133242E-2</v>
      </c>
      <c r="C311" s="3">
        <f t="shared" si="293"/>
        <v>6.9691000347133242E-2</v>
      </c>
      <c r="D311" s="3">
        <f t="shared" si="293"/>
        <v>6.9691000347133242E-2</v>
      </c>
      <c r="E311" s="3">
        <f t="shared" si="293"/>
        <v>6.9691000347133242E-2</v>
      </c>
      <c r="F311" s="3">
        <f t="shared" si="293"/>
        <v>6.9691000347133242E-2</v>
      </c>
      <c r="G311" s="3">
        <f t="shared" si="293"/>
        <v>6.9691000347133242E-2</v>
      </c>
      <c r="H311" s="3">
        <f t="shared" si="293"/>
        <v>6.9691000347133242E-2</v>
      </c>
      <c r="I311" s="3">
        <f t="shared" si="293"/>
        <v>6.9691000347133242E-2</v>
      </c>
      <c r="J311" s="3">
        <f t="shared" si="293"/>
        <v>6.9691000347133228E-2</v>
      </c>
      <c r="K311" s="3">
        <f t="shared" si="293"/>
        <v>6.9691000347133172E-2</v>
      </c>
      <c r="L311" s="3">
        <f t="shared" si="293"/>
        <v>6.9691000347132534E-2</v>
      </c>
      <c r="M311" s="3">
        <f t="shared" si="293"/>
        <v>6.9691000347126192E-2</v>
      </c>
      <c r="N311" s="3">
        <f t="shared" si="293"/>
        <v>6.9691000347062756E-2</v>
      </c>
      <c r="O311" s="3">
        <f t="shared" si="293"/>
        <v>6.9691000346428347E-2</v>
      </c>
      <c r="P311" s="3">
        <f t="shared" si="293"/>
        <v>6.9691000340084311E-2</v>
      </c>
      <c r="Q311" s="3">
        <f t="shared" si="293"/>
        <v>6.9691000276643877E-2</v>
      </c>
      <c r="R311" s="3">
        <f t="shared" si="293"/>
        <v>6.9690999642239626E-2</v>
      </c>
      <c r="S311" s="3">
        <f t="shared" si="293"/>
        <v>6.9690993298197446E-2</v>
      </c>
      <c r="T311" s="3">
        <f t="shared" si="293"/>
        <v>6.9690929857807352E-2</v>
      </c>
      <c r="U311" s="3">
        <f t="shared" si="293"/>
        <v>6.9690295457082621E-2</v>
      </c>
      <c r="V311" s="3">
        <f t="shared" si="293"/>
        <v>6.9683951767451027E-2</v>
      </c>
      <c r="W311" s="3">
        <f t="shared" si="293"/>
        <v>6.962054662200623E-2</v>
      </c>
      <c r="X311" s="3">
        <f t="shared" si="293"/>
        <v>6.8989659586499441E-2</v>
      </c>
      <c r="Y311" s="3">
        <f t="shared" si="293"/>
        <v>6.2986827467470696E-2</v>
      </c>
      <c r="Z311" s="3">
        <f t="shared" si="293"/>
        <v>2.5345861462980592E-2</v>
      </c>
      <c r="AA311" s="3">
        <f t="shared" si="293"/>
        <v>2.8215014738456596E-6</v>
      </c>
      <c r="AB311" s="3">
        <f t="shared" si="293"/>
        <v>8.2454151832976799E-46</v>
      </c>
      <c r="AC311" s="3">
        <f t="shared" si="293"/>
        <v>0</v>
      </c>
      <c r="AD311" s="3">
        <f t="shared" si="293"/>
        <v>0</v>
      </c>
      <c r="AE311" s="3">
        <f t="shared" si="293"/>
        <v>0</v>
      </c>
      <c r="AF311" s="3">
        <f t="shared" si="293"/>
        <v>0</v>
      </c>
      <c r="AG311" s="3"/>
      <c r="AH311" s="3"/>
    </row>
    <row r="312" spans="1:34" x14ac:dyDescent="0.25">
      <c r="B312" s="3">
        <f t="shared" ref="B312:AF312" si="294">$C42*EXP(-B$285/$A42/EXP(-$F$126))</f>
        <v>3.3680791941505174E-2</v>
      </c>
      <c r="C312" s="3">
        <f t="shared" si="294"/>
        <v>3.3680791941505174E-2</v>
      </c>
      <c r="D312" s="3">
        <f t="shared" si="294"/>
        <v>3.3680791941505174E-2</v>
      </c>
      <c r="E312" s="3">
        <f t="shared" si="294"/>
        <v>3.3680791941505174E-2</v>
      </c>
      <c r="F312" s="3">
        <f t="shared" si="294"/>
        <v>3.3680791941505174E-2</v>
      </c>
      <c r="G312" s="3">
        <f t="shared" si="294"/>
        <v>3.3680791941505174E-2</v>
      </c>
      <c r="H312" s="3">
        <f t="shared" si="294"/>
        <v>3.3680791941505174E-2</v>
      </c>
      <c r="I312" s="3">
        <f t="shared" si="294"/>
        <v>3.3680791941505174E-2</v>
      </c>
      <c r="J312" s="3">
        <f t="shared" si="294"/>
        <v>3.3680791941505174E-2</v>
      </c>
      <c r="K312" s="3">
        <f t="shared" si="294"/>
        <v>3.3680791941505167E-2</v>
      </c>
      <c r="L312" s="3">
        <f t="shared" si="294"/>
        <v>3.3680791941505139E-2</v>
      </c>
      <c r="M312" s="3">
        <f t="shared" si="294"/>
        <v>3.3680791941504834E-2</v>
      </c>
      <c r="N312" s="3">
        <f t="shared" si="294"/>
        <v>3.3680791941501767E-2</v>
      </c>
      <c r="O312" s="3">
        <f t="shared" si="294"/>
        <v>3.3680791941471111E-2</v>
      </c>
      <c r="P312" s="3">
        <f t="shared" si="294"/>
        <v>3.3680791941164509E-2</v>
      </c>
      <c r="Q312" s="3">
        <f t="shared" si="294"/>
        <v>3.368079193809851E-2</v>
      </c>
      <c r="R312" s="3">
        <f t="shared" si="294"/>
        <v>3.3680791907438543E-2</v>
      </c>
      <c r="S312" s="3">
        <f t="shared" si="294"/>
        <v>3.368079160083888E-2</v>
      </c>
      <c r="T312" s="3">
        <f t="shared" si="294"/>
        <v>3.3680788534842347E-2</v>
      </c>
      <c r="U312" s="3">
        <f t="shared" si="294"/>
        <v>3.3680757874892442E-2</v>
      </c>
      <c r="V312" s="3">
        <f t="shared" si="294"/>
        <v>3.3680451276928418E-2</v>
      </c>
      <c r="W312" s="3">
        <f t="shared" si="294"/>
        <v>3.3677385450787904E-2</v>
      </c>
      <c r="X312" s="3">
        <f t="shared" si="294"/>
        <v>3.3646742534183031E-2</v>
      </c>
      <c r="Y312" s="3">
        <f t="shared" si="294"/>
        <v>3.3341842692371955E-2</v>
      </c>
      <c r="Z312" s="3">
        <f t="shared" si="294"/>
        <v>3.0440748739727769E-2</v>
      </c>
      <c r="AA312" s="3">
        <f t="shared" si="294"/>
        <v>1.2249338971469926E-2</v>
      </c>
      <c r="AB312" s="3">
        <f t="shared" si="294"/>
        <v>1.3635964992595341E-6</v>
      </c>
      <c r="AC312" s="3">
        <f t="shared" si="294"/>
        <v>3.9849063993440103E-46</v>
      </c>
      <c r="AD312" s="3">
        <f t="shared" si="294"/>
        <v>0</v>
      </c>
      <c r="AE312" s="3">
        <f t="shared" si="294"/>
        <v>0</v>
      </c>
      <c r="AF312" s="3">
        <f t="shared" si="294"/>
        <v>0</v>
      </c>
      <c r="AG312" s="3"/>
      <c r="AH312" s="3"/>
    </row>
    <row r="313" spans="1:34" x14ac:dyDescent="0.25">
      <c r="B313" s="3">
        <f t="shared" ref="B313:AF313" si="295">$C43*EXP(-B$285/$A43/EXP(-$F$126))</f>
        <v>4.444785280126981E-2</v>
      </c>
      <c r="C313" s="3">
        <f t="shared" si="295"/>
        <v>4.444785280126981E-2</v>
      </c>
      <c r="D313" s="3">
        <f t="shared" si="295"/>
        <v>4.444785280126981E-2</v>
      </c>
      <c r="E313" s="3">
        <f t="shared" si="295"/>
        <v>4.444785280126981E-2</v>
      </c>
      <c r="F313" s="3">
        <f t="shared" si="295"/>
        <v>4.444785280126981E-2</v>
      </c>
      <c r="G313" s="3">
        <f t="shared" si="295"/>
        <v>4.444785280126981E-2</v>
      </c>
      <c r="H313" s="3">
        <f t="shared" si="295"/>
        <v>4.444785280126981E-2</v>
      </c>
      <c r="I313" s="3">
        <f t="shared" si="295"/>
        <v>4.444785280126981E-2</v>
      </c>
      <c r="J313" s="3">
        <f t="shared" si="295"/>
        <v>4.444785280126981E-2</v>
      </c>
      <c r="K313" s="3">
        <f t="shared" si="295"/>
        <v>4.444785280126981E-2</v>
      </c>
      <c r="L313" s="3">
        <f t="shared" si="295"/>
        <v>4.4447852801269803E-2</v>
      </c>
      <c r="M313" s="3">
        <f t="shared" si="295"/>
        <v>4.4447852801269769E-2</v>
      </c>
      <c r="N313" s="3">
        <f t="shared" si="295"/>
        <v>4.4447852801269359E-2</v>
      </c>
      <c r="O313" s="3">
        <f t="shared" si="295"/>
        <v>4.4447852801265314E-2</v>
      </c>
      <c r="P313" s="3">
        <f t="shared" si="295"/>
        <v>4.4447852801224853E-2</v>
      </c>
      <c r="Q313" s="3">
        <f t="shared" si="295"/>
        <v>4.4447852800820239E-2</v>
      </c>
      <c r="R313" s="3">
        <f t="shared" si="295"/>
        <v>4.4447852796774108E-2</v>
      </c>
      <c r="S313" s="3">
        <f t="shared" si="295"/>
        <v>4.4447852756312779E-2</v>
      </c>
      <c r="T313" s="3">
        <f t="shared" si="295"/>
        <v>4.4447852351699464E-2</v>
      </c>
      <c r="U313" s="3">
        <f t="shared" si="295"/>
        <v>4.4447848305566501E-2</v>
      </c>
      <c r="V313" s="3">
        <f t="shared" si="295"/>
        <v>4.4447807844257198E-2</v>
      </c>
      <c r="W313" s="3">
        <f t="shared" si="295"/>
        <v>4.4447403233189929E-2</v>
      </c>
      <c r="X313" s="3">
        <f t="shared" si="295"/>
        <v>4.4443357325087626E-2</v>
      </c>
      <c r="Y313" s="3">
        <f t="shared" si="295"/>
        <v>4.4402918494283995E-2</v>
      </c>
      <c r="Z313" s="3">
        <f t="shared" si="295"/>
        <v>4.4000548404189738E-2</v>
      </c>
      <c r="AA313" s="3">
        <f t="shared" si="295"/>
        <v>4.0172034003645621E-2</v>
      </c>
      <c r="AB313" s="3">
        <f t="shared" si="295"/>
        <v>1.6165202304694429E-2</v>
      </c>
      <c r="AC313" s="3">
        <f t="shared" si="295"/>
        <v>1.7995104326726236E-6</v>
      </c>
      <c r="AD313" s="3">
        <f t="shared" si="295"/>
        <v>5.2587995369138946E-46</v>
      </c>
      <c r="AE313" s="3">
        <f t="shared" si="295"/>
        <v>0</v>
      </c>
      <c r="AF313" s="3">
        <f t="shared" si="295"/>
        <v>0</v>
      </c>
      <c r="AG313" s="3"/>
      <c r="AH313" s="3"/>
    </row>
    <row r="314" spans="1:34" x14ac:dyDescent="0.25">
      <c r="B314" s="3">
        <f t="shared" ref="B314:AF314" si="296">$C44*EXP(-B$285/$A44/EXP(-$F$126))</f>
        <v>1.2310076575543269E-2</v>
      </c>
      <c r="C314" s="3">
        <f t="shared" si="296"/>
        <v>1.2310076575543269E-2</v>
      </c>
      <c r="D314" s="3">
        <f t="shared" si="296"/>
        <v>1.2310076575543269E-2</v>
      </c>
      <c r="E314" s="3">
        <f t="shared" si="296"/>
        <v>1.2310076575543269E-2</v>
      </c>
      <c r="F314" s="3">
        <f t="shared" si="296"/>
        <v>1.2310076575543269E-2</v>
      </c>
      <c r="G314" s="3">
        <f t="shared" si="296"/>
        <v>1.2310076575543269E-2</v>
      </c>
      <c r="H314" s="3">
        <f t="shared" si="296"/>
        <v>1.2310076575543269E-2</v>
      </c>
      <c r="I314" s="3">
        <f t="shared" si="296"/>
        <v>1.2310076575543269E-2</v>
      </c>
      <c r="J314" s="3">
        <f t="shared" si="296"/>
        <v>1.2310076575543269E-2</v>
      </c>
      <c r="K314" s="3">
        <f t="shared" si="296"/>
        <v>1.2310076575543269E-2</v>
      </c>
      <c r="L314" s="3">
        <f t="shared" si="296"/>
        <v>1.2310076575543269E-2</v>
      </c>
      <c r="M314" s="3">
        <f t="shared" si="296"/>
        <v>1.2310076575543267E-2</v>
      </c>
      <c r="N314" s="3">
        <f t="shared" si="296"/>
        <v>1.2310076575543257E-2</v>
      </c>
      <c r="O314" s="3">
        <f t="shared" si="296"/>
        <v>1.2310076575543144E-2</v>
      </c>
      <c r="P314" s="3">
        <f t="shared" si="296"/>
        <v>1.2310076575542023E-2</v>
      </c>
      <c r="Q314" s="3">
        <f t="shared" si="296"/>
        <v>1.2310076575530819E-2</v>
      </c>
      <c r="R314" s="3">
        <f t="shared" si="296"/>
        <v>1.2310076575418757E-2</v>
      </c>
      <c r="S314" s="3">
        <f t="shared" si="296"/>
        <v>1.2310076574298159E-2</v>
      </c>
      <c r="T314" s="3">
        <f t="shared" si="296"/>
        <v>1.2310076563092172E-2</v>
      </c>
      <c r="U314" s="3">
        <f t="shared" si="296"/>
        <v>1.2310076451032296E-2</v>
      </c>
      <c r="V314" s="3">
        <f t="shared" si="296"/>
        <v>1.2310075330433583E-2</v>
      </c>
      <c r="W314" s="3">
        <f t="shared" si="296"/>
        <v>1.2310064124452092E-2</v>
      </c>
      <c r="X314" s="3">
        <f t="shared" si="296"/>
        <v>1.2309952065198212E-2</v>
      </c>
      <c r="Y314" s="3">
        <f t="shared" si="296"/>
        <v>1.2308831528762412E-2</v>
      </c>
      <c r="Z314" s="3">
        <f t="shared" si="296"/>
        <v>1.2297631772813709E-2</v>
      </c>
      <c r="AA314" s="3">
        <f t="shared" si="296"/>
        <v>1.2186193169853183E-2</v>
      </c>
      <c r="AB314" s="3">
        <f t="shared" si="296"/>
        <v>1.1125865111893053E-2</v>
      </c>
      <c r="AC314" s="3">
        <f t="shared" si="296"/>
        <v>4.4770414246928921E-3</v>
      </c>
      <c r="AD314" s="3">
        <f t="shared" si="296"/>
        <v>4.9838428244741086E-7</v>
      </c>
      <c r="AE314" s="3">
        <f t="shared" si="296"/>
        <v>1.4564533698462957E-46</v>
      </c>
      <c r="AF314" s="3">
        <f t="shared" si="296"/>
        <v>0</v>
      </c>
      <c r="AG314" s="3"/>
      <c r="AH314" s="3"/>
    </row>
    <row r="315" spans="1:34" x14ac:dyDescent="0.25">
      <c r="B315" s="3">
        <f t="shared" ref="B315:AF315" si="297">$C45*EXP(-B$285/$A45/EXP(-$F$126))</f>
        <v>1.4823378253451746E-2</v>
      </c>
      <c r="C315" s="3">
        <f t="shared" si="297"/>
        <v>1.4823378253451746E-2</v>
      </c>
      <c r="D315" s="3">
        <f t="shared" si="297"/>
        <v>1.4823378253451746E-2</v>
      </c>
      <c r="E315" s="3">
        <f t="shared" si="297"/>
        <v>1.4823378253451746E-2</v>
      </c>
      <c r="F315" s="3">
        <f t="shared" si="297"/>
        <v>1.4823378253451746E-2</v>
      </c>
      <c r="G315" s="3">
        <f t="shared" si="297"/>
        <v>1.4823378253451746E-2</v>
      </c>
      <c r="H315" s="3">
        <f t="shared" si="297"/>
        <v>1.4823378253451746E-2</v>
      </c>
      <c r="I315" s="3">
        <f t="shared" si="297"/>
        <v>1.4823378253451746E-2</v>
      </c>
      <c r="J315" s="3">
        <f t="shared" si="297"/>
        <v>1.4823378253451746E-2</v>
      </c>
      <c r="K315" s="3">
        <f t="shared" si="297"/>
        <v>1.4823378253451746E-2</v>
      </c>
      <c r="L315" s="3">
        <f t="shared" si="297"/>
        <v>1.4823378253451746E-2</v>
      </c>
      <c r="M315" s="3">
        <f t="shared" si="297"/>
        <v>1.4823378253451746E-2</v>
      </c>
      <c r="N315" s="3">
        <f t="shared" si="297"/>
        <v>1.4823378253451744E-2</v>
      </c>
      <c r="O315" s="3">
        <f t="shared" si="297"/>
        <v>1.482337825345173E-2</v>
      </c>
      <c r="P315" s="3">
        <f t="shared" si="297"/>
        <v>1.4823378253451596E-2</v>
      </c>
      <c r="Q315" s="3">
        <f t="shared" si="297"/>
        <v>1.4823378253450247E-2</v>
      </c>
      <c r="R315" s="3">
        <f t="shared" si="297"/>
        <v>1.4823378253436752E-2</v>
      </c>
      <c r="S315" s="3">
        <f t="shared" si="297"/>
        <v>1.4823378253301813E-2</v>
      </c>
      <c r="T315" s="3">
        <f t="shared" si="297"/>
        <v>1.4823378251952428E-2</v>
      </c>
      <c r="U315" s="3">
        <f t="shared" si="297"/>
        <v>1.4823378238458555E-2</v>
      </c>
      <c r="V315" s="3">
        <f t="shared" si="297"/>
        <v>1.4823378103519838E-2</v>
      </c>
      <c r="W315" s="3">
        <f t="shared" si="297"/>
        <v>1.4823376754132735E-2</v>
      </c>
      <c r="X315" s="3">
        <f t="shared" si="297"/>
        <v>1.4823363260268474E-2</v>
      </c>
      <c r="Y315" s="3">
        <f t="shared" si="297"/>
        <v>1.4823228322301447E-2</v>
      </c>
      <c r="Z315" s="3">
        <f t="shared" si="297"/>
        <v>1.4821879010188502E-2</v>
      </c>
      <c r="AA315" s="3">
        <f t="shared" si="297"/>
        <v>1.4808392642516037E-2</v>
      </c>
      <c r="AB315" s="3">
        <f t="shared" si="297"/>
        <v>1.4674202042353408E-2</v>
      </c>
      <c r="AC315" s="3">
        <f t="shared" si="297"/>
        <v>1.3397390823557453E-2</v>
      </c>
      <c r="AD315" s="3">
        <f t="shared" si="297"/>
        <v>5.3911020039017444E-3</v>
      </c>
      <c r="AE315" s="3">
        <f t="shared" si="297"/>
        <v>6.0013751246442319E-7</v>
      </c>
      <c r="AF315" s="3">
        <f t="shared" si="297"/>
        <v>1.7538119342521882E-46</v>
      </c>
      <c r="AG315" s="3"/>
      <c r="AH315" s="3"/>
    </row>
    <row r="316" spans="1:34" x14ac:dyDescent="0.25">
      <c r="B316" s="3">
        <f t="shared" ref="B316:AF316" si="298">$C46*EXP(-B$285/$A46/EXP(-$F$126))</f>
        <v>7.924341887142665E-4</v>
      </c>
      <c r="C316" s="3">
        <f t="shared" si="298"/>
        <v>7.924341887142665E-4</v>
      </c>
      <c r="D316" s="3">
        <f t="shared" si="298"/>
        <v>7.924341887142665E-4</v>
      </c>
      <c r="E316" s="3">
        <f t="shared" si="298"/>
        <v>7.924341887142665E-4</v>
      </c>
      <c r="F316" s="3">
        <f t="shared" si="298"/>
        <v>7.924341887142665E-4</v>
      </c>
      <c r="G316" s="3">
        <f t="shared" si="298"/>
        <v>7.924341887142665E-4</v>
      </c>
      <c r="H316" s="3">
        <f t="shared" si="298"/>
        <v>7.924341887142665E-4</v>
      </c>
      <c r="I316" s="3">
        <f t="shared" si="298"/>
        <v>7.924341887142665E-4</v>
      </c>
      <c r="J316" s="3">
        <f t="shared" si="298"/>
        <v>7.924341887142665E-4</v>
      </c>
      <c r="K316" s="3">
        <f t="shared" si="298"/>
        <v>7.924341887142665E-4</v>
      </c>
      <c r="L316" s="3">
        <f t="shared" si="298"/>
        <v>7.924341887142665E-4</v>
      </c>
      <c r="M316" s="3">
        <f t="shared" si="298"/>
        <v>7.924341887142665E-4</v>
      </c>
      <c r="N316" s="3">
        <f t="shared" si="298"/>
        <v>7.924341887142665E-4</v>
      </c>
      <c r="O316" s="3">
        <f t="shared" si="298"/>
        <v>7.9243418871426639E-4</v>
      </c>
      <c r="P316" s="3">
        <f t="shared" si="298"/>
        <v>7.9243418871426574E-4</v>
      </c>
      <c r="Q316" s="3">
        <f t="shared" si="298"/>
        <v>7.9243418871425848E-4</v>
      </c>
      <c r="R316" s="3">
        <f t="shared" si="298"/>
        <v>7.9243418871418638E-4</v>
      </c>
      <c r="S316" s="3">
        <f t="shared" si="298"/>
        <v>7.9243418871346506E-4</v>
      </c>
      <c r="T316" s="3">
        <f t="shared" si="298"/>
        <v>7.9243418870625132E-4</v>
      </c>
      <c r="U316" s="3">
        <f t="shared" si="298"/>
        <v>7.9243418863411534E-4</v>
      </c>
      <c r="V316" s="3">
        <f t="shared" si="298"/>
        <v>7.9243418791275443E-4</v>
      </c>
      <c r="W316" s="3">
        <f t="shared" si="298"/>
        <v>7.924341806991456E-4</v>
      </c>
      <c r="X316" s="3">
        <f t="shared" si="298"/>
        <v>7.9243410856306051E-4</v>
      </c>
      <c r="Y316" s="3">
        <f t="shared" si="298"/>
        <v>7.9243338720257203E-4</v>
      </c>
      <c r="Z316" s="3">
        <f t="shared" si="298"/>
        <v>7.9242617363380248E-4</v>
      </c>
      <c r="AA316" s="3">
        <f t="shared" si="298"/>
        <v>7.9235404155761433E-4</v>
      </c>
      <c r="AB316" s="3">
        <f t="shared" si="298"/>
        <v>7.9163308182478526E-4</v>
      </c>
      <c r="AC316" s="3">
        <f t="shared" si="298"/>
        <v>7.8445946609733178E-4</v>
      </c>
      <c r="AD316" s="3">
        <f t="shared" si="298"/>
        <v>7.162031722209853E-4</v>
      </c>
      <c r="AE316" s="3">
        <f t="shared" si="298"/>
        <v>2.881997254399781E-4</v>
      </c>
      <c r="AF316" s="3">
        <f t="shared" si="298"/>
        <v>3.2082395434792533E-8</v>
      </c>
      <c r="AG316" s="3"/>
      <c r="AH316" s="3"/>
    </row>
    <row r="317" spans="1:34" x14ac:dyDescent="0.25">
      <c r="B317" s="3">
        <f t="shared" ref="B317:AF317" si="299">$C47*EXP(-B$285/$A47/EXP(-$F$126))</f>
        <v>4.201469826442498E-3</v>
      </c>
      <c r="C317" s="3">
        <f t="shared" si="299"/>
        <v>4.201469826442498E-3</v>
      </c>
      <c r="D317" s="3">
        <f t="shared" si="299"/>
        <v>4.201469826442498E-3</v>
      </c>
      <c r="E317" s="3">
        <f t="shared" si="299"/>
        <v>4.201469826442498E-3</v>
      </c>
      <c r="F317" s="3">
        <f t="shared" si="299"/>
        <v>4.201469826442498E-3</v>
      </c>
      <c r="G317" s="3">
        <f t="shared" si="299"/>
        <v>4.201469826442498E-3</v>
      </c>
      <c r="H317" s="3">
        <f t="shared" si="299"/>
        <v>4.201469826442498E-3</v>
      </c>
      <c r="I317" s="3">
        <f t="shared" si="299"/>
        <v>4.201469826442498E-3</v>
      </c>
      <c r="J317" s="3">
        <f t="shared" si="299"/>
        <v>4.201469826442498E-3</v>
      </c>
      <c r="K317" s="3">
        <f t="shared" si="299"/>
        <v>4.201469826442498E-3</v>
      </c>
      <c r="L317" s="3">
        <f t="shared" si="299"/>
        <v>4.201469826442498E-3</v>
      </c>
      <c r="M317" s="3">
        <f t="shared" si="299"/>
        <v>4.201469826442498E-3</v>
      </c>
      <c r="N317" s="3">
        <f t="shared" si="299"/>
        <v>4.201469826442498E-3</v>
      </c>
      <c r="O317" s="3">
        <f t="shared" si="299"/>
        <v>4.201469826442498E-3</v>
      </c>
      <c r="P317" s="3">
        <f t="shared" si="299"/>
        <v>4.2014698264424971E-3</v>
      </c>
      <c r="Q317" s="3">
        <f t="shared" si="299"/>
        <v>4.2014698264424936E-3</v>
      </c>
      <c r="R317" s="3">
        <f t="shared" si="299"/>
        <v>4.2014698264424555E-3</v>
      </c>
      <c r="S317" s="3">
        <f t="shared" si="299"/>
        <v>4.201469826442073E-3</v>
      </c>
      <c r="T317" s="3">
        <f t="shared" si="299"/>
        <v>4.2014698264382488E-3</v>
      </c>
      <c r="U317" s="3">
        <f t="shared" si="299"/>
        <v>4.2014698264000016E-3</v>
      </c>
      <c r="V317" s="3">
        <f t="shared" si="299"/>
        <v>4.2014698260175384E-3</v>
      </c>
      <c r="W317" s="3">
        <f t="shared" si="299"/>
        <v>4.2014698221928973E-3</v>
      </c>
      <c r="X317" s="3">
        <f t="shared" si="299"/>
        <v>4.2014697839464913E-3</v>
      </c>
      <c r="Y317" s="3">
        <f t="shared" si="299"/>
        <v>4.2014694014824465E-3</v>
      </c>
      <c r="Z317" s="3">
        <f t="shared" si="299"/>
        <v>4.2014655768439222E-3</v>
      </c>
      <c r="AA317" s="3">
        <f t="shared" si="299"/>
        <v>4.2014273306501589E-3</v>
      </c>
      <c r="AB317" s="3">
        <f t="shared" si="299"/>
        <v>4.2010448878606636E-3</v>
      </c>
      <c r="AC317" s="3">
        <f t="shared" si="299"/>
        <v>4.197222374134349E-3</v>
      </c>
      <c r="AD317" s="3">
        <f t="shared" si="299"/>
        <v>4.1591880105813434E-3</v>
      </c>
      <c r="AE317" s="3">
        <f t="shared" si="299"/>
        <v>3.7972945394634961E-3</v>
      </c>
      <c r="AF317" s="3">
        <f t="shared" si="299"/>
        <v>1.5280290371995668E-3</v>
      </c>
      <c r="AG317" s="3"/>
      <c r="AH317" s="3"/>
    </row>
    <row r="318" spans="1:34" x14ac:dyDescent="0.25">
      <c r="B318" s="3">
        <f t="shared" ref="B318:AF318" si="300">$C48*EXP(-B$285/$A48/EXP(-$F$126))</f>
        <v>6.8476297618842216E-3</v>
      </c>
      <c r="C318" s="3">
        <f t="shared" si="300"/>
        <v>6.8476297618842216E-3</v>
      </c>
      <c r="D318" s="3">
        <f t="shared" si="300"/>
        <v>6.8476297618842216E-3</v>
      </c>
      <c r="E318" s="3">
        <f t="shared" si="300"/>
        <v>6.8476297618842216E-3</v>
      </c>
      <c r="F318" s="3">
        <f t="shared" si="300"/>
        <v>6.8476297618842216E-3</v>
      </c>
      <c r="G318" s="3">
        <f t="shared" si="300"/>
        <v>6.8476297618842216E-3</v>
      </c>
      <c r="H318" s="3">
        <f t="shared" si="300"/>
        <v>6.8476297618842216E-3</v>
      </c>
      <c r="I318" s="3">
        <f t="shared" si="300"/>
        <v>6.8476297618842216E-3</v>
      </c>
      <c r="J318" s="3">
        <f t="shared" si="300"/>
        <v>6.8476297618842216E-3</v>
      </c>
      <c r="K318" s="3">
        <f t="shared" si="300"/>
        <v>6.8476297618842216E-3</v>
      </c>
      <c r="L318" s="3">
        <f t="shared" si="300"/>
        <v>6.8476297618842216E-3</v>
      </c>
      <c r="M318" s="3">
        <f t="shared" si="300"/>
        <v>6.8476297618842216E-3</v>
      </c>
      <c r="N318" s="3">
        <f t="shared" si="300"/>
        <v>6.8476297618842216E-3</v>
      </c>
      <c r="O318" s="3">
        <f t="shared" si="300"/>
        <v>6.8476297618842216E-3</v>
      </c>
      <c r="P318" s="3">
        <f t="shared" si="300"/>
        <v>6.8476297618842216E-3</v>
      </c>
      <c r="Q318" s="3">
        <f t="shared" si="300"/>
        <v>6.8476297618842207E-3</v>
      </c>
      <c r="R318" s="3">
        <f t="shared" si="300"/>
        <v>6.8476297618842146E-3</v>
      </c>
      <c r="S318" s="3">
        <f t="shared" si="300"/>
        <v>6.8476297618841522E-3</v>
      </c>
      <c r="T318" s="3">
        <f t="shared" si="300"/>
        <v>6.8476297618835294E-3</v>
      </c>
      <c r="U318" s="3">
        <f t="shared" si="300"/>
        <v>6.8476297618772957E-3</v>
      </c>
      <c r="V318" s="3">
        <f t="shared" si="300"/>
        <v>6.847629761814961E-3</v>
      </c>
      <c r="W318" s="3">
        <f t="shared" si="300"/>
        <v>6.8476297611916141E-3</v>
      </c>
      <c r="X318" s="3">
        <f t="shared" si="300"/>
        <v>6.8476297549581473E-3</v>
      </c>
      <c r="Y318" s="3">
        <f t="shared" si="300"/>
        <v>6.8476296926234786E-3</v>
      </c>
      <c r="Z318" s="3">
        <f t="shared" si="300"/>
        <v>6.8476290692768213E-3</v>
      </c>
      <c r="AA318" s="3">
        <f t="shared" si="300"/>
        <v>6.8476228358133728E-3</v>
      </c>
      <c r="AB318" s="3">
        <f t="shared" si="300"/>
        <v>6.8475605014909789E-3</v>
      </c>
      <c r="AC318" s="3">
        <f t="shared" si="300"/>
        <v>6.8469371894750077E-3</v>
      </c>
      <c r="AD318" s="3">
        <f t="shared" si="300"/>
        <v>6.8407071890611553E-3</v>
      </c>
      <c r="AE318" s="3">
        <f t="shared" si="300"/>
        <v>6.7787181112863399E-3</v>
      </c>
      <c r="AF318" s="3">
        <f t="shared" si="300"/>
        <v>6.1888977375062311E-3</v>
      </c>
      <c r="AG318" s="3"/>
      <c r="AH318" s="3"/>
    </row>
    <row r="319" spans="1:34" x14ac:dyDescent="0.25">
      <c r="A319" s="79">
        <f>AVERAGE(B319:AF319)</f>
        <v>1.4363699238009011E-3</v>
      </c>
      <c r="B319" s="80">
        <f>IF($A$64&lt;=B285,IF($B$64&gt;=B285,ABS((B287-B286)/B286),0),0)</f>
        <v>1.0313724906608829E-2</v>
      </c>
      <c r="C319" s="80">
        <f t="shared" ref="C319:AF319" si="301">IF($A$64&lt;=C285,IF($B$64&gt;=C285,ABS((C287-C286)/C286),0),0)</f>
        <v>1.3667437964522113E-2</v>
      </c>
      <c r="D319" s="80">
        <f t="shared" si="301"/>
        <v>3.8641159512363458E-3</v>
      </c>
      <c r="E319" s="80">
        <f t="shared" si="301"/>
        <v>5.3803390971803239E-4</v>
      </c>
      <c r="F319" s="80">
        <f t="shared" si="301"/>
        <v>2.1707018506620523E-4</v>
      </c>
      <c r="G319" s="80">
        <f t="shared" si="301"/>
        <v>1.2487582398261756E-4</v>
      </c>
      <c r="H319" s="80">
        <f t="shared" si="301"/>
        <v>1.6945684357817456E-4</v>
      </c>
      <c r="I319" s="80">
        <f t="shared" si="301"/>
        <v>1.7230422174175622E-4</v>
      </c>
      <c r="J319" s="80">
        <f t="shared" si="301"/>
        <v>2.0954056710839004E-4</v>
      </c>
      <c r="K319" s="80">
        <f t="shared" si="301"/>
        <v>1.4880704524068383E-4</v>
      </c>
      <c r="L319" s="80">
        <f t="shared" si="301"/>
        <v>3.0849734399639894E-4</v>
      </c>
      <c r="M319" s="80">
        <f t="shared" si="301"/>
        <v>1.8275219532825477E-4</v>
      </c>
      <c r="N319" s="80">
        <f t="shared" si="301"/>
        <v>4.3019341351524835E-4</v>
      </c>
      <c r="O319" s="80">
        <f t="shared" si="301"/>
        <v>7.2620971068974302E-5</v>
      </c>
      <c r="P319" s="80">
        <f t="shared" si="301"/>
        <v>3.9439488383639958E-4</v>
      </c>
      <c r="Q319" s="80">
        <f t="shared" si="301"/>
        <v>1.3029337216994243E-4</v>
      </c>
      <c r="R319" s="80">
        <f t="shared" si="301"/>
        <v>4.7335734973839047E-4</v>
      </c>
      <c r="S319" s="80">
        <f t="shared" si="301"/>
        <v>4.0082257373403435E-4</v>
      </c>
      <c r="T319" s="80">
        <f t="shared" si="301"/>
        <v>5.2104079302374049E-4</v>
      </c>
      <c r="U319" s="80">
        <f t="shared" si="301"/>
        <v>4.4433975158316276E-4</v>
      </c>
      <c r="V319" s="80">
        <f t="shared" si="301"/>
        <v>5.6279160055400592E-4</v>
      </c>
      <c r="W319" s="80">
        <f t="shared" si="301"/>
        <v>3.9223878689847362E-4</v>
      </c>
      <c r="X319" s="80">
        <f t="shared" si="301"/>
        <v>1.255958480140722E-3</v>
      </c>
      <c r="Y319" s="80">
        <f t="shared" si="301"/>
        <v>8.1458589807437371E-4</v>
      </c>
      <c r="Z319" s="80">
        <f t="shared" si="301"/>
        <v>1.8961812991409273E-3</v>
      </c>
      <c r="AA319" s="80">
        <f t="shared" si="301"/>
        <v>1.5438104032478789E-3</v>
      </c>
      <c r="AB319" s="80">
        <f t="shared" si="301"/>
        <v>2.2158823470763661E-3</v>
      </c>
      <c r="AC319" s="80">
        <f t="shared" si="301"/>
        <v>1.0927848460843643E-3</v>
      </c>
      <c r="AD319" s="80">
        <f t="shared" si="301"/>
        <v>1.1841696951852231E-3</v>
      </c>
      <c r="AE319" s="80">
        <f t="shared" si="301"/>
        <v>2.1923092508161981E-4</v>
      </c>
      <c r="AF319" s="80">
        <f t="shared" si="301"/>
        <v>5.6615328954629993E-4</v>
      </c>
    </row>
    <row r="320" spans="1:34" x14ac:dyDescent="0.25">
      <c r="B320" s="21">
        <f>(B287-B286)^2</f>
        <v>3942.2242779812445</v>
      </c>
      <c r="C320" s="21">
        <f t="shared" ref="C320:AF320" si="302">(C287-C286)^2</f>
        <v>6465.4952744146649</v>
      </c>
      <c r="D320" s="21">
        <f t="shared" si="302"/>
        <v>496.52575392225879</v>
      </c>
      <c r="E320" s="21">
        <f t="shared" si="302"/>
        <v>9.2482783556806165</v>
      </c>
      <c r="F320" s="21">
        <f t="shared" si="302"/>
        <v>1.438711332858096</v>
      </c>
      <c r="G320" s="21">
        <f t="shared" si="302"/>
        <v>0.4530901501844557</v>
      </c>
      <c r="H320" s="21">
        <f t="shared" si="302"/>
        <v>0.78796367484670371</v>
      </c>
      <c r="I320" s="21">
        <f t="shared" si="302"/>
        <v>0.76454770643117376</v>
      </c>
      <c r="J320" s="21">
        <f t="shared" si="302"/>
        <v>1.0578983080185735</v>
      </c>
      <c r="K320" s="21">
        <f t="shared" si="302"/>
        <v>0.49918974635141239</v>
      </c>
      <c r="L320" s="21">
        <f t="shared" si="302"/>
        <v>1.9881699378576214</v>
      </c>
      <c r="M320" s="21">
        <f t="shared" si="302"/>
        <v>0.63361232207871065</v>
      </c>
      <c r="N320" s="21">
        <f t="shared" si="302"/>
        <v>3.1542146480277005</v>
      </c>
      <c r="O320" s="21">
        <f t="shared" si="302"/>
        <v>8.1498806950388913E-2</v>
      </c>
      <c r="P320" s="21">
        <f t="shared" si="302"/>
        <v>2.1944477187304159</v>
      </c>
      <c r="Q320" s="21">
        <f t="shared" si="302"/>
        <v>0.2167148197601097</v>
      </c>
      <c r="R320" s="21">
        <f t="shared" si="302"/>
        <v>2.5239019522930111</v>
      </c>
      <c r="S320" s="21">
        <f t="shared" si="302"/>
        <v>1.5105111645050324</v>
      </c>
      <c r="T320" s="21">
        <f t="shared" si="302"/>
        <v>2.0664402000173898</v>
      </c>
      <c r="U320" s="21">
        <f t="shared" si="302"/>
        <v>1.1999373294384921</v>
      </c>
      <c r="V320" s="21">
        <f t="shared" si="302"/>
        <v>1.529022221820985</v>
      </c>
      <c r="W320" s="21">
        <f t="shared" si="302"/>
        <v>0.57735948520938363</v>
      </c>
      <c r="X320" s="21">
        <f t="shared" si="302"/>
        <v>4.4113432111870994</v>
      </c>
      <c r="Y320" s="21">
        <f t="shared" si="302"/>
        <v>1.2720170386998229</v>
      </c>
      <c r="Z320" s="21">
        <f t="shared" si="302"/>
        <v>4.1583470012341053</v>
      </c>
      <c r="AA320" s="21">
        <f t="shared" si="302"/>
        <v>1.452223848322125</v>
      </c>
      <c r="AB320" s="21">
        <f t="shared" si="302"/>
        <v>1.4784587317132307</v>
      </c>
      <c r="AC320" s="21">
        <f t="shared" si="302"/>
        <v>0.18986144634849228</v>
      </c>
      <c r="AD320" s="21">
        <f t="shared" si="302"/>
        <v>0.14421121489809094</v>
      </c>
      <c r="AE320" s="21">
        <f t="shared" si="302"/>
        <v>3.8145861732317211E-3</v>
      </c>
      <c r="AF320" s="21">
        <f t="shared" si="302"/>
        <v>2.2056425895889169E-2</v>
      </c>
      <c r="AG320" s="3"/>
      <c r="AH320" s="3"/>
    </row>
    <row r="321" spans="1:34" x14ac:dyDescent="0.25">
      <c r="A321" s="71">
        <f>SUM(B321:AF321)</f>
        <v>10949.303149703695</v>
      </c>
      <c r="B321" s="60">
        <f>IF($A$64&lt;=B285,IF($B$64&gt;=B285,ABS(B320),0),0)</f>
        <v>3942.2242779812445</v>
      </c>
      <c r="C321" s="60">
        <f t="shared" ref="C321" si="303">IF($A$64&lt;=C285,IF($B$64&gt;=C285,ABS(C320),0),0)</f>
        <v>6465.4952744146649</v>
      </c>
      <c r="D321" s="60">
        <f t="shared" ref="D321" si="304">IF($A$64&lt;=D285,IF($B$64&gt;=D285,ABS(D320),0),0)</f>
        <v>496.52575392225879</v>
      </c>
      <c r="E321" s="60">
        <f t="shared" ref="E321" si="305">IF($A$64&lt;=E285,IF($B$64&gt;=E285,ABS(E320),0),0)</f>
        <v>9.2482783556806165</v>
      </c>
      <c r="F321" s="60">
        <f t="shared" ref="F321" si="306">IF($A$64&lt;=F285,IF($B$64&gt;=F285,ABS(F320),0),0)</f>
        <v>1.438711332858096</v>
      </c>
      <c r="G321" s="60">
        <f t="shared" ref="G321" si="307">IF($A$64&lt;=G285,IF($B$64&gt;=G285,ABS(G320),0),0)</f>
        <v>0.4530901501844557</v>
      </c>
      <c r="H321" s="60">
        <f t="shared" ref="H321" si="308">IF($A$64&lt;=H285,IF($B$64&gt;=H285,ABS(H320),0),0)</f>
        <v>0.78796367484670371</v>
      </c>
      <c r="I321" s="60">
        <f t="shared" ref="I321" si="309">IF($A$64&lt;=I285,IF($B$64&gt;=I285,ABS(I320),0),0)</f>
        <v>0.76454770643117376</v>
      </c>
      <c r="J321" s="60">
        <f t="shared" ref="J321" si="310">IF($A$64&lt;=J285,IF($B$64&gt;=J285,ABS(J320),0),0)</f>
        <v>1.0578983080185735</v>
      </c>
      <c r="K321" s="60">
        <f t="shared" ref="K321" si="311">IF($A$64&lt;=K285,IF($B$64&gt;=K285,ABS(K320),0),0)</f>
        <v>0.49918974635141239</v>
      </c>
      <c r="L321" s="60">
        <f t="shared" ref="L321" si="312">IF($A$64&lt;=L285,IF($B$64&gt;=L285,ABS(L320),0),0)</f>
        <v>1.9881699378576214</v>
      </c>
      <c r="M321" s="60">
        <f t="shared" ref="M321" si="313">IF($A$64&lt;=M285,IF($B$64&gt;=M285,ABS(M320),0),0)</f>
        <v>0.63361232207871065</v>
      </c>
      <c r="N321" s="60">
        <f t="shared" ref="N321" si="314">IF($A$64&lt;=N285,IF($B$64&gt;=N285,ABS(N320),0),0)</f>
        <v>3.1542146480277005</v>
      </c>
      <c r="O321" s="60">
        <f t="shared" ref="O321" si="315">IF($A$64&lt;=O285,IF($B$64&gt;=O285,ABS(O320),0),0)</f>
        <v>8.1498806950388913E-2</v>
      </c>
      <c r="P321" s="60">
        <f t="shared" ref="P321" si="316">IF($A$64&lt;=P285,IF($B$64&gt;=P285,ABS(P320),0),0)</f>
        <v>2.1944477187304159</v>
      </c>
      <c r="Q321" s="60">
        <f t="shared" ref="Q321" si="317">IF($A$64&lt;=Q285,IF($B$64&gt;=Q285,ABS(Q320),0),0)</f>
        <v>0.2167148197601097</v>
      </c>
      <c r="R321" s="60">
        <f t="shared" ref="R321" si="318">IF($A$64&lt;=R285,IF($B$64&gt;=R285,ABS(R320),0),0)</f>
        <v>2.5239019522930111</v>
      </c>
      <c r="S321" s="60">
        <f t="shared" ref="S321" si="319">IF($A$64&lt;=S285,IF($B$64&gt;=S285,ABS(S320),0),0)</f>
        <v>1.5105111645050324</v>
      </c>
      <c r="T321" s="60">
        <f t="shared" ref="T321" si="320">IF($A$64&lt;=T285,IF($B$64&gt;=T285,ABS(T320),0),0)</f>
        <v>2.0664402000173898</v>
      </c>
      <c r="U321" s="60">
        <f t="shared" ref="U321" si="321">IF($A$64&lt;=U285,IF($B$64&gt;=U285,ABS(U320),0),0)</f>
        <v>1.1999373294384921</v>
      </c>
      <c r="V321" s="60">
        <f t="shared" ref="V321" si="322">IF($A$64&lt;=V285,IF($B$64&gt;=V285,ABS(V320),0),0)</f>
        <v>1.529022221820985</v>
      </c>
      <c r="W321" s="60">
        <f t="shared" ref="W321" si="323">IF($A$64&lt;=W285,IF($B$64&gt;=W285,ABS(W320),0),0)</f>
        <v>0.57735948520938363</v>
      </c>
      <c r="X321" s="60">
        <f t="shared" ref="X321" si="324">IF($A$64&lt;=X285,IF($B$64&gt;=X285,ABS(X320),0),0)</f>
        <v>4.4113432111870994</v>
      </c>
      <c r="Y321" s="60">
        <f t="shared" ref="Y321" si="325">IF($A$64&lt;=Y285,IF($B$64&gt;=Y285,ABS(Y320),0),0)</f>
        <v>1.2720170386998229</v>
      </c>
      <c r="Z321" s="60">
        <f t="shared" ref="Z321" si="326">IF($A$64&lt;=Z285,IF($B$64&gt;=Z285,ABS(Z320),0),0)</f>
        <v>4.1583470012341053</v>
      </c>
      <c r="AA321" s="60">
        <f t="shared" ref="AA321" si="327">IF($A$64&lt;=AA285,IF($B$64&gt;=AA285,ABS(AA320),0),0)</f>
        <v>1.452223848322125</v>
      </c>
      <c r="AB321" s="60">
        <f t="shared" ref="AB321" si="328">IF($A$64&lt;=AB285,IF($B$64&gt;=AB285,ABS(AB320),0),0)</f>
        <v>1.4784587317132307</v>
      </c>
      <c r="AC321" s="60">
        <f t="shared" ref="AC321" si="329">IF($A$64&lt;=AC285,IF($B$64&gt;=AC285,ABS(AC320),0),0)</f>
        <v>0.18986144634849228</v>
      </c>
      <c r="AD321" s="60">
        <f t="shared" ref="AD321" si="330">IF($A$64&lt;=AD285,IF($B$64&gt;=AD285,ABS(AD320),0),0)</f>
        <v>0.14421121489809094</v>
      </c>
      <c r="AE321" s="60">
        <f t="shared" ref="AE321" si="331">IF($A$64&lt;=AE285,IF($B$64&gt;=AE285,ABS(AE320),0),0)</f>
        <v>3.8145861732317211E-3</v>
      </c>
      <c r="AF321" s="60">
        <f t="shared" ref="AF321" si="332">IF($A$64&lt;=AF285,IF($B$64&gt;=AF285,ABS(AF320),0),0)</f>
        <v>2.2056425895889169E-2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5150.7108728813537</v>
      </c>
      <c r="C326" s="27">
        <f t="shared" ref="C326:AF326" si="333">($C$17+SUM(C327:C357))*$B$51</f>
        <v>4983.099755776695</v>
      </c>
      <c r="D326" s="27">
        <f t="shared" si="333"/>
        <v>4817.6456608768221</v>
      </c>
      <c r="E326" s="27">
        <f t="shared" si="333"/>
        <v>4651.1253345758078</v>
      </c>
      <c r="F326" s="27">
        <f t="shared" si="333"/>
        <v>4451.2578947172815</v>
      </c>
      <c r="G326" s="27">
        <f t="shared" si="333"/>
        <v>4219.1986636217598</v>
      </c>
      <c r="H326" s="27">
        <f t="shared" si="333"/>
        <v>4000.3890238845715</v>
      </c>
      <c r="I326" s="27">
        <f t="shared" si="333"/>
        <v>3826.6889629573079</v>
      </c>
      <c r="J326" s="27">
        <f t="shared" si="333"/>
        <v>3642.393061144116</v>
      </c>
      <c r="K326" s="27">
        <f t="shared" si="333"/>
        <v>3453.4926695199342</v>
      </c>
      <c r="L326" s="27">
        <f t="shared" si="333"/>
        <v>3181.7209319248313</v>
      </c>
      <c r="M326" s="27">
        <f t="shared" si="333"/>
        <v>2879.06435846157</v>
      </c>
      <c r="N326" s="27">
        <f t="shared" si="333"/>
        <v>2576.9872720590906</v>
      </c>
      <c r="O326" s="27">
        <f t="shared" si="333"/>
        <v>2310.187245396487</v>
      </c>
      <c r="P326" s="27">
        <f t="shared" si="333"/>
        <v>2032.9585317265239</v>
      </c>
      <c r="Q326" s="27">
        <f t="shared" si="333"/>
        <v>1828.1669897383156</v>
      </c>
      <c r="R326" s="27">
        <f t="shared" si="333"/>
        <v>1471.5888840373555</v>
      </c>
      <c r="S326" s="27">
        <f t="shared" si="333"/>
        <v>1231.1585060844955</v>
      </c>
      <c r="T326" s="27">
        <f t="shared" si="333"/>
        <v>874.12671266295047</v>
      </c>
      <c r="U326" s="27">
        <f t="shared" si="333"/>
        <v>646.79528792341932</v>
      </c>
      <c r="V326" s="27">
        <f t="shared" si="333"/>
        <v>435.03891517084548</v>
      </c>
      <c r="W326" s="27">
        <f t="shared" si="333"/>
        <v>352.3553250424273</v>
      </c>
      <c r="X326" s="27">
        <f t="shared" si="333"/>
        <v>287.2418412125557</v>
      </c>
      <c r="Y326" s="27">
        <f t="shared" si="333"/>
        <v>273.24445931576906</v>
      </c>
      <c r="Z326" s="27">
        <f t="shared" si="333"/>
        <v>244.17841489418183</v>
      </c>
      <c r="AA326" s="27">
        <f t="shared" si="333"/>
        <v>215.40376074099362</v>
      </c>
      <c r="AB326" s="27">
        <f t="shared" si="333"/>
        <v>214.39747428615269</v>
      </c>
      <c r="AC326" s="27">
        <f t="shared" si="333"/>
        <v>214.39747428615269</v>
      </c>
      <c r="AD326" s="27">
        <f t="shared" si="333"/>
        <v>214.39747428615269</v>
      </c>
      <c r="AE326" s="27">
        <f t="shared" si="333"/>
        <v>214.39747428615269</v>
      </c>
      <c r="AF326" s="27">
        <f t="shared" si="333"/>
        <v>214.39747428615269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6.1756294664607797E-33</v>
      </c>
      <c r="C331" s="3">
        <f t="shared" si="338"/>
        <v>7.2339862512387686E-308</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4.5947131533978681E-5</v>
      </c>
      <c r="C332" s="3">
        <f t="shared" si="339"/>
        <v>7.2638625086538451E-30</v>
      </c>
      <c r="D332" s="3">
        <f t="shared" si="339"/>
        <v>7.0836929890864863E-278</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1.5836224594302679E-2</v>
      </c>
      <c r="C333" s="3">
        <f t="shared" si="340"/>
        <v>9.170371677722503E-5</v>
      </c>
      <c r="D333" s="3">
        <f t="shared" si="340"/>
        <v>3.8881212058798636E-27</v>
      </c>
      <c r="E333" s="3">
        <f t="shared" si="340"/>
        <v>7.2990840187209664E-251</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2.7164606368257474E-2</v>
      </c>
      <c r="C334" s="3">
        <f t="shared" si="341"/>
        <v>1.7068035077891234E-2</v>
      </c>
      <c r="D334" s="3">
        <f t="shared" si="341"/>
        <v>1.636758601586952E-4</v>
      </c>
      <c r="E334" s="3">
        <f t="shared" si="341"/>
        <v>1.0764545153298818E-24</v>
      </c>
      <c r="F334" s="3">
        <f t="shared" si="341"/>
        <v>1.6296945100545257E-226</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2.5704533117799723E-2</v>
      </c>
      <c r="C335" s="3">
        <f t="shared" si="342"/>
        <v>2.464926006909059E-2</v>
      </c>
      <c r="D335" s="3">
        <f t="shared" si="342"/>
        <v>1.6208601945261275E-2</v>
      </c>
      <c r="E335" s="3">
        <f t="shared" si="342"/>
        <v>2.4499784018088417E-4</v>
      </c>
      <c r="F335" s="3">
        <f t="shared" si="342"/>
        <v>1.5252085979755644E-22</v>
      </c>
      <c r="G335" s="3">
        <f t="shared" si="342"/>
        <v>1.3335187770706614E-204</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3.088515404697019E-2</v>
      </c>
      <c r="C336" s="3">
        <f t="shared" si="343"/>
        <v>3.0768580044900608E-2</v>
      </c>
      <c r="D336" s="3">
        <f t="shared" si="343"/>
        <v>2.9626768111052155E-2</v>
      </c>
      <c r="E336" s="3">
        <f t="shared" si="343"/>
        <v>2.0297965907073449E-2</v>
      </c>
      <c r="F336" s="3">
        <f t="shared" si="343"/>
        <v>4.6252469261326673E-4</v>
      </c>
      <c r="G336" s="3">
        <f t="shared" si="343"/>
        <v>1.7456572156341049E-20</v>
      </c>
      <c r="H336" s="3">
        <f t="shared" si="343"/>
        <v>1.0237629657335203E-184</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3.9210075640214288E-2</v>
      </c>
      <c r="C337" s="3">
        <f t="shared" si="344"/>
        <v>3.9196702203331553E-2</v>
      </c>
      <c r="D337" s="3">
        <f t="shared" si="344"/>
        <v>3.9063218449338209E-2</v>
      </c>
      <c r="E337" s="3">
        <f t="shared" si="344"/>
        <v>3.7753128937479667E-2</v>
      </c>
      <c r="F337" s="3">
        <f t="shared" si="344"/>
        <v>2.6841219364196343E-2</v>
      </c>
      <c r="G337" s="3">
        <f t="shared" si="344"/>
        <v>8.8571733080819578E-4</v>
      </c>
      <c r="H337" s="3">
        <f t="shared" si="344"/>
        <v>1.3558890526854168E-18</v>
      </c>
      <c r="I337" s="3">
        <f t="shared" si="344"/>
        <v>9.5832820744238068E-167</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3.9917625919870761E-2</v>
      </c>
      <c r="C338" s="3">
        <f t="shared" si="345"/>
        <v>3.9916397564474182E-2</v>
      </c>
      <c r="D338" s="3">
        <f t="shared" si="345"/>
        <v>3.9904116089276187E-2</v>
      </c>
      <c r="E338" s="3">
        <f t="shared" si="345"/>
        <v>3.9781508977578948E-2</v>
      </c>
      <c r="F338" s="3">
        <f t="shared" si="345"/>
        <v>3.8575967404926581E-2</v>
      </c>
      <c r="G338" s="3">
        <f t="shared" si="345"/>
        <v>2.8357801670504199E-2</v>
      </c>
      <c r="H338" s="3">
        <f t="shared" si="345"/>
        <v>1.3068625359395664E-3</v>
      </c>
      <c r="I338" s="3">
        <f t="shared" si="345"/>
        <v>5.6468126834821466E-17</v>
      </c>
      <c r="J338" s="3">
        <f t="shared" si="345"/>
        <v>1.2809675121557516E-150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2.7879478824970206E-2</v>
      </c>
      <c r="C339" s="3">
        <f t="shared" si="346"/>
        <v>2.7879401432865891E-2</v>
      </c>
      <c r="D339" s="3">
        <f t="shared" si="346"/>
        <v>2.787862752363866E-2</v>
      </c>
      <c r="E339" s="3">
        <f t="shared" si="346"/>
        <v>2.7870889612837485E-2</v>
      </c>
      <c r="F339" s="3">
        <f t="shared" si="346"/>
        <v>2.7793628530683071E-2</v>
      </c>
      <c r="G339" s="3">
        <f t="shared" si="346"/>
        <v>2.7032699964935389E-2</v>
      </c>
      <c r="H339" s="3">
        <f t="shared" si="346"/>
        <v>2.0480057838540126E-2</v>
      </c>
      <c r="I339" s="3">
        <f t="shared" si="346"/>
        <v>1.275700497206503E-3</v>
      </c>
      <c r="J339" s="3">
        <f t="shared" si="346"/>
        <v>1.1218225990477834E-15</v>
      </c>
      <c r="K339" s="3">
        <f t="shared" si="346"/>
        <v>3.1022642106821977E-136</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3.1696336018889402E-2</v>
      </c>
      <c r="C340" s="3">
        <f t="shared" si="347"/>
        <v>3.1696328081673275E-2</v>
      </c>
      <c r="D340" s="3">
        <f t="shared" si="347"/>
        <v>3.1696248709621316E-2</v>
      </c>
      <c r="E340" s="3">
        <f t="shared" si="347"/>
        <v>3.169545500003336E-2</v>
      </c>
      <c r="F340" s="3">
        <f t="shared" si="347"/>
        <v>3.1687518997217459E-2</v>
      </c>
      <c r="G340" s="3">
        <f t="shared" si="347"/>
        <v>3.1608268174215158E-2</v>
      </c>
      <c r="H340" s="3">
        <f t="shared" si="347"/>
        <v>3.0826579951842632E-2</v>
      </c>
      <c r="I340" s="3">
        <f t="shared" si="347"/>
        <v>2.3997819246079254E-2</v>
      </c>
      <c r="J340" s="3">
        <f t="shared" si="347"/>
        <v>1.9617158883363543E-3</v>
      </c>
      <c r="K340" s="3">
        <f t="shared" si="347"/>
        <v>2.6138425671543603E-14</v>
      </c>
      <c r="L340" s="3">
        <f t="shared" si="347"/>
        <v>4.6101238613613496E-123</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2.7472650880578403E-2</v>
      </c>
      <c r="C341" s="3">
        <f t="shared" si="348"/>
        <v>2.7472650259986148E-2</v>
      </c>
      <c r="D341" s="3">
        <f t="shared" si="348"/>
        <v>2.7472644054064368E-2</v>
      </c>
      <c r="E341" s="3">
        <f t="shared" si="348"/>
        <v>2.7472581994923643E-2</v>
      </c>
      <c r="F341" s="3">
        <f t="shared" si="348"/>
        <v>2.7471961411226726E-2</v>
      </c>
      <c r="G341" s="3">
        <f t="shared" si="348"/>
        <v>2.7465756345222254E-2</v>
      </c>
      <c r="H341" s="3">
        <f t="shared" si="348"/>
        <v>2.7403782717250462E-2</v>
      </c>
      <c r="I341" s="3">
        <f t="shared" si="348"/>
        <v>2.6791685647841484E-2</v>
      </c>
      <c r="J341" s="3">
        <f t="shared" si="348"/>
        <v>2.1374466032903296E-2</v>
      </c>
      <c r="K341" s="3">
        <f t="shared" si="348"/>
        <v>2.2327887080194832E-3</v>
      </c>
      <c r="L341" s="3">
        <f t="shared" si="348"/>
        <v>3.4543883179948837E-13</v>
      </c>
      <c r="M341" s="3">
        <f t="shared" si="348"/>
        <v>2.7139787833362448E-111</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4.6468539017496278E-2</v>
      </c>
      <c r="C342" s="3">
        <f t="shared" si="349"/>
        <v>4.6468538922804684E-2</v>
      </c>
      <c r="D342" s="3">
        <f t="shared" si="349"/>
        <v>4.6468537975888825E-2</v>
      </c>
      <c r="E342" s="3">
        <f t="shared" si="349"/>
        <v>4.6468528506731228E-2</v>
      </c>
      <c r="F342" s="3">
        <f t="shared" si="349"/>
        <v>4.6468433815261417E-2</v>
      </c>
      <c r="G342" s="3">
        <f t="shared" si="349"/>
        <v>4.6467486911175908E-2</v>
      </c>
      <c r="H342" s="3">
        <f t="shared" si="349"/>
        <v>4.6458018931503378E-2</v>
      </c>
      <c r="I342" s="3">
        <f t="shared" si="349"/>
        <v>4.6363445173063268E-2</v>
      </c>
      <c r="J342" s="3">
        <f t="shared" si="349"/>
        <v>4.5428231901407809E-2</v>
      </c>
      <c r="K342" s="3">
        <f t="shared" si="349"/>
        <v>3.7053324069087193E-2</v>
      </c>
      <c r="L342" s="3">
        <f t="shared" si="349"/>
        <v>4.8288151630346849E-3</v>
      </c>
      <c r="M342" s="3">
        <f t="shared" si="349"/>
        <v>6.822988701952758E-12</v>
      </c>
      <c r="N342" s="3">
        <f t="shared" si="349"/>
        <v>2.164289513704887E-100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5.1683873281235242E-2</v>
      </c>
      <c r="C343" s="3">
        <f t="shared" si="350"/>
        <v>5.1683873271734578E-2</v>
      </c>
      <c r="D343" s="3">
        <f t="shared" si="350"/>
        <v>5.1683873176727929E-2</v>
      </c>
      <c r="E343" s="3">
        <f t="shared" si="350"/>
        <v>5.1683872226661397E-2</v>
      </c>
      <c r="F343" s="3">
        <f t="shared" si="350"/>
        <v>5.1683862725997037E-2</v>
      </c>
      <c r="G343" s="3">
        <f t="shared" si="350"/>
        <v>5.1683767719449561E-2</v>
      </c>
      <c r="H343" s="3">
        <f t="shared" si="350"/>
        <v>5.1682817663580058E-2</v>
      </c>
      <c r="I343" s="3">
        <f t="shared" si="350"/>
        <v>5.1673318065352997E-2</v>
      </c>
      <c r="J343" s="3">
        <f t="shared" si="350"/>
        <v>5.1578418064581043E-2</v>
      </c>
      <c r="K343" s="3">
        <f t="shared" si="350"/>
        <v>5.0638951245265962E-2</v>
      </c>
      <c r="L343" s="3">
        <f t="shared" si="350"/>
        <v>4.2135829655430508E-2</v>
      </c>
      <c r="M343" s="3">
        <f t="shared" si="350"/>
        <v>6.7037840979250769E-3</v>
      </c>
      <c r="N343" s="3">
        <f t="shared" si="350"/>
        <v>6.9663407312609225E-11</v>
      </c>
      <c r="O343" s="3">
        <f t="shared" si="350"/>
        <v>1.0229435007567712E-90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5.2823026105065202E-2</v>
      </c>
      <c r="C344" s="3">
        <f t="shared" si="351"/>
        <v>5.282302610418927E-2</v>
      </c>
      <c r="D344" s="3">
        <f t="shared" si="351"/>
        <v>5.2823026095429985E-2</v>
      </c>
      <c r="E344" s="3">
        <f t="shared" si="351"/>
        <v>5.2823026007837094E-2</v>
      </c>
      <c r="F344" s="3">
        <f t="shared" si="351"/>
        <v>5.2823025131908237E-2</v>
      </c>
      <c r="G344" s="3">
        <f t="shared" si="351"/>
        <v>5.2823016372620456E-2</v>
      </c>
      <c r="H344" s="3">
        <f t="shared" si="351"/>
        <v>5.2822928779822489E-2</v>
      </c>
      <c r="I344" s="3">
        <f t="shared" si="351"/>
        <v>5.2822052859831499E-2</v>
      </c>
      <c r="J344" s="3">
        <f t="shared" si="351"/>
        <v>5.281329445873896E-2</v>
      </c>
      <c r="K344" s="3">
        <f t="shared" si="351"/>
        <v>5.2725790280558321E-2</v>
      </c>
      <c r="L344" s="3">
        <f t="shared" si="351"/>
        <v>5.185868300865152E-2</v>
      </c>
      <c r="M344" s="3">
        <f t="shared" si="351"/>
        <v>4.3934464546738772E-2</v>
      </c>
      <c r="N344" s="3">
        <f t="shared" si="351"/>
        <v>8.3684279699385161E-3</v>
      </c>
      <c r="O344" s="3">
        <f t="shared" si="351"/>
        <v>5.2605278968707714E-10</v>
      </c>
      <c r="P344" s="3">
        <f t="shared" si="351"/>
        <v>5.0685505805429184E-82</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4.2291417760726958E-2</v>
      </c>
      <c r="C345" s="3">
        <f t="shared" si="352"/>
        <v>4.2291417760663697E-2</v>
      </c>
      <c r="D345" s="3">
        <f t="shared" si="352"/>
        <v>4.2291417760031078E-2</v>
      </c>
      <c r="E345" s="3">
        <f t="shared" si="352"/>
        <v>4.2291417753704853E-2</v>
      </c>
      <c r="F345" s="3">
        <f t="shared" si="352"/>
        <v>4.2291417690442638E-2</v>
      </c>
      <c r="G345" s="3">
        <f t="shared" si="352"/>
        <v>4.2291417057820489E-2</v>
      </c>
      <c r="H345" s="3">
        <f t="shared" si="352"/>
        <v>4.2291410731599512E-2</v>
      </c>
      <c r="I345" s="3">
        <f t="shared" si="352"/>
        <v>4.2291347469441819E-2</v>
      </c>
      <c r="J345" s="3">
        <f t="shared" si="352"/>
        <v>4.2290714853069539E-2</v>
      </c>
      <c r="K345" s="3">
        <f t="shared" si="352"/>
        <v>4.2284389209789018E-2</v>
      </c>
      <c r="L345" s="3">
        <f t="shared" si="352"/>
        <v>4.2221184792413845E-2</v>
      </c>
      <c r="M345" s="3">
        <f t="shared" si="352"/>
        <v>4.1594313487529157E-2</v>
      </c>
      <c r="N345" s="3">
        <f t="shared" si="352"/>
        <v>3.5815367041347239E-2</v>
      </c>
      <c r="O345" s="3">
        <f t="shared" si="352"/>
        <v>8.0246086531476149E-3</v>
      </c>
      <c r="P345" s="3">
        <f t="shared" si="352"/>
        <v>2.5583998277073346E-9</v>
      </c>
      <c r="Q345" s="3">
        <f t="shared" si="352"/>
        <v>2.77596490318449E-74</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5.3725706170149552E-2</v>
      </c>
      <c r="C346" s="3">
        <f t="shared" si="353"/>
        <v>5.3725706170142308E-2</v>
      </c>
      <c r="D346" s="3">
        <f t="shared" si="353"/>
        <v>5.3725706170069804E-2</v>
      </c>
      <c r="E346" s="3">
        <f t="shared" si="353"/>
        <v>5.3725706169344835E-2</v>
      </c>
      <c r="F346" s="3">
        <f t="shared" si="353"/>
        <v>5.372570616209512E-2</v>
      </c>
      <c r="G346" s="3">
        <f t="shared" si="353"/>
        <v>5.372570608959798E-2</v>
      </c>
      <c r="H346" s="3">
        <f t="shared" si="353"/>
        <v>5.3725705364626578E-2</v>
      </c>
      <c r="I346" s="3">
        <f t="shared" si="353"/>
        <v>5.3725698114913144E-2</v>
      </c>
      <c r="J346" s="3">
        <f t="shared" si="353"/>
        <v>5.3725625617832527E-2</v>
      </c>
      <c r="K346" s="3">
        <f t="shared" si="353"/>
        <v>5.3724900652406905E-2</v>
      </c>
      <c r="L346" s="3">
        <f t="shared" si="353"/>
        <v>5.3717651536170398E-2</v>
      </c>
      <c r="M346" s="3">
        <f t="shared" si="353"/>
        <v>5.3645214148927908E-2</v>
      </c>
      <c r="N346" s="3">
        <f t="shared" si="353"/>
        <v>5.2926191036780174E-2</v>
      </c>
      <c r="O346" s="3">
        <f t="shared" si="353"/>
        <v>4.6245258075673937E-2</v>
      </c>
      <c r="P346" s="3">
        <f t="shared" si="353"/>
        <v>1.1995901222379661E-2</v>
      </c>
      <c r="Q346" s="3">
        <f t="shared" si="353"/>
        <v>1.6545870348506266E-8</v>
      </c>
      <c r="R346" s="3">
        <f t="shared" si="353"/>
        <v>4.1234143327138955E-67</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0</v>
      </c>
      <c r="C347" s="3">
        <f t="shared" si="354"/>
        <v>0</v>
      </c>
      <c r="D347" s="3">
        <f t="shared" si="354"/>
        <v>0</v>
      </c>
      <c r="E347" s="3">
        <f t="shared" si="354"/>
        <v>0</v>
      </c>
      <c r="F347" s="3">
        <f t="shared" si="354"/>
        <v>0</v>
      </c>
      <c r="G347" s="3">
        <f t="shared" si="354"/>
        <v>0</v>
      </c>
      <c r="H347" s="3">
        <f t="shared" si="354"/>
        <v>0</v>
      </c>
      <c r="I347" s="3">
        <f t="shared" si="354"/>
        <v>0</v>
      </c>
      <c r="J347" s="3">
        <f t="shared" si="354"/>
        <v>0</v>
      </c>
      <c r="K347" s="3">
        <f t="shared" si="354"/>
        <v>0</v>
      </c>
      <c r="L347" s="3">
        <f t="shared" si="354"/>
        <v>0</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7.2666327012941567E-2</v>
      </c>
      <c r="C348" s="3">
        <f t="shared" si="355"/>
        <v>7.2666327012941317E-2</v>
      </c>
      <c r="D348" s="3">
        <f t="shared" si="355"/>
        <v>7.2666327012938875E-2</v>
      </c>
      <c r="E348" s="3">
        <f t="shared" si="355"/>
        <v>7.2666327012914408E-2</v>
      </c>
      <c r="F348" s="3">
        <f t="shared" si="355"/>
        <v>7.2666327012669771E-2</v>
      </c>
      <c r="G348" s="3">
        <f t="shared" si="355"/>
        <v>7.2666327010223353E-2</v>
      </c>
      <c r="H348" s="3">
        <f t="shared" si="355"/>
        <v>7.266632698575913E-2</v>
      </c>
      <c r="I348" s="3">
        <f t="shared" si="355"/>
        <v>7.2666326741116907E-2</v>
      </c>
      <c r="J348" s="3">
        <f t="shared" si="355"/>
        <v>7.2666324294694787E-2</v>
      </c>
      <c r="K348" s="3">
        <f t="shared" si="355"/>
        <v>7.2666299830478009E-2</v>
      </c>
      <c r="L348" s="3">
        <f t="shared" si="355"/>
        <v>7.2666055188763373E-2</v>
      </c>
      <c r="M348" s="3">
        <f t="shared" si="355"/>
        <v>7.2663608816915665E-2</v>
      </c>
      <c r="N348" s="3">
        <f t="shared" si="355"/>
        <v>7.263914962775006E-2</v>
      </c>
      <c r="O348" s="3">
        <f t="shared" si="355"/>
        <v>7.2395010103546514E-2</v>
      </c>
      <c r="P348" s="3">
        <f t="shared" si="355"/>
        <v>6.9998293148666124E-2</v>
      </c>
      <c r="Q348" s="3">
        <f t="shared" si="355"/>
        <v>4.998913500074012E-2</v>
      </c>
      <c r="R348" s="3">
        <f t="shared" si="355"/>
        <v>1.7248738519637021E-3</v>
      </c>
      <c r="S348" s="3">
        <f t="shared" si="355"/>
        <v>4.1264302223104685E-18</v>
      </c>
      <c r="T348" s="3">
        <f t="shared" si="355"/>
        <v>2.5336474026728589E-164</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2.5077417845043044E-2</v>
      </c>
      <c r="C349" s="3">
        <f t="shared" si="356"/>
        <v>2.5077417845043037E-2</v>
      </c>
      <c r="D349" s="3">
        <f t="shared" si="356"/>
        <v>2.507741784504295E-2</v>
      </c>
      <c r="E349" s="3">
        <f t="shared" si="356"/>
        <v>2.5077417845042107E-2</v>
      </c>
      <c r="F349" s="3">
        <f t="shared" si="356"/>
        <v>2.5077417845033662E-2</v>
      </c>
      <c r="G349" s="3">
        <f t="shared" si="356"/>
        <v>2.5077417844949237E-2</v>
      </c>
      <c r="H349" s="3">
        <f t="shared" si="356"/>
        <v>2.5077417844104968E-2</v>
      </c>
      <c r="I349" s="3">
        <f t="shared" si="356"/>
        <v>2.5077417835662273E-2</v>
      </c>
      <c r="J349" s="3">
        <f t="shared" si="356"/>
        <v>2.5077417751235339E-2</v>
      </c>
      <c r="K349" s="3">
        <f t="shared" si="356"/>
        <v>2.5077416906966028E-2</v>
      </c>
      <c r="L349" s="3">
        <f t="shared" si="356"/>
        <v>2.5077408464274465E-2</v>
      </c>
      <c r="M349" s="3">
        <f t="shared" si="356"/>
        <v>2.5077324037515156E-2</v>
      </c>
      <c r="N349" s="3">
        <f t="shared" si="356"/>
        <v>2.5076479785554846E-2</v>
      </c>
      <c r="O349" s="3">
        <f t="shared" si="356"/>
        <v>2.5068038829033849E-2</v>
      </c>
      <c r="P349" s="3">
        <f t="shared" si="356"/>
        <v>2.4983785377502548E-2</v>
      </c>
      <c r="Q349" s="3">
        <f t="shared" si="356"/>
        <v>2.4156669504105912E-2</v>
      </c>
      <c r="R349" s="3">
        <f t="shared" si="356"/>
        <v>1.7251435123486633E-2</v>
      </c>
      <c r="S349" s="3">
        <f t="shared" si="356"/>
        <v>5.9526033712945284E-4</v>
      </c>
      <c r="T349" s="3">
        <f t="shared" si="356"/>
        <v>1.4240463106779022E-18</v>
      </c>
      <c r="U349" s="3">
        <f t="shared" si="356"/>
        <v>8.7437107668204484E-165</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6.9691000347133242E-2</v>
      </c>
      <c r="C350" s="3">
        <f t="shared" si="357"/>
        <v>6.9691000347133242E-2</v>
      </c>
      <c r="D350" s="3">
        <f t="shared" si="357"/>
        <v>6.9691000347133214E-2</v>
      </c>
      <c r="E350" s="3">
        <f t="shared" si="357"/>
        <v>6.9691000347132978E-2</v>
      </c>
      <c r="F350" s="3">
        <f t="shared" si="357"/>
        <v>6.9691000347130633E-2</v>
      </c>
      <c r="G350" s="3">
        <f t="shared" si="357"/>
        <v>6.9691000347107179E-2</v>
      </c>
      <c r="H350" s="3">
        <f t="shared" si="357"/>
        <v>6.9691000346872548E-2</v>
      </c>
      <c r="I350" s="3">
        <f t="shared" si="357"/>
        <v>6.9691000344526299E-2</v>
      </c>
      <c r="J350" s="3">
        <f t="shared" si="357"/>
        <v>6.9691000321063762E-2</v>
      </c>
      <c r="K350" s="3">
        <f t="shared" si="357"/>
        <v>6.9691000086438429E-2</v>
      </c>
      <c r="L350" s="3">
        <f t="shared" si="357"/>
        <v>6.9690997740185195E-2</v>
      </c>
      <c r="M350" s="3">
        <f t="shared" si="357"/>
        <v>6.9690974277657095E-2</v>
      </c>
      <c r="N350" s="3">
        <f t="shared" si="357"/>
        <v>6.9690739652810599E-2</v>
      </c>
      <c r="O350" s="3">
        <f t="shared" si="357"/>
        <v>6.9688393447789723E-2</v>
      </c>
      <c r="P350" s="3">
        <f t="shared" si="357"/>
        <v>6.9664935741439324E-2</v>
      </c>
      <c r="Q350" s="3">
        <f t="shared" si="357"/>
        <v>6.9430792523178297E-2</v>
      </c>
      <c r="R350" s="3">
        <f t="shared" si="357"/>
        <v>6.7132209272853807E-2</v>
      </c>
      <c r="S350" s="3">
        <f t="shared" si="357"/>
        <v>4.7942327180910356E-2</v>
      </c>
      <c r="T350" s="3">
        <f t="shared" si="357"/>
        <v>1.6542487993724357E-3</v>
      </c>
      <c r="U350" s="3">
        <f t="shared" si="357"/>
        <v>3.9574733150368796E-18</v>
      </c>
      <c r="V350" s="3">
        <f t="shared" si="357"/>
        <v>2.4299070735712371E-164</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3.3680791941505174E-2</v>
      </c>
      <c r="C351" s="3">
        <f t="shared" si="358"/>
        <v>3.3680791941505174E-2</v>
      </c>
      <c r="D351" s="3">
        <f t="shared" si="358"/>
        <v>3.3680791941505174E-2</v>
      </c>
      <c r="E351" s="3">
        <f t="shared" si="358"/>
        <v>3.368079194150516E-2</v>
      </c>
      <c r="F351" s="3">
        <f t="shared" si="358"/>
        <v>3.3680791941505049E-2</v>
      </c>
      <c r="G351" s="3">
        <f t="shared" si="358"/>
        <v>3.3680791941503911E-2</v>
      </c>
      <c r="H351" s="3">
        <f t="shared" si="358"/>
        <v>3.3680791941492573E-2</v>
      </c>
      <c r="I351" s="3">
        <f t="shared" si="358"/>
        <v>3.3680791941379185E-2</v>
      </c>
      <c r="J351" s="3">
        <f t="shared" si="358"/>
        <v>3.3680791940245272E-2</v>
      </c>
      <c r="K351" s="3">
        <f t="shared" si="358"/>
        <v>3.368079192890612E-2</v>
      </c>
      <c r="L351" s="3">
        <f t="shared" si="358"/>
        <v>3.3680791815514623E-2</v>
      </c>
      <c r="M351" s="3">
        <f t="shared" si="358"/>
        <v>3.3680790681599668E-2</v>
      </c>
      <c r="N351" s="3">
        <f t="shared" si="358"/>
        <v>3.3680779342452241E-2</v>
      </c>
      <c r="O351" s="3">
        <f t="shared" si="358"/>
        <v>3.3680665951187953E-2</v>
      </c>
      <c r="P351" s="3">
        <f t="shared" si="358"/>
        <v>3.3679532059541016E-2</v>
      </c>
      <c r="Q351" s="3">
        <f t="shared" si="358"/>
        <v>3.3668195242404268E-2</v>
      </c>
      <c r="R351" s="3">
        <f t="shared" si="358"/>
        <v>3.3555036743035865E-2</v>
      </c>
      <c r="S351" s="3">
        <f t="shared" si="358"/>
        <v>3.2444160104319456E-2</v>
      </c>
      <c r="T351" s="3">
        <f t="shared" si="358"/>
        <v>2.3169929243786965E-2</v>
      </c>
      <c r="U351" s="3">
        <f t="shared" si="358"/>
        <v>7.9947782860946765E-4</v>
      </c>
      <c r="V351" s="3">
        <f t="shared" si="358"/>
        <v>1.9125975330227681E-18</v>
      </c>
      <c r="W351" s="3">
        <f t="shared" si="358"/>
        <v>1.1743438058643262E-164</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4.444785280126981E-2</v>
      </c>
      <c r="C352" s="3">
        <f t="shared" si="359"/>
        <v>4.444785280126981E-2</v>
      </c>
      <c r="D352" s="3">
        <f t="shared" si="359"/>
        <v>4.444785280126981E-2</v>
      </c>
      <c r="E352" s="3">
        <f t="shared" si="359"/>
        <v>4.444785280126981E-2</v>
      </c>
      <c r="F352" s="3">
        <f t="shared" si="359"/>
        <v>4.4447852801269797E-2</v>
      </c>
      <c r="G352" s="3">
        <f t="shared" si="359"/>
        <v>4.4447852801269644E-2</v>
      </c>
      <c r="H352" s="3">
        <f t="shared" si="359"/>
        <v>4.4447852801268145E-2</v>
      </c>
      <c r="I352" s="3">
        <f t="shared" si="359"/>
        <v>4.4447852801253185E-2</v>
      </c>
      <c r="J352" s="3">
        <f t="shared" si="359"/>
        <v>4.4447852801103548E-2</v>
      </c>
      <c r="K352" s="3">
        <f t="shared" si="359"/>
        <v>4.444785279960714E-2</v>
      </c>
      <c r="L352" s="3">
        <f t="shared" si="359"/>
        <v>4.4447852784643097E-2</v>
      </c>
      <c r="M352" s="3">
        <f t="shared" si="359"/>
        <v>4.4447852635002651E-2</v>
      </c>
      <c r="N352" s="3">
        <f t="shared" si="359"/>
        <v>4.4447851138598268E-2</v>
      </c>
      <c r="O352" s="3">
        <f t="shared" si="359"/>
        <v>4.4447836174557137E-2</v>
      </c>
      <c r="P352" s="3">
        <f t="shared" si="359"/>
        <v>4.4447686534422999E-2</v>
      </c>
      <c r="Q352" s="3">
        <f t="shared" si="359"/>
        <v>4.4446190160789524E-2</v>
      </c>
      <c r="R352" s="3">
        <f t="shared" si="359"/>
        <v>4.4431229194901188E-2</v>
      </c>
      <c r="S352" s="3">
        <f t="shared" si="359"/>
        <v>4.4281896235869984E-2</v>
      </c>
      <c r="T352" s="3">
        <f t="shared" si="359"/>
        <v>4.2815895038398444E-2</v>
      </c>
      <c r="U352" s="3">
        <f t="shared" si="359"/>
        <v>3.0576882106343257E-2</v>
      </c>
      <c r="V352" s="3">
        <f t="shared" si="359"/>
        <v>1.0550545517346405E-3</v>
      </c>
      <c r="W352" s="3">
        <f t="shared" si="359"/>
        <v>2.524015877165526E-18</v>
      </c>
      <c r="X352" s="3">
        <f t="shared" si="359"/>
        <v>1.5497575208977671E-164</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1.2310076575543269E-2</v>
      </c>
      <c r="C353" s="3">
        <f t="shared" si="360"/>
        <v>1.2310076575543269E-2</v>
      </c>
      <c r="D353" s="3">
        <f t="shared" si="360"/>
        <v>1.2310076575543269E-2</v>
      </c>
      <c r="E353" s="3">
        <f t="shared" si="360"/>
        <v>1.2310076575543269E-2</v>
      </c>
      <c r="F353" s="3">
        <f t="shared" si="360"/>
        <v>1.2310076575543269E-2</v>
      </c>
      <c r="G353" s="3">
        <f t="shared" si="360"/>
        <v>1.2310076575543265E-2</v>
      </c>
      <c r="H353" s="3">
        <f t="shared" si="360"/>
        <v>1.2310076575543222E-2</v>
      </c>
      <c r="I353" s="3">
        <f t="shared" si="360"/>
        <v>1.2310076575542808E-2</v>
      </c>
      <c r="J353" s="3">
        <f t="shared" si="360"/>
        <v>1.2310076575538665E-2</v>
      </c>
      <c r="K353" s="3">
        <f t="shared" si="360"/>
        <v>1.2310076575497221E-2</v>
      </c>
      <c r="L353" s="3">
        <f t="shared" si="360"/>
        <v>1.2310076575082783E-2</v>
      </c>
      <c r="M353" s="3">
        <f t="shared" si="360"/>
        <v>1.2310076570938409E-2</v>
      </c>
      <c r="N353" s="3">
        <f t="shared" si="360"/>
        <v>1.2310076529494668E-2</v>
      </c>
      <c r="O353" s="3">
        <f t="shared" si="360"/>
        <v>1.2310076115057267E-2</v>
      </c>
      <c r="P353" s="3">
        <f t="shared" si="360"/>
        <v>1.2310071970684018E-2</v>
      </c>
      <c r="Q353" s="3">
        <f t="shared" si="360"/>
        <v>1.2310030527028275E-2</v>
      </c>
      <c r="R353" s="3">
        <f t="shared" si="360"/>
        <v>1.23096160981447E-2</v>
      </c>
      <c r="S353" s="3">
        <f t="shared" si="360"/>
        <v>1.2305472576599284E-2</v>
      </c>
      <c r="T353" s="3">
        <f t="shared" si="360"/>
        <v>1.2264113994686549E-2</v>
      </c>
      <c r="U353" s="3">
        <f t="shared" si="360"/>
        <v>1.185809692381924E-2</v>
      </c>
      <c r="V353" s="3">
        <f t="shared" si="360"/>
        <v>8.4684351762362511E-3</v>
      </c>
      <c r="W353" s="3">
        <f t="shared" si="360"/>
        <v>2.9220314378961091E-4</v>
      </c>
      <c r="X353" s="3">
        <f t="shared" si="360"/>
        <v>6.9904003832794802E-19</v>
      </c>
      <c r="Y353" s="3">
        <f t="shared" si="360"/>
        <v>4.2921384394142406E-165</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1.4823378253451746E-2</v>
      </c>
      <c r="C354" s="3">
        <f t="shared" si="361"/>
        <v>1.4823378253451746E-2</v>
      </c>
      <c r="D354" s="3">
        <f t="shared" si="361"/>
        <v>1.4823378253451746E-2</v>
      </c>
      <c r="E354" s="3">
        <f t="shared" si="361"/>
        <v>1.4823378253451746E-2</v>
      </c>
      <c r="F354" s="3">
        <f t="shared" si="361"/>
        <v>1.4823378253451746E-2</v>
      </c>
      <c r="G354" s="3">
        <f t="shared" si="361"/>
        <v>1.4823378253451746E-2</v>
      </c>
      <c r="H354" s="3">
        <f t="shared" si="361"/>
        <v>1.482337825345174E-2</v>
      </c>
      <c r="I354" s="3">
        <f t="shared" si="361"/>
        <v>1.482337825345169E-2</v>
      </c>
      <c r="J354" s="3">
        <f t="shared" si="361"/>
        <v>1.482337825345119E-2</v>
      </c>
      <c r="K354" s="3">
        <f t="shared" si="361"/>
        <v>1.4823378253446201E-2</v>
      </c>
      <c r="L354" s="3">
        <f t="shared" si="361"/>
        <v>1.4823378253396297E-2</v>
      </c>
      <c r="M354" s="3">
        <f t="shared" si="361"/>
        <v>1.4823378252897245E-2</v>
      </c>
      <c r="N354" s="3">
        <f t="shared" si="361"/>
        <v>1.4823378247906728E-2</v>
      </c>
      <c r="O354" s="3">
        <f t="shared" si="361"/>
        <v>1.4823378198001577E-2</v>
      </c>
      <c r="P354" s="3">
        <f t="shared" si="361"/>
        <v>1.4823377698950061E-2</v>
      </c>
      <c r="Q354" s="3">
        <f t="shared" si="361"/>
        <v>1.4823372708435834E-2</v>
      </c>
      <c r="R354" s="3">
        <f t="shared" si="361"/>
        <v>1.4823322803385972E-2</v>
      </c>
      <c r="S354" s="3">
        <f t="shared" si="361"/>
        <v>1.4822823762127971E-2</v>
      </c>
      <c r="T354" s="3">
        <f t="shared" si="361"/>
        <v>1.481783427349302E-2</v>
      </c>
      <c r="U354" s="3">
        <f t="shared" si="361"/>
        <v>1.4768031666664655E-2</v>
      </c>
      <c r="V354" s="3">
        <f t="shared" si="361"/>
        <v>1.4279119629286933E-2</v>
      </c>
      <c r="W354" s="3">
        <f t="shared" si="361"/>
        <v>1.0197403489884165E-2</v>
      </c>
      <c r="X354" s="3">
        <f t="shared" si="361"/>
        <v>3.5186115217565139E-4</v>
      </c>
      <c r="Y354" s="3">
        <f t="shared" si="361"/>
        <v>8.4176039351609618E-19</v>
      </c>
      <c r="Z354" s="3">
        <f t="shared" si="361"/>
        <v>5.1684480769210411E-165</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7.924341887142665E-4</v>
      </c>
      <c r="C355" s="3">
        <f t="shared" si="362"/>
        <v>7.924341887142665E-4</v>
      </c>
      <c r="D355" s="3">
        <f t="shared" si="362"/>
        <v>7.924341887142665E-4</v>
      </c>
      <c r="E355" s="3">
        <f t="shared" si="362"/>
        <v>7.924341887142665E-4</v>
      </c>
      <c r="F355" s="3">
        <f t="shared" si="362"/>
        <v>7.924341887142665E-4</v>
      </c>
      <c r="G355" s="3">
        <f t="shared" si="362"/>
        <v>7.924341887142665E-4</v>
      </c>
      <c r="H355" s="3">
        <f t="shared" si="362"/>
        <v>7.924341887142665E-4</v>
      </c>
      <c r="I355" s="3">
        <f t="shared" si="362"/>
        <v>7.9243418871426628E-4</v>
      </c>
      <c r="J355" s="3">
        <f t="shared" si="362"/>
        <v>7.9243418871426346E-4</v>
      </c>
      <c r="K355" s="3">
        <f t="shared" si="362"/>
        <v>7.924341887142369E-4</v>
      </c>
      <c r="L355" s="3">
        <f t="shared" si="362"/>
        <v>7.9243418871397008E-4</v>
      </c>
      <c r="M355" s="3">
        <f t="shared" si="362"/>
        <v>7.9243418871130229E-4</v>
      </c>
      <c r="N355" s="3">
        <f t="shared" si="362"/>
        <v>7.9243418868462376E-4</v>
      </c>
      <c r="O355" s="3">
        <f t="shared" si="362"/>
        <v>7.9243418841783869E-4</v>
      </c>
      <c r="P355" s="3">
        <f t="shared" si="362"/>
        <v>7.924341857499888E-4</v>
      </c>
      <c r="Q355" s="3">
        <f t="shared" si="362"/>
        <v>7.9243415907148977E-4</v>
      </c>
      <c r="R355" s="3">
        <f t="shared" si="362"/>
        <v>7.9243389228654873E-4</v>
      </c>
      <c r="S355" s="3">
        <f t="shared" si="362"/>
        <v>7.9243122444207876E-4</v>
      </c>
      <c r="T355" s="3">
        <f t="shared" si="362"/>
        <v>7.9240454649136748E-4</v>
      </c>
      <c r="U355" s="3">
        <f t="shared" si="362"/>
        <v>7.9213781637688671E-4</v>
      </c>
      <c r="V355" s="3">
        <f t="shared" si="362"/>
        <v>7.8947544834828286E-4</v>
      </c>
      <c r="W355" s="3">
        <f t="shared" si="362"/>
        <v>7.633389896363939E-4</v>
      </c>
      <c r="X355" s="3">
        <f t="shared" si="362"/>
        <v>5.451369467426708E-4</v>
      </c>
      <c r="Y355" s="3">
        <f t="shared" si="362"/>
        <v>1.8809936702482258E-5</v>
      </c>
      <c r="Z355" s="3">
        <f t="shared" si="362"/>
        <v>4.4999169765664159E-20</v>
      </c>
      <c r="AA355" s="3">
        <f t="shared" si="362"/>
        <v>2.7629700117738202E-166</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4.201469826442498E-3</v>
      </c>
      <c r="C356" s="3">
        <f t="shared" si="363"/>
        <v>4.201469826442498E-3</v>
      </c>
      <c r="D356" s="3">
        <f t="shared" si="363"/>
        <v>4.201469826442498E-3</v>
      </c>
      <c r="E356" s="3">
        <f t="shared" si="363"/>
        <v>4.201469826442498E-3</v>
      </c>
      <c r="F356" s="3">
        <f t="shared" si="363"/>
        <v>4.201469826442498E-3</v>
      </c>
      <c r="G356" s="3">
        <f t="shared" si="363"/>
        <v>4.201469826442498E-3</v>
      </c>
      <c r="H356" s="3">
        <f t="shared" si="363"/>
        <v>4.201469826442498E-3</v>
      </c>
      <c r="I356" s="3">
        <f t="shared" si="363"/>
        <v>4.201469826442498E-3</v>
      </c>
      <c r="J356" s="3">
        <f t="shared" si="363"/>
        <v>4.2014698264424962E-3</v>
      </c>
      <c r="K356" s="3">
        <f t="shared" si="363"/>
        <v>4.2014698264424824E-3</v>
      </c>
      <c r="L356" s="3">
        <f t="shared" si="363"/>
        <v>4.201469826442341E-3</v>
      </c>
      <c r="M356" s="3">
        <f t="shared" si="363"/>
        <v>4.2014698264409263E-3</v>
      </c>
      <c r="N356" s="3">
        <f t="shared" si="363"/>
        <v>4.2014698264267814E-3</v>
      </c>
      <c r="O356" s="3">
        <f t="shared" si="363"/>
        <v>4.2014698262853329E-3</v>
      </c>
      <c r="P356" s="3">
        <f t="shared" si="363"/>
        <v>4.2014698248708437E-3</v>
      </c>
      <c r="Q356" s="3">
        <f t="shared" si="363"/>
        <v>4.2014698107259579E-3</v>
      </c>
      <c r="R356" s="3">
        <f t="shared" si="363"/>
        <v>4.2014696692771036E-3</v>
      </c>
      <c r="S356" s="3">
        <f t="shared" si="363"/>
        <v>4.201468254788814E-3</v>
      </c>
      <c r="T356" s="3">
        <f t="shared" si="363"/>
        <v>4.2014541099321158E-3</v>
      </c>
      <c r="U356" s="3">
        <f t="shared" si="363"/>
        <v>4.2013126639842491E-3</v>
      </c>
      <c r="V356" s="3">
        <f t="shared" si="363"/>
        <v>4.1998984663843032E-3</v>
      </c>
      <c r="W356" s="3">
        <f t="shared" si="363"/>
        <v>4.1857826456658496E-3</v>
      </c>
      <c r="X356" s="3">
        <f t="shared" si="363"/>
        <v>4.0472076772811155E-3</v>
      </c>
      <c r="Y356" s="3">
        <f t="shared" si="363"/>
        <v>2.8903049182348937E-3</v>
      </c>
      <c r="Z356" s="3">
        <f t="shared" si="363"/>
        <v>9.9729898858854867E-5</v>
      </c>
      <c r="AA356" s="3">
        <f t="shared" si="363"/>
        <v>2.3858467577245476E-19</v>
      </c>
      <c r="AB356" s="3">
        <f t="shared" si="363"/>
        <v>1.4649210371233681E-165</v>
      </c>
      <c r="AC356" s="3">
        <f t="shared" si="363"/>
        <v>0</v>
      </c>
      <c r="AD356" s="3">
        <f t="shared" si="363"/>
        <v>0</v>
      </c>
      <c r="AE356" s="3">
        <f t="shared" si="363"/>
        <v>0</v>
      </c>
      <c r="AF356" s="3">
        <f t="shared" si="363"/>
        <v>0</v>
      </c>
      <c r="AG356" s="3"/>
      <c r="AH356" s="3"/>
    </row>
    <row r="357" spans="1:34" x14ac:dyDescent="0.25">
      <c r="B357" s="3">
        <f t="shared" ref="B357:AF357" si="364">$C48*EXP(-B$363/$A48/EXP(-$G$126))</f>
        <v>6.8476297618842216E-3</v>
      </c>
      <c r="C357" s="3">
        <f t="shared" si="364"/>
        <v>6.8476297618842216E-3</v>
      </c>
      <c r="D357" s="3">
        <f t="shared" si="364"/>
        <v>6.8476297618842216E-3</v>
      </c>
      <c r="E357" s="3">
        <f t="shared" si="364"/>
        <v>6.8476297618842216E-3</v>
      </c>
      <c r="F357" s="3">
        <f t="shared" si="364"/>
        <v>6.8476297618842216E-3</v>
      </c>
      <c r="G357" s="3">
        <f t="shared" si="364"/>
        <v>6.8476297618842216E-3</v>
      </c>
      <c r="H357" s="3">
        <f t="shared" si="364"/>
        <v>6.8476297618842216E-3</v>
      </c>
      <c r="I357" s="3">
        <f t="shared" si="364"/>
        <v>6.8476297618842216E-3</v>
      </c>
      <c r="J357" s="3">
        <f t="shared" si="364"/>
        <v>6.8476297618842216E-3</v>
      </c>
      <c r="K357" s="3">
        <f t="shared" si="364"/>
        <v>6.847629761884219E-3</v>
      </c>
      <c r="L357" s="3">
        <f t="shared" si="364"/>
        <v>6.8476297618841955E-3</v>
      </c>
      <c r="M357" s="3">
        <f t="shared" si="364"/>
        <v>6.8476297618839657E-3</v>
      </c>
      <c r="N357" s="3">
        <f t="shared" si="364"/>
        <v>6.8476297618816602E-3</v>
      </c>
      <c r="O357" s="3">
        <f t="shared" si="364"/>
        <v>6.8476297618586066E-3</v>
      </c>
      <c r="P357" s="3">
        <f t="shared" si="364"/>
        <v>6.8476297616280705E-3</v>
      </c>
      <c r="Q357" s="3">
        <f t="shared" si="364"/>
        <v>6.8476297593227124E-3</v>
      </c>
      <c r="R357" s="3">
        <f t="shared" si="364"/>
        <v>6.8476297362691273E-3</v>
      </c>
      <c r="S357" s="3">
        <f t="shared" si="364"/>
        <v>6.8476295057332843E-3</v>
      </c>
      <c r="T357" s="3">
        <f t="shared" si="364"/>
        <v>6.8476272003752765E-3</v>
      </c>
      <c r="U357" s="3">
        <f t="shared" si="364"/>
        <v>6.8476041468378945E-3</v>
      </c>
      <c r="V357" s="3">
        <f t="shared" si="364"/>
        <v>6.8473736157327525E-3</v>
      </c>
      <c r="W357" s="3">
        <f t="shared" si="364"/>
        <v>6.8450687314959013E-3</v>
      </c>
      <c r="X357" s="3">
        <f t="shared" si="364"/>
        <v>6.8220625174665239E-3</v>
      </c>
      <c r="Y357" s="3">
        <f t="shared" si="364"/>
        <v>6.5962105854137504E-3</v>
      </c>
      <c r="Z357" s="3">
        <f t="shared" si="364"/>
        <v>4.7106700265853911E-3</v>
      </c>
      <c r="AA357" s="3">
        <f t="shared" si="364"/>
        <v>1.6254155135843015E-4</v>
      </c>
      <c r="AB357" s="3">
        <f t="shared" si="364"/>
        <v>3.8884952029568458E-19</v>
      </c>
      <c r="AC357" s="3">
        <f t="shared" si="364"/>
        <v>2.3875541910317618E-165</v>
      </c>
      <c r="AD357" s="3">
        <f t="shared" si="364"/>
        <v>0</v>
      </c>
      <c r="AE357" s="3">
        <f t="shared" si="364"/>
        <v>0</v>
      </c>
      <c r="AF357" s="3">
        <f t="shared" si="364"/>
        <v>0</v>
      </c>
      <c r="AG357" s="3"/>
      <c r="AH357" s="3"/>
    </row>
    <row r="358" spans="1:34" x14ac:dyDescent="0.25">
      <c r="A358" s="79">
        <f>AVERAGE(B358:AF358)</f>
        <v>5.4838787087290689E-2</v>
      </c>
      <c r="B358" s="80">
        <f>IF($A$64&lt;=B324,IF($B$64&gt;=B324,ABS((B326-B325)/B325),0),0)</f>
        <v>1.8522244428634354E-2</v>
      </c>
      <c r="C358" s="80">
        <f t="shared" ref="C358:AF358" si="365">IF($A$64&lt;=C324,IF($B$64&gt;=C324,ABS((C326-C325)/C325),0),0)</f>
        <v>2.7692511042748676E-2</v>
      </c>
      <c r="D358" s="80">
        <f t="shared" si="365"/>
        <v>2.8400878292565532E-2</v>
      </c>
      <c r="E358" s="80">
        <f t="shared" si="365"/>
        <v>3.4004084989726444E-2</v>
      </c>
      <c r="F358" s="80">
        <f t="shared" si="365"/>
        <v>4.0623388120329347E-2</v>
      </c>
      <c r="G358" s="80">
        <f t="shared" si="365"/>
        <v>3.9960551327828935E-2</v>
      </c>
      <c r="H358" s="80">
        <f t="shared" si="365"/>
        <v>3.3366731311620317E-2</v>
      </c>
      <c r="I358" s="80">
        <f t="shared" si="365"/>
        <v>3.5428386013806261E-2</v>
      </c>
      <c r="J358" s="80">
        <f t="shared" si="365"/>
        <v>3.3109697996769466E-2</v>
      </c>
      <c r="K358" s="80">
        <f t="shared" si="365"/>
        <v>2.8697919882757307E-2</v>
      </c>
      <c r="L358" s="80">
        <f t="shared" si="365"/>
        <v>1.6758412367252765E-3</v>
      </c>
      <c r="M358" s="80">
        <f t="shared" si="365"/>
        <v>3.9340506133993348E-2</v>
      </c>
      <c r="N358" s="80">
        <f t="shared" si="365"/>
        <v>7.4719717225690832E-2</v>
      </c>
      <c r="O358" s="80">
        <f t="shared" si="365"/>
        <v>9.3569189930795771E-2</v>
      </c>
      <c r="P358" s="80">
        <f t="shared" si="365"/>
        <v>0.1074790678983967</v>
      </c>
      <c r="Q358" s="80">
        <f t="shared" si="365"/>
        <v>6.0257711329781784E-2</v>
      </c>
      <c r="R358" s="80">
        <f t="shared" si="365"/>
        <v>4.8780317155281971E-2</v>
      </c>
      <c r="S358" s="80">
        <f t="shared" si="365"/>
        <v>7.5564110164645384E-2</v>
      </c>
      <c r="T358" s="80">
        <f t="shared" si="365"/>
        <v>9.2615448729552241E-2</v>
      </c>
      <c r="U358" s="80">
        <f t="shared" si="365"/>
        <v>0.17519351568107328</v>
      </c>
      <c r="V358" s="80">
        <f t="shared" si="365"/>
        <v>8.6539248426051596E-2</v>
      </c>
      <c r="W358" s="80">
        <f t="shared" si="365"/>
        <v>8.9428764733748847E-2</v>
      </c>
      <c r="X358" s="80">
        <f t="shared" si="365"/>
        <v>5.6750981517507161E-3</v>
      </c>
      <c r="Y358" s="80">
        <f t="shared" si="365"/>
        <v>3.2170015286944971E-2</v>
      </c>
      <c r="Z358" s="80">
        <f t="shared" si="365"/>
        <v>2.8777187415524312E-2</v>
      </c>
      <c r="AA358" s="80">
        <f t="shared" si="365"/>
        <v>0.12054282966690885</v>
      </c>
      <c r="AB358" s="80">
        <f t="shared" si="365"/>
        <v>8.1049864248082484E-2</v>
      </c>
      <c r="AC358" s="80">
        <f t="shared" si="365"/>
        <v>4.6854912750982192E-2</v>
      </c>
      <c r="AD358" s="80">
        <f t="shared" si="365"/>
        <v>4.2108936752478496E-2</v>
      </c>
      <c r="AE358" s="80">
        <f t="shared" si="365"/>
        <v>3.9166594820512525E-2</v>
      </c>
      <c r="AF358" s="80">
        <f t="shared" si="365"/>
        <v>3.8687128560303069E-2</v>
      </c>
    </row>
    <row r="359" spans="1:34" x14ac:dyDescent="0.25">
      <c r="B359" s="21">
        <f>(B326-B325)^2</f>
        <v>8773.6545279981056</v>
      </c>
      <c r="C359" s="21">
        <f t="shared" ref="C359:AF359" si="366">(C326-C325)^2</f>
        <v>18030.071718976531</v>
      </c>
      <c r="D359" s="21">
        <f t="shared" si="366"/>
        <v>17701.430833298546</v>
      </c>
      <c r="E359" s="21">
        <f t="shared" si="366"/>
        <v>23395.577092330535</v>
      </c>
      <c r="F359" s="21">
        <f t="shared" si="366"/>
        <v>30194.694031116916</v>
      </c>
      <c r="G359" s="21">
        <f t="shared" si="366"/>
        <v>26283.860985877916</v>
      </c>
      <c r="H359" s="21">
        <f t="shared" si="366"/>
        <v>16684.870154724766</v>
      </c>
      <c r="I359" s="21">
        <f t="shared" si="366"/>
        <v>17143.872558366194</v>
      </c>
      <c r="J359" s="21">
        <f t="shared" si="366"/>
        <v>13626.715289706624</v>
      </c>
      <c r="K359" s="21">
        <f t="shared" si="366"/>
        <v>9282.0134057700852</v>
      </c>
      <c r="L359" s="21">
        <f t="shared" si="366"/>
        <v>28.526385961254935</v>
      </c>
      <c r="M359" s="21">
        <f t="shared" si="366"/>
        <v>13900.924168959569</v>
      </c>
      <c r="N359" s="21">
        <f t="shared" si="366"/>
        <v>43306.029861048242</v>
      </c>
      <c r="O359" s="21">
        <f t="shared" si="366"/>
        <v>56870.98951885086</v>
      </c>
      <c r="P359" s="21">
        <f t="shared" si="366"/>
        <v>59933.27391995825</v>
      </c>
      <c r="Q359" s="21">
        <f t="shared" si="366"/>
        <v>13741.667927969005</v>
      </c>
      <c r="R359" s="21">
        <f t="shared" si="366"/>
        <v>5695.0898485640482</v>
      </c>
      <c r="S359" s="21">
        <f t="shared" si="366"/>
        <v>7481.4621101618732</v>
      </c>
      <c r="T359" s="21">
        <f t="shared" si="366"/>
        <v>5490.1091801371495</v>
      </c>
      <c r="U359" s="21">
        <f t="shared" si="366"/>
        <v>9297.1743926140571</v>
      </c>
      <c r="V359" s="21">
        <f t="shared" si="366"/>
        <v>1200.5814127723379</v>
      </c>
      <c r="W359" s="21">
        <f t="shared" si="366"/>
        <v>836.60116771320668</v>
      </c>
      <c r="X359" s="21">
        <f t="shared" si="366"/>
        <v>2.6274034443045031</v>
      </c>
      <c r="Y359" s="21">
        <f t="shared" si="366"/>
        <v>72.527513084812128</v>
      </c>
      <c r="Z359" s="21">
        <f t="shared" si="366"/>
        <v>52.344792329254837</v>
      </c>
      <c r="AA359" s="21">
        <f t="shared" si="366"/>
        <v>871.68573448535653</v>
      </c>
      <c r="AB359" s="21">
        <f t="shared" si="366"/>
        <v>357.56913238764241</v>
      </c>
      <c r="AC359" s="21">
        <f t="shared" si="366"/>
        <v>111.07889970765757</v>
      </c>
      <c r="AD359" s="21">
        <f t="shared" si="366"/>
        <v>88.829176923128912</v>
      </c>
      <c r="AE359" s="21">
        <f t="shared" si="366"/>
        <v>76.379141515226962</v>
      </c>
      <c r="AF359" s="21">
        <f t="shared" si="366"/>
        <v>74.446246914216431</v>
      </c>
      <c r="AG359" s="3"/>
      <c r="AH359" s="3"/>
    </row>
    <row r="360" spans="1:34" x14ac:dyDescent="0.25">
      <c r="A360" s="71">
        <f>SUM(B360:AF360)</f>
        <v>400606.67853366781</v>
      </c>
      <c r="B360" s="60">
        <f>IF($A$64&lt;=B324,IF($B$64&gt;=B324,ABS(B359),0),0)</f>
        <v>8773.6545279981056</v>
      </c>
      <c r="C360" s="60">
        <f t="shared" ref="C360:AF360" si="367">IF($A$64&lt;=C324,IF($B$64&gt;=C324,ABS(C359),0),0)</f>
        <v>18030.071718976531</v>
      </c>
      <c r="D360" s="60">
        <f t="shared" si="367"/>
        <v>17701.430833298546</v>
      </c>
      <c r="E360" s="60">
        <f t="shared" si="367"/>
        <v>23395.577092330535</v>
      </c>
      <c r="F360" s="60">
        <f t="shared" si="367"/>
        <v>30194.694031116916</v>
      </c>
      <c r="G360" s="60">
        <f t="shared" si="367"/>
        <v>26283.860985877916</v>
      </c>
      <c r="H360" s="60">
        <f t="shared" si="367"/>
        <v>16684.870154724766</v>
      </c>
      <c r="I360" s="60">
        <f t="shared" si="367"/>
        <v>17143.872558366194</v>
      </c>
      <c r="J360" s="60">
        <f t="shared" si="367"/>
        <v>13626.715289706624</v>
      </c>
      <c r="K360" s="60">
        <f t="shared" si="367"/>
        <v>9282.0134057700852</v>
      </c>
      <c r="L360" s="60">
        <f t="shared" si="367"/>
        <v>28.526385961254935</v>
      </c>
      <c r="M360" s="60">
        <f t="shared" si="367"/>
        <v>13900.924168959569</v>
      </c>
      <c r="N360" s="60">
        <f t="shared" si="367"/>
        <v>43306.029861048242</v>
      </c>
      <c r="O360" s="60">
        <f t="shared" si="367"/>
        <v>56870.98951885086</v>
      </c>
      <c r="P360" s="60">
        <f t="shared" si="367"/>
        <v>59933.27391995825</v>
      </c>
      <c r="Q360" s="60">
        <f t="shared" si="367"/>
        <v>13741.667927969005</v>
      </c>
      <c r="R360" s="60">
        <f t="shared" si="367"/>
        <v>5695.0898485640482</v>
      </c>
      <c r="S360" s="60">
        <f t="shared" si="367"/>
        <v>7481.4621101618732</v>
      </c>
      <c r="T360" s="60">
        <f t="shared" si="367"/>
        <v>5490.1091801371495</v>
      </c>
      <c r="U360" s="60">
        <f t="shared" si="367"/>
        <v>9297.1743926140571</v>
      </c>
      <c r="V360" s="60">
        <f t="shared" si="367"/>
        <v>1200.5814127723379</v>
      </c>
      <c r="W360" s="60">
        <f t="shared" si="367"/>
        <v>836.60116771320668</v>
      </c>
      <c r="X360" s="60">
        <f t="shared" si="367"/>
        <v>2.6274034443045031</v>
      </c>
      <c r="Y360" s="60">
        <f t="shared" si="367"/>
        <v>72.527513084812128</v>
      </c>
      <c r="Z360" s="60">
        <f t="shared" si="367"/>
        <v>52.344792329254837</v>
      </c>
      <c r="AA360" s="60">
        <f t="shared" si="367"/>
        <v>871.68573448535653</v>
      </c>
      <c r="AB360" s="60">
        <f t="shared" si="367"/>
        <v>357.56913238764241</v>
      </c>
      <c r="AC360" s="60">
        <f t="shared" si="367"/>
        <v>111.07889970765757</v>
      </c>
      <c r="AD360" s="60">
        <f t="shared" si="367"/>
        <v>88.829176923128912</v>
      </c>
      <c r="AE360" s="60">
        <f t="shared" si="367"/>
        <v>76.379141515226962</v>
      </c>
      <c r="AF360" s="60">
        <f t="shared" si="367"/>
        <v>74.446246914216431</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3997.4943583307791</v>
      </c>
      <c r="C365" s="27">
        <f t="shared" ref="C365:AF365" si="368">($C$17+SUM(C366:C396))*$B$51</f>
        <v>3823.8604168962297</v>
      </c>
      <c r="D365" s="27">
        <f t="shared" si="368"/>
        <v>3639.4333922168721</v>
      </c>
      <c r="E365" s="27">
        <f t="shared" si="368"/>
        <v>3449.7255693061275</v>
      </c>
      <c r="F365" s="27">
        <f t="shared" si="368"/>
        <v>3176.6240186660939</v>
      </c>
      <c r="G365" s="27">
        <f t="shared" si="368"/>
        <v>2873.4771109753137</v>
      </c>
      <c r="H365" s="27">
        <f t="shared" si="368"/>
        <v>2571.4937234793642</v>
      </c>
      <c r="I365" s="27">
        <f t="shared" si="368"/>
        <v>2305.0792378774395</v>
      </c>
      <c r="J365" s="27">
        <f t="shared" si="368"/>
        <v>2027.8269075850314</v>
      </c>
      <c r="K365" s="27">
        <f t="shared" si="368"/>
        <v>1823.1489789729392</v>
      </c>
      <c r="L365" s="27">
        <f t="shared" si="368"/>
        <v>1467.7652066022906</v>
      </c>
      <c r="M365" s="27">
        <f t="shared" si="368"/>
        <v>1225.7563589546232</v>
      </c>
      <c r="N365" s="27">
        <f t="shared" si="368"/>
        <v>870.06094553455273</v>
      </c>
      <c r="O365" s="27">
        <f t="shared" si="368"/>
        <v>643.07719995736034</v>
      </c>
      <c r="P365" s="27">
        <f t="shared" si="368"/>
        <v>433.17232453814034</v>
      </c>
      <c r="Q365" s="27">
        <f t="shared" si="368"/>
        <v>351.1232147393265</v>
      </c>
      <c r="R365" s="27">
        <f t="shared" si="368"/>
        <v>286.83517669176109</v>
      </c>
      <c r="S365" s="27">
        <f t="shared" si="368"/>
        <v>272.89235018946908</v>
      </c>
      <c r="T365" s="27">
        <f t="shared" si="368"/>
        <v>243.64581931461956</v>
      </c>
      <c r="U365" s="27">
        <f t="shared" si="368"/>
        <v>215.26044133383894</v>
      </c>
      <c r="V365" s="27">
        <f t="shared" si="368"/>
        <v>214.39747428615269</v>
      </c>
      <c r="W365" s="27">
        <f t="shared" si="368"/>
        <v>214.39747428615269</v>
      </c>
      <c r="X365" s="27">
        <f t="shared" si="368"/>
        <v>214.39747428615269</v>
      </c>
      <c r="Y365" s="27">
        <f t="shared" si="368"/>
        <v>214.39747428615269</v>
      </c>
      <c r="Z365" s="27">
        <f t="shared" si="368"/>
        <v>214.39747428615269</v>
      </c>
      <c r="AA365" s="27">
        <f t="shared" si="368"/>
        <v>214.39747428615269</v>
      </c>
      <c r="AB365" s="27">
        <f t="shared" si="368"/>
        <v>214.39747428615269</v>
      </c>
      <c r="AC365" s="27">
        <f t="shared" si="368"/>
        <v>214.39747428615269</v>
      </c>
      <c r="AD365" s="27">
        <f t="shared" si="368"/>
        <v>214.39747428615269</v>
      </c>
      <c r="AE365" s="27">
        <f t="shared" si="368"/>
        <v>214.39747428615269</v>
      </c>
      <c r="AF365" s="27">
        <f t="shared" si="368"/>
        <v>214.39747428615269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3.2739608146064485E-192</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2.8582580891040292E-19</v>
      </c>
      <c r="C376" s="3">
        <f t="shared" si="379"/>
        <v>1.6606845334459249E-173</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1.1356330276291726E-3</v>
      </c>
      <c r="C377" s="3">
        <f t="shared" si="380"/>
        <v>1.386386900964801E-17</v>
      </c>
      <c r="D377" s="3">
        <f t="shared" si="380"/>
        <v>1.0194097048185871E-156</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2.0222237311987343E-2</v>
      </c>
      <c r="C378" s="3">
        <f t="shared" si="381"/>
        <v>1.1239033424821402E-3</v>
      </c>
      <c r="D378" s="3">
        <f t="shared" si="381"/>
        <v>3.1602872914963389E-16</v>
      </c>
      <c r="E378" s="3">
        <f t="shared" si="381"/>
        <v>9.7656821261791607E-142</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3.0791370586792641E-2</v>
      </c>
      <c r="C379" s="3">
        <f t="shared" si="382"/>
        <v>2.3725126548549583E-2</v>
      </c>
      <c r="D379" s="3">
        <f t="shared" si="382"/>
        <v>1.7498616249049196E-3</v>
      </c>
      <c r="E379" s="3">
        <f t="shared" si="382"/>
        <v>8.3359557604752901E-15</v>
      </c>
      <c r="F379" s="3">
        <f t="shared" si="382"/>
        <v>5.0173262548393796E-128</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2.7400957735106028E-2</v>
      </c>
      <c r="C380" s="3">
        <f t="shared" si="383"/>
        <v>2.676407962943407E-2</v>
      </c>
      <c r="D380" s="3">
        <f t="shared" si="383"/>
        <v>2.1155243017335654E-2</v>
      </c>
      <c r="E380" s="3">
        <f t="shared" si="383"/>
        <v>2.0140723671184407E-3</v>
      </c>
      <c r="F380" s="3">
        <f t="shared" si="383"/>
        <v>1.2320989725755405E-13</v>
      </c>
      <c r="G380" s="3">
        <f t="shared" si="383"/>
        <v>9.0437977074240403E-116</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4.6457586882670779E-2</v>
      </c>
      <c r="C381" s="3">
        <f t="shared" si="384"/>
        <v>4.6359133660313509E-2</v>
      </c>
      <c r="D381" s="3">
        <f t="shared" si="384"/>
        <v>4.5386004138382459E-2</v>
      </c>
      <c r="E381" s="3">
        <f t="shared" si="384"/>
        <v>3.6710332472253616E-2</v>
      </c>
      <c r="F381" s="3">
        <f t="shared" si="384"/>
        <v>4.3999932630159949E-3</v>
      </c>
      <c r="G381" s="3">
        <f t="shared" si="384"/>
        <v>2.6920861210501418E-12</v>
      </c>
      <c r="H381" s="3">
        <f t="shared" si="384"/>
        <v>1.9790570982700002E-104</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5.1682774305827732E-2</v>
      </c>
      <c r="C382" s="3">
        <f t="shared" si="385"/>
        <v>5.1672884569160256E-2</v>
      </c>
      <c r="D382" s="3">
        <f t="shared" si="385"/>
        <v>5.1574091227321053E-2</v>
      </c>
      <c r="E382" s="3">
        <f t="shared" si="385"/>
        <v>5.0596487010139884E-2</v>
      </c>
      <c r="F382" s="3">
        <f t="shared" si="385"/>
        <v>4.1783822176862183E-2</v>
      </c>
      <c r="G382" s="3">
        <f t="shared" si="385"/>
        <v>6.1643340939881745E-3</v>
      </c>
      <c r="H382" s="3">
        <f t="shared" si="385"/>
        <v>3.0106911656823929E-11</v>
      </c>
      <c r="I382" s="3">
        <f t="shared" si="385"/>
        <v>2.3252336805300511E-94</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5.2822924782310161E-2</v>
      </c>
      <c r="C383" s="3">
        <f t="shared" si="386"/>
        <v>5.2822012885384746E-2</v>
      </c>
      <c r="D383" s="3">
        <f t="shared" si="386"/>
        <v>5.2812894781913977E-2</v>
      </c>
      <c r="E383" s="3">
        <f t="shared" si="386"/>
        <v>5.2721800270270493E-2</v>
      </c>
      <c r="F383" s="3">
        <f t="shared" si="386"/>
        <v>5.181945244820068E-2</v>
      </c>
      <c r="G383" s="3">
        <f t="shared" si="386"/>
        <v>4.3603233980825065E-2</v>
      </c>
      <c r="H383" s="3">
        <f t="shared" si="386"/>
        <v>7.7584956017149233E-3</v>
      </c>
      <c r="I383" s="3">
        <f t="shared" si="386"/>
        <v>2.4681166804621531E-10</v>
      </c>
      <c r="J383" s="3">
        <f t="shared" si="386"/>
        <v>2.6196747619592008E-85</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4.2291410442886666E-2</v>
      </c>
      <c r="C384" s="3">
        <f t="shared" si="387"/>
        <v>4.229134458231773E-2</v>
      </c>
      <c r="D384" s="3">
        <f t="shared" si="387"/>
        <v>4.2290685982269448E-2</v>
      </c>
      <c r="E384" s="3">
        <f t="shared" si="387"/>
        <v>4.2284100545858454E-2</v>
      </c>
      <c r="F384" s="3">
        <f t="shared" si="387"/>
        <v>4.2218302556444633E-2</v>
      </c>
      <c r="G384" s="3">
        <f t="shared" si="387"/>
        <v>4.156592778352864E-2</v>
      </c>
      <c r="H384" s="3">
        <f t="shared" si="387"/>
        <v>3.5571697199493657E-2</v>
      </c>
      <c r="I384" s="3">
        <f t="shared" si="387"/>
        <v>7.4950695489225342E-3</v>
      </c>
      <c r="J384" s="3">
        <f t="shared" si="387"/>
        <v>1.2926664311879499E-9</v>
      </c>
      <c r="K384" s="3">
        <f t="shared" si="387"/>
        <v>3.0101941578150556E-77</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5.3725705331540703E-2</v>
      </c>
      <c r="C385" s="3">
        <f t="shared" si="388"/>
        <v>5.3725697784054414E-2</v>
      </c>
      <c r="D385" s="3">
        <f t="shared" si="388"/>
        <v>5.3725622309249786E-2</v>
      </c>
      <c r="E385" s="3">
        <f t="shared" si="388"/>
        <v>5.3724867567035067E-2</v>
      </c>
      <c r="F385" s="3">
        <f t="shared" si="388"/>
        <v>5.3717320728011005E-2</v>
      </c>
      <c r="G385" s="3">
        <f t="shared" si="388"/>
        <v>5.3641910619777883E-2</v>
      </c>
      <c r="H385" s="3">
        <f t="shared" si="388"/>
        <v>5.2893607557716611E-2</v>
      </c>
      <c r="I385" s="3">
        <f t="shared" si="388"/>
        <v>4.5961341224798495E-2</v>
      </c>
      <c r="J385" s="3">
        <f t="shared" si="388"/>
        <v>1.1279445312879261E-2</v>
      </c>
      <c r="K385" s="3">
        <f t="shared" si="388"/>
        <v>8.9379564963054637E-9</v>
      </c>
      <c r="L385" s="3">
        <f t="shared" si="388"/>
        <v>8.7245527302632408E-70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0</v>
      </c>
      <c r="C386" s="3">
        <f t="shared" si="389"/>
        <v>0</v>
      </c>
      <c r="D386" s="3">
        <f t="shared" si="389"/>
        <v>0</v>
      </c>
      <c r="E386" s="3">
        <f t="shared" si="389"/>
        <v>0</v>
      </c>
      <c r="F386" s="3">
        <f t="shared" si="389"/>
        <v>0</v>
      </c>
      <c r="G386" s="3">
        <f t="shared" si="389"/>
        <v>0</v>
      </c>
      <c r="H386" s="3">
        <f t="shared" si="389"/>
        <v>0</v>
      </c>
      <c r="I386" s="3">
        <f t="shared" si="389"/>
        <v>0</v>
      </c>
      <c r="J386" s="3">
        <f t="shared" si="389"/>
        <v>0</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7.2666326984642649E-2</v>
      </c>
      <c r="C387" s="3">
        <f t="shared" si="390"/>
        <v>7.2666326729952047E-2</v>
      </c>
      <c r="D387" s="3">
        <f t="shared" si="390"/>
        <v>7.2666324183046208E-2</v>
      </c>
      <c r="E387" s="3">
        <f t="shared" si="390"/>
        <v>7.2666298713992661E-2</v>
      </c>
      <c r="F387" s="3">
        <f t="shared" si="390"/>
        <v>7.2666044023948245E-2</v>
      </c>
      <c r="G387" s="3">
        <f t="shared" si="390"/>
        <v>7.2663497172600316E-2</v>
      </c>
      <c r="H387" s="3">
        <f t="shared" si="390"/>
        <v>7.2638033568117405E-2</v>
      </c>
      <c r="I387" s="3">
        <f t="shared" si="390"/>
        <v>7.2383887786901316E-2</v>
      </c>
      <c r="J387" s="3">
        <f t="shared" si="390"/>
        <v>6.9890826466488892E-2</v>
      </c>
      <c r="K387" s="3">
        <f t="shared" si="390"/>
        <v>4.9226944541416504E-2</v>
      </c>
      <c r="L387" s="3">
        <f t="shared" si="390"/>
        <v>1.4792103068659742E-3</v>
      </c>
      <c r="M387" s="3">
        <f t="shared" si="390"/>
        <v>8.8776978958765674E-19</v>
      </c>
      <c r="N387" s="3">
        <f t="shared" si="390"/>
        <v>5.3827565804809809E-171</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2.5077417844066436E-2</v>
      </c>
      <c r="C388" s="3">
        <f t="shared" si="391"/>
        <v>2.507741783527697E-2</v>
      </c>
      <c r="D388" s="3">
        <f t="shared" si="391"/>
        <v>2.5077417747382307E-2</v>
      </c>
      <c r="E388" s="3">
        <f t="shared" si="391"/>
        <v>2.5077416868435693E-2</v>
      </c>
      <c r="F388" s="3">
        <f t="shared" si="391"/>
        <v>2.5077408078971245E-2</v>
      </c>
      <c r="G388" s="3">
        <f t="shared" si="391"/>
        <v>2.5077320184496217E-2</v>
      </c>
      <c r="H388" s="3">
        <f t="shared" si="391"/>
        <v>2.5076441256689262E-2</v>
      </c>
      <c r="I388" s="3">
        <f t="shared" si="391"/>
        <v>2.5067653672732455E-2</v>
      </c>
      <c r="J388" s="3">
        <f t="shared" si="391"/>
        <v>2.4979947024948046E-2</v>
      </c>
      <c r="K388" s="3">
        <f t="shared" si="391"/>
        <v>2.411958235515866E-2</v>
      </c>
      <c r="L388" s="3">
        <f t="shared" si="391"/>
        <v>1.6988400380825708E-2</v>
      </c>
      <c r="M388" s="3">
        <f t="shared" si="391"/>
        <v>5.104809403586062E-4</v>
      </c>
      <c r="N388" s="3">
        <f t="shared" si="391"/>
        <v>3.0637263336195125E-19</v>
      </c>
      <c r="O388" s="3">
        <f t="shared" si="391"/>
        <v>1.857609177120459E-171</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6.9691000346861848E-2</v>
      </c>
      <c r="C389" s="3">
        <f t="shared" si="392"/>
        <v>6.9691000344419218E-2</v>
      </c>
      <c r="D389" s="3">
        <f t="shared" si="392"/>
        <v>6.9691000319992993E-2</v>
      </c>
      <c r="E389" s="3">
        <f t="shared" si="392"/>
        <v>6.9691000075730716E-2</v>
      </c>
      <c r="F389" s="3">
        <f t="shared" si="392"/>
        <v>6.969099763310807E-2</v>
      </c>
      <c r="G389" s="3">
        <f t="shared" si="392"/>
        <v>6.9690973206886303E-2</v>
      </c>
      <c r="H389" s="3">
        <f t="shared" si="392"/>
        <v>6.9690728945139432E-2</v>
      </c>
      <c r="I389" s="3">
        <f t="shared" si="392"/>
        <v>6.9688286374756866E-2</v>
      </c>
      <c r="J389" s="3">
        <f t="shared" si="392"/>
        <v>6.9663865378928325E-2</v>
      </c>
      <c r="K389" s="3">
        <f t="shared" si="392"/>
        <v>6.9420125610386033E-2</v>
      </c>
      <c r="L389" s="3">
        <f t="shared" si="392"/>
        <v>6.7029142819755319E-2</v>
      </c>
      <c r="M389" s="3">
        <f t="shared" si="392"/>
        <v>4.7211344650916184E-2</v>
      </c>
      <c r="N389" s="3">
        <f t="shared" si="392"/>
        <v>1.4186439613346666E-3</v>
      </c>
      <c r="O389" s="3">
        <f t="shared" si="392"/>
        <v>8.5142000782988602E-19</v>
      </c>
      <c r="P389" s="3">
        <f t="shared" si="392"/>
        <v>5.1623593229368072E-171</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3.368079194149206E-2</v>
      </c>
      <c r="C390" s="3">
        <f t="shared" si="393"/>
        <v>3.3680791941374008E-2</v>
      </c>
      <c r="D390" s="3">
        <f t="shared" si="393"/>
        <v>3.3680791940193515E-2</v>
      </c>
      <c r="E390" s="3">
        <f t="shared" si="393"/>
        <v>3.3680791928388631E-2</v>
      </c>
      <c r="F390" s="3">
        <f t="shared" si="393"/>
        <v>3.3680791810339721E-2</v>
      </c>
      <c r="G390" s="3">
        <f t="shared" si="393"/>
        <v>3.3680790629850632E-2</v>
      </c>
      <c r="H390" s="3">
        <f t="shared" si="393"/>
        <v>3.3680778824962065E-2</v>
      </c>
      <c r="I390" s="3">
        <f t="shared" si="393"/>
        <v>3.3680660776303925E-2</v>
      </c>
      <c r="J390" s="3">
        <f t="shared" si="393"/>
        <v>3.3679480312478638E-2</v>
      </c>
      <c r="K390" s="3">
        <f t="shared" si="393"/>
        <v>3.3667677949542126E-2</v>
      </c>
      <c r="L390" s="3">
        <f t="shared" si="393"/>
        <v>3.35498815570201E-2</v>
      </c>
      <c r="M390" s="3">
        <f t="shared" si="393"/>
        <v>3.2394349372005839E-2</v>
      </c>
      <c r="N390" s="3">
        <f t="shared" si="393"/>
        <v>2.2816654496933347E-2</v>
      </c>
      <c r="O390" s="3">
        <f t="shared" si="393"/>
        <v>6.8561294661845251E-4</v>
      </c>
      <c r="P390" s="3">
        <f t="shared" si="393"/>
        <v>4.1148067893579478E-19</v>
      </c>
      <c r="Q390" s="3">
        <f t="shared" si="393"/>
        <v>2.4949039247113689E-171</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4.4447852801268076E-2</v>
      </c>
      <c r="C391" s="3">
        <f t="shared" si="394"/>
        <v>4.4447852801252498E-2</v>
      </c>
      <c r="D391" s="3">
        <f t="shared" si="394"/>
        <v>4.4447852801096713E-2</v>
      </c>
      <c r="E391" s="3">
        <f t="shared" si="394"/>
        <v>4.4447852799538848E-2</v>
      </c>
      <c r="F391" s="3">
        <f t="shared" si="394"/>
        <v>4.4447852783960178E-2</v>
      </c>
      <c r="G391" s="3">
        <f t="shared" si="394"/>
        <v>4.444785262817344E-2</v>
      </c>
      <c r="H391" s="3">
        <f t="shared" si="394"/>
        <v>4.4447851070306119E-2</v>
      </c>
      <c r="I391" s="3">
        <f t="shared" si="394"/>
        <v>4.4447835491635924E-2</v>
      </c>
      <c r="J391" s="3">
        <f t="shared" si="394"/>
        <v>4.4447679705234305E-2</v>
      </c>
      <c r="K391" s="3">
        <f t="shared" si="394"/>
        <v>4.4446121871248842E-2</v>
      </c>
      <c r="L391" s="3">
        <f t="shared" si="394"/>
        <v>4.4430546534082772E-2</v>
      </c>
      <c r="M391" s="3">
        <f t="shared" si="394"/>
        <v>4.4275093042239921E-2</v>
      </c>
      <c r="N391" s="3">
        <f t="shared" si="394"/>
        <v>4.2750160832930706E-2</v>
      </c>
      <c r="O391" s="3">
        <f t="shared" si="394"/>
        <v>3.0110672642687346E-2</v>
      </c>
      <c r="P391" s="3">
        <f t="shared" si="394"/>
        <v>9.0478939399249675E-4</v>
      </c>
      <c r="Q391" s="3">
        <f t="shared" si="394"/>
        <v>5.4302264268812064E-19</v>
      </c>
      <c r="R391" s="3">
        <f t="shared" si="394"/>
        <v>3.2924737218612301E-171</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1.231007657554322E-2</v>
      </c>
      <c r="C392" s="3">
        <f t="shared" si="395"/>
        <v>1.2310076575542788E-2</v>
      </c>
      <c r="D392" s="3">
        <f t="shared" si="395"/>
        <v>1.2310076575538474E-2</v>
      </c>
      <c r="E392" s="3">
        <f t="shared" si="395"/>
        <v>1.231007657549533E-2</v>
      </c>
      <c r="F392" s="3">
        <f t="shared" si="395"/>
        <v>1.2310076575063868E-2</v>
      </c>
      <c r="G392" s="3">
        <f t="shared" si="395"/>
        <v>1.231007657074927E-2</v>
      </c>
      <c r="H392" s="3">
        <f t="shared" si="395"/>
        <v>1.231007652760328E-2</v>
      </c>
      <c r="I392" s="3">
        <f t="shared" si="395"/>
        <v>1.2310076096143381E-2</v>
      </c>
      <c r="J392" s="3">
        <f t="shared" si="395"/>
        <v>1.2310071781545242E-2</v>
      </c>
      <c r="K392" s="3">
        <f t="shared" si="395"/>
        <v>1.2310028635647015E-2</v>
      </c>
      <c r="L392" s="3">
        <f t="shared" si="395"/>
        <v>1.2309597184981924E-2</v>
      </c>
      <c r="M392" s="3">
        <f t="shared" si="395"/>
        <v>1.2305283509942063E-2</v>
      </c>
      <c r="N392" s="3">
        <f t="shared" si="395"/>
        <v>1.2262229812903487E-2</v>
      </c>
      <c r="O392" s="3">
        <f t="shared" si="395"/>
        <v>1.1839891475143052E-2</v>
      </c>
      <c r="P392" s="3">
        <f t="shared" si="395"/>
        <v>8.3393159086867681E-3</v>
      </c>
      <c r="Q392" s="3">
        <f t="shared" si="395"/>
        <v>2.5058638433190697E-4</v>
      </c>
      <c r="R392" s="3">
        <f t="shared" si="395"/>
        <v>1.5039309870900369E-19</v>
      </c>
      <c r="S392" s="3">
        <f t="shared" si="395"/>
        <v>9.1186865246992973E-172</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1.4823378253451739E-2</v>
      </c>
      <c r="C393" s="3">
        <f t="shared" si="396"/>
        <v>1.4823378253451688E-2</v>
      </c>
      <c r="D393" s="3">
        <f t="shared" si="396"/>
        <v>1.4823378253451168E-2</v>
      </c>
      <c r="E393" s="3">
        <f t="shared" si="396"/>
        <v>1.4823378253445972E-2</v>
      </c>
      <c r="F393" s="3">
        <f t="shared" si="396"/>
        <v>1.4823378253394019E-2</v>
      </c>
      <c r="G393" s="3">
        <f t="shared" si="396"/>
        <v>1.4823378252874468E-2</v>
      </c>
      <c r="H393" s="3">
        <f t="shared" si="396"/>
        <v>1.4823378247678974E-2</v>
      </c>
      <c r="I393" s="3">
        <f t="shared" si="396"/>
        <v>1.4823378195724031E-2</v>
      </c>
      <c r="J393" s="3">
        <f t="shared" si="396"/>
        <v>1.4823377676174601E-2</v>
      </c>
      <c r="K393" s="3">
        <f t="shared" si="396"/>
        <v>1.4823372480681312E-2</v>
      </c>
      <c r="L393" s="3">
        <f t="shared" si="396"/>
        <v>1.482332052584857E-2</v>
      </c>
      <c r="M393" s="3">
        <f t="shared" si="396"/>
        <v>1.4822800987536432E-2</v>
      </c>
      <c r="N393" s="3">
        <f t="shared" si="396"/>
        <v>1.4817606605812977E-2</v>
      </c>
      <c r="O393" s="3">
        <f t="shared" si="396"/>
        <v>1.47657627986282E-2</v>
      </c>
      <c r="P393" s="3">
        <f t="shared" si="396"/>
        <v>1.4257197243155145E-2</v>
      </c>
      <c r="Q393" s="3">
        <f t="shared" si="396"/>
        <v>1.0041922430855077E-2</v>
      </c>
      <c r="R393" s="3">
        <f t="shared" si="396"/>
        <v>3.0174765667148265E-4</v>
      </c>
      <c r="S393" s="3">
        <f t="shared" si="396"/>
        <v>1.810982876663285E-19</v>
      </c>
      <c r="T393" s="3">
        <f t="shared" si="396"/>
        <v>1.0980414191640049E-171</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7.924341887142665E-4</v>
      </c>
      <c r="C394" s="3">
        <f t="shared" si="397"/>
        <v>7.9243418871426617E-4</v>
      </c>
      <c r="D394" s="3">
        <f t="shared" si="397"/>
        <v>7.9243418871426346E-4</v>
      </c>
      <c r="E394" s="3">
        <f t="shared" si="397"/>
        <v>7.924341887142356E-4</v>
      </c>
      <c r="F394" s="3">
        <f t="shared" si="397"/>
        <v>7.9243418871395783E-4</v>
      </c>
      <c r="G394" s="3">
        <f t="shared" si="397"/>
        <v>7.9243418871118053E-4</v>
      </c>
      <c r="H394" s="3">
        <f t="shared" si="397"/>
        <v>7.924341886834062E-4</v>
      </c>
      <c r="I394" s="3">
        <f t="shared" si="397"/>
        <v>7.9243418840566331E-4</v>
      </c>
      <c r="J394" s="3">
        <f t="shared" si="397"/>
        <v>7.9243418562823474E-4</v>
      </c>
      <c r="K394" s="3">
        <f t="shared" si="397"/>
        <v>7.9243415785394992E-4</v>
      </c>
      <c r="L394" s="3">
        <f t="shared" si="397"/>
        <v>7.9243388011115479E-4</v>
      </c>
      <c r="M394" s="3">
        <f t="shared" si="397"/>
        <v>7.9243110268855722E-4</v>
      </c>
      <c r="N394" s="3">
        <f t="shared" si="397"/>
        <v>7.924033289979824E-4</v>
      </c>
      <c r="O394" s="3">
        <f t="shared" si="397"/>
        <v>7.9212564562537193E-4</v>
      </c>
      <c r="P394" s="3">
        <f t="shared" si="397"/>
        <v>7.8935415827721895E-4</v>
      </c>
      <c r="Q394" s="3">
        <f t="shared" si="397"/>
        <v>7.6216705379477973E-4</v>
      </c>
      <c r="R394" s="3">
        <f t="shared" si="397"/>
        <v>5.3682517699858701E-4</v>
      </c>
      <c r="S394" s="3">
        <f t="shared" si="397"/>
        <v>1.6130949060496207E-5</v>
      </c>
      <c r="T394" s="3">
        <f t="shared" si="397"/>
        <v>9.6812259803862693E-21</v>
      </c>
      <c r="U394" s="3">
        <f t="shared" si="397"/>
        <v>5.8699545157142172E-173</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4.201469826442498E-3</v>
      </c>
      <c r="C395" s="3">
        <f t="shared" si="398"/>
        <v>4.201469826442498E-3</v>
      </c>
      <c r="D395" s="3">
        <f t="shared" si="398"/>
        <v>4.2014698264424962E-3</v>
      </c>
      <c r="E395" s="3">
        <f t="shared" si="398"/>
        <v>4.2014698264424815E-3</v>
      </c>
      <c r="F395" s="3">
        <f t="shared" si="398"/>
        <v>4.201469826442334E-3</v>
      </c>
      <c r="G395" s="3">
        <f t="shared" si="398"/>
        <v>4.2014698264408613E-3</v>
      </c>
      <c r="H395" s="3">
        <f t="shared" si="398"/>
        <v>4.2014698264261361E-3</v>
      </c>
      <c r="I395" s="3">
        <f t="shared" si="398"/>
        <v>4.2014698262788771E-3</v>
      </c>
      <c r="J395" s="3">
        <f t="shared" si="398"/>
        <v>4.2014698248062903E-3</v>
      </c>
      <c r="K395" s="3">
        <f t="shared" si="398"/>
        <v>4.2014698100804214E-3</v>
      </c>
      <c r="L395" s="3">
        <f t="shared" si="398"/>
        <v>4.2014696628217317E-3</v>
      </c>
      <c r="M395" s="3">
        <f t="shared" si="398"/>
        <v>4.2014681902351244E-3</v>
      </c>
      <c r="N395" s="3">
        <f t="shared" si="398"/>
        <v>4.2014534643974397E-3</v>
      </c>
      <c r="O395" s="3">
        <f t="shared" si="398"/>
        <v>4.2013062088592755E-3</v>
      </c>
      <c r="P395" s="3">
        <f t="shared" si="398"/>
        <v>4.1998339373092303E-3</v>
      </c>
      <c r="Q395" s="3">
        <f t="shared" si="398"/>
        <v>4.1851395681950891E-3</v>
      </c>
      <c r="R395" s="3">
        <f t="shared" si="398"/>
        <v>4.0409940974694501E-3</v>
      </c>
      <c r="S395" s="3">
        <f t="shared" si="398"/>
        <v>2.8462360854138785E-3</v>
      </c>
      <c r="T395" s="3">
        <f t="shared" si="398"/>
        <v>8.5525961290892026E-5</v>
      </c>
      <c r="U395" s="3">
        <f t="shared" si="398"/>
        <v>5.1329661716842843E-20</v>
      </c>
      <c r="V395" s="3">
        <f t="shared" si="398"/>
        <v>3.1122378528844465E-172</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6.8476297618842216E-3</v>
      </c>
      <c r="C396" s="3">
        <f t="shared" si="399"/>
        <v>6.8476297618842216E-3</v>
      </c>
      <c r="D396" s="3">
        <f t="shared" si="399"/>
        <v>6.8476297618842216E-3</v>
      </c>
      <c r="E396" s="3">
        <f t="shared" si="399"/>
        <v>6.8476297618842181E-3</v>
      </c>
      <c r="F396" s="3">
        <f t="shared" si="399"/>
        <v>6.8476297618841947E-3</v>
      </c>
      <c r="G396" s="3">
        <f t="shared" si="399"/>
        <v>6.8476297618839544E-3</v>
      </c>
      <c r="H396" s="3">
        <f t="shared" si="399"/>
        <v>6.8476297618815544E-3</v>
      </c>
      <c r="I396" s="3">
        <f t="shared" si="399"/>
        <v>6.8476297618575545E-3</v>
      </c>
      <c r="J396" s="3">
        <f t="shared" si="399"/>
        <v>6.8476297616175495E-3</v>
      </c>
      <c r="K396" s="3">
        <f t="shared" si="399"/>
        <v>6.8476297592175014E-3</v>
      </c>
      <c r="L396" s="3">
        <f t="shared" si="399"/>
        <v>6.8476297352170193E-3</v>
      </c>
      <c r="M396" s="3">
        <f t="shared" si="399"/>
        <v>6.8476294952122055E-3</v>
      </c>
      <c r="N396" s="3">
        <f t="shared" si="399"/>
        <v>6.8476270951645336E-3</v>
      </c>
      <c r="O396" s="3">
        <f t="shared" si="399"/>
        <v>6.8476030947340737E-3</v>
      </c>
      <c r="P396" s="3">
        <f t="shared" si="399"/>
        <v>6.8473630950560103E-3</v>
      </c>
      <c r="Q396" s="3">
        <f t="shared" si="399"/>
        <v>6.8449635608691366E-3</v>
      </c>
      <c r="R396" s="3">
        <f t="shared" si="399"/>
        <v>6.8210144184416869E-3</v>
      </c>
      <c r="S396" s="3">
        <f t="shared" si="399"/>
        <v>6.586083583244552E-3</v>
      </c>
      <c r="T396" s="3">
        <f t="shared" si="399"/>
        <v>4.6388458641702587E-3</v>
      </c>
      <c r="U396" s="3">
        <f t="shared" si="399"/>
        <v>1.3939172293072409E-4</v>
      </c>
      <c r="V396" s="3">
        <f t="shared" si="399"/>
        <v>8.3657989646284255E-20</v>
      </c>
      <c r="W396" s="3">
        <f t="shared" si="399"/>
        <v>5.0723802449675533E-172</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6.0166267038251585E-2</v>
      </c>
      <c r="B397" s="80">
        <f>IF($A$64&lt;=B363,IF($B$64&gt;=B363,ABS((B365-B364)/B364),0),0)</f>
        <v>3.476836403000156E-2</v>
      </c>
      <c r="C397" s="80">
        <f t="shared" ref="C397:AF397" si="400">IF($A$64&lt;=C363,IF($B$64&gt;=C363,ABS((C365-C364)/C364),0),0)</f>
        <v>5.0746979423247601E-2</v>
      </c>
      <c r="D397" s="80">
        <f t="shared" si="400"/>
        <v>4.9070439520479091E-2</v>
      </c>
      <c r="E397" s="80">
        <f t="shared" si="400"/>
        <v>4.5590175492829552E-2</v>
      </c>
      <c r="F397" s="80">
        <f t="shared" si="400"/>
        <v>1.5195342343699621E-2</v>
      </c>
      <c r="G397" s="80">
        <f t="shared" si="400"/>
        <v>1.9746730864343594E-2</v>
      </c>
      <c r="H397" s="80">
        <f t="shared" si="400"/>
        <v>5.3369269788904827E-2</v>
      </c>
      <c r="I397" s="80">
        <f t="shared" si="400"/>
        <v>6.8029553972534101E-2</v>
      </c>
      <c r="J397" s="80">
        <f t="shared" si="400"/>
        <v>7.845678492982977E-2</v>
      </c>
      <c r="K397" s="80">
        <f t="shared" si="400"/>
        <v>3.0819263865039095E-2</v>
      </c>
      <c r="L397" s="80">
        <f t="shared" si="400"/>
        <v>3.053604031410604E-2</v>
      </c>
      <c r="M397" s="80">
        <f t="shared" si="400"/>
        <v>8.4556594949848601E-2</v>
      </c>
      <c r="N397" s="80">
        <f t="shared" si="400"/>
        <v>9.1104522669398239E-2</v>
      </c>
      <c r="O397" s="80">
        <f t="shared" si="400"/>
        <v>0.15052805879477654</v>
      </c>
      <c r="P397" s="80">
        <f t="shared" si="400"/>
        <v>2.6119122357777792E-2</v>
      </c>
      <c r="Q397" s="80">
        <f t="shared" si="400"/>
        <v>9.5330860363080229E-4</v>
      </c>
      <c r="R397" s="80">
        <f t="shared" si="400"/>
        <v>8.9797653069825151E-2</v>
      </c>
      <c r="S397" s="80">
        <f t="shared" si="400"/>
        <v>6.0687283851315381E-2</v>
      </c>
      <c r="T397" s="80">
        <f t="shared" si="400"/>
        <v>0.10612682292506441</v>
      </c>
      <c r="U397" s="80">
        <f t="shared" si="400"/>
        <v>0.17338065484430495</v>
      </c>
      <c r="V397" s="80">
        <f t="shared" si="400"/>
        <v>0.11123633030437111</v>
      </c>
      <c r="W397" s="80">
        <f t="shared" si="400"/>
        <v>7.7713937558464216E-2</v>
      </c>
      <c r="X397" s="80">
        <f t="shared" si="400"/>
        <v>6.4696421243010852E-2</v>
      </c>
      <c r="Y397" s="80">
        <f t="shared" si="400"/>
        <v>5.6570168905921973E-2</v>
      </c>
      <c r="Z397" s="80">
        <f t="shared" si="400"/>
        <v>5.0501740280884236E-2</v>
      </c>
      <c r="AA397" s="80">
        <f t="shared" si="400"/>
        <v>4.8519286469507719E-2</v>
      </c>
      <c r="AB397" s="80">
        <f t="shared" si="400"/>
        <v>4.3079238464676282E-2</v>
      </c>
      <c r="AC397" s="80">
        <f t="shared" si="400"/>
        <v>4.252995213555532E-2</v>
      </c>
      <c r="AD397" s="80">
        <f t="shared" si="400"/>
        <v>3.7450900472284852E-2</v>
      </c>
      <c r="AE397" s="80">
        <f t="shared" si="400"/>
        <v>3.7291290741141965E-2</v>
      </c>
      <c r="AF397" s="80">
        <f t="shared" si="400"/>
        <v>3.5982044999023986E-2</v>
      </c>
    </row>
    <row r="398" spans="1:34" x14ac:dyDescent="0.25">
      <c r="B398" s="21">
        <f>(B365-B364)^2</f>
        <v>18040.889485442916</v>
      </c>
      <c r="C398" s="21">
        <f t="shared" ref="C398:AF398" si="401">(C365-C364)^2</f>
        <v>34105.793278235506</v>
      </c>
      <c r="D398" s="21">
        <f t="shared" si="401"/>
        <v>28979.984398250919</v>
      </c>
      <c r="E398" s="21">
        <f t="shared" si="401"/>
        <v>22625.002480578292</v>
      </c>
      <c r="F398" s="21">
        <f t="shared" si="401"/>
        <v>2260.7543512890643</v>
      </c>
      <c r="G398" s="21">
        <f t="shared" si="401"/>
        <v>3350.6518097358517</v>
      </c>
      <c r="H398" s="21">
        <f t="shared" si="401"/>
        <v>21018.042274661082</v>
      </c>
      <c r="I398" s="21">
        <f t="shared" si="401"/>
        <v>28311.487242354753</v>
      </c>
      <c r="J398" s="21">
        <f t="shared" si="401"/>
        <v>29805.153690163468</v>
      </c>
      <c r="K398" s="21">
        <f t="shared" si="401"/>
        <v>3361.0834296755684</v>
      </c>
      <c r="L398" s="21">
        <f t="shared" si="401"/>
        <v>2137.3482033951673</v>
      </c>
      <c r="M398" s="21">
        <f t="shared" si="401"/>
        <v>9132.6926554922957</v>
      </c>
      <c r="N398" s="21">
        <f t="shared" si="401"/>
        <v>5277.7220196728795</v>
      </c>
      <c r="O398" s="21">
        <f t="shared" si="401"/>
        <v>7078.9153179070327</v>
      </c>
      <c r="P398" s="21">
        <f t="shared" si="401"/>
        <v>121.57464248054853</v>
      </c>
      <c r="Q398" s="21">
        <f t="shared" si="401"/>
        <v>0.11183003848843175</v>
      </c>
      <c r="R398" s="21">
        <f t="shared" si="401"/>
        <v>800.79046313115214</v>
      </c>
      <c r="S398" s="21">
        <f t="shared" si="401"/>
        <v>310.85490213175274</v>
      </c>
      <c r="T398" s="21">
        <f t="shared" si="401"/>
        <v>836.78992588687674</v>
      </c>
      <c r="U398" s="21">
        <f t="shared" si="401"/>
        <v>2038.5370122219044</v>
      </c>
      <c r="V398" s="21">
        <f t="shared" si="401"/>
        <v>720.0456793414138</v>
      </c>
      <c r="W398" s="21">
        <f t="shared" si="401"/>
        <v>326.36671977118777</v>
      </c>
      <c r="X398" s="21">
        <f t="shared" si="401"/>
        <v>219.93515474748017</v>
      </c>
      <c r="Y398" s="21">
        <f t="shared" si="401"/>
        <v>165.27039751529097</v>
      </c>
      <c r="Z398" s="21">
        <f t="shared" si="401"/>
        <v>130.03602091787238</v>
      </c>
      <c r="AA398" s="21">
        <f t="shared" si="401"/>
        <v>119.52758955248829</v>
      </c>
      <c r="AB398" s="21">
        <f t="shared" si="401"/>
        <v>93.158697990438142</v>
      </c>
      <c r="AC398" s="21">
        <f t="shared" si="401"/>
        <v>90.69403486809523</v>
      </c>
      <c r="AD398" s="21">
        <f t="shared" si="401"/>
        <v>69.585391386162115</v>
      </c>
      <c r="AE398" s="21">
        <f t="shared" si="401"/>
        <v>68.970656428098678</v>
      </c>
      <c r="AF398" s="21">
        <f t="shared" si="401"/>
        <v>64.038443685057345</v>
      </c>
      <c r="AG398" s="3"/>
      <c r="AH398" s="3"/>
    </row>
    <row r="399" spans="1:34" x14ac:dyDescent="0.25">
      <c r="A399" s="71">
        <f>SUM(B399:AF399)</f>
        <v>221661.80819894909</v>
      </c>
      <c r="B399" s="60">
        <f>IF($A$64&lt;=B363,IF($B$64&gt;=B363,ABS(B398),0),0)</f>
        <v>18040.889485442916</v>
      </c>
      <c r="C399" s="60">
        <f t="shared" ref="C399" si="402">IF($A$64&lt;=C363,IF($B$64&gt;=C363,ABS(C398),0),0)</f>
        <v>34105.793278235506</v>
      </c>
      <c r="D399" s="60">
        <f t="shared" ref="D399" si="403">IF($A$64&lt;=D363,IF($B$64&gt;=D363,ABS(D398),0),0)</f>
        <v>28979.984398250919</v>
      </c>
      <c r="E399" s="60">
        <f t="shared" ref="E399" si="404">IF($A$64&lt;=E363,IF($B$64&gt;=E363,ABS(E398),0),0)</f>
        <v>22625.002480578292</v>
      </c>
      <c r="F399" s="60">
        <f t="shared" ref="F399" si="405">IF($A$64&lt;=F363,IF($B$64&gt;=F363,ABS(F398),0),0)</f>
        <v>2260.7543512890643</v>
      </c>
      <c r="G399" s="60">
        <f t="shared" ref="G399" si="406">IF($A$64&lt;=G363,IF($B$64&gt;=G363,ABS(G398),0),0)</f>
        <v>3350.6518097358517</v>
      </c>
      <c r="H399" s="60">
        <f t="shared" ref="H399" si="407">IF($A$64&lt;=H363,IF($B$64&gt;=H363,ABS(H398),0),0)</f>
        <v>21018.042274661082</v>
      </c>
      <c r="I399" s="60">
        <f t="shared" ref="I399" si="408">IF($A$64&lt;=I363,IF($B$64&gt;=I363,ABS(I398),0),0)</f>
        <v>28311.487242354753</v>
      </c>
      <c r="J399" s="60">
        <f t="shared" ref="J399" si="409">IF($A$64&lt;=J363,IF($B$64&gt;=J363,ABS(J398),0),0)</f>
        <v>29805.153690163468</v>
      </c>
      <c r="K399" s="60">
        <f t="shared" ref="K399" si="410">IF($A$64&lt;=K363,IF($B$64&gt;=K363,ABS(K398),0),0)</f>
        <v>3361.0834296755684</v>
      </c>
      <c r="L399" s="60">
        <f t="shared" ref="L399" si="411">IF($A$64&lt;=L363,IF($B$64&gt;=L363,ABS(L398),0),0)</f>
        <v>2137.3482033951673</v>
      </c>
      <c r="M399" s="60">
        <f t="shared" ref="M399" si="412">IF($A$64&lt;=M363,IF($B$64&gt;=M363,ABS(M398),0),0)</f>
        <v>9132.6926554922957</v>
      </c>
      <c r="N399" s="60">
        <f t="shared" ref="N399" si="413">IF($A$64&lt;=N363,IF($B$64&gt;=N363,ABS(N398),0),0)</f>
        <v>5277.7220196728795</v>
      </c>
      <c r="O399" s="60">
        <f t="shared" ref="O399" si="414">IF($A$64&lt;=O363,IF($B$64&gt;=O363,ABS(O398),0),0)</f>
        <v>7078.9153179070327</v>
      </c>
      <c r="P399" s="60">
        <f t="shared" ref="P399" si="415">IF($A$64&lt;=P363,IF($B$64&gt;=P363,ABS(P398),0),0)</f>
        <v>121.57464248054853</v>
      </c>
      <c r="Q399" s="60">
        <f t="shared" ref="Q399" si="416">IF($A$64&lt;=Q363,IF($B$64&gt;=Q363,ABS(Q398),0),0)</f>
        <v>0.11183003848843175</v>
      </c>
      <c r="R399" s="60">
        <f t="shared" ref="R399" si="417">IF($A$64&lt;=R363,IF($B$64&gt;=R363,ABS(R398),0),0)</f>
        <v>800.79046313115214</v>
      </c>
      <c r="S399" s="60">
        <f t="shared" ref="S399" si="418">IF($A$64&lt;=S363,IF($B$64&gt;=S363,ABS(S398),0),0)</f>
        <v>310.85490213175274</v>
      </c>
      <c r="T399" s="60">
        <f t="shared" ref="T399" si="419">IF($A$64&lt;=T363,IF($B$64&gt;=T363,ABS(T398),0),0)</f>
        <v>836.78992588687674</v>
      </c>
      <c r="U399" s="60">
        <f t="shared" ref="U399" si="420">IF($A$64&lt;=U363,IF($B$64&gt;=U363,ABS(U398),0),0)</f>
        <v>2038.5370122219044</v>
      </c>
      <c r="V399" s="60">
        <f t="shared" ref="V399" si="421">IF($A$64&lt;=V363,IF($B$64&gt;=V363,ABS(V398),0),0)</f>
        <v>720.0456793414138</v>
      </c>
      <c r="W399" s="60">
        <f t="shared" ref="W399" si="422">IF($A$64&lt;=W363,IF($B$64&gt;=W363,ABS(W398),0),0)</f>
        <v>326.36671977118777</v>
      </c>
      <c r="X399" s="60">
        <f t="shared" ref="X399" si="423">IF($A$64&lt;=X363,IF($B$64&gt;=X363,ABS(X398),0),0)</f>
        <v>219.93515474748017</v>
      </c>
      <c r="Y399" s="60">
        <f t="shared" ref="Y399" si="424">IF($A$64&lt;=Y363,IF($B$64&gt;=Y363,ABS(Y398),0),0)</f>
        <v>165.27039751529097</v>
      </c>
      <c r="Z399" s="60">
        <f t="shared" ref="Z399" si="425">IF($A$64&lt;=Z363,IF($B$64&gt;=Z363,ABS(Z398),0),0)</f>
        <v>130.03602091787238</v>
      </c>
      <c r="AA399" s="60">
        <f t="shared" ref="AA399" si="426">IF($A$64&lt;=AA363,IF($B$64&gt;=AA363,ABS(AA398),0),0)</f>
        <v>119.52758955248829</v>
      </c>
      <c r="AB399" s="60">
        <f t="shared" ref="AB399" si="427">IF($A$64&lt;=AB363,IF($B$64&gt;=AB363,ABS(AB398),0),0)</f>
        <v>93.158697990438142</v>
      </c>
      <c r="AC399" s="60">
        <f t="shared" ref="AC399" si="428">IF($A$64&lt;=AC363,IF($B$64&gt;=AC363,ABS(AC398),0),0)</f>
        <v>90.69403486809523</v>
      </c>
      <c r="AD399" s="60">
        <f t="shared" ref="AD399" si="429">IF($A$64&lt;=AD363,IF($B$64&gt;=AD363,ABS(AD398),0),0)</f>
        <v>69.585391386162115</v>
      </c>
      <c r="AE399" s="60">
        <f t="shared" ref="AE399" si="430">IF($A$64&lt;=AE363,IF($B$64&gt;=AE363,ABS(AE398),0),0)</f>
        <v>68.970656428098678</v>
      </c>
      <c r="AF399" s="60">
        <f t="shared" ref="AF399" si="431">IF($A$64&lt;=AF363,IF($B$64&gt;=AF363,ABS(AF398),0),0)</f>
        <v>64.038443685057345</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-26.816546265645783</v>
      </c>
      <c r="C403" s="107">
        <f t="shared" ref="C403:H403" si="432">IF(C125=$B$2,0,C126)</f>
        <v>-16.655816896481024</v>
      </c>
      <c r="D403" s="107">
        <f t="shared" si="432"/>
        <v>-11.048263335164281</v>
      </c>
      <c r="E403" s="107">
        <f t="shared" si="432"/>
        <v>-6.0345060932417978</v>
      </c>
      <c r="F403" s="107">
        <f t="shared" si="432"/>
        <v>0</v>
      </c>
      <c r="G403" s="107">
        <f t="shared" si="432"/>
        <v>15.134789782053895</v>
      </c>
      <c r="H403" s="107">
        <f t="shared" si="432"/>
        <v>28.990552967278404</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2.2579895783499054E-27</v>
      </c>
      <c r="C404" s="3">
        <f t="shared" ref="C404:H419" si="433">$A404/EXP(-C$403)</f>
        <v>5.840777067379747E-23</v>
      </c>
      <c r="D404" s="3">
        <f t="shared" si="433"/>
        <v>1.5914763856031342E-20</v>
      </c>
      <c r="E404" s="3">
        <f t="shared" si="433"/>
        <v>2.3946789834473508E-18</v>
      </c>
      <c r="F404" s="3">
        <f t="shared" si="433"/>
        <v>1.0000000000000001E-15</v>
      </c>
      <c r="G404" s="3">
        <f t="shared" si="433"/>
        <v>3.7407241814633837E-9</v>
      </c>
      <c r="H404" s="3">
        <f t="shared" si="433"/>
        <v>3.8943697310446766E-3</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2.2579895783499055E-26</v>
      </c>
      <c r="C405" s="3">
        <f t="shared" si="433"/>
        <v>5.8407770673797463E-22</v>
      </c>
      <c r="D405" s="3">
        <f t="shared" si="433"/>
        <v>1.5914763856031341E-19</v>
      </c>
      <c r="E405" s="3">
        <f t="shared" si="433"/>
        <v>2.3946789834473506E-17</v>
      </c>
      <c r="F405" s="3">
        <f t="shared" si="433"/>
        <v>1E-14</v>
      </c>
      <c r="G405" s="3">
        <f t="shared" si="433"/>
        <v>3.7407241814633831E-8</v>
      </c>
      <c r="H405" s="3">
        <f t="shared" si="433"/>
        <v>3.8943697310446765E-2</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2.2579895783499055E-25</v>
      </c>
      <c r="C406" s="3">
        <f t="shared" si="433"/>
        <v>5.8407770673797465E-21</v>
      </c>
      <c r="D406" s="3">
        <f t="shared" si="433"/>
        <v>1.5914763856031341E-18</v>
      </c>
      <c r="E406" s="3">
        <f t="shared" si="433"/>
        <v>2.3946789834473504E-16</v>
      </c>
      <c r="F406" s="3">
        <f t="shared" si="433"/>
        <v>1E-13</v>
      </c>
      <c r="G406" s="3">
        <f t="shared" si="433"/>
        <v>3.7407241814633833E-7</v>
      </c>
      <c r="H406" s="3">
        <f t="shared" si="433"/>
        <v>0.38943697310446762</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2.2579895783499054E-24</v>
      </c>
      <c r="C407" s="3">
        <f t="shared" si="433"/>
        <v>5.8407770673797461E-20</v>
      </c>
      <c r="D407" s="3">
        <f t="shared" si="433"/>
        <v>1.5914763856031338E-17</v>
      </c>
      <c r="E407" s="3">
        <f t="shared" si="433"/>
        <v>2.3946789834473504E-15</v>
      </c>
      <c r="F407" s="3">
        <f t="shared" si="433"/>
        <v>9.9999999999999998E-13</v>
      </c>
      <c r="G407" s="3">
        <f t="shared" si="433"/>
        <v>3.7407241814633829E-6</v>
      </c>
      <c r="H407" s="3">
        <f t="shared" si="433"/>
        <v>3.8943697310446761</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2.2579895783499053E-23</v>
      </c>
      <c r="C408" s="3">
        <f t="shared" si="433"/>
        <v>5.8407770673797463E-19</v>
      </c>
      <c r="D408" s="3">
        <f t="shared" si="433"/>
        <v>1.5914763856031338E-16</v>
      </c>
      <c r="E408" s="3">
        <f t="shared" si="433"/>
        <v>2.3946789834473504E-14</v>
      </c>
      <c r="F408" s="3">
        <f t="shared" si="433"/>
        <v>9.9999999999999994E-12</v>
      </c>
      <c r="G408" s="3">
        <f t="shared" si="433"/>
        <v>3.7407241814633831E-5</v>
      </c>
      <c r="H408" s="3">
        <f t="shared" si="433"/>
        <v>38.943697310446758</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2.2579895783499053E-22</v>
      </c>
      <c r="C409" s="3">
        <f t="shared" si="433"/>
        <v>5.8407770673797463E-18</v>
      </c>
      <c r="D409" s="3">
        <f t="shared" si="433"/>
        <v>1.5914763856031341E-15</v>
      </c>
      <c r="E409" s="3">
        <f t="shared" si="433"/>
        <v>2.3946789834473504E-13</v>
      </c>
      <c r="F409" s="3">
        <f t="shared" si="433"/>
        <v>1E-10</v>
      </c>
      <c r="G409" s="3">
        <f t="shared" si="433"/>
        <v>3.7407241814633833E-4</v>
      </c>
      <c r="H409" s="3">
        <f t="shared" si="433"/>
        <v>389.43697310446765</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2.2579895783499054E-21</v>
      </c>
      <c r="C410" s="3">
        <f t="shared" si="433"/>
        <v>5.8407770673797472E-17</v>
      </c>
      <c r="D410" s="3">
        <f t="shared" si="433"/>
        <v>1.5914763856031341E-14</v>
      </c>
      <c r="E410" s="3">
        <f t="shared" si="433"/>
        <v>2.3946789834473508E-12</v>
      </c>
      <c r="F410" s="3">
        <f t="shared" si="433"/>
        <v>1.0000000000000001E-9</v>
      </c>
      <c r="G410" s="3">
        <f t="shared" si="433"/>
        <v>3.7407241814633833E-3</v>
      </c>
      <c r="H410" s="3">
        <f t="shared" si="433"/>
        <v>3894.3697310446764</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2.2579895783499054E-20</v>
      </c>
      <c r="C411" s="3">
        <f t="shared" si="433"/>
        <v>5.840777067379746E-16</v>
      </c>
      <c r="D411" s="3">
        <f t="shared" si="433"/>
        <v>1.591476385603134E-13</v>
      </c>
      <c r="E411" s="3">
        <f t="shared" si="433"/>
        <v>2.3946789834473505E-11</v>
      </c>
      <c r="F411" s="3">
        <f t="shared" si="433"/>
        <v>1E-8</v>
      </c>
      <c r="G411" s="3">
        <f t="shared" si="433"/>
        <v>3.7407241814633833E-2</v>
      </c>
      <c r="H411" s="3">
        <f t="shared" si="433"/>
        <v>38943.697310446762</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2.2579895783499051E-19</v>
      </c>
      <c r="C412" s="3">
        <f t="shared" si="433"/>
        <v>5.8407770673797464E-15</v>
      </c>
      <c r="D412" s="3">
        <f t="shared" si="433"/>
        <v>1.5914763856031338E-12</v>
      </c>
      <c r="E412" s="3">
        <f t="shared" si="433"/>
        <v>2.3946789834473503E-10</v>
      </c>
      <c r="F412" s="3">
        <f t="shared" si="433"/>
        <v>9.9999999999999995E-8</v>
      </c>
      <c r="G412" s="3">
        <f t="shared" si="433"/>
        <v>0.37407241814633829</v>
      </c>
      <c r="H412" s="3">
        <f t="shared" si="433"/>
        <v>389436.97310446762</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2.2579895783499054E-18</v>
      </c>
      <c r="C413" s="3">
        <f t="shared" si="433"/>
        <v>5.8407770673797462E-14</v>
      </c>
      <c r="D413" s="3">
        <f t="shared" si="433"/>
        <v>1.5914763856031337E-11</v>
      </c>
      <c r="E413" s="3">
        <f t="shared" si="433"/>
        <v>2.3946789834473503E-9</v>
      </c>
      <c r="F413" s="3">
        <f t="shared" si="433"/>
        <v>9.9999999999999995E-7</v>
      </c>
      <c r="G413" s="3">
        <f t="shared" si="433"/>
        <v>3.7407241814633831</v>
      </c>
      <c r="H413" s="3">
        <f t="shared" si="433"/>
        <v>3894369.7310446762</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2.2579895783499057E-17</v>
      </c>
      <c r="C414" s="3">
        <f t="shared" si="433"/>
        <v>5.8407770673797472E-13</v>
      </c>
      <c r="D414" s="3">
        <f t="shared" si="433"/>
        <v>1.5914763856031341E-10</v>
      </c>
      <c r="E414" s="3">
        <f t="shared" si="433"/>
        <v>2.3946789834473508E-8</v>
      </c>
      <c r="F414" s="3">
        <f t="shared" si="433"/>
        <v>1.0000000000000001E-5</v>
      </c>
      <c r="G414" s="3">
        <f t="shared" si="433"/>
        <v>37.407241814633835</v>
      </c>
      <c r="H414" s="3">
        <f t="shared" si="433"/>
        <v>38943697.310446769</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2.2579895783499055E-16</v>
      </c>
      <c r="C415" s="3">
        <f t="shared" si="433"/>
        <v>5.8407770673797468E-12</v>
      </c>
      <c r="D415" s="3">
        <f t="shared" si="433"/>
        <v>1.5914763856031341E-9</v>
      </c>
      <c r="E415" s="3">
        <f t="shared" si="433"/>
        <v>2.3946789834473506E-7</v>
      </c>
      <c r="F415" s="3">
        <f t="shared" si="433"/>
        <v>1E-4</v>
      </c>
      <c r="G415" s="3">
        <f t="shared" si="433"/>
        <v>374.07241814633835</v>
      </c>
      <c r="H415" s="3">
        <f t="shared" si="433"/>
        <v>389436973.10446763</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2.2579895783499056E-15</v>
      </c>
      <c r="C416" s="3">
        <f t="shared" si="433"/>
        <v>5.8407770673797468E-11</v>
      </c>
      <c r="D416" s="3">
        <f t="shared" si="433"/>
        <v>1.591476385603134E-8</v>
      </c>
      <c r="E416" s="3">
        <f t="shared" si="433"/>
        <v>2.3946789834473505E-6</v>
      </c>
      <c r="F416" s="3">
        <f t="shared" si="433"/>
        <v>1E-3</v>
      </c>
      <c r="G416" s="3">
        <f t="shared" si="433"/>
        <v>3740.724181463383</v>
      </c>
      <c r="H416" s="3">
        <f t="shared" si="433"/>
        <v>3894369731.0446763</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2.2579895783499056E-14</v>
      </c>
      <c r="C417" s="3">
        <f t="shared" si="433"/>
        <v>5.8407770673797463E-10</v>
      </c>
      <c r="D417" s="3">
        <f t="shared" si="433"/>
        <v>1.5914763856031341E-7</v>
      </c>
      <c r="E417" s="3">
        <f t="shared" si="433"/>
        <v>2.3946789834473508E-5</v>
      </c>
      <c r="F417" s="3">
        <f t="shared" si="433"/>
        <v>0.01</v>
      </c>
      <c r="G417" s="3">
        <f t="shared" si="433"/>
        <v>37407.241814633831</v>
      </c>
      <c r="H417" s="3">
        <f t="shared" si="433"/>
        <v>38943697310.446762</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2.2579895783499055E-13</v>
      </c>
      <c r="C418" s="3">
        <f t="shared" si="433"/>
        <v>5.8407770673797463E-9</v>
      </c>
      <c r="D418" s="3">
        <f t="shared" si="433"/>
        <v>1.591476385603134E-6</v>
      </c>
      <c r="E418" s="3">
        <f t="shared" si="433"/>
        <v>2.3946789834473507E-4</v>
      </c>
      <c r="F418" s="3">
        <f t="shared" si="433"/>
        <v>0.1</v>
      </c>
      <c r="G418" s="3">
        <f t="shared" si="433"/>
        <v>374072.41814633831</v>
      </c>
      <c r="H418" s="3">
        <f t="shared" si="433"/>
        <v>389436973104.46765</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2.2579895783499053E-12</v>
      </c>
      <c r="C419" s="3">
        <f t="shared" si="433"/>
        <v>5.8407770673797467E-8</v>
      </c>
      <c r="D419" s="3">
        <f t="shared" si="433"/>
        <v>1.5914763856031338E-5</v>
      </c>
      <c r="E419" s="3">
        <f t="shared" si="433"/>
        <v>2.3946789834473504E-3</v>
      </c>
      <c r="F419" s="3">
        <f t="shared" si="433"/>
        <v>1</v>
      </c>
      <c r="G419" s="3">
        <f t="shared" si="433"/>
        <v>3740724.1814633831</v>
      </c>
      <c r="H419" s="3">
        <f t="shared" si="433"/>
        <v>3894369731044.6763</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2.2579895783499055E-11</v>
      </c>
      <c r="C420" s="3">
        <f t="shared" si="434"/>
        <v>5.8407770673797467E-7</v>
      </c>
      <c r="D420" s="3">
        <f t="shared" si="434"/>
        <v>1.591476385603134E-4</v>
      </c>
      <c r="E420" s="3">
        <f t="shared" si="434"/>
        <v>2.3946789834473507E-2</v>
      </c>
      <c r="F420" s="3">
        <f t="shared" si="434"/>
        <v>10</v>
      </c>
      <c r="G420" s="3">
        <f t="shared" si="434"/>
        <v>37407241.814633831</v>
      </c>
      <c r="H420" s="3">
        <f t="shared" si="434"/>
        <v>38943697310446.766</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2.2579895783499054E-10</v>
      </c>
      <c r="C421" s="3">
        <f t="shared" si="434"/>
        <v>5.840777067379746E-6</v>
      </c>
      <c r="D421" s="3">
        <f t="shared" si="434"/>
        <v>1.5914763856031339E-3</v>
      </c>
      <c r="E421" s="3">
        <f t="shared" si="434"/>
        <v>0.23946789834473506</v>
      </c>
      <c r="F421" s="3">
        <f t="shared" si="434"/>
        <v>100</v>
      </c>
      <c r="G421" s="3">
        <f t="shared" si="434"/>
        <v>374072418.14633834</v>
      </c>
      <c r="H421" s="3">
        <f t="shared" si="434"/>
        <v>389436973104467.62</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2.2579895783499055E-9</v>
      </c>
      <c r="C422" s="3">
        <f t="shared" si="434"/>
        <v>5.8407770673797462E-5</v>
      </c>
      <c r="D422" s="3">
        <f t="shared" si="434"/>
        <v>1.5914763856031338E-2</v>
      </c>
      <c r="E422" s="3">
        <f t="shared" si="434"/>
        <v>2.3946789834473505</v>
      </c>
      <c r="F422" s="3">
        <f t="shared" si="434"/>
        <v>1000</v>
      </c>
      <c r="G422" s="3">
        <f t="shared" si="434"/>
        <v>3740724181.4633832</v>
      </c>
      <c r="H422" s="3">
        <f t="shared" si="434"/>
        <v>3894369731044676.5</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2.2579895783499055E-8</v>
      </c>
      <c r="C423" s="3">
        <f t="shared" si="434"/>
        <v>5.8407770673797469E-4</v>
      </c>
      <c r="D423" s="3">
        <f t="shared" si="434"/>
        <v>0.15914763856031339</v>
      </c>
      <c r="E423" s="3">
        <f t="shared" si="434"/>
        <v>23.946789834473506</v>
      </c>
      <c r="F423" s="3">
        <f t="shared" si="434"/>
        <v>10000</v>
      </c>
      <c r="G423" s="3">
        <f t="shared" si="434"/>
        <v>37407241814.633835</v>
      </c>
      <c r="H423" s="3">
        <f t="shared" si="434"/>
        <v>3.894369731044676E+16</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2.2579895783499055E-7</v>
      </c>
      <c r="C424" s="3">
        <f t="shared" si="434"/>
        <v>5.840777067379746E-3</v>
      </c>
      <c r="D424" s="3">
        <f t="shared" si="434"/>
        <v>1.591476385603134</v>
      </c>
      <c r="E424" s="3">
        <f t="shared" si="434"/>
        <v>239.46789834473506</v>
      </c>
      <c r="F424" s="3">
        <f t="shared" si="434"/>
        <v>100000</v>
      </c>
      <c r="G424" s="3">
        <f t="shared" si="434"/>
        <v>374072418146.33832</v>
      </c>
      <c r="H424" s="3">
        <f t="shared" si="434"/>
        <v>3.8943697310446765E+17</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2.2579895783499054E-6</v>
      </c>
      <c r="C425" s="3">
        <f t="shared" si="434"/>
        <v>5.8407770673797467E-2</v>
      </c>
      <c r="D425" s="3">
        <f t="shared" si="434"/>
        <v>15.914763856031339</v>
      </c>
      <c r="E425" s="3">
        <f t="shared" si="434"/>
        <v>2394.6789834473507</v>
      </c>
      <c r="F425" s="3">
        <f t="shared" si="434"/>
        <v>1000000</v>
      </c>
      <c r="G425" s="3">
        <f t="shared" si="434"/>
        <v>3740724181463.3833</v>
      </c>
      <c r="H425" s="3">
        <f t="shared" si="434"/>
        <v>3.8943697310446761E+18</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2.2579895783499056E-5</v>
      </c>
      <c r="C426" s="3">
        <f t="shared" si="434"/>
        <v>0.58407770673797466</v>
      </c>
      <c r="D426" s="3">
        <f t="shared" si="434"/>
        <v>159.1476385603134</v>
      </c>
      <c r="E426" s="3">
        <f t="shared" si="434"/>
        <v>23946.789834473504</v>
      </c>
      <c r="F426" s="3">
        <f t="shared" si="434"/>
        <v>10000000</v>
      </c>
      <c r="G426" s="3">
        <f t="shared" si="434"/>
        <v>37407241814633.828</v>
      </c>
      <c r="H426" s="3">
        <f t="shared" si="434"/>
        <v>3.8943697310446764E+19</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2.2579895783499053E-4</v>
      </c>
      <c r="C427" s="3">
        <f t="shared" si="434"/>
        <v>5.8407770673797463</v>
      </c>
      <c r="D427" s="3">
        <f t="shared" si="434"/>
        <v>1591.4763856031341</v>
      </c>
      <c r="E427" s="3">
        <f t="shared" si="434"/>
        <v>239467.89834473506</v>
      </c>
      <c r="F427" s="3">
        <f t="shared" si="434"/>
        <v>100000000</v>
      </c>
      <c r="G427" s="3">
        <f t="shared" si="434"/>
        <v>374072418146338.31</v>
      </c>
      <c r="H427" s="3">
        <f t="shared" si="434"/>
        <v>3.8943697310446761E+20</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2.2579895783499055E-3</v>
      </c>
      <c r="C428" s="3">
        <f t="shared" si="434"/>
        <v>58.407770673797465</v>
      </c>
      <c r="D428" s="3">
        <f t="shared" si="434"/>
        <v>15914.763856031339</v>
      </c>
      <c r="E428" s="3">
        <f t="shared" si="434"/>
        <v>2394678.9834473506</v>
      </c>
      <c r="F428" s="3">
        <f t="shared" si="434"/>
        <v>1000000000</v>
      </c>
      <c r="G428" s="3">
        <f t="shared" si="434"/>
        <v>3740724181463383</v>
      </c>
      <c r="H428" s="3">
        <f t="shared" si="434"/>
        <v>3.8943697310446765E+21</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2.2579895783499053E-2</v>
      </c>
      <c r="C429" s="3">
        <f t="shared" si="434"/>
        <v>584.07770673797461</v>
      </c>
      <c r="D429" s="3">
        <f t="shared" si="434"/>
        <v>159147.63856031341</v>
      </c>
      <c r="E429" s="3">
        <f t="shared" si="434"/>
        <v>23946789.834473506</v>
      </c>
      <c r="F429" s="3">
        <f t="shared" si="434"/>
        <v>10000000000</v>
      </c>
      <c r="G429" s="3">
        <f t="shared" si="434"/>
        <v>3.7407241814633832E+16</v>
      </c>
      <c r="H429" s="3">
        <f t="shared" si="434"/>
        <v>3.8943697310446762E+22</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0.22579895783499054</v>
      </c>
      <c r="C430" s="3">
        <f t="shared" si="434"/>
        <v>5840.7770673797468</v>
      </c>
      <c r="D430" s="3">
        <f t="shared" si="434"/>
        <v>1591476.3856031341</v>
      </c>
      <c r="E430" s="3">
        <f t="shared" si="434"/>
        <v>239467898.34473506</v>
      </c>
      <c r="F430" s="3">
        <f t="shared" si="434"/>
        <v>100000000000</v>
      </c>
      <c r="G430" s="3">
        <f t="shared" si="434"/>
        <v>3.740724181463383E+17</v>
      </c>
      <c r="H430" s="3">
        <f t="shared" si="434"/>
        <v>3.894369731044676E+23</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2.2579895783499055</v>
      </c>
      <c r="C431" s="3">
        <f t="shared" si="434"/>
        <v>58407.770673797466</v>
      </c>
      <c r="D431" s="3">
        <f t="shared" si="434"/>
        <v>15914763.85603134</v>
      </c>
      <c r="E431" s="3">
        <f t="shared" si="434"/>
        <v>2394678983.4473505</v>
      </c>
      <c r="F431" s="3">
        <f t="shared" si="434"/>
        <v>1000000000000</v>
      </c>
      <c r="G431" s="3">
        <f t="shared" si="434"/>
        <v>3.740724181463383E+18</v>
      </c>
      <c r="H431" s="3">
        <f t="shared" si="434"/>
        <v>3.8943697310446763E+24</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22.579895783499055</v>
      </c>
      <c r="C432" s="3">
        <f t="shared" si="434"/>
        <v>584077.70673797466</v>
      </c>
      <c r="D432" s="3">
        <f t="shared" si="434"/>
        <v>159147638.5603134</v>
      </c>
      <c r="E432" s="3">
        <f t="shared" si="434"/>
        <v>23946789834.473507</v>
      </c>
      <c r="F432" s="3">
        <f t="shared" si="434"/>
        <v>10000000000000</v>
      </c>
      <c r="G432" s="3">
        <f t="shared" si="434"/>
        <v>3.7407241814633832E+19</v>
      </c>
      <c r="H432" s="3">
        <f t="shared" si="434"/>
        <v>3.8943697310446766E+25</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225.79895783499055</v>
      </c>
      <c r="C433" s="3">
        <f t="shared" si="434"/>
        <v>5840777.0673797466</v>
      </c>
      <c r="D433" s="3">
        <f t="shared" si="434"/>
        <v>1591476385.6031339</v>
      </c>
      <c r="E433" s="3">
        <f t="shared" si="434"/>
        <v>239467898344.73505</v>
      </c>
      <c r="F433" s="3">
        <f t="shared" si="434"/>
        <v>100000000000000</v>
      </c>
      <c r="G433" s="3">
        <f t="shared" si="434"/>
        <v>3.7407241814633834E+20</v>
      </c>
      <c r="H433" s="3">
        <f t="shared" si="434"/>
        <v>3.8943697310446766E+26</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2257.9895783499055</v>
      </c>
      <c r="C434" s="3">
        <f t="shared" si="434"/>
        <v>58407770.673797466</v>
      </c>
      <c r="D434" s="3">
        <f t="shared" si="434"/>
        <v>15914763856.03134</v>
      </c>
      <c r="E434" s="3">
        <f t="shared" si="434"/>
        <v>2394678983447.3506</v>
      </c>
      <c r="F434" s="3">
        <f t="shared" si="434"/>
        <v>1000000000000000</v>
      </c>
      <c r="G434" s="3">
        <f t="shared" si="434"/>
        <v>3.7407241814633831E+21</v>
      </c>
      <c r="H434" s="3">
        <f t="shared" si="434"/>
        <v>3.8943697310446762E+27</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-26.816546265645783</v>
      </c>
      <c r="M1" s="54">
        <v>1</v>
      </c>
      <c r="N1" s="56">
        <f>INDEX($H$217:$P$217,1,Q1)</f>
        <v>0.24880297550066366</v>
      </c>
      <c r="O1" s="11"/>
      <c r="P1" s="55">
        <v>1</v>
      </c>
      <c r="Q1" s="11">
        <v>2</v>
      </c>
    </row>
    <row r="2" spans="1:17" x14ac:dyDescent="0.25">
      <c r="A2" s="11">
        <f>'Mastercurve bestimmen'!M119</f>
        <v>0</v>
      </c>
      <c r="B2" s="11">
        <f>'Mastercurve bestimmen'!N119</f>
        <v>-16.655816896481024</v>
      </c>
      <c r="M2" s="54">
        <v>2</v>
      </c>
      <c r="N2" s="56">
        <f t="shared" ref="N2:N9" si="0">INDEX($H$217:$P$217,1,Q2)</f>
        <v>2.0673507386697681E-3</v>
      </c>
      <c r="O2" s="11"/>
      <c r="P2" s="55">
        <v>2</v>
      </c>
      <c r="Q2" s="11">
        <f>Q1+1</f>
        <v>3</v>
      </c>
    </row>
    <row r="3" spans="1:17" x14ac:dyDescent="0.25">
      <c r="A3" s="11">
        <f>'Mastercurve bestimmen'!M120</f>
        <v>25</v>
      </c>
      <c r="B3" s="11">
        <f>'Mastercurve bestimmen'!N120</f>
        <v>-11.048263335164281</v>
      </c>
      <c r="M3" s="54">
        <v>3</v>
      </c>
      <c r="N3" s="56">
        <f t="shared" si="0"/>
        <v>1.2691544489599315E-5</v>
      </c>
      <c r="O3" s="11"/>
      <c r="P3" s="55">
        <v>3</v>
      </c>
      <c r="Q3" s="11">
        <f t="shared" ref="Q3:Q8" si="1">Q2+1</f>
        <v>4</v>
      </c>
    </row>
    <row r="4" spans="1:17" x14ac:dyDescent="0.25">
      <c r="A4" s="11">
        <f>'Mastercurve bestimmen'!M121</f>
        <v>50</v>
      </c>
      <c r="B4" s="11">
        <f>'Mastercurve bestimmen'!N121</f>
        <v>-6.0345060932417978</v>
      </c>
      <c r="M4" s="54">
        <v>4</v>
      </c>
      <c r="N4" s="56">
        <f t="shared" si="0"/>
        <v>-2.8849419776775187E-7</v>
      </c>
      <c r="O4" s="11"/>
      <c r="P4" s="55">
        <v>4</v>
      </c>
      <c r="Q4" s="11">
        <f t="shared" si="1"/>
        <v>5</v>
      </c>
    </row>
    <row r="5" spans="1:17" x14ac:dyDescent="0.25">
      <c r="A5" s="11">
        <f>'Mastercurve bestimmen'!M122</f>
        <v>80</v>
      </c>
      <c r="B5" s="11">
        <f>'Mastercurve bestimmen'!N122</f>
        <v>0</v>
      </c>
      <c r="M5" s="54">
        <v>5</v>
      </c>
      <c r="N5" s="56">
        <f t="shared" si="0"/>
        <v>-1.9617482416821051E-9</v>
      </c>
      <c r="O5" s="11"/>
      <c r="P5" s="55">
        <v>5</v>
      </c>
      <c r="Q5" s="11">
        <f t="shared" si="1"/>
        <v>6</v>
      </c>
    </row>
    <row r="6" spans="1:17" x14ac:dyDescent="0.25">
      <c r="A6" s="11">
        <f>'Mastercurve bestimmen'!M123</f>
        <v>125</v>
      </c>
      <c r="B6" s="11">
        <f>'Mastercurve bestimmen'!N123</f>
        <v>15.134789782053895</v>
      </c>
      <c r="M6" s="54">
        <v>6</v>
      </c>
      <c r="N6" s="56">
        <f t="shared" si="0"/>
        <v>1.5422047699696851E-11</v>
      </c>
      <c r="O6" s="11"/>
      <c r="P6" s="55">
        <v>6</v>
      </c>
      <c r="Q6" s="11">
        <f t="shared" si="1"/>
        <v>7</v>
      </c>
    </row>
    <row r="7" spans="1:17" x14ac:dyDescent="0.25">
      <c r="A7" s="11">
        <f>'Mastercurve bestimmen'!M124</f>
        <v>160</v>
      </c>
      <c r="B7" s="11">
        <f>'Mastercurve bestimmen'!N124</f>
        <v>28.990552967278404</v>
      </c>
      <c r="M7" s="54">
        <v>7</v>
      </c>
      <c r="N7" s="56">
        <f t="shared" si="0"/>
        <v>1.5037186164883593E-13</v>
      </c>
      <c r="O7" s="11"/>
      <c r="P7" s="55">
        <v>7</v>
      </c>
      <c r="Q7" s="11">
        <f t="shared" si="1"/>
        <v>8</v>
      </c>
    </row>
    <row r="8" spans="1:17" x14ac:dyDescent="0.25">
      <c r="A8" s="11"/>
      <c r="B8" s="11"/>
      <c r="M8" s="54">
        <v>8</v>
      </c>
      <c r="N8" s="56">
        <f t="shared" si="0"/>
        <v>3.2828149668361693E-16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-26.816546265645783</v>
      </c>
      <c r="E15" s="11">
        <f>A15-'Mastercurve bestimmen'!$B$2</f>
        <v>-120</v>
      </c>
      <c r="F15" s="11">
        <f>B15</f>
        <v>-26.816546265645783</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-26.616580767835199</v>
      </c>
      <c r="E16" s="11">
        <f>A16-'Mastercurve bestimmen'!$B$2</f>
        <v>-119</v>
      </c>
      <c r="F16" s="11">
        <f t="shared" ref="F16:F79" si="4">B16</f>
        <v>-26.616580767835199</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-26.41641244549772</v>
      </c>
      <c r="E17" s="11">
        <f>A17-'Mastercurve bestimmen'!$B$2</f>
        <v>-118</v>
      </c>
      <c r="F17" s="11">
        <f t="shared" si="4"/>
        <v>-26.41641244549772</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-26.215838474106445</v>
      </c>
      <c r="E18" s="11">
        <f>A18-'Mastercurve bestimmen'!$B$2</f>
        <v>-117</v>
      </c>
      <c r="F18" s="11">
        <f t="shared" si="4"/>
        <v>-26.215838474106445</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-26.014656029134468</v>
      </c>
      <c r="E19" s="11">
        <f>A19-'Mastercurve bestimmen'!$B$2</f>
        <v>-116</v>
      </c>
      <c r="F19" s="11">
        <f t="shared" si="4"/>
        <v>-26.014656029134468</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-25.812662286054895</v>
      </c>
      <c r="E20" s="11">
        <f>A20-'Mastercurve bestimmen'!$B$2</f>
        <v>-115</v>
      </c>
      <c r="F20" s="11">
        <f t="shared" si="4"/>
        <v>-25.812662286054895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-25.609654420340831</v>
      </c>
      <c r="E21" s="11">
        <f>A21-'Mastercurve bestimmen'!$B$2</f>
        <v>-114</v>
      </c>
      <c r="F21" s="11">
        <f t="shared" si="4"/>
        <v>-25.609654420340831</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-25.405429607465372</v>
      </c>
      <c r="E22" s="11">
        <f>A22-'Mastercurve bestimmen'!$B$2</f>
        <v>-113</v>
      </c>
      <c r="F22" s="11">
        <f t="shared" si="4"/>
        <v>-25.405429607465372</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-25.199785022901622</v>
      </c>
      <c r="E23" s="11">
        <f>A23-'Mastercurve bestimmen'!$B$2</f>
        <v>-112</v>
      </c>
      <c r="F23" s="11">
        <f t="shared" si="4"/>
        <v>-25.199785022901622</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-24.992517842122684</v>
      </c>
      <c r="E24" s="11">
        <f>A24-'Mastercurve bestimmen'!$B$2</f>
        <v>-111</v>
      </c>
      <c r="F24" s="11">
        <f t="shared" si="4"/>
        <v>-24.992517842122684</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-24.783425240601652</v>
      </c>
      <c r="E25" s="11">
        <f>A25-'Mastercurve bestimmen'!$B$2</f>
        <v>-110</v>
      </c>
      <c r="F25" s="11">
        <f t="shared" si="4"/>
        <v>-24.783425240601652</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-24.572304393811631</v>
      </c>
      <c r="E26" s="11">
        <f>A26-'Mastercurve bestimmen'!$B$2</f>
        <v>-109</v>
      </c>
      <c r="F26" s="11">
        <f t="shared" si="4"/>
        <v>-24.572304393811631</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-24.358952477225728</v>
      </c>
      <c r="E27" s="11">
        <f>A27-'Mastercurve bestimmen'!$B$2</f>
        <v>-108</v>
      </c>
      <c r="F27" s="11">
        <f t="shared" si="4"/>
        <v>-24.358952477225728</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-24.143166666317036</v>
      </c>
      <c r="E28" s="11">
        <f>A28-'Mastercurve bestimmen'!$B$2</f>
        <v>-107</v>
      </c>
      <c r="F28" s="11">
        <f t="shared" si="4"/>
        <v>-24.143166666317036</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-23.924744136558665</v>
      </c>
      <c r="E29" s="11">
        <f>A29-'Mastercurve bestimmen'!$B$2</f>
        <v>-106</v>
      </c>
      <c r="F29" s="11">
        <f t="shared" si="4"/>
        <v>-23.924744136558665</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-23.703482063423706</v>
      </c>
      <c r="E30" s="11">
        <f>A30-'Mastercurve bestimmen'!$B$2</f>
        <v>-105</v>
      </c>
      <c r="F30" s="11">
        <f t="shared" si="4"/>
        <v>-23.703482063423706</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-23.479177622385265</v>
      </c>
      <c r="E31" s="11">
        <f>A31-'Mastercurve bestimmen'!$B$2</f>
        <v>-104</v>
      </c>
      <c r="F31" s="11">
        <f t="shared" si="4"/>
        <v>-23.479177622385265</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-23.251627988916439</v>
      </c>
      <c r="E32" s="11">
        <f>A32-'Mastercurve bestimmen'!$B$2</f>
        <v>-103</v>
      </c>
      <c r="F32" s="11">
        <f t="shared" si="4"/>
        <v>-23.251627988916439</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-23.020630338490339</v>
      </c>
      <c r="E33" s="11">
        <f>A33-'Mastercurve bestimmen'!$B$2</f>
        <v>-102</v>
      </c>
      <c r="F33" s="11">
        <f t="shared" si="4"/>
        <v>-23.020630338490339</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-22.785981846580057</v>
      </c>
      <c r="E34" s="11">
        <f>A34-'Mastercurve bestimmen'!$B$2</f>
        <v>-101</v>
      </c>
      <c r="F34" s="11">
        <f t="shared" si="4"/>
        <v>-22.785981846580057</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-22.547479688658697</v>
      </c>
      <c r="E35" s="11">
        <f>A35-'Mastercurve bestimmen'!$B$2</f>
        <v>-100</v>
      </c>
      <c r="F35" s="11">
        <f t="shared" si="4"/>
        <v>-22.547479688658697</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-22.304921040199361</v>
      </c>
      <c r="E36" s="11">
        <f>A36-'Mastercurve bestimmen'!$B$2</f>
        <v>-99</v>
      </c>
      <c r="F36" s="11">
        <f t="shared" si="4"/>
        <v>-22.304921040199361</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-22.058103076675152</v>
      </c>
      <c r="E37" s="11">
        <f>A37-'Mastercurve bestimmen'!$B$2</f>
        <v>-98</v>
      </c>
      <c r="F37" s="11">
        <f t="shared" si="4"/>
        <v>-22.058103076675152</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-21.806822973559164</v>
      </c>
      <c r="E38" s="11">
        <f>A38-'Mastercurve bestimmen'!$B$2</f>
        <v>-97</v>
      </c>
      <c r="F38" s="11">
        <f t="shared" si="4"/>
        <v>-21.806822973559164</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-21.550877906324509</v>
      </c>
      <c r="E39" s="11">
        <f>A39-'Mastercurve bestimmen'!$B$2</f>
        <v>-96</v>
      </c>
      <c r="F39" s="11">
        <f t="shared" si="4"/>
        <v>-21.550877906324509</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-21.290065050444277</v>
      </c>
      <c r="E40" s="11">
        <f>A40-'Mastercurve bestimmen'!$B$2</f>
        <v>-95</v>
      </c>
      <c r="F40" s="11">
        <f t="shared" si="4"/>
        <v>-21.290065050444277</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-21.024181581391577</v>
      </c>
      <c r="E41" s="11">
        <f>A41-'Mastercurve bestimmen'!$B$2</f>
        <v>-94</v>
      </c>
      <c r="F41" s="11">
        <f t="shared" si="4"/>
        <v>-21.024181581391577</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-20.753024674639509</v>
      </c>
      <c r="E42" s="11">
        <f>A42-'Mastercurve bestimmen'!$B$2</f>
        <v>-93</v>
      </c>
      <c r="F42" s="11">
        <f t="shared" si="4"/>
        <v>-20.753024674639509</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-20.476391505661169</v>
      </c>
      <c r="E43" s="11">
        <f>A43-'Mastercurve bestimmen'!$B$2</f>
        <v>-92</v>
      </c>
      <c r="F43" s="11">
        <f t="shared" si="4"/>
        <v>-20.476391505661169</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-20.194079249929665</v>
      </c>
      <c r="E44" s="11">
        <f>A44-'Mastercurve bestimmen'!$B$2</f>
        <v>-91</v>
      </c>
      <c r="F44" s="11">
        <f t="shared" si="4"/>
        <v>-20.194079249929665</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-19.905885082918097</v>
      </c>
      <c r="E45" s="11">
        <f>A45-'Mastercurve bestimmen'!$B$2</f>
        <v>-90</v>
      </c>
      <c r="F45" s="11">
        <f t="shared" si="4"/>
        <v>-19.905885082918097</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-19.611606180099557</v>
      </c>
      <c r="E46" s="11">
        <f>A46-'Mastercurve bestimmen'!$B$2</f>
        <v>-89</v>
      </c>
      <c r="F46" s="11">
        <f t="shared" si="4"/>
        <v>-19.611606180099557</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-19.31103971694716</v>
      </c>
      <c r="E47" s="11">
        <f>A47-'Mastercurve bestimmen'!$B$2</f>
        <v>-88</v>
      </c>
      <c r="F47" s="11">
        <f t="shared" si="4"/>
        <v>-19.31103971694716</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-19.003982868933999</v>
      </c>
      <c r="E48" s="11">
        <f>A48-'Mastercurve bestimmen'!$B$2</f>
        <v>-87</v>
      </c>
      <c r="F48" s="11">
        <f t="shared" si="4"/>
        <v>-19.003982868933999</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-18.690232811533178</v>
      </c>
      <c r="E49" s="11">
        <f>A49-'Mastercurve bestimmen'!$B$2</f>
        <v>-86</v>
      </c>
      <c r="F49" s="11">
        <f t="shared" si="4"/>
        <v>-18.690232811533178</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-18.369586720217793</v>
      </c>
      <c r="E50" s="11">
        <f>A50-'Mastercurve bestimmen'!$B$2</f>
        <v>-85</v>
      </c>
      <c r="F50" s="11">
        <f t="shared" si="4"/>
        <v>-18.369586720217793</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-18.041841770460955</v>
      </c>
      <c r="E51" s="11">
        <f>A51-'Mastercurve bestimmen'!$B$2</f>
        <v>-84</v>
      </c>
      <c r="F51" s="11">
        <f t="shared" si="4"/>
        <v>-18.041841770460955</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-17.706795137735753</v>
      </c>
      <c r="E52" s="11">
        <f>A52-'Mastercurve bestimmen'!$B$2</f>
        <v>-83</v>
      </c>
      <c r="F52" s="11">
        <f t="shared" si="4"/>
        <v>-17.706795137735753</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-17.364243997515299</v>
      </c>
      <c r="E53" s="11">
        <f>A53-'Mastercurve bestimmen'!$B$2</f>
        <v>-82</v>
      </c>
      <c r="F53" s="11">
        <f t="shared" si="4"/>
        <v>-17.364243997515299</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-17.013985525272687</v>
      </c>
      <c r="E54" s="11">
        <f>A54-'Mastercurve bestimmen'!$B$2</f>
        <v>-81</v>
      </c>
      <c r="F54" s="11">
        <f t="shared" si="4"/>
        <v>-17.013985525272687</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-16.655816896481024</v>
      </c>
      <c r="E55" s="11">
        <f>A55-'Mastercurve bestimmen'!$B$2</f>
        <v>-80</v>
      </c>
      <c r="F55" s="11">
        <f t="shared" si="4"/>
        <v>-16.655816896481024</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-16.48145303730054</v>
      </c>
      <c r="E56" s="11">
        <f>A56-'Mastercurve bestimmen'!$B$2</f>
        <v>-79</v>
      </c>
      <c r="F56" s="11">
        <f t="shared" si="4"/>
        <v>-16.48145303730054</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-16.299432134444476</v>
      </c>
      <c r="E57" s="11">
        <f>A57-'Mastercurve bestimmen'!$B$2</f>
        <v>-78</v>
      </c>
      <c r="F57" s="11">
        <f t="shared" si="4"/>
        <v>-16.299432134444476</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-16.110210125313216</v>
      </c>
      <c r="E58" s="11">
        <f>A58-'Mastercurve bestimmen'!$B$2</f>
        <v>-77</v>
      </c>
      <c r="F58" s="11">
        <f t="shared" si="4"/>
        <v>-16.110210125313216</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-15.914242947307136</v>
      </c>
      <c r="E59" s="11">
        <f>A59-'Mastercurve bestimmen'!$B$2</f>
        <v>-76</v>
      </c>
      <c r="F59" s="11">
        <f t="shared" si="4"/>
        <v>-15.914242947307136</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-15.711986537826611</v>
      </c>
      <c r="E60" s="11">
        <f>A60-'Mastercurve bestimmen'!$B$2</f>
        <v>-75</v>
      </c>
      <c r="F60" s="11">
        <f t="shared" si="4"/>
        <v>-15.711986537826611</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-15.50389683427202</v>
      </c>
      <c r="E61" s="11">
        <f>A61-'Mastercurve bestimmen'!$B$2</f>
        <v>-74</v>
      </c>
      <c r="F61" s="11">
        <f t="shared" si="4"/>
        <v>-15.50389683427202</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-15.290429774043744</v>
      </c>
      <c r="E62" s="11">
        <f>A62-'Mastercurve bestimmen'!$B$2</f>
        <v>-73</v>
      </c>
      <c r="F62" s="11">
        <f t="shared" si="4"/>
        <v>-15.290429774043744</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-15.072041294542156</v>
      </c>
      <c r="E63" s="11">
        <f>A63-'Mastercurve bestimmen'!$B$2</f>
        <v>-72</v>
      </c>
      <c r="F63" s="11">
        <f t="shared" si="4"/>
        <v>-15.072041294542156</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-14.849187333167631</v>
      </c>
      <c r="E64" s="11">
        <f>A64-'Mastercurve bestimmen'!$B$2</f>
        <v>-71</v>
      </c>
      <c r="F64" s="11">
        <f t="shared" si="4"/>
        <v>-14.849187333167631</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-14.622323827320553</v>
      </c>
      <c r="E65" s="11">
        <f>A65-'Mastercurve bestimmen'!$B$2</f>
        <v>-70</v>
      </c>
      <c r="F65" s="11">
        <f t="shared" si="4"/>
        <v>-14.622323827320553</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-14.391906714401294</v>
      </c>
      <c r="E66" s="11">
        <f>A66-'Mastercurve bestimmen'!$B$2</f>
        <v>-69</v>
      </c>
      <c r="F66" s="11">
        <f t="shared" si="4"/>
        <v>-14.391906714401294</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-14.158391931810238</v>
      </c>
      <c r="E67" s="11">
        <f>A67-'Mastercurve bestimmen'!$B$2</f>
        <v>-68</v>
      </c>
      <c r="F67" s="11">
        <f t="shared" si="4"/>
        <v>-14.158391931810238</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-13.922235416947753</v>
      </c>
      <c r="E68" s="11">
        <f>A68-'Mastercurve bestimmen'!$B$2</f>
        <v>-67</v>
      </c>
      <c r="F68" s="11">
        <f t="shared" si="4"/>
        <v>-13.922235416947753</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-13.683893107214224</v>
      </c>
      <c r="E69" s="11">
        <f>A69-'Mastercurve bestimmen'!$B$2</f>
        <v>-66</v>
      </c>
      <c r="F69" s="11">
        <f t="shared" si="4"/>
        <v>-13.683893107214224</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-13.443820940010028</v>
      </c>
      <c r="E70" s="11">
        <f>A70-'Mastercurve bestimmen'!$B$2</f>
        <v>-65</v>
      </c>
      <c r="F70" s="11">
        <f t="shared" si="4"/>
        <v>-13.443820940010028</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-13.202474852735538</v>
      </c>
      <c r="E71" s="11">
        <f>A71-'Mastercurve bestimmen'!$B$2</f>
        <v>-64</v>
      </c>
      <c r="F71" s="11">
        <f t="shared" si="4"/>
        <v>-13.202474852735538</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-12.960310782791133</v>
      </c>
      <c r="E72" s="11">
        <f>A72-'Mastercurve bestimmen'!$B$2</f>
        <v>-63</v>
      </c>
      <c r="F72" s="11">
        <f t="shared" si="4"/>
        <v>-12.960310782791133</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-12.717784667577192</v>
      </c>
      <c r="E73" s="11">
        <f>A73-'Mastercurve bestimmen'!$B$2</f>
        <v>-62</v>
      </c>
      <c r="F73" s="11">
        <f t="shared" si="4"/>
        <v>-12.717784667577192</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-12.475352444494092</v>
      </c>
      <c r="E74" s="11">
        <f>A74-'Mastercurve bestimmen'!$B$2</f>
        <v>-61</v>
      </c>
      <c r="F74" s="11">
        <f t="shared" si="4"/>
        <v>-12.475352444494092</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-12.233470050942211</v>
      </c>
      <c r="E75" s="11">
        <f>A75-'Mastercurve bestimmen'!$B$2</f>
        <v>-60</v>
      </c>
      <c r="F75" s="11">
        <f t="shared" si="4"/>
        <v>-12.233470050942211</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-11.992593424321923</v>
      </c>
      <c r="E76" s="11">
        <f>A76-'Mastercurve bestimmen'!$B$2</f>
        <v>-59</v>
      </c>
      <c r="F76" s="11">
        <f t="shared" si="4"/>
        <v>-11.992593424321923</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-11.753178502033609</v>
      </c>
      <c r="E77" s="11">
        <f>A77-'Mastercurve bestimmen'!$B$2</f>
        <v>-58</v>
      </c>
      <c r="F77" s="11">
        <f t="shared" si="4"/>
        <v>-11.753178502033609</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-11.515681221477648</v>
      </c>
      <c r="E78" s="11">
        <f>A78-'Mastercurve bestimmen'!$B$2</f>
        <v>-57</v>
      </c>
      <c r="F78" s="11">
        <f t="shared" si="4"/>
        <v>-11.515681221477648</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-11.280557520054412</v>
      </c>
      <c r="E79" s="11">
        <f>A79-'Mastercurve bestimmen'!$B$2</f>
        <v>-56</v>
      </c>
      <c r="F79" s="11">
        <f t="shared" si="4"/>
        <v>-11.280557520054412</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-11.048263335164282</v>
      </c>
      <c r="E80" s="11">
        <f>A80-'Mastercurve bestimmen'!$B$2</f>
        <v>-55</v>
      </c>
      <c r="F80" s="11">
        <f t="shared" ref="F80:F143" si="10">B80</f>
        <v>-11.048263335164282</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-10.819161189014736</v>
      </c>
      <c r="E81" s="11">
        <f>A81-'Mastercurve bestimmen'!$B$2</f>
        <v>-54</v>
      </c>
      <c r="F81" s="11">
        <f t="shared" si="10"/>
        <v>-10.819161189014736</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-10.593239943041663</v>
      </c>
      <c r="E82" s="11">
        <f>A82-'Mastercurve bestimmen'!$B$2</f>
        <v>-53</v>
      </c>
      <c r="F82" s="11">
        <f t="shared" si="10"/>
        <v>-10.593239943041663</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-10.370395043488049</v>
      </c>
      <c r="E83" s="11">
        <f>A83-'Mastercurve bestimmen'!$B$2</f>
        <v>-52</v>
      </c>
      <c r="F83" s="11">
        <f t="shared" si="10"/>
        <v>-10.370395043488049</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-10.150521936596883</v>
      </c>
      <c r="E84" s="11">
        <f>A84-'Mastercurve bestimmen'!$B$2</f>
        <v>-51</v>
      </c>
      <c r="F84" s="11">
        <f t="shared" si="10"/>
        <v>-10.150521936596883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-9.9335160686111603</v>
      </c>
      <c r="E85" s="11">
        <f>A85-'Mastercurve bestimmen'!$B$2</f>
        <v>-50</v>
      </c>
      <c r="F85" s="11">
        <f t="shared" si="10"/>
        <v>-9.9335160686111603</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-9.7192728857738615</v>
      </c>
      <c r="E86" s="11">
        <f>A86-'Mastercurve bestimmen'!$B$2</f>
        <v>-49</v>
      </c>
      <c r="F86" s="11">
        <f t="shared" si="10"/>
        <v>-9.7192728857738615</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-9.507687834327978</v>
      </c>
      <c r="E87" s="11">
        <f>A87-'Mastercurve bestimmen'!$B$2</f>
        <v>-48</v>
      </c>
      <c r="F87" s="11">
        <f t="shared" si="10"/>
        <v>-9.507687834327978</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-9.2986563605165031</v>
      </c>
      <c r="E88" s="11">
        <f>A88-'Mastercurve bestimmen'!$B$2</f>
        <v>-47</v>
      </c>
      <c r="F88" s="11">
        <f t="shared" si="10"/>
        <v>-9.2986563605165031</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-9.0920739105824229</v>
      </c>
      <c r="E89" s="11">
        <f>A89-'Mastercurve bestimmen'!$B$2</f>
        <v>-46</v>
      </c>
      <c r="F89" s="11">
        <f t="shared" si="10"/>
        <v>-9.0920739105824229</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-8.8878359307687251</v>
      </c>
      <c r="E90" s="11">
        <f>A90-'Mastercurve bestimmen'!$B$2</f>
        <v>-45</v>
      </c>
      <c r="F90" s="11">
        <f t="shared" si="10"/>
        <v>-8.8878359307687251</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-8.6858378673183996</v>
      </c>
      <c r="E91" s="11">
        <f>A91-'Mastercurve bestimmen'!$B$2</f>
        <v>-44</v>
      </c>
      <c r="F91" s="11">
        <f t="shared" si="10"/>
        <v>-8.6858378673183996</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-8.4859751664744358</v>
      </c>
      <c r="E92" s="11">
        <f>A92-'Mastercurve bestimmen'!$B$2</f>
        <v>-43</v>
      </c>
      <c r="F92" s="11">
        <f t="shared" si="10"/>
        <v>-8.4859751664744358</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-8.2881432744798236</v>
      </c>
      <c r="E93" s="11">
        <f>A93-'Mastercurve bestimmen'!$B$2</f>
        <v>-42</v>
      </c>
      <c r="F93" s="11">
        <f t="shared" si="10"/>
        <v>-8.2881432744798236</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-8.0922376375775507</v>
      </c>
      <c r="E94" s="11">
        <f>A94-'Mastercurve bestimmen'!$B$2</f>
        <v>-41</v>
      </c>
      <c r="F94" s="11">
        <f t="shared" si="10"/>
        <v>-8.0922376375775507</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-7.8981537020106041</v>
      </c>
      <c r="E95" s="11">
        <f>A95-'Mastercurve bestimmen'!$B$2</f>
        <v>-40</v>
      </c>
      <c r="F95" s="11">
        <f t="shared" si="10"/>
        <v>-7.8981537020106041</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-7.7057869140219761</v>
      </c>
      <c r="E96" s="11">
        <f>A96-'Mastercurve bestimmen'!$B$2</f>
        <v>-39</v>
      </c>
      <c r="F96" s="11">
        <f t="shared" si="10"/>
        <v>-7.7057869140219761</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-7.5150327198546556</v>
      </c>
      <c r="E97" s="11">
        <f>A97-'Mastercurve bestimmen'!$B$2</f>
        <v>-38</v>
      </c>
      <c r="F97" s="11">
        <f t="shared" si="10"/>
        <v>-7.5150327198546556</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-7.3257865657516303</v>
      </c>
      <c r="E98" s="11">
        <f>A98-'Mastercurve bestimmen'!$B$2</f>
        <v>-37</v>
      </c>
      <c r="F98" s="11">
        <f t="shared" si="10"/>
        <v>-7.3257865657516303</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-7.1379438979558891</v>
      </c>
      <c r="E99" s="11">
        <f>A99-'Mastercurve bestimmen'!$B$2</f>
        <v>-36</v>
      </c>
      <c r="F99" s="11">
        <f t="shared" si="10"/>
        <v>-7.1379438979558891</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-6.9514001627104207</v>
      </c>
      <c r="E100" s="11">
        <f>A100-'Mastercurve bestimmen'!$B$2</f>
        <v>-35</v>
      </c>
      <c r="F100" s="11">
        <f t="shared" si="10"/>
        <v>-6.9514001627104207</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-6.7660508062582148</v>
      </c>
      <c r="E101" s="11">
        <f>A101-'Mastercurve bestimmen'!$B$2</f>
        <v>-34</v>
      </c>
      <c r="F101" s="11">
        <f t="shared" si="10"/>
        <v>-6.7660508062582148</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-6.5817912748422609</v>
      </c>
      <c r="E102" s="11">
        <f>A102-'Mastercurve bestimmen'!$B$2</f>
        <v>-33</v>
      </c>
      <c r="F102" s="11">
        <f t="shared" si="10"/>
        <v>-6.5817912748422609</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-6.3985170147055479</v>
      </c>
      <c r="E103" s="11">
        <f>A103-'Mastercurve bestimmen'!$B$2</f>
        <v>-32</v>
      </c>
      <c r="F103" s="11">
        <f t="shared" si="10"/>
        <v>-6.3985170147055479</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-6.2161234720910636</v>
      </c>
      <c r="E104" s="11">
        <f>A104-'Mastercurve bestimmen'!$B$2</f>
        <v>-31</v>
      </c>
      <c r="F104" s="11">
        <f t="shared" si="10"/>
        <v>-6.2161234720910636</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-6.0345060932417978</v>
      </c>
      <c r="E105" s="11">
        <f>A105-'Mastercurve bestimmen'!$B$2</f>
        <v>-30</v>
      </c>
      <c r="F105" s="11">
        <f t="shared" si="10"/>
        <v>-6.0345060932417978</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-5.8535444609102276</v>
      </c>
      <c r="E106" s="11">
        <f>A106-'Mastercurve bestimmen'!$B$2</f>
        <v>-29</v>
      </c>
      <c r="F106" s="11">
        <f t="shared" si="10"/>
        <v>-5.8535444609102276</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-5.6730547038867831</v>
      </c>
      <c r="E107" s="11">
        <f>A107-'Mastercurve bestimmen'!$B$2</f>
        <v>-28</v>
      </c>
      <c r="F107" s="11">
        <f t="shared" si="10"/>
        <v>-5.6730547038867831</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-5.4928370874713854</v>
      </c>
      <c r="E108" s="11">
        <f>A108-'Mastercurve bestimmen'!$B$2</f>
        <v>-27</v>
      </c>
      <c r="F108" s="11">
        <f t="shared" si="10"/>
        <v>-5.4928370874713854</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-5.3126918769639495</v>
      </c>
      <c r="E109" s="11">
        <f>A109-'Mastercurve bestimmen'!$B$2</f>
        <v>-26</v>
      </c>
      <c r="F109" s="11">
        <f t="shared" si="10"/>
        <v>-5.3126918769639495</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-5.1324193376643974</v>
      </c>
      <c r="E110" s="11">
        <f>A110-'Mastercurve bestimmen'!$B$2</f>
        <v>-25</v>
      </c>
      <c r="F110" s="11">
        <f t="shared" si="10"/>
        <v>-5.1324193376643974</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-4.9518197348726467</v>
      </c>
      <c r="E111" s="11">
        <f>A111-'Mastercurve bestimmen'!$B$2</f>
        <v>-24</v>
      </c>
      <c r="F111" s="11">
        <f t="shared" si="10"/>
        <v>-4.9518197348726467</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-4.7706933338886159</v>
      </c>
      <c r="E112" s="11">
        <f>A112-'Mastercurve bestimmen'!$B$2</f>
        <v>-23</v>
      </c>
      <c r="F112" s="11">
        <f t="shared" si="10"/>
        <v>-4.7706933338886159</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-4.5888404000122254</v>
      </c>
      <c r="E113" s="11">
        <f>A113-'Mastercurve bestimmen'!$B$2</f>
        <v>-22</v>
      </c>
      <c r="F113" s="11">
        <f t="shared" si="10"/>
        <v>-4.5888404000122254</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-4.4060611985433908</v>
      </c>
      <c r="E114" s="11">
        <f>A114-'Mastercurve bestimmen'!$B$2</f>
        <v>-21</v>
      </c>
      <c r="F114" s="11">
        <f t="shared" si="10"/>
        <v>-4.4060611985433908</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-4.2221559947820344</v>
      </c>
      <c r="E115" s="11">
        <f>A115-'Mastercurve bestimmen'!$B$2</f>
        <v>-20</v>
      </c>
      <c r="F115" s="11">
        <f t="shared" si="10"/>
        <v>-4.2221559947820344</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-4.0369250540280737</v>
      </c>
      <c r="E116" s="11">
        <f>A116-'Mastercurve bestimmen'!$B$2</f>
        <v>-19</v>
      </c>
      <c r="F116" s="11">
        <f t="shared" si="10"/>
        <v>-4.0369250540280737</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-3.8501686415814262</v>
      </c>
      <c r="E117" s="11">
        <f>A117-'Mastercurve bestimmen'!$B$2</f>
        <v>-18</v>
      </c>
      <c r="F117" s="11">
        <f t="shared" si="10"/>
        <v>-3.8501686415814262</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-3.6616870227420124</v>
      </c>
      <c r="E118" s="11">
        <f>A118-'Mastercurve bestimmen'!$B$2</f>
        <v>-17</v>
      </c>
      <c r="F118" s="11">
        <f t="shared" si="10"/>
        <v>-3.6616870227420124</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-3.4712804628097511</v>
      </c>
      <c r="E119" s="11">
        <f>A119-'Mastercurve bestimmen'!$B$2</f>
        <v>-16</v>
      </c>
      <c r="F119" s="11">
        <f t="shared" si="10"/>
        <v>-3.4712804628097511</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-3.2787492270845604</v>
      </c>
      <c r="E120" s="11">
        <f>A120-'Mastercurve bestimmen'!$B$2</f>
        <v>-15</v>
      </c>
      <c r="F120" s="11">
        <f t="shared" si="10"/>
        <v>-3.2787492270845604</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-3.0838935808663597</v>
      </c>
      <c r="E121" s="11">
        <f>A121-'Mastercurve bestimmen'!$B$2</f>
        <v>-14</v>
      </c>
      <c r="F121" s="11">
        <f t="shared" si="10"/>
        <v>-3.0838935808663597</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-2.8865137894550665</v>
      </c>
      <c r="E122" s="11">
        <f>A122-'Mastercurve bestimmen'!$B$2</f>
        <v>-13</v>
      </c>
      <c r="F122" s="11">
        <f t="shared" si="10"/>
        <v>-2.8865137894550665</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-2.6864101181506017</v>
      </c>
      <c r="E123" s="11">
        <f>A123-'Mastercurve bestimmen'!$B$2</f>
        <v>-12</v>
      </c>
      <c r="F123" s="11">
        <f t="shared" si="10"/>
        <v>-2.6864101181506017</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-2.4833828322528828</v>
      </c>
      <c r="E124" s="11">
        <f>A124-'Mastercurve bestimmen'!$B$2</f>
        <v>-11</v>
      </c>
      <c r="F124" s="11">
        <f t="shared" si="10"/>
        <v>-2.4833828322528828</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-2.2772321970618283</v>
      </c>
      <c r="E125" s="11">
        <f>A125-'Mastercurve bestimmen'!$B$2</f>
        <v>-10</v>
      </c>
      <c r="F125" s="11">
        <f t="shared" si="10"/>
        <v>-2.2772321970618283</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-2.0677584778773581</v>
      </c>
      <c r="E126" s="11">
        <f>A126-'Mastercurve bestimmen'!$B$2</f>
        <v>-9</v>
      </c>
      <c r="F126" s="11">
        <f t="shared" si="10"/>
        <v>-2.0677584778773581</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-1.8547619399993902</v>
      </c>
      <c r="E127" s="11">
        <f>A127-'Mastercurve bestimmen'!$B$2</f>
        <v>-8</v>
      </c>
      <c r="F127" s="11">
        <f t="shared" si="10"/>
        <v>-1.8547619399993902</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-1.638042848727844</v>
      </c>
      <c r="E128" s="11">
        <f>A128-'Mastercurve bestimmen'!$B$2</f>
        <v>-7</v>
      </c>
      <c r="F128" s="11">
        <f t="shared" si="10"/>
        <v>-1.638042848727844</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-1.417401469362638</v>
      </c>
      <c r="E129" s="11">
        <f>A129-'Mastercurve bestimmen'!$B$2</f>
        <v>-6</v>
      </c>
      <c r="F129" s="11">
        <f t="shared" si="10"/>
        <v>-1.417401469362638</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-1.1926380672036907</v>
      </c>
      <c r="E130" s="11">
        <f>A130-'Mastercurve bestimmen'!$B$2</f>
        <v>-5</v>
      </c>
      <c r="F130" s="11">
        <f t="shared" si="10"/>
        <v>-1.1926380672036907</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-0.96355290755092171</v>
      </c>
      <c r="E131" s="11">
        <f>A131-'Mastercurve bestimmen'!$B$2</f>
        <v>-4</v>
      </c>
      <c r="F131" s="11">
        <f t="shared" si="10"/>
        <v>-0.96355290755092171</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-0.72994625570424909</v>
      </c>
      <c r="E132" s="11">
        <f>A132-'Mastercurve bestimmen'!$B$2</f>
        <v>-3</v>
      </c>
      <c r="F132" s="11">
        <f t="shared" si="10"/>
        <v>-0.72994625570424909</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-0.49161837696359212</v>
      </c>
      <c r="E133" s="11">
        <f>A133-'Mastercurve bestimmen'!$B$2</f>
        <v>-2</v>
      </c>
      <c r="F133" s="11">
        <f t="shared" si="10"/>
        <v>-0.49161837696359212</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-0.24836953662886951</v>
      </c>
      <c r="E134" s="11">
        <f>A134-'Mastercurve bestimmen'!$B$2</f>
        <v>-1</v>
      </c>
      <c r="F134" s="11">
        <f t="shared" si="10"/>
        <v>-0.24836953662886951</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0.25363970196392077</v>
      </c>
      <c r="E136" s="11">
        <f>A136-'Mastercurve bestimmen'!$B$2</f>
        <v>1</v>
      </c>
      <c r="F136" s="11">
        <f t="shared" si="10"/>
        <v>0.25363970196392077</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0.51249797566708877</v>
      </c>
      <c r="E137" s="11">
        <f>A137-'Mastercurve bestimmen'!$B$2</f>
        <v>2</v>
      </c>
      <c r="F137" s="11">
        <f t="shared" si="10"/>
        <v>0.51249797566708877</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0.77647296185452297</v>
      </c>
      <c r="E138" s="11">
        <f>A138-'Mastercurve bestimmen'!$B$2</f>
        <v>3</v>
      </c>
      <c r="F138" s="11">
        <f t="shared" si="10"/>
        <v>0.77647296185452297</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1.045462801271243</v>
      </c>
      <c r="E139" s="11">
        <f>A139-'Mastercurve bestimmen'!$B$2</f>
        <v>4</v>
      </c>
      <c r="F139" s="11">
        <f t="shared" si="10"/>
        <v>1.045462801271243</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1.319365634662268</v>
      </c>
      <c r="E140" s="11">
        <f>A140-'Mastercurve bestimmen'!$B$2</f>
        <v>5</v>
      </c>
      <c r="F140" s="11">
        <f t="shared" si="10"/>
        <v>1.319365634662268</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1.5980796027726172</v>
      </c>
      <c r="E141" s="11">
        <f>A141-'Mastercurve bestimmen'!$B$2</f>
        <v>6</v>
      </c>
      <c r="F141" s="11">
        <f t="shared" si="10"/>
        <v>1.5980796027726172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1.8815028463473094</v>
      </c>
      <c r="E142" s="11">
        <f>A142-'Mastercurve bestimmen'!$B$2</f>
        <v>7</v>
      </c>
      <c r="F142" s="11">
        <f t="shared" si="10"/>
        <v>1.8815028463473094</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2.1695335061313643</v>
      </c>
      <c r="E143" s="11">
        <f>A143-'Mastercurve bestimmen'!$B$2</f>
        <v>8</v>
      </c>
      <c r="F143" s="11">
        <f t="shared" si="10"/>
        <v>2.1695335061313643</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2.462069722869801</v>
      </c>
      <c r="E144" s="11">
        <f>A144-'Mastercurve bestimmen'!$B$2</f>
        <v>9</v>
      </c>
      <c r="F144" s="11">
        <f t="shared" ref="F144:F207" si="15">B144</f>
        <v>2.462069722869801</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2.7590096373076385</v>
      </c>
      <c r="E145" s="11">
        <f>A145-'Mastercurve bestimmen'!$B$2</f>
        <v>10</v>
      </c>
      <c r="F145" s="11">
        <f t="shared" si="15"/>
        <v>2.7590096373076385</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3.0602513901898964</v>
      </c>
      <c r="E146" s="11">
        <f>A146-'Mastercurve bestimmen'!$B$2</f>
        <v>11</v>
      </c>
      <c r="F146" s="11">
        <f t="shared" si="15"/>
        <v>3.0602513901898964</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3.365693122261594</v>
      </c>
      <c r="E147" s="11">
        <f>A147-'Mastercurve bestimmen'!$B$2</f>
        <v>12</v>
      </c>
      <c r="F147" s="11">
        <f t="shared" si="15"/>
        <v>3.365693122261594</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3.6752329742677499</v>
      </c>
      <c r="E148" s="11">
        <f>A148-'Mastercurve bestimmen'!$B$2</f>
        <v>13</v>
      </c>
      <c r="F148" s="11">
        <f t="shared" si="15"/>
        <v>3.6752329742677499</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3.9887690869533836</v>
      </c>
      <c r="E149" s="11">
        <f>A149-'Mastercurve bestimmen'!$B$2</f>
        <v>14</v>
      </c>
      <c r="F149" s="11">
        <f t="shared" si="15"/>
        <v>3.9887690869533836</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4.3061996010635148</v>
      </c>
      <c r="E150" s="11">
        <f>A150-'Mastercurve bestimmen'!$B$2</f>
        <v>15</v>
      </c>
      <c r="F150" s="11">
        <f t="shared" si="15"/>
        <v>4.3061996010635148</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4.6274226573431614</v>
      </c>
      <c r="E151" s="11">
        <f>A151-'Mastercurve bestimmen'!$B$2</f>
        <v>16</v>
      </c>
      <c r="F151" s="11">
        <f t="shared" si="15"/>
        <v>4.6274226573431614</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4.9523363965373441</v>
      </c>
      <c r="E152" s="11">
        <f>A152-'Mastercurve bestimmen'!$B$2</f>
        <v>17</v>
      </c>
      <c r="F152" s="11">
        <f t="shared" si="15"/>
        <v>4.9523363965373441</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5.2808389593910814</v>
      </c>
      <c r="E153" s="11">
        <f>A153-'Mastercurve bestimmen'!$B$2</f>
        <v>18</v>
      </c>
      <c r="F153" s="11">
        <f t="shared" si="15"/>
        <v>5.2808389593910814</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5.6128284866493932</v>
      </c>
      <c r="E154" s="11">
        <f>A154-'Mastercurve bestimmen'!$B$2</f>
        <v>19</v>
      </c>
      <c r="F154" s="11">
        <f t="shared" si="15"/>
        <v>5.6128284866493932</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5.9482031190572968</v>
      </c>
      <c r="E155" s="11">
        <f>A155-'Mastercurve bestimmen'!$B$2</f>
        <v>20</v>
      </c>
      <c r="F155" s="11">
        <f t="shared" si="15"/>
        <v>5.9482031190572968</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6.2868609973598142</v>
      </c>
      <c r="E156" s="11">
        <f>A156-'Mastercurve bestimmen'!$B$2</f>
        <v>21</v>
      </c>
      <c r="F156" s="11">
        <f t="shared" si="15"/>
        <v>6.2868609973598142</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6.6287002623019626</v>
      </c>
      <c r="E157" s="11">
        <f>A157-'Mastercurve bestimmen'!$B$2</f>
        <v>22</v>
      </c>
      <c r="F157" s="11">
        <f t="shared" si="15"/>
        <v>6.6287002623019626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6.9736190546287613</v>
      </c>
      <c r="E158" s="11">
        <f>A158-'Mastercurve bestimmen'!$B$2</f>
        <v>23</v>
      </c>
      <c r="F158" s="11">
        <f t="shared" si="15"/>
        <v>6.9736190546287613</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7.321515515085232</v>
      </c>
      <c r="E159" s="11">
        <f>A159-'Mastercurve bestimmen'!$B$2</f>
        <v>24</v>
      </c>
      <c r="F159" s="11">
        <f t="shared" si="15"/>
        <v>7.321515515085232</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7.6722877844163904</v>
      </c>
      <c r="E160" s="11">
        <f>A160-'Mastercurve bestimmen'!$B$2</f>
        <v>25</v>
      </c>
      <c r="F160" s="11">
        <f t="shared" si="15"/>
        <v>7.6722877844163904</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8.0258340033672582</v>
      </c>
      <c r="E161" s="11">
        <f>A161-'Mastercurve bestimmen'!$B$2</f>
        <v>26</v>
      </c>
      <c r="F161" s="11">
        <f t="shared" si="15"/>
        <v>8.0258340033672582</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8.3820523126828519</v>
      </c>
      <c r="E162" s="11">
        <f>A162-'Mastercurve bestimmen'!$B$2</f>
        <v>27</v>
      </c>
      <c r="F162" s="11">
        <f t="shared" si="15"/>
        <v>8.3820523126828519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8.7408408531081925</v>
      </c>
      <c r="E163" s="11">
        <f>A163-'Mastercurve bestimmen'!$B$2</f>
        <v>28</v>
      </c>
      <c r="F163" s="11">
        <f t="shared" si="15"/>
        <v>8.7408408531081925</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9.1020977653883008</v>
      </c>
      <c r="E164" s="11">
        <f>A164-'Mastercurve bestimmen'!$B$2</f>
        <v>29</v>
      </c>
      <c r="F164" s="11">
        <f t="shared" si="15"/>
        <v>9.1020977653883008</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9.4657211902681944</v>
      </c>
      <c r="E165" s="11">
        <f>A165-'Mastercurve bestimmen'!$B$2</f>
        <v>30</v>
      </c>
      <c r="F165" s="11">
        <f t="shared" si="15"/>
        <v>9.4657211902681944</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9.8316092684928922</v>
      </c>
      <c r="E166" s="11">
        <f>A166-'Mastercurve bestimmen'!$B$2</f>
        <v>31</v>
      </c>
      <c r="F166" s="11">
        <f t="shared" si="15"/>
        <v>9.8316092684928922</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10.199660140807413</v>
      </c>
      <c r="E167" s="11">
        <f>A167-'Mastercurve bestimmen'!$B$2</f>
        <v>32</v>
      </c>
      <c r="F167" s="11">
        <f t="shared" si="15"/>
        <v>10.199660140807413</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10.569771947956777</v>
      </c>
      <c r="E168" s="11">
        <f>A168-'Mastercurve bestimmen'!$B$2</f>
        <v>33</v>
      </c>
      <c r="F168" s="11">
        <f t="shared" si="15"/>
        <v>10.569771947956777</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10.941842830686003</v>
      </c>
      <c r="E169" s="11">
        <f>A169-'Mastercurve bestimmen'!$B$2</f>
        <v>34</v>
      </c>
      <c r="F169" s="11">
        <f t="shared" si="15"/>
        <v>10.941842830686003</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11.315770929740111</v>
      </c>
      <c r="E170" s="11">
        <f>A170-'Mastercurve bestimmen'!$B$2</f>
        <v>35</v>
      </c>
      <c r="F170" s="11">
        <f t="shared" si="15"/>
        <v>11.315770929740111</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11.69145438586412</v>
      </c>
      <c r="E171" s="11">
        <f>A171-'Mastercurve bestimmen'!$B$2</f>
        <v>36</v>
      </c>
      <c r="F171" s="11">
        <f t="shared" si="15"/>
        <v>11.69145438586412</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12.068791339803049</v>
      </c>
      <c r="E172" s="11">
        <f>A172-'Mastercurve bestimmen'!$B$2</f>
        <v>37</v>
      </c>
      <c r="F172" s="11">
        <f t="shared" si="15"/>
        <v>12.068791339803049</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12.447679932301916</v>
      </c>
      <c r="E173" s="11">
        <f>A173-'Mastercurve bestimmen'!$B$2</f>
        <v>38</v>
      </c>
      <c r="F173" s="11">
        <f t="shared" si="15"/>
        <v>12.447679932301916</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12.828018304105742</v>
      </c>
      <c r="E174" s="11">
        <f>A174-'Mastercurve bestimmen'!$B$2</f>
        <v>39</v>
      </c>
      <c r="F174" s="11">
        <f t="shared" si="15"/>
        <v>12.828018304105742</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13.209704595959545</v>
      </c>
      <c r="E175" s="11">
        <f>A175-'Mastercurve bestimmen'!$B$2</f>
        <v>40</v>
      </c>
      <c r="F175" s="11">
        <f t="shared" si="15"/>
        <v>13.209704595959545</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13.592636948608344</v>
      </c>
      <c r="E176" s="11">
        <f>A176-'Mastercurve bestimmen'!$B$2</f>
        <v>41</v>
      </c>
      <c r="F176" s="11">
        <f t="shared" si="15"/>
        <v>13.592636948608344</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13.976713502797161</v>
      </c>
      <c r="E177" s="11">
        <f>A177-'Mastercurve bestimmen'!$B$2</f>
        <v>42</v>
      </c>
      <c r="F177" s="11">
        <f t="shared" si="15"/>
        <v>13.976713502797161</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14.361832399271012</v>
      </c>
      <c r="E178" s="11">
        <f>A178-'Mastercurve bestimmen'!$B$2</f>
        <v>43</v>
      </c>
      <c r="F178" s="11">
        <f t="shared" si="15"/>
        <v>14.361832399271012</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14.747891778774918</v>
      </c>
      <c r="E179" s="11">
        <f>A179-'Mastercurve bestimmen'!$B$2</f>
        <v>44</v>
      </c>
      <c r="F179" s="11">
        <f t="shared" si="15"/>
        <v>14.747891778774918</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15.134789782053897</v>
      </c>
      <c r="E180" s="11">
        <f>A180-'Mastercurve bestimmen'!$B$2</f>
        <v>45</v>
      </c>
      <c r="F180" s="11">
        <f t="shared" si="15"/>
        <v>15.134789782053897</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15.522438017992988</v>
      </c>
      <c r="E181" s="11">
        <f>A181-'Mastercurve bestimmen'!$B$2</f>
        <v>46</v>
      </c>
      <c r="F181" s="11">
        <f t="shared" si="15"/>
        <v>15.522438017992988</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15.910801968037312</v>
      </c>
      <c r="E182" s="11">
        <f>A182-'Mastercurve bestimmen'!$B$2</f>
        <v>47</v>
      </c>
      <c r="F182" s="11">
        <f t="shared" si="15"/>
        <v>15.910801968037312</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16.299860581772009</v>
      </c>
      <c r="E183" s="11">
        <f>A183-'Mastercurve bestimmen'!$B$2</f>
        <v>48</v>
      </c>
      <c r="F183" s="11">
        <f t="shared" si="15"/>
        <v>16.299860581772009</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16.689592808782223</v>
      </c>
      <c r="E184" s="11">
        <f>A184-'Mastercurve bestimmen'!$B$2</f>
        <v>49</v>
      </c>
      <c r="F184" s="11">
        <f t="shared" si="15"/>
        <v>16.689592808782223</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17.079977598653088</v>
      </c>
      <c r="E185" s="11">
        <f>A185-'Mastercurve bestimmen'!$B$2</f>
        <v>50</v>
      </c>
      <c r="F185" s="11">
        <f t="shared" si="15"/>
        <v>17.079977598653088</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17.470993900969745</v>
      </c>
      <c r="E186" s="11">
        <f>A186-'Mastercurve bestimmen'!$B$2</f>
        <v>51</v>
      </c>
      <c r="F186" s="11">
        <f t="shared" si="15"/>
        <v>17.470993900969745</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17.86262066531734</v>
      </c>
      <c r="E187" s="11">
        <f>A187-'Mastercurve bestimmen'!$B$2</f>
        <v>52</v>
      </c>
      <c r="F187" s="11">
        <f t="shared" si="15"/>
        <v>17.86262066531734</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18.254836841281005</v>
      </c>
      <c r="E188" s="11">
        <f>A188-'Mastercurve bestimmen'!$B$2</f>
        <v>53</v>
      </c>
      <c r="F188" s="11">
        <f t="shared" si="15"/>
        <v>18.254836841281005</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18.647621378445891</v>
      </c>
      <c r="E189" s="11">
        <f>A189-'Mastercurve bestimmen'!$B$2</f>
        <v>54</v>
      </c>
      <c r="F189" s="11">
        <f t="shared" si="15"/>
        <v>18.647621378445891</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19.040953226397129</v>
      </c>
      <c r="E190" s="11">
        <f>A190-'Mastercurve bestimmen'!$B$2</f>
        <v>55</v>
      </c>
      <c r="F190" s="11">
        <f t="shared" si="15"/>
        <v>19.040953226397129</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19.434811334719861</v>
      </c>
      <c r="E191" s="11">
        <f>A191-'Mastercurve bestimmen'!$B$2</f>
        <v>56</v>
      </c>
      <c r="F191" s="11">
        <f t="shared" si="15"/>
        <v>19.434811334719861</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19.829174652999225</v>
      </c>
      <c r="E192" s="11">
        <f>A192-'Mastercurve bestimmen'!$B$2</f>
        <v>57</v>
      </c>
      <c r="F192" s="11">
        <f t="shared" si="15"/>
        <v>19.829174652999225</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20.224022130820366</v>
      </c>
      <c r="E193" s="11">
        <f>A193-'Mastercurve bestimmen'!$B$2</f>
        <v>58</v>
      </c>
      <c r="F193" s="11">
        <f t="shared" si="15"/>
        <v>20.224022130820366</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20.619332717768422</v>
      </c>
      <c r="E194" s="11">
        <f>A194-'Mastercurve bestimmen'!$B$2</f>
        <v>59</v>
      </c>
      <c r="F194" s="11">
        <f t="shared" si="15"/>
        <v>20.619332717768422</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21.015085363428536</v>
      </c>
      <c r="E195" s="11">
        <f>A195-'Mastercurve bestimmen'!$B$2</f>
        <v>60</v>
      </c>
      <c r="F195" s="11">
        <f t="shared" si="15"/>
        <v>21.015085363428536</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21.411259017385845</v>
      </c>
      <c r="E196" s="11">
        <f>A196-'Mastercurve bestimmen'!$B$2</f>
        <v>61</v>
      </c>
      <c r="F196" s="11">
        <f t="shared" si="15"/>
        <v>21.411259017385845</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21.807832629225491</v>
      </c>
      <c r="E197" s="11">
        <f>A197-'Mastercurve bestimmen'!$B$2</f>
        <v>62</v>
      </c>
      <c r="F197" s="11">
        <f t="shared" si="15"/>
        <v>21.807832629225491</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22.204785148532611</v>
      </c>
      <c r="E198" s="11">
        <f>A198-'Mastercurve bestimmen'!$B$2</f>
        <v>63</v>
      </c>
      <c r="F198" s="11">
        <f t="shared" si="15"/>
        <v>22.204785148532611</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22.602095524892349</v>
      </c>
      <c r="E199" s="11">
        <f>A199-'Mastercurve bestimmen'!$B$2</f>
        <v>64</v>
      </c>
      <c r="F199" s="11">
        <f t="shared" si="15"/>
        <v>22.602095524892349</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22.999742707889844</v>
      </c>
      <c r="E200" s="11">
        <f>A200-'Mastercurve bestimmen'!$B$2</f>
        <v>65</v>
      </c>
      <c r="F200" s="11">
        <f t="shared" si="15"/>
        <v>22.999742707889844</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23.397705647110236</v>
      </c>
      <c r="E201" s="11">
        <f>A201-'Mastercurve bestimmen'!$B$2</f>
        <v>66</v>
      </c>
      <c r="F201" s="11">
        <f t="shared" si="15"/>
        <v>23.397705647110236</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23.795963292138666</v>
      </c>
      <c r="E202" s="11">
        <f>A202-'Mastercurve bestimmen'!$B$2</f>
        <v>67</v>
      </c>
      <c r="F202" s="11">
        <f t="shared" si="15"/>
        <v>23.795963292138666</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24.194494592560272</v>
      </c>
      <c r="E203" s="11">
        <f>A203-'Mastercurve bestimmen'!$B$2</f>
        <v>68</v>
      </c>
      <c r="F203" s="11">
        <f t="shared" si="15"/>
        <v>24.194494592560272</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24.593278497960195</v>
      </c>
      <c r="E204" s="11">
        <f>A204-'Mastercurve bestimmen'!$B$2</f>
        <v>69</v>
      </c>
      <c r="F204" s="11">
        <f t="shared" si="15"/>
        <v>24.593278497960195</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24.992293957923572</v>
      </c>
      <c r="E205" s="11">
        <f>A205-'Mastercurve bestimmen'!$B$2</f>
        <v>70</v>
      </c>
      <c r="F205" s="11">
        <f t="shared" si="15"/>
        <v>24.992293957923572</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25.391519922035553</v>
      </c>
      <c r="E206" s="11">
        <f>A206-'Mastercurve bestimmen'!$B$2</f>
        <v>71</v>
      </c>
      <c r="F206" s="11">
        <f t="shared" si="15"/>
        <v>25.391519922035553</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25.790935339881269</v>
      </c>
      <c r="E207" s="11">
        <f>A207-'Mastercurve bestimmen'!$B$2</f>
        <v>72</v>
      </c>
      <c r="F207" s="11">
        <f t="shared" si="15"/>
        <v>25.790935339881269</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26.190519161045867</v>
      </c>
      <c r="E208" s="11">
        <f>A208-'Mastercurve bestimmen'!$B$2</f>
        <v>73</v>
      </c>
      <c r="F208" s="11">
        <f t="shared" ref="F208:F215" si="21">B208</f>
        <v>26.190519161045867</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26.590250335114483</v>
      </c>
      <c r="E209" s="11">
        <f>A209-'Mastercurve bestimmen'!$B$2</f>
        <v>74</v>
      </c>
      <c r="F209" s="11">
        <f t="shared" si="21"/>
        <v>26.590250335114483</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26.990107811672253</v>
      </c>
      <c r="E210" s="11">
        <f>A210-'Mastercurve bestimmen'!$B$2</f>
        <v>75</v>
      </c>
      <c r="F210" s="11">
        <f t="shared" si="21"/>
        <v>26.990107811672253</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27.390070540304322</v>
      </c>
      <c r="E211" s="11">
        <f>A211-'Mastercurve bestimmen'!$B$2</f>
        <v>76</v>
      </c>
      <c r="F211" s="11">
        <f t="shared" si="21"/>
        <v>27.390070540304322</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27.790117470595835</v>
      </c>
      <c r="E212" s="11">
        <f>A212-'Mastercurve bestimmen'!$B$2</f>
        <v>77</v>
      </c>
      <c r="F212" s="11">
        <f t="shared" si="21"/>
        <v>27.790117470595835</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28.190227552131926</v>
      </c>
      <c r="E213" s="11">
        <f>A213-'Mastercurve bestimmen'!$B$2</f>
        <v>78</v>
      </c>
      <c r="F213" s="11">
        <f t="shared" si="21"/>
        <v>28.190227552131926</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28.590379734497738</v>
      </c>
      <c r="E214" s="11">
        <f>A214-'Mastercurve bestimmen'!$B$2</f>
        <v>79</v>
      </c>
      <c r="F214" s="11">
        <f t="shared" si="21"/>
        <v>28.590379734497738</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28.990552967278404</v>
      </c>
      <c r="E215" s="11">
        <f>A215-'Mastercurve bestimmen'!$B$2</f>
        <v>80</v>
      </c>
      <c r="F215" s="11">
        <f t="shared" si="21"/>
        <v>28.990552967278404</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0.24880297550066366</v>
      </c>
      <c r="J217" s="98">
        <v>2.0673507386697681E-3</v>
      </c>
      <c r="K217" s="98">
        <v>1.2691544489599315E-5</v>
      </c>
      <c r="L217" s="98">
        <v>-2.8849419776775187E-7</v>
      </c>
      <c r="M217" s="98">
        <v>-1.9617482416821051E-9</v>
      </c>
      <c r="N217" s="98">
        <v>1.5422047699696851E-11</v>
      </c>
      <c r="O217" s="98">
        <v>1.5037186164883593E-13</v>
      </c>
      <c r="P217" s="98">
        <v>3.2828149668361693E-16</v>
      </c>
    </row>
    <row r="218" spans="1:16" x14ac:dyDescent="0.25">
      <c r="G218" s="11"/>
      <c r="H218" s="11">
        <v>0</v>
      </c>
      <c r="I218" s="11">
        <v>9.3928227125465583E-4</v>
      </c>
      <c r="J218" s="11">
        <v>1.7495583452950254E-5</v>
      </c>
      <c r="K218" s="3">
        <v>8.8894348848859589E-7</v>
      </c>
      <c r="L218" s="3">
        <v>8.0940948783259506E-9</v>
      </c>
      <c r="M218" s="3">
        <v>2.5415609477652191E-10</v>
      </c>
      <c r="N218" s="3">
        <v>1.3966144479448942E-12</v>
      </c>
      <c r="O218" s="11">
        <v>2.2458373677935932E-14</v>
      </c>
      <c r="P218" s="11">
        <v>1.3656906881324243E-16</v>
      </c>
    </row>
    <row r="219" spans="1:16" x14ac:dyDescent="0.25">
      <c r="G219" s="11"/>
      <c r="H219" s="11">
        <v>0.99996285110878125</v>
      </c>
      <c r="I219" s="11">
        <v>9.7173198963569976E-2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-26.740543905520397</v>
      </c>
      <c r="G222">
        <f>F15</f>
        <v>-26.816546265645783</v>
      </c>
    </row>
    <row r="223" spans="1:16" x14ac:dyDescent="0.25">
      <c r="E223" s="11">
        <f t="shared" ref="E223:E286" si="25">E16</f>
        <v>-119</v>
      </c>
      <c r="F223" s="11">
        <f t="shared" ref="F223:F286" si="26">$H$217*0+E223*$I$217+E223^2*$J$217+E223^3*$K$217+E223^4*$L$217+E223^5*$M$217+E223^6*$N$217+E223^7*$O$217+E223^8*$P$217</f>
        <v>-26.576696071662983</v>
      </c>
      <c r="G223" s="11">
        <f t="shared" ref="G223:G286" si="27">F16</f>
        <v>-26.616580767835199</v>
      </c>
    </row>
    <row r="224" spans="1:16" x14ac:dyDescent="0.25">
      <c r="E224" s="11">
        <f t="shared" si="25"/>
        <v>-118</v>
      </c>
      <c r="F224" s="11">
        <f t="shared" si="26"/>
        <v>-26.406410935437613</v>
      </c>
      <c r="G224" s="11">
        <f t="shared" si="27"/>
        <v>-26.41641244549772</v>
      </c>
    </row>
    <row r="225" spans="5:7" x14ac:dyDescent="0.25">
      <c r="E225" s="11">
        <f t="shared" si="25"/>
        <v>-117</v>
      </c>
      <c r="F225" s="11">
        <f t="shared" si="26"/>
        <v>-26.22987484087534</v>
      </c>
      <c r="G225" s="11">
        <f t="shared" si="27"/>
        <v>-26.215838474106445</v>
      </c>
    </row>
    <row r="226" spans="5:7" x14ac:dyDescent="0.25">
      <c r="E226" s="11">
        <f t="shared" si="25"/>
        <v>-116</v>
      </c>
      <c r="F226" s="11">
        <f t="shared" si="26"/>
        <v>-26.047276579193664</v>
      </c>
      <c r="G226" s="11">
        <f t="shared" si="27"/>
        <v>-26.014656029134468</v>
      </c>
    </row>
    <row r="227" spans="5:7" x14ac:dyDescent="0.25">
      <c r="E227" s="11">
        <f t="shared" si="25"/>
        <v>-115</v>
      </c>
      <c r="F227" s="11">
        <f t="shared" si="26"/>
        <v>-25.858807276110191</v>
      </c>
      <c r="G227" s="11">
        <f t="shared" si="27"/>
        <v>-25.812662286054895</v>
      </c>
    </row>
    <row r="228" spans="5:7" x14ac:dyDescent="0.25">
      <c r="E228" s="11">
        <f t="shared" si="25"/>
        <v>-114</v>
      </c>
      <c r="F228" s="11">
        <f t="shared" si="26"/>
        <v>-25.664660266124606</v>
      </c>
      <c r="G228" s="11">
        <f t="shared" si="27"/>
        <v>-25.609654420340831</v>
      </c>
    </row>
    <row r="229" spans="5:7" x14ac:dyDescent="0.25">
      <c r="E229" s="11">
        <f t="shared" si="25"/>
        <v>-113</v>
      </c>
      <c r="F229" s="11">
        <f t="shared" si="26"/>
        <v>-25.465030954553001</v>
      </c>
      <c r="G229" s="11">
        <f t="shared" si="27"/>
        <v>-25.405429607465372</v>
      </c>
    </row>
    <row r="230" spans="5:7" x14ac:dyDescent="0.25">
      <c r="E230" s="11">
        <f t="shared" si="25"/>
        <v>-112</v>
      </c>
      <c r="F230" s="11">
        <f t="shared" si="26"/>
        <v>-25.26011666808526</v>
      </c>
      <c r="G230" s="11">
        <f t="shared" si="27"/>
        <v>-25.199785022901622</v>
      </c>
    </row>
    <row r="231" spans="5:7" x14ac:dyDescent="0.25">
      <c r="E231" s="11">
        <f t="shared" si="25"/>
        <v>-111</v>
      </c>
      <c r="F231" s="11">
        <f t="shared" si="26"/>
        <v>-25.050116494623651</v>
      </c>
      <c r="G231" s="11">
        <f t="shared" si="27"/>
        <v>-24.992517842122684</v>
      </c>
    </row>
    <row r="232" spans="5:7" x14ac:dyDescent="0.25">
      <c r="E232" s="11">
        <f t="shared" si="25"/>
        <v>-110</v>
      </c>
      <c r="F232" s="11">
        <f t="shared" si="26"/>
        <v>-24.835231113146477</v>
      </c>
      <c r="G232" s="11">
        <f t="shared" si="27"/>
        <v>-24.783425240601652</v>
      </c>
    </row>
    <row r="233" spans="5:7" x14ac:dyDescent="0.25">
      <c r="E233" s="11">
        <f t="shared" si="25"/>
        <v>-109</v>
      </c>
      <c r="F233" s="11">
        <f t="shared" si="26"/>
        <v>-24.61566261432862</v>
      </c>
      <c r="G233" s="11">
        <f t="shared" si="27"/>
        <v>-24.572304393811631</v>
      </c>
    </row>
    <row r="234" spans="5:7" x14ac:dyDescent="0.25">
      <c r="E234" s="11">
        <f t="shared" si="25"/>
        <v>-108</v>
      </c>
      <c r="F234" s="11">
        <f t="shared" si="26"/>
        <v>-24.391614312636499</v>
      </c>
      <c r="G234" s="11">
        <f t="shared" si="27"/>
        <v>-24.358952477225728</v>
      </c>
    </row>
    <row r="235" spans="5:7" x14ac:dyDescent="0.25">
      <c r="E235" s="11">
        <f t="shared" si="25"/>
        <v>-107</v>
      </c>
      <c r="F235" s="11">
        <f t="shared" si="26"/>
        <v>-24.163290550602255</v>
      </c>
      <c r="G235" s="11">
        <f t="shared" si="27"/>
        <v>-24.143166666317036</v>
      </c>
    </row>
    <row r="236" spans="5:7" x14ac:dyDescent="0.25">
      <c r="E236" s="11">
        <f t="shared" si="25"/>
        <v>-106</v>
      </c>
      <c r="F236" s="11">
        <f t="shared" si="26"/>
        <v>-23.930896495968966</v>
      </c>
      <c r="G236" s="11">
        <f t="shared" si="27"/>
        <v>-23.924744136558665</v>
      </c>
    </row>
    <row r="237" spans="5:7" x14ac:dyDescent="0.25">
      <c r="E237" s="11">
        <f t="shared" si="25"/>
        <v>-105</v>
      </c>
      <c r="F237" s="11">
        <f t="shared" si="26"/>
        <v>-23.694637932384648</v>
      </c>
      <c r="G237" s="11">
        <f t="shared" si="27"/>
        <v>-23.703482063423706</v>
      </c>
    </row>
    <row r="238" spans="5:7" x14ac:dyDescent="0.25">
      <c r="E238" s="11">
        <f t="shared" si="25"/>
        <v>-104</v>
      </c>
      <c r="F238" s="11">
        <f t="shared" si="26"/>
        <v>-23.454721044310613</v>
      </c>
      <c r="G238" s="11">
        <f t="shared" si="27"/>
        <v>-23.479177622385265</v>
      </c>
    </row>
    <row r="239" spans="5:7" x14ac:dyDescent="0.25">
      <c r="E239" s="11">
        <f t="shared" si="25"/>
        <v>-103</v>
      </c>
      <c r="F239" s="11">
        <f t="shared" si="26"/>
        <v>-23.211352196795552</v>
      </c>
      <c r="G239" s="11">
        <f t="shared" si="27"/>
        <v>-23.251627988916439</v>
      </c>
    </row>
    <row r="240" spans="5:7" x14ac:dyDescent="0.25">
      <c r="E240" s="11">
        <f t="shared" si="25"/>
        <v>-102</v>
      </c>
      <c r="F240" s="11">
        <f t="shared" si="26"/>
        <v>-22.964737710754132</v>
      </c>
      <c r="G240" s="11">
        <f t="shared" si="27"/>
        <v>-23.020630338490339</v>
      </c>
    </row>
    <row r="241" spans="5:7" x14ac:dyDescent="0.25">
      <c r="E241" s="11">
        <f t="shared" si="25"/>
        <v>-101</v>
      </c>
      <c r="F241" s="11">
        <f t="shared" si="26"/>
        <v>-22.715083634375343</v>
      </c>
      <c r="G241" s="11">
        <f t="shared" si="27"/>
        <v>-22.785981846580057</v>
      </c>
    </row>
    <row r="242" spans="5:7" x14ac:dyDescent="0.25">
      <c r="E242" s="11">
        <f t="shared" si="25"/>
        <v>-100</v>
      </c>
      <c r="F242" s="11">
        <f t="shared" si="26"/>
        <v>-22.46259551127271</v>
      </c>
      <c r="G242" s="11">
        <f t="shared" si="27"/>
        <v>-22.547479688658697</v>
      </c>
    </row>
    <row r="243" spans="5:7" x14ac:dyDescent="0.25">
      <c r="E243" s="11">
        <f t="shared" si="25"/>
        <v>-99</v>
      </c>
      <c r="F243" s="11">
        <f t="shared" si="26"/>
        <v>-22.207478145975166</v>
      </c>
      <c r="G243" s="11">
        <f t="shared" si="27"/>
        <v>-22.304921040199361</v>
      </c>
    </row>
    <row r="244" spans="5:7" x14ac:dyDescent="0.25">
      <c r="E244" s="11">
        <f t="shared" si="25"/>
        <v>-98</v>
      </c>
      <c r="F244" s="11">
        <f t="shared" si="26"/>
        <v>-21.949935367344278</v>
      </c>
      <c r="G244" s="11">
        <f t="shared" si="27"/>
        <v>-22.058103076675152</v>
      </c>
    </row>
    <row r="245" spans="5:7" x14ac:dyDescent="0.25">
      <c r="E245" s="11">
        <f t="shared" si="25"/>
        <v>-97</v>
      </c>
      <c r="F245" s="11">
        <f t="shared" si="26"/>
        <v>-21.690169790490184</v>
      </c>
      <c r="G245" s="11">
        <f t="shared" si="27"/>
        <v>-21.806822973559164</v>
      </c>
    </row>
    <row r="246" spans="5:7" x14ac:dyDescent="0.25">
      <c r="E246" s="11">
        <f t="shared" si="25"/>
        <v>-96</v>
      </c>
      <c r="F246" s="11">
        <f t="shared" si="26"/>
        <v>-21.428382577745229</v>
      </c>
      <c r="G246" s="11">
        <f t="shared" si="27"/>
        <v>-21.550877906324509</v>
      </c>
    </row>
    <row r="247" spans="5:7" x14ac:dyDescent="0.25">
      <c r="E247" s="11">
        <f t="shared" si="25"/>
        <v>-95</v>
      </c>
      <c r="F247" s="11">
        <f t="shared" si="26"/>
        <v>-21.164773199241459</v>
      </c>
      <c r="G247" s="11">
        <f t="shared" si="27"/>
        <v>-21.290065050444277</v>
      </c>
    </row>
    <row r="248" spans="5:7" x14ac:dyDescent="0.25">
      <c r="E248" s="11">
        <f t="shared" si="25"/>
        <v>-94</v>
      </c>
      <c r="F248" s="11">
        <f t="shared" si="26"/>
        <v>-20.899539193624495</v>
      </c>
      <c r="G248" s="11">
        <f t="shared" si="27"/>
        <v>-21.024181581391577</v>
      </c>
    </row>
    <row r="249" spans="5:7" x14ac:dyDescent="0.25">
      <c r="E249" s="11">
        <f t="shared" si="25"/>
        <v>-93</v>
      </c>
      <c r="F249" s="11">
        <f t="shared" si="26"/>
        <v>-20.632875929423108</v>
      </c>
      <c r="G249" s="11">
        <f t="shared" si="27"/>
        <v>-20.753024674639509</v>
      </c>
    </row>
    <row r="250" spans="5:7" x14ac:dyDescent="0.25">
      <c r="E250" s="11">
        <f t="shared" si="25"/>
        <v>-92</v>
      </c>
      <c r="F250" s="11">
        <f t="shared" si="26"/>
        <v>-20.364976367580965</v>
      </c>
      <c r="G250" s="11">
        <f t="shared" si="27"/>
        <v>-20.476391505661169</v>
      </c>
    </row>
    <row r="251" spans="5:7" x14ac:dyDescent="0.25">
      <c r="E251" s="11">
        <f t="shared" si="25"/>
        <v>-91</v>
      </c>
      <c r="F251" s="11">
        <f t="shared" si="26"/>
        <v>-20.096030825643236</v>
      </c>
      <c r="G251" s="11">
        <f t="shared" si="27"/>
        <v>-20.194079249929665</v>
      </c>
    </row>
    <row r="252" spans="5:7" x14ac:dyDescent="0.25">
      <c r="E252" s="11">
        <f t="shared" si="25"/>
        <v>-90</v>
      </c>
      <c r="F252" s="11">
        <f t="shared" si="26"/>
        <v>-19.82622674407795</v>
      </c>
      <c r="G252" s="11">
        <f t="shared" si="27"/>
        <v>-19.905885082918097</v>
      </c>
    </row>
    <row r="253" spans="5:7" x14ac:dyDescent="0.25">
      <c r="E253" s="11">
        <f t="shared" si="25"/>
        <v>-89</v>
      </c>
      <c r="F253" s="11">
        <f t="shared" si="26"/>
        <v>-19.555748455198525</v>
      </c>
      <c r="G253" s="11">
        <f t="shared" si="27"/>
        <v>-19.611606180099557</v>
      </c>
    </row>
    <row r="254" spans="5:7" x14ac:dyDescent="0.25">
      <c r="E254" s="11">
        <f t="shared" si="25"/>
        <v>-88</v>
      </c>
      <c r="F254" s="11">
        <f t="shared" si="26"/>
        <v>-19.284776955140689</v>
      </c>
      <c r="G254" s="11">
        <f t="shared" si="27"/>
        <v>-19.31103971694716</v>
      </c>
    </row>
    <row r="255" spans="5:7" x14ac:dyDescent="0.25">
      <c r="E255" s="11">
        <f t="shared" si="25"/>
        <v>-87</v>
      </c>
      <c r="F255" s="11">
        <f t="shared" si="26"/>
        <v>-19.013489679333865</v>
      </c>
      <c r="G255" s="11">
        <f t="shared" si="27"/>
        <v>-19.003982868933999</v>
      </c>
    </row>
    <row r="256" spans="5:7" x14ac:dyDescent="0.25">
      <c r="E256" s="11">
        <f t="shared" si="25"/>
        <v>-86</v>
      </c>
      <c r="F256" s="11">
        <f t="shared" si="26"/>
        <v>-18.742060281893785</v>
      </c>
      <c r="G256" s="11">
        <f t="shared" si="27"/>
        <v>-18.690232811533178</v>
      </c>
    </row>
    <row r="257" spans="5:7" x14ac:dyDescent="0.25">
      <c r="E257" s="11">
        <f t="shared" si="25"/>
        <v>-85</v>
      </c>
      <c r="F257" s="11">
        <f t="shared" si="26"/>
        <v>-18.470658419349814</v>
      </c>
      <c r="G257" s="11">
        <f t="shared" si="27"/>
        <v>-18.369586720217793</v>
      </c>
    </row>
    <row r="258" spans="5:7" x14ac:dyDescent="0.25">
      <c r="E258" s="11">
        <f t="shared" si="25"/>
        <v>-84</v>
      </c>
      <c r="F258" s="11">
        <f t="shared" si="26"/>
        <v>-18.199449539107377</v>
      </c>
      <c r="G258" s="11">
        <f t="shared" si="27"/>
        <v>-18.041841770460955</v>
      </c>
    </row>
    <row r="259" spans="5:7" x14ac:dyDescent="0.25">
      <c r="E259" s="11">
        <f t="shared" si="25"/>
        <v>-83</v>
      </c>
      <c r="F259" s="11">
        <f t="shared" si="26"/>
        <v>-17.928594673032475</v>
      </c>
      <c r="G259" s="11">
        <f t="shared" si="27"/>
        <v>-17.706795137735753</v>
      </c>
    </row>
    <row r="260" spans="5:7" x14ac:dyDescent="0.25">
      <c r="E260" s="11">
        <f t="shared" si="25"/>
        <v>-82</v>
      </c>
      <c r="F260" s="11">
        <f t="shared" si="26"/>
        <v>-17.658250236532133</v>
      </c>
      <c r="G260" s="11">
        <f t="shared" si="27"/>
        <v>-17.364243997515299</v>
      </c>
    </row>
    <row r="261" spans="5:7" x14ac:dyDescent="0.25">
      <c r="E261" s="11">
        <f t="shared" si="25"/>
        <v>-81</v>
      </c>
      <c r="F261" s="11">
        <f t="shared" si="26"/>
        <v>-17.388567833491489</v>
      </c>
      <c r="G261" s="11">
        <f t="shared" si="27"/>
        <v>-17.013985525272687</v>
      </c>
    </row>
    <row r="262" spans="5:7" x14ac:dyDescent="0.25">
      <c r="E262" s="11">
        <f t="shared" si="25"/>
        <v>-80</v>
      </c>
      <c r="F262" s="11">
        <f t="shared" si="26"/>
        <v>-17.119694067414652</v>
      </c>
      <c r="G262" s="11">
        <f t="shared" si="27"/>
        <v>-16.655816896481024</v>
      </c>
    </row>
    <row r="263" spans="5:7" x14ac:dyDescent="0.25">
      <c r="E263" s="11">
        <f t="shared" si="25"/>
        <v>-79</v>
      </c>
      <c r="F263" s="11">
        <f t="shared" si="26"/>
        <v>-16.85177035910371</v>
      </c>
      <c r="G263" s="11">
        <f t="shared" si="27"/>
        <v>-16.48145303730054</v>
      </c>
    </row>
    <row r="264" spans="5:7" x14ac:dyDescent="0.25">
      <c r="E264" s="11">
        <f t="shared" si="25"/>
        <v>-78</v>
      </c>
      <c r="F264" s="11">
        <f t="shared" si="26"/>
        <v>-16.584932771196563</v>
      </c>
      <c r="G264" s="11">
        <f t="shared" si="27"/>
        <v>-16.299432134444476</v>
      </c>
    </row>
    <row r="265" spans="5:7" x14ac:dyDescent="0.25">
      <c r="E265" s="11">
        <f t="shared" si="25"/>
        <v>-77</v>
      </c>
      <c r="F265" s="11">
        <f t="shared" si="26"/>
        <v>-16.319311839871357</v>
      </c>
      <c r="G265" s="11">
        <f t="shared" si="27"/>
        <v>-16.110210125313216</v>
      </c>
    </row>
    <row r="266" spans="5:7" x14ac:dyDescent="0.25">
      <c r="E266" s="11">
        <f t="shared" si="25"/>
        <v>-76</v>
      </c>
      <c r="F266" s="11">
        <f t="shared" si="26"/>
        <v>-16.055032414011883</v>
      </c>
      <c r="G266" s="11">
        <f t="shared" si="27"/>
        <v>-15.914242947307136</v>
      </c>
    </row>
    <row r="267" spans="5:7" x14ac:dyDescent="0.25">
      <c r="E267" s="11">
        <f t="shared" si="25"/>
        <v>-75</v>
      </c>
      <c r="F267" s="11">
        <f t="shared" si="26"/>
        <v>-15.792213502115102</v>
      </c>
      <c r="G267" s="11">
        <f t="shared" si="27"/>
        <v>-15.711986537826611</v>
      </c>
    </row>
    <row r="268" spans="5:7" x14ac:dyDescent="0.25">
      <c r="E268" s="11">
        <f t="shared" si="25"/>
        <v>-74</v>
      </c>
      <c r="F268" s="11">
        <f t="shared" si="26"/>
        <v>-15.530968127208821</v>
      </c>
      <c r="G268" s="11">
        <f t="shared" si="27"/>
        <v>-15.50389683427202</v>
      </c>
    </row>
    <row r="269" spans="5:7" x14ac:dyDescent="0.25">
      <c r="E269" s="11">
        <f t="shared" si="25"/>
        <v>-73</v>
      </c>
      <c r="F269" s="11">
        <f t="shared" si="26"/>
        <v>-15.271403190034055</v>
      </c>
      <c r="G269" s="11">
        <f t="shared" si="27"/>
        <v>-15.290429774043744</v>
      </c>
    </row>
    <row r="270" spans="5:7" x14ac:dyDescent="0.25">
      <c r="E270" s="11">
        <f t="shared" si="25"/>
        <v>-72</v>
      </c>
      <c r="F270" s="11">
        <f t="shared" si="26"/>
        <v>-15.013619340733763</v>
      </c>
      <c r="G270" s="11">
        <f t="shared" si="27"/>
        <v>-15.072041294542156</v>
      </c>
    </row>
    <row r="271" spans="5:7" x14ac:dyDescent="0.25">
      <c r="E271" s="11">
        <f t="shared" si="25"/>
        <v>-71</v>
      </c>
      <c r="F271" s="11">
        <f t="shared" si="26"/>
        <v>-14.757710859275976</v>
      </c>
      <c r="G271" s="11">
        <f t="shared" si="27"/>
        <v>-14.849187333167631</v>
      </c>
    </row>
    <row r="272" spans="5:7" x14ac:dyDescent="0.25">
      <c r="E272" s="11">
        <f t="shared" si="25"/>
        <v>-70</v>
      </c>
      <c r="F272" s="11">
        <f t="shared" si="26"/>
        <v>-14.50376554482648</v>
      </c>
      <c r="G272" s="11">
        <f t="shared" si="27"/>
        <v>-14.622323827320553</v>
      </c>
    </row>
    <row r="273" spans="5:7" x14ac:dyDescent="0.25">
      <c r="E273" s="11">
        <f t="shared" si="25"/>
        <v>-69</v>
      </c>
      <c r="F273" s="11">
        <f t="shared" si="26"/>
        <v>-14.251864614272716</v>
      </c>
      <c r="G273" s="11">
        <f t="shared" si="27"/>
        <v>-14.391906714401294</v>
      </c>
    </row>
    <row r="274" spans="5:7" x14ac:dyDescent="0.25">
      <c r="E274" s="11">
        <f t="shared" si="25"/>
        <v>-68</v>
      </c>
      <c r="F274" s="11">
        <f t="shared" si="26"/>
        <v>-14.002082610087397</v>
      </c>
      <c r="G274" s="11">
        <f t="shared" si="27"/>
        <v>-14.158391931810238</v>
      </c>
    </row>
    <row r="275" spans="5:7" x14ac:dyDescent="0.25">
      <c r="E275" s="11">
        <f t="shared" si="25"/>
        <v>-67</v>
      </c>
      <c r="F275" s="11">
        <f t="shared" si="26"/>
        <v>-13.754487317707285</v>
      </c>
      <c r="G275" s="11">
        <f t="shared" si="27"/>
        <v>-13.922235416947753</v>
      </c>
    </row>
    <row r="276" spans="5:7" x14ac:dyDescent="0.25">
      <c r="E276" s="11">
        <f t="shared" si="25"/>
        <v>-66</v>
      </c>
      <c r="F276" s="11">
        <f t="shared" si="26"/>
        <v>-13.509139692588953</v>
      </c>
      <c r="G276" s="11">
        <f t="shared" si="27"/>
        <v>-13.683893107214224</v>
      </c>
    </row>
    <row r="277" spans="5:7" x14ac:dyDescent="0.25">
      <c r="E277" s="11">
        <f t="shared" si="25"/>
        <v>-65</v>
      </c>
      <c r="F277" s="11">
        <f t="shared" si="26"/>
        <v>-13.266093797090525</v>
      </c>
      <c r="G277" s="11">
        <f t="shared" si="27"/>
        <v>-13.443820940010028</v>
      </c>
    </row>
    <row r="278" spans="5:7" x14ac:dyDescent="0.25">
      <c r="E278" s="11">
        <f t="shared" si="25"/>
        <v>-64</v>
      </c>
      <c r="F278" s="11">
        <f t="shared" si="26"/>
        <v>-13.025396747314897</v>
      </c>
      <c r="G278" s="11">
        <f t="shared" si="27"/>
        <v>-13.202474852735538</v>
      </c>
    </row>
    <row r="279" spans="5:7" x14ac:dyDescent="0.25">
      <c r="E279" s="11">
        <f t="shared" si="25"/>
        <v>-63</v>
      </c>
      <c r="F279" s="11">
        <f t="shared" si="26"/>
        <v>-12.787088670036759</v>
      </c>
      <c r="G279" s="11">
        <f t="shared" si="27"/>
        <v>-12.960310782791133</v>
      </c>
    </row>
    <row r="280" spans="5:7" x14ac:dyDescent="0.25">
      <c r="E280" s="11">
        <f t="shared" si="25"/>
        <v>-62</v>
      </c>
      <c r="F280" s="11">
        <f t="shared" si="26"/>
        <v>-12.551202669822581</v>
      </c>
      <c r="G280" s="11">
        <f t="shared" si="27"/>
        <v>-12.717784667577192</v>
      </c>
    </row>
    <row r="281" spans="5:7" x14ac:dyDescent="0.25">
      <c r="E281" s="11">
        <f t="shared" si="25"/>
        <v>-61</v>
      </c>
      <c r="F281" s="11">
        <f t="shared" si="26"/>
        <v>-12.317764806439405</v>
      </c>
      <c r="G281" s="11">
        <f t="shared" si="27"/>
        <v>-12.475352444494092</v>
      </c>
    </row>
    <row r="282" spans="5:7" x14ac:dyDescent="0.25">
      <c r="E282" s="11">
        <f t="shared" si="25"/>
        <v>-60</v>
      </c>
      <c r="F282" s="11">
        <f t="shared" si="26"/>
        <v>-12.086794082635022</v>
      </c>
      <c r="G282" s="11">
        <f t="shared" si="27"/>
        <v>-12.233470050942211</v>
      </c>
    </row>
    <row r="283" spans="5:7" x14ac:dyDescent="0.25">
      <c r="E283" s="11">
        <f t="shared" si="25"/>
        <v>-59</v>
      </c>
      <c r="F283" s="11">
        <f t="shared" si="26"/>
        <v>-11.858302442359038</v>
      </c>
      <c r="G283" s="11">
        <f t="shared" si="27"/>
        <v>-11.992593424321923</v>
      </c>
    </row>
    <row r="284" spans="5:7" x14ac:dyDescent="0.25">
      <c r="E284" s="11">
        <f t="shared" si="25"/>
        <v>-58</v>
      </c>
      <c r="F284" s="11">
        <f t="shared" si="26"/>
        <v>-11.632294779480898</v>
      </c>
      <c r="G284" s="11">
        <f t="shared" si="27"/>
        <v>-11.753178502033609</v>
      </c>
    </row>
    <row r="285" spans="5:7" x14ac:dyDescent="0.25">
      <c r="E285" s="11">
        <f t="shared" si="25"/>
        <v>-57</v>
      </c>
      <c r="F285" s="11">
        <f t="shared" si="26"/>
        <v>-11.408768957047803</v>
      </c>
      <c r="G285" s="11">
        <f t="shared" si="27"/>
        <v>-11.515681221477648</v>
      </c>
    </row>
    <row r="286" spans="5:7" x14ac:dyDescent="0.25">
      <c r="E286" s="11">
        <f t="shared" si="25"/>
        <v>-56</v>
      </c>
      <c r="F286" s="11">
        <f t="shared" si="26"/>
        <v>-11.187715837112254</v>
      </c>
      <c r="G286" s="11">
        <f t="shared" si="27"/>
        <v>-11.280557520054412</v>
      </c>
    </row>
    <row r="287" spans="5:7" x14ac:dyDescent="0.25">
      <c r="E287" s="11">
        <f t="shared" ref="E287:E350" si="28">E80</f>
        <v>-55</v>
      </c>
      <c r="F287" s="11">
        <f t="shared" ref="F287:F350" si="29">$H$217*0+E287*$I$217+E287^2*$J$217+E287^3*$K$217+E287^4*$L$217+E287^5*$M$217+E287^6*$N$217+E287^7*$O$217+E287^8*$P$217</f>
        <v>-10.969119321145634</v>
      </c>
      <c r="G287" s="11">
        <f t="shared" ref="G287:G350" si="30">F80</f>
        <v>-11.048263335164282</v>
      </c>
    </row>
    <row r="288" spans="5:7" x14ac:dyDescent="0.25">
      <c r="E288" s="11">
        <f t="shared" si="28"/>
        <v>-54</v>
      </c>
      <c r="F288" s="11">
        <f t="shared" si="29"/>
        <v>-10.752956401041024</v>
      </c>
      <c r="G288" s="11">
        <f t="shared" si="30"/>
        <v>-10.819161189014736</v>
      </c>
    </row>
    <row r="289" spans="5:7" x14ac:dyDescent="0.25">
      <c r="E289" s="11">
        <f t="shared" si="28"/>
        <v>-53</v>
      </c>
      <c r="F289" s="11">
        <f t="shared" si="29"/>
        <v>-10.5391972206953</v>
      </c>
      <c r="G289" s="11">
        <f t="shared" si="30"/>
        <v>-10.593239943041663</v>
      </c>
    </row>
    <row r="290" spans="5:7" x14ac:dyDescent="0.25">
      <c r="E290" s="11">
        <f t="shared" si="28"/>
        <v>-52</v>
      </c>
      <c r="F290" s="11">
        <f t="shared" si="29"/>
        <v>-10.327805148147171</v>
      </c>
      <c r="G290" s="11">
        <f t="shared" si="30"/>
        <v>-10.370395043488049</v>
      </c>
    </row>
    <row r="291" spans="5:7" x14ac:dyDescent="0.25">
      <c r="E291" s="11">
        <f t="shared" si="28"/>
        <v>-51</v>
      </c>
      <c r="F291" s="11">
        <f t="shared" si="29"/>
        <v>-10.118736858234714</v>
      </c>
      <c r="G291" s="11">
        <f t="shared" si="30"/>
        <v>-10.150521936596883</v>
      </c>
    </row>
    <row r="292" spans="5:7" x14ac:dyDescent="0.25">
      <c r="E292" s="11">
        <f t="shared" si="28"/>
        <v>-50</v>
      </c>
      <c r="F292" s="11">
        <f t="shared" si="29"/>
        <v>-9.9119424257226552</v>
      </c>
      <c r="G292" s="11">
        <f t="shared" si="30"/>
        <v>-9.9335160686111603</v>
      </c>
    </row>
    <row r="293" spans="5:7" x14ac:dyDescent="0.25">
      <c r="E293" s="11">
        <f t="shared" si="28"/>
        <v>-49</v>
      </c>
      <c r="F293" s="11">
        <f t="shared" si="29"/>
        <v>-9.7073654288364484</v>
      </c>
      <c r="G293" s="11">
        <f t="shared" si="30"/>
        <v>-9.7192728857738615</v>
      </c>
    </row>
    <row r="294" spans="5:7" x14ac:dyDescent="0.25">
      <c r="E294" s="11">
        <f t="shared" si="28"/>
        <v>-48</v>
      </c>
      <c r="F294" s="11">
        <f t="shared" si="29"/>
        <v>-9.504943063126909</v>
      </c>
      <c r="G294" s="11">
        <f t="shared" si="30"/>
        <v>-9.507687834327978</v>
      </c>
    </row>
    <row r="295" spans="5:7" x14ac:dyDescent="0.25">
      <c r="E295" s="11">
        <f t="shared" si="28"/>
        <v>-47</v>
      </c>
      <c r="F295" s="11">
        <f t="shared" si="29"/>
        <v>-9.3046062655760036</v>
      </c>
      <c r="G295" s="11">
        <f t="shared" si="30"/>
        <v>-9.2986563605165031</v>
      </c>
    </row>
    <row r="296" spans="5:7" x14ac:dyDescent="0.25">
      <c r="E296" s="11">
        <f t="shared" si="28"/>
        <v>-46</v>
      </c>
      <c r="F296" s="11">
        <f t="shared" si="29"/>
        <v>-9.1062798488411012</v>
      </c>
      <c r="G296" s="11">
        <f t="shared" si="30"/>
        <v>-9.0920739105824229</v>
      </c>
    </row>
    <row r="297" spans="5:7" x14ac:dyDescent="0.25">
      <c r="E297" s="11">
        <f t="shared" si="28"/>
        <v>-45</v>
      </c>
      <c r="F297" s="11">
        <f t="shared" si="29"/>
        <v>-8.9098826455217619</v>
      </c>
      <c r="G297" s="11">
        <f t="shared" si="30"/>
        <v>-8.8878359307687251</v>
      </c>
    </row>
    <row r="298" spans="5:7" x14ac:dyDescent="0.25">
      <c r="E298" s="11">
        <f t="shared" si="28"/>
        <v>-44</v>
      </c>
      <c r="F298" s="11">
        <f t="shared" si="29"/>
        <v>-8.7153276623199307</v>
      </c>
      <c r="G298" s="11">
        <f t="shared" si="30"/>
        <v>-8.6858378673183996</v>
      </c>
    </row>
    <row r="299" spans="5:7" x14ac:dyDescent="0.25">
      <c r="E299" s="11">
        <f t="shared" si="28"/>
        <v>-43</v>
      </c>
      <c r="F299" s="11">
        <f t="shared" si="29"/>
        <v>-8.5225222439511352</v>
      </c>
      <c r="G299" s="11">
        <f t="shared" si="30"/>
        <v>-8.4859751664744358</v>
      </c>
    </row>
    <row r="300" spans="5:7" x14ac:dyDescent="0.25">
      <c r="E300" s="11">
        <f t="shared" si="28"/>
        <v>-42</v>
      </c>
      <c r="F300" s="11">
        <f t="shared" si="29"/>
        <v>-8.3313682466511061</v>
      </c>
      <c r="G300" s="11">
        <f t="shared" si="30"/>
        <v>-8.2881432744798236</v>
      </c>
    </row>
    <row r="301" spans="5:7" x14ac:dyDescent="0.25">
      <c r="E301" s="11">
        <f t="shared" si="28"/>
        <v>-41</v>
      </c>
      <c r="F301" s="11">
        <f t="shared" si="29"/>
        <v>-8.1417622211088805</v>
      </c>
      <c r="G301" s="11">
        <f t="shared" si="30"/>
        <v>-8.0922376375775507</v>
      </c>
    </row>
    <row r="302" spans="5:7" x14ac:dyDescent="0.25">
      <c r="E302" s="11">
        <f t="shared" si="28"/>
        <v>-40</v>
      </c>
      <c r="F302" s="11">
        <f t="shared" si="29"/>
        <v>-7.9535956046443923</v>
      </c>
      <c r="G302" s="11">
        <f t="shared" si="30"/>
        <v>-7.8981537020106041</v>
      </c>
    </row>
    <row r="303" spans="5:7" x14ac:dyDescent="0.25">
      <c r="E303" s="11">
        <f t="shared" si="28"/>
        <v>-39</v>
      </c>
      <c r="F303" s="11">
        <f t="shared" si="29"/>
        <v>-7.7667549224351244</v>
      </c>
      <c r="G303" s="11">
        <f t="shared" si="30"/>
        <v>-7.7057869140219761</v>
      </c>
    </row>
    <row r="304" spans="5:7" x14ac:dyDescent="0.25">
      <c r="E304" s="11">
        <f t="shared" si="28"/>
        <v>-38</v>
      </c>
      <c r="F304" s="11">
        <f t="shared" si="29"/>
        <v>-7.5811219975833408</v>
      </c>
      <c r="G304" s="11">
        <f t="shared" si="30"/>
        <v>-7.5150327198546556</v>
      </c>
    </row>
    <row r="305" spans="5:7" x14ac:dyDescent="0.25">
      <c r="E305" s="11">
        <f t="shared" si="28"/>
        <v>-37</v>
      </c>
      <c r="F305" s="11">
        <f t="shared" si="29"/>
        <v>-7.3965741698020295</v>
      </c>
      <c r="G305" s="11">
        <f t="shared" si="30"/>
        <v>-7.3257865657516303</v>
      </c>
    </row>
    <row r="306" spans="5:7" x14ac:dyDescent="0.25">
      <c r="E306" s="11">
        <f t="shared" si="28"/>
        <v>-36</v>
      </c>
      <c r="F306" s="11">
        <f t="shared" si="29"/>
        <v>-7.2129845224845512</v>
      </c>
      <c r="G306" s="11">
        <f t="shared" si="30"/>
        <v>-7.1379438979558891</v>
      </c>
    </row>
    <row r="307" spans="5:7" x14ac:dyDescent="0.25">
      <c r="E307" s="11">
        <f t="shared" si="28"/>
        <v>-35</v>
      </c>
      <c r="F307" s="11">
        <f t="shared" si="29"/>
        <v>-7.0302221179096955</v>
      </c>
      <c r="G307" s="11">
        <f t="shared" si="30"/>
        <v>-6.9514001627104207</v>
      </c>
    </row>
    <row r="308" spans="5:7" x14ac:dyDescent="0.25">
      <c r="E308" s="11">
        <f t="shared" si="28"/>
        <v>-34</v>
      </c>
      <c r="F308" s="11">
        <f t="shared" si="29"/>
        <v>-6.8481522403206734</v>
      </c>
      <c r="G308" s="11">
        <f t="shared" si="30"/>
        <v>-6.7660508062582148</v>
      </c>
    </row>
    <row r="309" spans="5:7" x14ac:dyDescent="0.25">
      <c r="E309" s="11">
        <f t="shared" si="28"/>
        <v>-33</v>
      </c>
      <c r="F309" s="11">
        <f t="shared" si="29"/>
        <v>-6.6666366466032274</v>
      </c>
      <c r="G309" s="11">
        <f t="shared" si="30"/>
        <v>-6.5817912748422609</v>
      </c>
    </row>
    <row r="310" spans="5:7" x14ac:dyDescent="0.25">
      <c r="E310" s="11">
        <f t="shared" si="28"/>
        <v>-32</v>
      </c>
      <c r="F310" s="11">
        <f t="shared" si="29"/>
        <v>-6.4855338242749498</v>
      </c>
      <c r="G310" s="11">
        <f t="shared" si="30"/>
        <v>-6.3985170147055479</v>
      </c>
    </row>
    <row r="311" spans="5:7" x14ac:dyDescent="0.25">
      <c r="E311" s="11">
        <f t="shared" si="28"/>
        <v>-31</v>
      </c>
      <c r="F311" s="11">
        <f t="shared" si="29"/>
        <v>-6.3046992564845281</v>
      </c>
      <c r="G311" s="11">
        <f t="shared" si="30"/>
        <v>-6.2161234720910636</v>
      </c>
    </row>
    <row r="312" spans="5:7" x14ac:dyDescent="0.25">
      <c r="E312" s="11">
        <f t="shared" si="28"/>
        <v>-30</v>
      </c>
      <c r="F312" s="11">
        <f t="shared" si="29"/>
        <v>-6.1239856937065102</v>
      </c>
      <c r="G312" s="11">
        <f t="shared" si="30"/>
        <v>-6.0345060932417978</v>
      </c>
    </row>
    <row r="313" spans="5:7" x14ac:dyDescent="0.25">
      <c r="E313" s="11">
        <f t="shared" si="28"/>
        <v>-29</v>
      </c>
      <c r="F313" s="11">
        <f t="shared" si="29"/>
        <v>-5.9432434318038379</v>
      </c>
      <c r="G313" s="11">
        <f t="shared" si="30"/>
        <v>-5.8535444609102276</v>
      </c>
    </row>
    <row r="314" spans="5:7" x14ac:dyDescent="0.25">
      <c r="E314" s="11">
        <f t="shared" si="28"/>
        <v>-28</v>
      </c>
      <c r="F314" s="11">
        <f t="shared" si="29"/>
        <v>-5.7623205961172719</v>
      </c>
      <c r="G314" s="11">
        <f t="shared" si="30"/>
        <v>-5.6730547038867831</v>
      </c>
    </row>
    <row r="315" spans="5:7" x14ac:dyDescent="0.25">
      <c r="E315" s="11">
        <f t="shared" si="28"/>
        <v>-27</v>
      </c>
      <c r="F315" s="11">
        <f t="shared" si="29"/>
        <v>-5.5810634312275207</v>
      </c>
      <c r="G315" s="11">
        <f t="shared" si="30"/>
        <v>-5.4928370874713854</v>
      </c>
    </row>
    <row r="316" spans="5:7" x14ac:dyDescent="0.25">
      <c r="E316" s="11">
        <f t="shared" si="28"/>
        <v>-26</v>
      </c>
      <c r="F316" s="11">
        <f t="shared" si="29"/>
        <v>-5.3993165960226497</v>
      </c>
      <c r="G316" s="11">
        <f t="shared" si="30"/>
        <v>-5.3126918769639495</v>
      </c>
    </row>
    <row r="317" spans="5:7" x14ac:dyDescent="0.25">
      <c r="E317" s="11">
        <f t="shared" si="28"/>
        <v>-25</v>
      </c>
      <c r="F317" s="11">
        <f t="shared" si="29"/>
        <v>-5.2169234636901676</v>
      </c>
      <c r="G317" s="11">
        <f t="shared" si="30"/>
        <v>-5.1324193376643974</v>
      </c>
    </row>
    <row r="318" spans="5:7" x14ac:dyDescent="0.25">
      <c r="E318" s="11">
        <f t="shared" si="28"/>
        <v>-24</v>
      </c>
      <c r="F318" s="11">
        <f t="shared" si="29"/>
        <v>-5.0337264262398946</v>
      </c>
      <c r="G318" s="11">
        <f t="shared" si="30"/>
        <v>-4.9518197348726467</v>
      </c>
    </row>
    <row r="319" spans="5:7" x14ac:dyDescent="0.25">
      <c r="E319" s="11">
        <f t="shared" si="28"/>
        <v>-23</v>
      </c>
      <c r="F319" s="11">
        <f t="shared" si="29"/>
        <v>-4.8495672031504995</v>
      </c>
      <c r="G319" s="11">
        <f t="shared" si="30"/>
        <v>-4.7706933338886159</v>
      </c>
    </row>
    <row r="320" spans="5:7" x14ac:dyDescent="0.25">
      <c r="E320" s="11">
        <f t="shared" si="28"/>
        <v>-22</v>
      </c>
      <c r="F320" s="11">
        <f t="shared" si="29"/>
        <v>-4.6642871537193571</v>
      </c>
      <c r="G320" s="11">
        <f t="shared" si="30"/>
        <v>-4.5888404000122254</v>
      </c>
    </row>
    <row r="321" spans="5:7" x14ac:dyDescent="0.25">
      <c r="E321" s="11">
        <f t="shared" si="28"/>
        <v>-21</v>
      </c>
      <c r="F321" s="11">
        <f t="shared" si="29"/>
        <v>-4.47772759268216</v>
      </c>
      <c r="G321" s="11">
        <f t="shared" si="30"/>
        <v>-4.4060611985433908</v>
      </c>
    </row>
    <row r="322" spans="5:7" x14ac:dyDescent="0.25">
      <c r="E322" s="11">
        <f t="shared" si="28"/>
        <v>-20</v>
      </c>
      <c r="F322" s="11">
        <f t="shared" si="29"/>
        <v>-4.2897301086554336</v>
      </c>
      <c r="G322" s="11">
        <f t="shared" si="30"/>
        <v>-4.2221559947820344</v>
      </c>
    </row>
    <row r="323" spans="5:7" x14ac:dyDescent="0.25">
      <c r="E323" s="11">
        <f t="shared" si="28"/>
        <v>-19</v>
      </c>
      <c r="F323" s="11">
        <f t="shared" si="29"/>
        <v>-4.1001368849419144</v>
      </c>
      <c r="G323" s="11">
        <f t="shared" si="30"/>
        <v>-4.0369250540280737</v>
      </c>
    </row>
    <row r="324" spans="5:7" x14ac:dyDescent="0.25">
      <c r="E324" s="11">
        <f t="shared" si="28"/>
        <v>-18</v>
      </c>
      <c r="F324" s="11">
        <f t="shared" si="29"/>
        <v>-3.908791022225512</v>
      </c>
      <c r="G324" s="11">
        <f t="shared" si="30"/>
        <v>-3.8501686415814262</v>
      </c>
    </row>
    <row r="325" spans="5:7" x14ac:dyDescent="0.25">
      <c r="E325" s="11">
        <f t="shared" si="28"/>
        <v>-17</v>
      </c>
      <c r="F325" s="11">
        <f t="shared" si="29"/>
        <v>-3.7155368626692904</v>
      </c>
      <c r="G325" s="11">
        <f t="shared" si="30"/>
        <v>-3.6616870227420124</v>
      </c>
    </row>
    <row r="326" spans="5:7" x14ac:dyDescent="0.25">
      <c r="E326" s="11">
        <f t="shared" si="28"/>
        <v>-16</v>
      </c>
      <c r="F326" s="11">
        <f t="shared" si="29"/>
        <v>-3.5202203149167328</v>
      </c>
      <c r="G326" s="11">
        <f t="shared" si="30"/>
        <v>-3.4712804628097511</v>
      </c>
    </row>
    <row r="327" spans="5:7" x14ac:dyDescent="0.25">
      <c r="E327" s="11">
        <f t="shared" si="28"/>
        <v>-15</v>
      </c>
      <c r="F327" s="11">
        <f t="shared" si="29"/>
        <v>-3.3226891794832691</v>
      </c>
      <c r="G327" s="11">
        <f t="shared" si="30"/>
        <v>-3.2787492270845604</v>
      </c>
    </row>
    <row r="328" spans="5:7" x14ac:dyDescent="0.25">
      <c r="E328" s="11">
        <f t="shared" si="28"/>
        <v>-14</v>
      </c>
      <c r="F328" s="11">
        <f t="shared" si="29"/>
        <v>-3.1227934740118393</v>
      </c>
      <c r="G328" s="11">
        <f t="shared" si="30"/>
        <v>-3.0838935808663597</v>
      </c>
    </row>
    <row r="329" spans="5:7" x14ac:dyDescent="0.25">
      <c r="E329" s="11">
        <f t="shared" si="28"/>
        <v>-13</v>
      </c>
      <c r="F329" s="11">
        <f t="shared" si="29"/>
        <v>-2.9203857578530124</v>
      </c>
      <c r="G329" s="11">
        <f t="shared" si="30"/>
        <v>-2.8865137894550665</v>
      </c>
    </row>
    <row r="330" spans="5:7" x14ac:dyDescent="0.25">
      <c r="E330" s="11">
        <f t="shared" si="28"/>
        <v>-12</v>
      </c>
      <c r="F330" s="11">
        <f t="shared" si="29"/>
        <v>-2.7153214554169445</v>
      </c>
      <c r="G330" s="11">
        <f t="shared" si="30"/>
        <v>-2.6864101181506017</v>
      </c>
    </row>
    <row r="331" spans="5:7" x14ac:dyDescent="0.25">
      <c r="E331" s="11">
        <f t="shared" si="28"/>
        <v>-11</v>
      </c>
      <c r="F331" s="11">
        <f t="shared" si="29"/>
        <v>-2.5074591777312434</v>
      </c>
      <c r="G331" s="11">
        <f t="shared" si="30"/>
        <v>-2.4833828322528828</v>
      </c>
    </row>
    <row r="332" spans="5:7" x14ac:dyDescent="0.25">
      <c r="E332" s="11">
        <f t="shared" si="28"/>
        <v>-10</v>
      </c>
      <c r="F332" s="11">
        <f t="shared" si="29"/>
        <v>-2.2966610416255357</v>
      </c>
      <c r="G332" s="11">
        <f t="shared" si="30"/>
        <v>-2.2772321970618283</v>
      </c>
    </row>
    <row r="333" spans="5:7" x14ac:dyDescent="0.25">
      <c r="E333" s="11">
        <f t="shared" si="28"/>
        <v>-9</v>
      </c>
      <c r="F333" s="11">
        <f t="shared" si="29"/>
        <v>-2.0827929859503302</v>
      </c>
      <c r="G333" s="11">
        <f t="shared" si="30"/>
        <v>-2.0677584778773581</v>
      </c>
    </row>
    <row r="334" spans="5:7" x14ac:dyDescent="0.25">
      <c r="E334" s="11">
        <f t="shared" si="28"/>
        <v>-8</v>
      </c>
      <c r="F334" s="11">
        <f t="shared" si="29"/>
        <v>-1.8657250842245208</v>
      </c>
      <c r="G334" s="11">
        <f t="shared" si="30"/>
        <v>-1.8547619399993902</v>
      </c>
    </row>
    <row r="335" spans="5:7" x14ac:dyDescent="0.25">
      <c r="E335" s="11">
        <f t="shared" si="28"/>
        <v>-7</v>
      </c>
      <c r="F335" s="11">
        <f t="shared" si="29"/>
        <v>-1.6453318530926289</v>
      </c>
      <c r="G335" s="11">
        <f t="shared" si="30"/>
        <v>-1.638042848727844</v>
      </c>
    </row>
    <row r="336" spans="5:7" x14ac:dyDescent="0.25">
      <c r="E336" s="11">
        <f t="shared" si="28"/>
        <v>-6</v>
      </c>
      <c r="F336" s="11">
        <f t="shared" si="29"/>
        <v>-1.4214925559596567</v>
      </c>
      <c r="G336" s="11">
        <f t="shared" si="30"/>
        <v>-1.417401469362638</v>
      </c>
    </row>
    <row r="337" spans="5:7" x14ac:dyDescent="0.25">
      <c r="E337" s="11">
        <f t="shared" si="28"/>
        <v>-5</v>
      </c>
      <c r="F337" s="11">
        <f t="shared" si="29"/>
        <v>-1.194091501158195</v>
      </c>
      <c r="G337" s="11">
        <f t="shared" si="30"/>
        <v>-1.1926380672036907</v>
      </c>
    </row>
    <row r="338" spans="5:7" x14ac:dyDescent="0.25">
      <c r="E338" s="11">
        <f t="shared" si="28"/>
        <v>-4</v>
      </c>
      <c r="F338" s="11">
        <f t="shared" si="29"/>
        <v>-0.96301833398917269</v>
      </c>
      <c r="G338" s="11">
        <f t="shared" si="30"/>
        <v>-0.96355290755092171</v>
      </c>
    </row>
    <row r="339" spans="5:7" x14ac:dyDescent="0.25">
      <c r="E339" s="11">
        <f t="shared" si="28"/>
        <v>-3</v>
      </c>
      <c r="F339" s="11">
        <f t="shared" si="29"/>
        <v>-0.72816832196441539</v>
      </c>
      <c r="G339" s="11">
        <f t="shared" si="30"/>
        <v>-0.72994625570424909</v>
      </c>
    </row>
    <row r="340" spans="5:7" x14ac:dyDescent="0.25">
      <c r="E340" s="11">
        <f t="shared" si="28"/>
        <v>-2</v>
      </c>
      <c r="F340" s="11">
        <f t="shared" si="29"/>
        <v>-0.48944263256593812</v>
      </c>
      <c r="G340" s="11">
        <f t="shared" si="30"/>
        <v>-0.49161837696359212</v>
      </c>
    </row>
    <row r="341" spans="5:7" x14ac:dyDescent="0.25">
      <c r="E341" s="11">
        <f t="shared" si="28"/>
        <v>-1</v>
      </c>
      <c r="F341" s="11">
        <f t="shared" si="29"/>
        <v>-0.24674860282366104</v>
      </c>
      <c r="G341" s="11">
        <f t="shared" si="30"/>
        <v>-0.24836953662886951</v>
      </c>
    </row>
    <row r="342" spans="5:7" x14ac:dyDescent="0.25">
      <c r="E342" s="11">
        <f t="shared" si="28"/>
        <v>0</v>
      </c>
      <c r="F342" s="11">
        <f t="shared" si="29"/>
        <v>0</v>
      </c>
      <c r="G342" s="11">
        <f t="shared" si="30"/>
        <v>0</v>
      </c>
    </row>
    <row r="343" spans="5:7" x14ac:dyDescent="0.25">
      <c r="E343" s="11">
        <f t="shared" si="28"/>
        <v>1</v>
      </c>
      <c r="F343" s="11">
        <f t="shared" si="29"/>
        <v>0.25088272734344974</v>
      </c>
      <c r="G343" s="11">
        <f t="shared" si="30"/>
        <v>0.25363970196392077</v>
      </c>
    </row>
    <row r="344" spans="5:7" x14ac:dyDescent="0.25">
      <c r="E344" s="11">
        <f t="shared" si="28"/>
        <v>2</v>
      </c>
      <c r="F344" s="11">
        <f t="shared" si="29"/>
        <v>0.50597220863515779</v>
      </c>
      <c r="G344" s="11">
        <f t="shared" si="30"/>
        <v>0.51249797566708877</v>
      </c>
    </row>
    <row r="345" spans="5:7" x14ac:dyDescent="0.25">
      <c r="E345" s="11">
        <f t="shared" si="28"/>
        <v>3</v>
      </c>
      <c r="F345" s="11">
        <f t="shared" si="29"/>
        <v>0.76533392169008596</v>
      </c>
      <c r="G345" s="11">
        <f t="shared" si="30"/>
        <v>0.77647296185452297</v>
      </c>
    </row>
    <row r="346" spans="5:7" x14ac:dyDescent="0.25">
      <c r="E346" s="11">
        <f t="shared" si="28"/>
        <v>4</v>
      </c>
      <c r="F346" s="11">
        <f t="shared" si="29"/>
        <v>1.0290259749777915</v>
      </c>
      <c r="G346" s="11">
        <f t="shared" si="30"/>
        <v>1.045462801271243</v>
      </c>
    </row>
    <row r="347" spans="5:7" x14ac:dyDescent="0.25">
      <c r="E347" s="11">
        <f t="shared" si="28"/>
        <v>5</v>
      </c>
      <c r="F347" s="11">
        <f t="shared" si="29"/>
        <v>1.2970989025399342</v>
      </c>
      <c r="G347" s="11">
        <f t="shared" si="30"/>
        <v>1.319365634662268</v>
      </c>
    </row>
    <row r="348" spans="5:7" x14ac:dyDescent="0.25">
      <c r="E348" s="11">
        <f t="shared" si="28"/>
        <v>6</v>
      </c>
      <c r="F348" s="11">
        <f t="shared" si="29"/>
        <v>1.5695954723481544</v>
      </c>
      <c r="G348" s="11">
        <f t="shared" si="30"/>
        <v>1.5980796027726172</v>
      </c>
    </row>
    <row r="349" spans="5:7" x14ac:dyDescent="0.25">
      <c r="E349" s="11">
        <f t="shared" si="28"/>
        <v>7</v>
      </c>
      <c r="F349" s="11">
        <f t="shared" si="29"/>
        <v>1.8465505089065199</v>
      </c>
      <c r="G349" s="11">
        <f t="shared" si="30"/>
        <v>1.8815028463473094</v>
      </c>
    </row>
    <row r="350" spans="5:7" x14ac:dyDescent="0.25">
      <c r="E350" s="11">
        <f t="shared" si="28"/>
        <v>8</v>
      </c>
      <c r="F350" s="11">
        <f t="shared" si="29"/>
        <v>2.1279907309159811</v>
      </c>
      <c r="G350" s="11">
        <f t="shared" si="30"/>
        <v>2.1695335061313643</v>
      </c>
    </row>
    <row r="351" spans="5:7" x14ac:dyDescent="0.25">
      <c r="E351" s="11">
        <f t="shared" ref="E351:E414" si="31">E144</f>
        <v>9</v>
      </c>
      <c r="F351" s="11">
        <f t="shared" ref="F351:F414" si="32">$H$217*0+E351*$I$217+E351^2*$J$217+E351^3*$K$217+E351^4*$L$217+E351^5*$M$217+E351^6*$N$217+E351^7*$O$217+E351^8*$P$217</f>
        <v>2.4139346048315109</v>
      </c>
      <c r="G351" s="11">
        <f t="shared" ref="G351:G414" si="33">F144</f>
        <v>2.462069722869801</v>
      </c>
    </row>
    <row r="352" spans="5:7" x14ac:dyDescent="0.25">
      <c r="E352" s="11">
        <f t="shared" si="31"/>
        <v>10</v>
      </c>
      <c r="F352" s="11">
        <f t="shared" si="32"/>
        <v>2.7043922151558326</v>
      </c>
      <c r="G352" s="11">
        <f t="shared" si="33"/>
        <v>2.7590096373076385</v>
      </c>
    </row>
    <row r="353" spans="5:7" x14ac:dyDescent="0.25">
      <c r="E353" s="11">
        <f t="shared" si="31"/>
        <v>11</v>
      </c>
      <c r="F353" s="11">
        <f t="shared" si="32"/>
        <v>2.9993651523268912</v>
      </c>
      <c r="G353" s="11">
        <f t="shared" si="33"/>
        <v>3.0602513901898964</v>
      </c>
    </row>
    <row r="354" spans="5:7" x14ac:dyDescent="0.25">
      <c r="E354" s="11">
        <f t="shared" si="31"/>
        <v>12</v>
      </c>
      <c r="F354" s="11">
        <f t="shared" si="32"/>
        <v>3.2988464190694406</v>
      </c>
      <c r="G354" s="11">
        <f t="shared" si="33"/>
        <v>3.365693122261594</v>
      </c>
    </row>
    <row r="355" spans="5:7" x14ac:dyDescent="0.25">
      <c r="E355" s="11">
        <f t="shared" si="31"/>
        <v>13</v>
      </c>
      <c r="F355" s="11">
        <f t="shared" si="32"/>
        <v>3.6028203560943788</v>
      </c>
      <c r="G355" s="11">
        <f t="shared" si="33"/>
        <v>3.6752329742677499</v>
      </c>
    </row>
    <row r="356" spans="5:7" x14ac:dyDescent="0.25">
      <c r="E356" s="11">
        <f t="shared" si="31"/>
        <v>14</v>
      </c>
      <c r="F356" s="11">
        <f t="shared" si="32"/>
        <v>3.9112625880426739</v>
      </c>
      <c r="G356" s="11">
        <f t="shared" si="33"/>
        <v>3.9887690869533836</v>
      </c>
    </row>
    <row r="357" spans="5:7" x14ac:dyDescent="0.25">
      <c r="E357" s="11">
        <f t="shared" si="31"/>
        <v>15</v>
      </c>
      <c r="F357" s="11">
        <f t="shared" si="32"/>
        <v>4.2241399905839785</v>
      </c>
      <c r="G357" s="11">
        <f t="shared" si="33"/>
        <v>4.3061996010635148</v>
      </c>
    </row>
    <row r="358" spans="5:7" x14ac:dyDescent="0.25">
      <c r="E358" s="11">
        <f t="shared" si="31"/>
        <v>16</v>
      </c>
      <c r="F358" s="11">
        <f t="shared" si="32"/>
        <v>4.5414106795932643</v>
      </c>
      <c r="G358" s="11">
        <f t="shared" si="33"/>
        <v>4.6274226573431614</v>
      </c>
    </row>
    <row r="359" spans="5:7" x14ac:dyDescent="0.25">
      <c r="E359" s="11">
        <f t="shared" si="31"/>
        <v>17</v>
      </c>
      <c r="F359" s="11">
        <f t="shared" si="32"/>
        <v>4.8630240233420263</v>
      </c>
      <c r="G359" s="11">
        <f t="shared" si="33"/>
        <v>4.9523363965373441</v>
      </c>
    </row>
    <row r="360" spans="5:7" x14ac:dyDescent="0.25">
      <c r="E360" s="11">
        <f t="shared" si="31"/>
        <v>18</v>
      </c>
      <c r="F360" s="11">
        <f t="shared" si="32"/>
        <v>5.1889206786538908</v>
      </c>
      <c r="G360" s="11">
        <f t="shared" si="33"/>
        <v>5.2808389593910814</v>
      </c>
    </row>
    <row r="361" spans="5:7" x14ac:dyDescent="0.25">
      <c r="E361" s="11">
        <f t="shared" si="31"/>
        <v>19</v>
      </c>
      <c r="F361" s="11">
        <f t="shared" si="32"/>
        <v>5.5190326519876045</v>
      </c>
      <c r="G361" s="11">
        <f t="shared" si="33"/>
        <v>5.6128284866493932</v>
      </c>
    </row>
    <row r="362" spans="5:7" x14ac:dyDescent="0.25">
      <c r="E362" s="11">
        <f t="shared" si="31"/>
        <v>20</v>
      </c>
      <c r="F362" s="11">
        <f t="shared" si="32"/>
        <v>5.8532833864237581</v>
      </c>
      <c r="G362" s="11">
        <f t="shared" si="33"/>
        <v>5.9482031190572968</v>
      </c>
    </row>
    <row r="363" spans="5:7" x14ac:dyDescent="0.25">
      <c r="E363" s="11">
        <f t="shared" si="31"/>
        <v>21</v>
      </c>
      <c r="F363" s="11">
        <f t="shared" si="32"/>
        <v>6.191587875544676</v>
      </c>
      <c r="G363" s="11">
        <f t="shared" si="33"/>
        <v>6.2868609973598142</v>
      </c>
    </row>
    <row r="364" spans="5:7" x14ac:dyDescent="0.25">
      <c r="E364" s="11">
        <f t="shared" si="31"/>
        <v>22</v>
      </c>
      <c r="F364" s="11">
        <f t="shared" si="32"/>
        <v>6.5338528052102713</v>
      </c>
      <c r="G364" s="11">
        <f t="shared" si="33"/>
        <v>6.6287002623019626</v>
      </c>
    </row>
    <row r="365" spans="5:7" x14ac:dyDescent="0.25">
      <c r="E365" s="11">
        <f t="shared" si="31"/>
        <v>23</v>
      </c>
      <c r="F365" s="11">
        <f t="shared" si="32"/>
        <v>6.8799767242458216</v>
      </c>
      <c r="G365" s="11">
        <f t="shared" si="33"/>
        <v>6.9736190546287613</v>
      </c>
    </row>
    <row r="366" spans="5:7" x14ac:dyDescent="0.25">
      <c r="E366" s="11">
        <f t="shared" si="31"/>
        <v>24</v>
      </c>
      <c r="F366" s="11">
        <f t="shared" si="32"/>
        <v>7.229850245070903</v>
      </c>
      <c r="G366" s="11">
        <f t="shared" si="33"/>
        <v>7.321515515085232</v>
      </c>
    </row>
    <row r="367" spans="5:7" x14ac:dyDescent="0.25">
      <c r="E367" s="11">
        <f t="shared" si="31"/>
        <v>25</v>
      </c>
      <c r="F367" s="11">
        <f t="shared" si="32"/>
        <v>7.5833562753119095</v>
      </c>
      <c r="G367" s="11">
        <f t="shared" si="33"/>
        <v>7.6722877844163904</v>
      </c>
    </row>
    <row r="368" spans="5:7" x14ac:dyDescent="0.25">
      <c r="E368" s="11">
        <f t="shared" si="31"/>
        <v>26</v>
      </c>
      <c r="F368" s="11">
        <f t="shared" si="32"/>
        <v>7.9403702814538795</v>
      </c>
      <c r="G368" s="11">
        <f t="shared" si="33"/>
        <v>8.0258340033672582</v>
      </c>
    </row>
    <row r="369" spans="5:7" x14ac:dyDescent="0.25">
      <c r="E369" s="11">
        <f t="shared" si="31"/>
        <v>27</v>
      </c>
      <c r="F369" s="11">
        <f t="shared" si="32"/>
        <v>8.3007605856005409</v>
      </c>
      <c r="G369" s="11">
        <f t="shared" si="33"/>
        <v>8.3820523126828519</v>
      </c>
    </row>
    <row r="370" spans="5:7" x14ac:dyDescent="0.25">
      <c r="E370" s="11">
        <f t="shared" si="31"/>
        <v>28</v>
      </c>
      <c r="F370" s="11">
        <f t="shared" si="32"/>
        <v>8.6643886964247443</v>
      </c>
      <c r="G370" s="11">
        <f t="shared" si="33"/>
        <v>8.7408408531081925</v>
      </c>
    </row>
    <row r="371" spans="5:7" x14ac:dyDescent="0.25">
      <c r="E371" s="11">
        <f t="shared" si="31"/>
        <v>29</v>
      </c>
      <c r="F371" s="11">
        <f t="shared" si="32"/>
        <v>9.0311096754046627</v>
      </c>
      <c r="G371" s="11">
        <f t="shared" si="33"/>
        <v>9.1020977653883008</v>
      </c>
    </row>
    <row r="372" spans="5:7" x14ac:dyDescent="0.25">
      <c r="E372" s="11">
        <f t="shared" si="31"/>
        <v>30</v>
      </c>
      <c r="F372" s="11">
        <f t="shared" si="32"/>
        <v>9.4007725394544419</v>
      </c>
      <c r="G372" s="11">
        <f t="shared" si="33"/>
        <v>9.4657211902681944</v>
      </c>
    </row>
    <row r="373" spans="5:7" x14ac:dyDescent="0.25">
      <c r="E373" s="11">
        <f t="shared" si="31"/>
        <v>31</v>
      </c>
      <c r="F373" s="11">
        <f t="shared" si="32"/>
        <v>9.7732207010711143</v>
      </c>
      <c r="G373" s="11">
        <f t="shared" si="33"/>
        <v>9.8316092684928922</v>
      </c>
    </row>
    <row r="374" spans="5:7" x14ac:dyDescent="0.25">
      <c r="E374" s="11">
        <f t="shared" si="31"/>
        <v>32</v>
      </c>
      <c r="F374" s="11">
        <f t="shared" si="32"/>
        <v>10.148292447132949</v>
      </c>
      <c r="G374" s="11">
        <f t="shared" si="33"/>
        <v>10.199660140807413</v>
      </c>
    </row>
    <row r="375" spans="5:7" x14ac:dyDescent="0.25">
      <c r="E375" s="11">
        <f t="shared" si="31"/>
        <v>33</v>
      </c>
      <c r="F375" s="11">
        <f t="shared" si="32"/>
        <v>10.525821457497507</v>
      </c>
      <c r="G375" s="11">
        <f t="shared" si="33"/>
        <v>10.569771947956777</v>
      </c>
    </row>
    <row r="376" spans="5:7" x14ac:dyDescent="0.25">
      <c r="E376" s="11">
        <f t="shared" si="31"/>
        <v>34</v>
      </c>
      <c r="F376" s="11">
        <f t="shared" si="32"/>
        <v>10.905637364561089</v>
      </c>
      <c r="G376" s="11">
        <f t="shared" si="33"/>
        <v>10.941842830686003</v>
      </c>
    </row>
    <row r="377" spans="5:7" x14ac:dyDescent="0.25">
      <c r="E377" s="11">
        <f t="shared" si="31"/>
        <v>35</v>
      </c>
      <c r="F377" s="11">
        <f t="shared" si="32"/>
        <v>11.287566354954251</v>
      </c>
      <c r="G377" s="11">
        <f t="shared" si="33"/>
        <v>11.315770929740111</v>
      </c>
    </row>
    <row r="378" spans="5:7" x14ac:dyDescent="0.25">
      <c r="E378" s="11">
        <f t="shared" si="31"/>
        <v>36</v>
      </c>
      <c r="F378" s="11">
        <f t="shared" si="32"/>
        <v>11.671431814561586</v>
      </c>
      <c r="G378" s="11">
        <f t="shared" si="33"/>
        <v>11.69145438586412</v>
      </c>
    </row>
    <row r="379" spans="5:7" x14ac:dyDescent="0.25">
      <c r="E379" s="11">
        <f t="shared" si="31"/>
        <v>37</v>
      </c>
      <c r="F379" s="11">
        <f t="shared" si="32"/>
        <v>12.057055018066986</v>
      </c>
      <c r="G379" s="11">
        <f t="shared" si="33"/>
        <v>12.068791339803049</v>
      </c>
    </row>
    <row r="380" spans="5:7" x14ac:dyDescent="0.25">
      <c r="E380" s="11">
        <f t="shared" si="31"/>
        <v>38</v>
      </c>
      <c r="F380" s="11">
        <f t="shared" si="32"/>
        <v>12.444255864238905</v>
      </c>
      <c r="G380" s="11">
        <f t="shared" si="33"/>
        <v>12.447679932301916</v>
      </c>
    </row>
    <row r="381" spans="5:7" x14ac:dyDescent="0.25">
      <c r="E381" s="11">
        <f t="shared" si="31"/>
        <v>39</v>
      </c>
      <c r="F381" s="11">
        <f t="shared" si="32"/>
        <v>12.832853658183403</v>
      </c>
      <c r="G381" s="11">
        <f t="shared" si="33"/>
        <v>12.828018304105742</v>
      </c>
    </row>
    <row r="382" spans="5:7" x14ac:dyDescent="0.25">
      <c r="E382" s="11">
        <f t="shared" si="31"/>
        <v>40</v>
      </c>
      <c r="F382" s="11">
        <f t="shared" si="32"/>
        <v>13.22266794180601</v>
      </c>
      <c r="G382" s="11">
        <f t="shared" si="33"/>
        <v>13.209704595959545</v>
      </c>
    </row>
    <row r="383" spans="5:7" x14ac:dyDescent="0.25">
      <c r="E383" s="11">
        <f t="shared" si="31"/>
        <v>41</v>
      </c>
      <c r="F383" s="11">
        <f t="shared" si="32"/>
        <v>13.613519373736557</v>
      </c>
      <c r="G383" s="11">
        <f t="shared" si="33"/>
        <v>13.592636948608344</v>
      </c>
    </row>
    <row r="384" spans="5:7" x14ac:dyDescent="0.25">
      <c r="E384" s="11">
        <f t="shared" si="31"/>
        <v>42</v>
      </c>
      <c r="F384" s="11">
        <f t="shared" si="32"/>
        <v>14.005230659984541</v>
      </c>
      <c r="G384" s="11">
        <f t="shared" si="33"/>
        <v>13.976713502797161</v>
      </c>
    </row>
    <row r="385" spans="5:7" x14ac:dyDescent="0.25">
      <c r="E385" s="11">
        <f t="shared" si="31"/>
        <v>43</v>
      </c>
      <c r="F385" s="11">
        <f t="shared" si="32"/>
        <v>14.397627536605656</v>
      </c>
      <c r="G385" s="11">
        <f t="shared" si="33"/>
        <v>14.361832399271012</v>
      </c>
    </row>
    <row r="386" spans="5:7" x14ac:dyDescent="0.25">
      <c r="E386" s="11">
        <f t="shared" si="31"/>
        <v>44</v>
      </c>
      <c r="F386" s="11">
        <f t="shared" si="32"/>
        <v>14.790539805673498</v>
      </c>
      <c r="G386" s="11">
        <f t="shared" si="33"/>
        <v>14.747891778774918</v>
      </c>
    </row>
    <row r="387" spans="5:7" x14ac:dyDescent="0.25">
      <c r="E387" s="11">
        <f t="shared" si="31"/>
        <v>45</v>
      </c>
      <c r="F387" s="11">
        <f t="shared" si="32"/>
        <v>15.183802425863568</v>
      </c>
      <c r="G387" s="11">
        <f t="shared" si="33"/>
        <v>15.134789782053897</v>
      </c>
    </row>
    <row r="388" spans="5:7" x14ac:dyDescent="0.25">
      <c r="E388" s="11">
        <f t="shared" si="31"/>
        <v>46</v>
      </c>
      <c r="F388" s="11">
        <f t="shared" si="32"/>
        <v>15.577256658970013</v>
      </c>
      <c r="G388" s="11">
        <f t="shared" si="33"/>
        <v>15.522438017992988</v>
      </c>
    </row>
    <row r="389" spans="5:7" x14ac:dyDescent="0.25">
      <c r="E389" s="11">
        <f t="shared" si="31"/>
        <v>47</v>
      </c>
      <c r="F389" s="11">
        <f t="shared" si="32"/>
        <v>15.970751273688808</v>
      </c>
      <c r="G389" s="11">
        <f t="shared" si="33"/>
        <v>15.910801968037312</v>
      </c>
    </row>
    <row r="390" spans="5:7" x14ac:dyDescent="0.25">
      <c r="E390" s="11">
        <f t="shared" si="31"/>
        <v>48</v>
      </c>
      <c r="F390" s="11">
        <f t="shared" si="32"/>
        <v>16.36414380801417</v>
      </c>
      <c r="G390" s="11">
        <f t="shared" si="33"/>
        <v>16.299860581772009</v>
      </c>
    </row>
    <row r="391" spans="5:7" x14ac:dyDescent="0.25">
      <c r="E391" s="11">
        <f t="shared" si="31"/>
        <v>49</v>
      </c>
      <c r="F391" s="11">
        <f t="shared" si="32"/>
        <v>16.757301891608396</v>
      </c>
      <c r="G391" s="11">
        <f t="shared" si="33"/>
        <v>16.689592808782223</v>
      </c>
    </row>
    <row r="392" spans="5:7" x14ac:dyDescent="0.25">
      <c r="E392" s="11">
        <f t="shared" si="31"/>
        <v>50</v>
      </c>
      <c r="F392" s="11">
        <f t="shared" si="32"/>
        <v>17.15010462951853</v>
      </c>
      <c r="G392" s="11">
        <f t="shared" si="33"/>
        <v>17.079977598653088</v>
      </c>
    </row>
    <row r="393" spans="5:7" x14ac:dyDescent="0.25">
      <c r="E393" s="11">
        <f t="shared" si="31"/>
        <v>51</v>
      </c>
      <c r="F393" s="11">
        <f t="shared" si="32"/>
        <v>17.542444048626301</v>
      </c>
      <c r="G393" s="11">
        <f t="shared" si="33"/>
        <v>17.470993900969745</v>
      </c>
    </row>
    <row r="394" spans="5:7" x14ac:dyDescent="0.25">
      <c r="E394" s="11">
        <f t="shared" si="31"/>
        <v>52</v>
      </c>
      <c r="F394" s="11">
        <f t="shared" si="32"/>
        <v>17.934226608231363</v>
      </c>
      <c r="G394" s="11">
        <f t="shared" si="33"/>
        <v>17.86262066531734</v>
      </c>
    </row>
    <row r="395" spans="5:7" x14ac:dyDescent="0.25">
      <c r="E395" s="11">
        <f t="shared" si="31"/>
        <v>53</v>
      </c>
      <c r="F395" s="11">
        <f t="shared" si="32"/>
        <v>18.325374776180769</v>
      </c>
      <c r="G395" s="11">
        <f t="shared" si="33"/>
        <v>18.254836841281005</v>
      </c>
    </row>
    <row r="396" spans="5:7" x14ac:dyDescent="0.25">
      <c r="E396" s="11">
        <f t="shared" si="31"/>
        <v>54</v>
      </c>
      <c r="F396" s="11">
        <f t="shared" si="32"/>
        <v>18.71582867197105</v>
      </c>
      <c r="G396" s="11">
        <f t="shared" si="33"/>
        <v>18.647621378445891</v>
      </c>
    </row>
    <row r="397" spans="5:7" x14ac:dyDescent="0.25">
      <c r="E397" s="11">
        <f t="shared" si="31"/>
        <v>55</v>
      </c>
      <c r="F397" s="11">
        <f t="shared" si="32"/>
        <v>19.105547778262391</v>
      </c>
      <c r="G397" s="11">
        <f t="shared" si="33"/>
        <v>19.040953226397129</v>
      </c>
    </row>
    <row r="398" spans="5:7" x14ac:dyDescent="0.25">
      <c r="E398" s="11">
        <f t="shared" si="31"/>
        <v>56</v>
      </c>
      <c r="F398" s="11">
        <f t="shared" si="32"/>
        <v>19.494512722257777</v>
      </c>
      <c r="G398" s="11">
        <f t="shared" si="33"/>
        <v>19.434811334719861</v>
      </c>
    </row>
    <row r="399" spans="5:7" x14ac:dyDescent="0.25">
      <c r="E399" s="11">
        <f t="shared" si="31"/>
        <v>57</v>
      </c>
      <c r="F399" s="11">
        <f t="shared" si="32"/>
        <v>19.882727128413052</v>
      </c>
      <c r="G399" s="11">
        <f t="shared" si="33"/>
        <v>19.829174652999225</v>
      </c>
    </row>
    <row r="400" spans="5:7" x14ac:dyDescent="0.25">
      <c r="E400" s="11">
        <f t="shared" si="31"/>
        <v>58</v>
      </c>
      <c r="F400" s="11">
        <f t="shared" si="32"/>
        <v>20.27021954395709</v>
      </c>
      <c r="G400" s="11">
        <f t="shared" si="33"/>
        <v>20.224022130820366</v>
      </c>
    </row>
    <row r="401" spans="5:7" x14ac:dyDescent="0.25">
      <c r="E401" s="11">
        <f t="shared" si="31"/>
        <v>59</v>
      </c>
      <c r="F401" s="11">
        <f t="shared" si="32"/>
        <v>20.657045438714729</v>
      </c>
      <c r="G401" s="11">
        <f t="shared" si="33"/>
        <v>20.619332717768422</v>
      </c>
    </row>
    <row r="402" spans="5:7" x14ac:dyDescent="0.25">
      <c r="E402" s="11">
        <f t="shared" si="31"/>
        <v>60</v>
      </c>
      <c r="F402" s="11">
        <f t="shared" si="32"/>
        <v>21.04328928073808</v>
      </c>
      <c r="G402" s="11">
        <f t="shared" si="33"/>
        <v>21.015085363428536</v>
      </c>
    </row>
    <row r="403" spans="5:7" x14ac:dyDescent="0.25">
      <c r="E403" s="11">
        <f t="shared" si="31"/>
        <v>61</v>
      </c>
      <c r="F403" s="11">
        <f t="shared" si="32"/>
        <v>21.42906668926517</v>
      </c>
      <c r="G403" s="11">
        <f t="shared" si="33"/>
        <v>21.411259017385845</v>
      </c>
    </row>
    <row r="404" spans="5:7" x14ac:dyDescent="0.25">
      <c r="E404" s="11">
        <f t="shared" si="31"/>
        <v>62</v>
      </c>
      <c r="F404" s="11">
        <f t="shared" si="32"/>
        <v>21.814526666538129</v>
      </c>
      <c r="G404" s="11">
        <f t="shared" si="33"/>
        <v>21.807832629225491</v>
      </c>
    </row>
    <row r="405" spans="5:7" x14ac:dyDescent="0.25">
      <c r="E405" s="11">
        <f t="shared" si="31"/>
        <v>63</v>
      </c>
      <c r="F405" s="11">
        <f t="shared" si="32"/>
        <v>22.199853910026437</v>
      </c>
      <c r="G405" s="11">
        <f t="shared" si="33"/>
        <v>22.204785148532611</v>
      </c>
    </row>
    <row r="406" spans="5:7" x14ac:dyDescent="0.25">
      <c r="E406" s="11">
        <f t="shared" si="31"/>
        <v>64</v>
      </c>
      <c r="F406" s="11">
        <f t="shared" si="32"/>
        <v>22.585271206613783</v>
      </c>
      <c r="G406" s="11">
        <f t="shared" si="33"/>
        <v>22.602095524892349</v>
      </c>
    </row>
    <row r="407" spans="5:7" x14ac:dyDescent="0.25">
      <c r="E407" s="11">
        <f t="shared" si="31"/>
        <v>65</v>
      </c>
      <c r="F407" s="11">
        <f t="shared" si="32"/>
        <v>22.971041910320462</v>
      </c>
      <c r="G407" s="11">
        <f t="shared" si="33"/>
        <v>22.999742707889844</v>
      </c>
    </row>
    <row r="408" spans="5:7" x14ac:dyDescent="0.25">
      <c r="E408" s="11">
        <f t="shared" si="31"/>
        <v>66</v>
      </c>
      <c r="F408" s="11">
        <f t="shared" si="32"/>
        <v>23.357472505146614</v>
      </c>
      <c r="G408" s="11">
        <f t="shared" si="33"/>
        <v>23.397705647110236</v>
      </c>
    </row>
    <row r="409" spans="5:7" x14ac:dyDescent="0.25">
      <c r="E409" s="11">
        <f t="shared" si="31"/>
        <v>67</v>
      </c>
      <c r="F409" s="11">
        <f t="shared" si="32"/>
        <v>23.744915254634382</v>
      </c>
      <c r="G409" s="11">
        <f t="shared" si="33"/>
        <v>23.795963292138666</v>
      </c>
    </row>
    <row r="410" spans="5:7" x14ac:dyDescent="0.25">
      <c r="E410" s="11">
        <f t="shared" si="31"/>
        <v>68</v>
      </c>
      <c r="F410" s="11">
        <f t="shared" si="32"/>
        <v>24.133770939760925</v>
      </c>
      <c r="G410" s="11">
        <f t="shared" si="33"/>
        <v>24.194494592560272</v>
      </c>
    </row>
    <row r="411" spans="5:7" x14ac:dyDescent="0.25">
      <c r="E411" s="11">
        <f t="shared" si="31"/>
        <v>69</v>
      </c>
      <c r="F411" s="11">
        <f t="shared" si="32"/>
        <v>24.524491686786902</v>
      </c>
      <c r="G411" s="11">
        <f t="shared" si="33"/>
        <v>24.593278497960195</v>
      </c>
    </row>
    <row r="412" spans="5:7" x14ac:dyDescent="0.25">
      <c r="E412" s="11">
        <f t="shared" si="31"/>
        <v>70</v>
      </c>
      <c r="F412" s="11">
        <f t="shared" si="32"/>
        <v>24.917583886698679</v>
      </c>
      <c r="G412" s="11">
        <f t="shared" si="33"/>
        <v>24.992293957923572</v>
      </c>
    </row>
    <row r="413" spans="5:7" x14ac:dyDescent="0.25">
      <c r="E413" s="11">
        <f t="shared" si="31"/>
        <v>71</v>
      </c>
      <c r="F413" s="11">
        <f t="shared" si="32"/>
        <v>25.313611207895452</v>
      </c>
      <c r="G413" s="11">
        <f t="shared" si="33"/>
        <v>25.391519922035553</v>
      </c>
    </row>
    <row r="414" spans="5:7" x14ac:dyDescent="0.25">
      <c r="E414" s="11">
        <f t="shared" si="31"/>
        <v>72</v>
      </c>
      <c r="F414" s="11">
        <f t="shared" si="32"/>
        <v>25.713197703785948</v>
      </c>
      <c r="G414" s="11">
        <f t="shared" si="33"/>
        <v>25.790935339881269</v>
      </c>
    </row>
    <row r="415" spans="5:7" x14ac:dyDescent="0.25">
      <c r="E415" s="11">
        <f t="shared" ref="E415:E422" si="34">E208</f>
        <v>73</v>
      </c>
      <c r="F415" s="11">
        <f t="shared" ref="F415:F422" si="35">$H$217*0+E415*$I$217+E415^2*$J$217+E415^3*$K$217+E415^4*$L$217+E415^5*$M$217+E415^6*$N$217+E415^7*$O$217+E415^8*$P$217</f>
        <v>26.11703101697243</v>
      </c>
      <c r="G415" s="11">
        <f t="shared" ref="G415:G422" si="36">F208</f>
        <v>26.190519161045867</v>
      </c>
    </row>
    <row r="416" spans="5:7" x14ac:dyDescent="0.25">
      <c r="E416" s="11">
        <f t="shared" si="34"/>
        <v>74</v>
      </c>
      <c r="F416" s="11">
        <f t="shared" si="35"/>
        <v>26.525865681713093</v>
      </c>
      <c r="G416" s="11">
        <f t="shared" si="36"/>
        <v>26.590250335114483</v>
      </c>
    </row>
    <row r="417" spans="5:7" x14ac:dyDescent="0.25">
      <c r="E417" s="11">
        <f t="shared" si="34"/>
        <v>75</v>
      </c>
      <c r="F417" s="11">
        <f t="shared" si="35"/>
        <v>26.940526526367091</v>
      </c>
      <c r="G417" s="11">
        <f t="shared" si="36"/>
        <v>26.990107811672253</v>
      </c>
    </row>
    <row r="418" spans="5:7" x14ac:dyDescent="0.25">
      <c r="E418" s="11">
        <f t="shared" si="34"/>
        <v>76</v>
      </c>
      <c r="F418" s="11">
        <f t="shared" si="35"/>
        <v>27.36191217753975</v>
      </c>
      <c r="G418" s="11">
        <f t="shared" si="36"/>
        <v>27.390070540304322</v>
      </c>
    </row>
    <row r="419" spans="5:7" x14ac:dyDescent="0.25">
      <c r="E419" s="11">
        <f t="shared" si="34"/>
        <v>77</v>
      </c>
      <c r="F419" s="11">
        <f t="shared" si="35"/>
        <v>27.79099866765856</v>
      </c>
      <c r="G419" s="11">
        <f t="shared" si="36"/>
        <v>27.790117470595835</v>
      </c>
    </row>
    <row r="420" spans="5:7" x14ac:dyDescent="0.25">
      <c r="E420" s="11">
        <f t="shared" si="34"/>
        <v>78</v>
      </c>
      <c r="F420" s="11">
        <f t="shared" si="35"/>
        <v>28.228843147724213</v>
      </c>
      <c r="G420" s="11">
        <f t="shared" si="36"/>
        <v>28.190227552131926</v>
      </c>
    </row>
    <row r="421" spans="5:7" x14ac:dyDescent="0.25">
      <c r="E421" s="11">
        <f t="shared" si="34"/>
        <v>79</v>
      </c>
      <c r="F421" s="11">
        <f t="shared" si="35"/>
        <v>28.676587706993491</v>
      </c>
      <c r="G421" s="11">
        <f t="shared" si="36"/>
        <v>28.590379734497738</v>
      </c>
    </row>
    <row r="422" spans="5:7" x14ac:dyDescent="0.25">
      <c r="E422" s="11">
        <f t="shared" si="34"/>
        <v>80</v>
      </c>
      <c r="F422" s="11">
        <f t="shared" si="35"/>
        <v>29.135463301364979</v>
      </c>
      <c r="G422" s="11">
        <f t="shared" si="36"/>
        <v>28.990552967278404</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2022-01-08T10:57:09Z</dcterms:modified>
</cp:coreProperties>
</file>