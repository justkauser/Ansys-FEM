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1" i="11"/>
  <c r="O21" i="11"/>
  <c r="N21" i="11"/>
  <c r="O20" i="11"/>
  <c r="N20" i="11"/>
  <c r="O19" i="11"/>
  <c r="N19" i="11"/>
  <c r="P19" i="11" s="1"/>
  <c r="O18" i="11"/>
  <c r="N18" i="11"/>
  <c r="P18" i="11" s="1"/>
  <c r="O17" i="11"/>
  <c r="N17" i="11"/>
  <c r="P17" i="11" s="1"/>
  <c r="O16" i="11"/>
  <c r="N16" i="11"/>
  <c r="P16" i="11" s="1"/>
  <c r="P15" i="11"/>
  <c r="O15" i="11"/>
  <c r="N15" i="11"/>
  <c r="O14" i="11"/>
  <c r="N14" i="11"/>
  <c r="O13" i="11"/>
  <c r="N13" i="11"/>
  <c r="P13" i="11" s="1"/>
  <c r="O12" i="11"/>
  <c r="N12" i="11"/>
  <c r="P12" i="11" s="1"/>
  <c r="O11" i="11"/>
  <c r="N11" i="11"/>
  <c r="P11" i="11" s="1"/>
  <c r="O10" i="11"/>
  <c r="N10" i="11"/>
  <c r="P9" i="11"/>
  <c r="O9" i="11"/>
  <c r="N9" i="11"/>
  <c r="O8" i="11"/>
  <c r="N8" i="11"/>
  <c r="O7" i="11"/>
  <c r="N7" i="11"/>
  <c r="P7" i="11" s="1"/>
  <c r="O6" i="11"/>
  <c r="N6" i="11"/>
  <c r="P6" i="11" s="1"/>
  <c r="O5" i="11"/>
  <c r="N5" i="11"/>
  <c r="P5" i="11" s="1"/>
  <c r="O4" i="11"/>
  <c r="N4" i="11"/>
  <c r="P4" i="11" s="1"/>
  <c r="P3" i="11"/>
  <c r="O3" i="11"/>
  <c r="N3" i="11"/>
  <c r="P14" i="11" l="1"/>
  <c r="P26"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1" i="43"/>
  <c r="D416" i="43"/>
  <c r="D423" i="43"/>
  <c r="D428" i="43"/>
  <c r="D404" i="43"/>
  <c r="D424" i="43"/>
  <c r="D433" i="43"/>
  <c r="D409" i="43"/>
  <c r="D421" i="43"/>
  <c r="D434" i="43"/>
  <c r="D405" i="43"/>
  <c r="D413" i="43"/>
  <c r="D419" i="43"/>
  <c r="D426" i="43"/>
  <c r="D407" i="43"/>
  <c r="D414" i="43"/>
  <c r="D418" i="43"/>
  <c r="D425" i="43"/>
  <c r="D427" i="43"/>
  <c r="D429" i="43"/>
  <c r="D432" i="43"/>
  <c r="D408" i="43"/>
  <c r="D415" i="43"/>
  <c r="D417" i="43"/>
  <c r="D430" i="43"/>
  <c r="D410" i="43"/>
  <c r="D412" i="43"/>
  <c r="D420" i="43"/>
  <c r="D422" i="43"/>
  <c r="D431" i="43"/>
  <c r="B405" i="43"/>
  <c r="B424" i="43"/>
  <c r="B425" i="43"/>
  <c r="B413" i="43"/>
  <c r="B414" i="43"/>
  <c r="B408" i="43"/>
  <c r="B415" i="43"/>
  <c r="B417" i="43"/>
  <c r="B409" i="43"/>
  <c r="B406" i="43"/>
  <c r="B429" i="43"/>
  <c r="B411" i="43"/>
  <c r="B416" i="43"/>
  <c r="B432" i="43"/>
  <c r="B404" i="43"/>
  <c r="B428" i="43"/>
  <c r="B410" i="43"/>
  <c r="B407" i="43"/>
  <c r="B431" i="43"/>
  <c r="B427" i="43"/>
  <c r="B420" i="43"/>
  <c r="B434" i="43"/>
  <c r="B430" i="43"/>
  <c r="B423" i="43"/>
  <c r="B418" i="43"/>
  <c r="B419" i="43"/>
  <c r="B433" i="43"/>
  <c r="B426" i="43"/>
  <c r="B421" i="43"/>
  <c r="B422" i="43"/>
  <c r="B412" i="43"/>
  <c r="C406" i="43"/>
  <c r="C409" i="43"/>
  <c r="C421" i="43"/>
  <c r="C434" i="43"/>
  <c r="C417" i="43"/>
  <c r="C423" i="43"/>
  <c r="C407" i="43"/>
  <c r="C414" i="43"/>
  <c r="C418" i="43"/>
  <c r="C425" i="43"/>
  <c r="C427" i="43"/>
  <c r="C429" i="43"/>
  <c r="C432" i="43"/>
  <c r="C426" i="43"/>
  <c r="C430" i="43"/>
  <c r="C410" i="43"/>
  <c r="C412" i="43"/>
  <c r="C420" i="43"/>
  <c r="C422" i="43"/>
  <c r="C431" i="43"/>
  <c r="C405" i="43"/>
  <c r="C408" i="43"/>
  <c r="C415" i="43"/>
  <c r="C424" i="43"/>
  <c r="C433" i="43"/>
  <c r="C419" i="43"/>
  <c r="C428" i="43"/>
  <c r="C404" i="43"/>
  <c r="C413" i="43"/>
  <c r="C411" i="43"/>
  <c r="C416" i="43"/>
  <c r="H434" i="43"/>
  <c r="H418" i="43"/>
  <c r="H415" i="43"/>
  <c r="H410" i="43"/>
  <c r="H424" i="43"/>
  <c r="H405" i="43"/>
  <c r="H417" i="43"/>
  <c r="H414" i="43"/>
  <c r="H430" i="43"/>
  <c r="H423" i="43"/>
  <c r="H419" i="43"/>
  <c r="H429" i="43"/>
  <c r="H416" i="43"/>
  <c r="H404" i="43"/>
  <c r="H413" i="43"/>
  <c r="H427" i="43"/>
  <c r="H409" i="43"/>
  <c r="H422" i="43"/>
  <c r="H421" i="43"/>
  <c r="H431" i="43"/>
  <c r="H406" i="43"/>
  <c r="H433" i="43"/>
  <c r="H428" i="43"/>
  <c r="H426" i="43"/>
  <c r="H408" i="43"/>
  <c r="H420" i="43"/>
  <c r="H432" i="43"/>
  <c r="H412" i="43"/>
  <c r="H425" i="43"/>
  <c r="H407" i="43"/>
  <c r="H411" i="43"/>
  <c r="G410" i="43"/>
  <c r="G413" i="43"/>
  <c r="G431" i="43"/>
  <c r="G434" i="43"/>
  <c r="G416" i="43"/>
  <c r="G428" i="43"/>
  <c r="G429" i="43"/>
  <c r="G411" i="43"/>
  <c r="G427" i="43"/>
  <c r="G409" i="43"/>
  <c r="G422" i="43"/>
  <c r="G426" i="43"/>
  <c r="G408" i="43"/>
  <c r="G424" i="43"/>
  <c r="G420" i="43"/>
  <c r="G414" i="43"/>
  <c r="G406" i="43"/>
  <c r="G419" i="43"/>
  <c r="G423" i="43"/>
  <c r="G405" i="43"/>
  <c r="G421" i="43"/>
  <c r="G404" i="43"/>
  <c r="G430" i="43"/>
  <c r="G407" i="43"/>
  <c r="G418" i="43"/>
  <c r="G412" i="43"/>
  <c r="G417" i="43"/>
  <c r="G433" i="43"/>
  <c r="G415" i="43"/>
  <c r="G425" i="43"/>
  <c r="G432" i="43"/>
  <c r="E405" i="43"/>
  <c r="E424" i="43"/>
  <c r="E406" i="43"/>
  <c r="E417" i="43"/>
  <c r="E419" i="43"/>
  <c r="E426" i="43"/>
  <c r="E430" i="43"/>
  <c r="E410" i="43"/>
  <c r="E415" i="43"/>
  <c r="E411" i="43"/>
  <c r="E416" i="43"/>
  <c r="E423" i="43"/>
  <c r="E404" i="43"/>
  <c r="E420" i="43"/>
  <c r="E408" i="43"/>
  <c r="E433" i="43"/>
  <c r="E434" i="43"/>
  <c r="E422" i="43"/>
  <c r="E418" i="43"/>
  <c r="E425" i="43"/>
  <c r="E427" i="43"/>
  <c r="E429" i="43"/>
  <c r="E431" i="43"/>
  <c r="E413" i="43"/>
  <c r="E421" i="43"/>
  <c r="E409" i="43"/>
  <c r="E432" i="43"/>
  <c r="E412" i="43"/>
  <c r="E407" i="43"/>
  <c r="E428" i="43"/>
  <c r="E414" i="43"/>
  <c r="F415" i="43"/>
  <c r="F410" i="43"/>
  <c r="F424" i="43"/>
  <c r="F431" i="43"/>
  <c r="F419" i="43"/>
  <c r="F430" i="43"/>
  <c r="F416" i="43"/>
  <c r="F423" i="43"/>
  <c r="F404" i="43"/>
  <c r="F427" i="43"/>
  <c r="F434" i="43"/>
  <c r="F420" i="43"/>
  <c r="F421" i="43"/>
  <c r="F425" i="43"/>
  <c r="F426" i="43"/>
  <c r="F412" i="43"/>
  <c r="F417" i="43"/>
  <c r="F414" i="43"/>
  <c r="F422" i="43"/>
  <c r="F411" i="43"/>
  <c r="F405" i="43"/>
  <c r="F432" i="43"/>
  <c r="F418" i="43"/>
  <c r="F409" i="43"/>
  <c r="F413" i="43"/>
  <c r="F428" i="43"/>
  <c r="F429" i="43"/>
  <c r="F406" i="43"/>
  <c r="F40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D169" i="43"/>
  <c r="K406" i="43"/>
  <c r="Y169" i="43"/>
  <c r="K427" i="43"/>
  <c r="G208" i="43"/>
  <c r="K409" i="43"/>
  <c r="Z169" i="43"/>
  <c r="K428" i="43"/>
  <c r="N169" i="43"/>
  <c r="K416" i="43"/>
  <c r="H169" i="43"/>
  <c r="K410"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AD130" i="43"/>
  <c r="J432" i="43"/>
  <c r="AC130" i="43"/>
  <c r="J431" i="43"/>
  <c r="I130" i="43"/>
  <c r="J411" i="43"/>
  <c r="M130" i="43"/>
  <c r="J415" i="43"/>
  <c r="AE130" i="43"/>
  <c r="J433"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G130" i="43"/>
  <c r="J409" i="43"/>
  <c r="T130" i="43"/>
  <c r="J422" i="43"/>
  <c r="X130" i="43"/>
  <c r="J426" i="43"/>
  <c r="J130" i="43"/>
  <c r="J412"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<sst xmlns="http://schemas.openxmlformats.org/spreadsheetml/2006/main" count="311" uniqueCount="164">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</sst>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97143520"/>
        <c:axId val="4971486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71435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8616"/>
        <c:crossesAt val="-8.0000000000000019E-3"/>
        <c:crossBetween val="midCat"/>
      </c:valAx>
      <c:valAx>
        <c:axId val="497148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3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97149400"/>
        <c:axId val="4971474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71494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7440"/>
        <c:crosses val="autoZero"/>
        <c:crossBetween val="midCat"/>
      </c:valAx>
      <c:valAx>
        <c:axId val="49714744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940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7150576"/>
        <c:axId val="4971509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71505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50968"/>
        <c:crosses val="autoZero"/>
        <c:crossBetween val="midCat"/>
        <c:majorUnit val="10000"/>
      </c:valAx>
      <c:valAx>
        <c:axId val="49715096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5057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97150184"/>
        <c:axId val="4971439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7150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7143912"/>
        <c:crosses val="autoZero"/>
        <c:crossBetween val="midCat"/>
        <c:majorUnit val="10000"/>
      </c:valAx>
      <c:valAx>
        <c:axId val="49714391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715018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97147832"/>
        <c:axId val="4942519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714783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251936"/>
        <c:crosses val="autoZero"/>
        <c:crossBetween val="midCat"/>
        <c:majorUnit val="10000"/>
      </c:valAx>
      <c:valAx>
        <c:axId val="49425193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783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1.1879141856060553E-2</c:v>
                </c:pt>
                <c:pt idx="1">
                  <c:v>1.6024722275259397E-2</c:v>
                </c:pt>
                <c:pt idx="2">
                  <c:v>4.3912843514903018E-3</c:v>
                </c:pt>
                <c:pt idx="3">
                  <c:v>7.4653472309422781E-4</c:v>
                </c:pt>
                <c:pt idx="4">
                  <c:v>1.091689070767824E-4</c:v>
                </c:pt>
                <c:pt idx="5">
                  <c:v>1.436062704788852E-5</c:v>
                </c:pt>
                <c:pt idx="6">
                  <c:v>2.7167626771269863E-6</c:v>
                </c:pt>
                <c:pt idx="7">
                  <c:v>2.2182760972461923E-6</c:v>
                </c:pt>
                <c:pt idx="8">
                  <c:v>2.4974910126537301E-6</c:v>
                </c:pt>
                <c:pt idx="9">
                  <c:v>3.1911526491301459E-6</c:v>
                </c:pt>
                <c:pt idx="10">
                  <c:v>6.0987882881709582E-6</c:v>
                </c:pt>
                <c:pt idx="11">
                  <c:v>1.2099847463829815E-5</c:v>
                </c:pt>
                <c:pt idx="12">
                  <c:v>1.8634876719213451E-5</c:v>
                </c:pt>
                <c:pt idx="13">
                  <c:v>1.9319704777914508E-5</c:v>
                </c:pt>
                <c:pt idx="14">
                  <c:v>1.4785984452566524E-5</c:v>
                </c:pt>
                <c:pt idx="15">
                  <c:v>1.1254252794852276E-5</c:v>
                </c:pt>
                <c:pt idx="16">
                  <c:v>1.4801315861683327E-5</c:v>
                </c:pt>
                <c:pt idx="17">
                  <c:v>2.5871362685921203E-5</c:v>
                </c:pt>
                <c:pt idx="18">
                  <c:v>3.6463907347145104E-5</c:v>
                </c:pt>
                <c:pt idx="19">
                  <c:v>4.0308879656601989E-5</c:v>
                </c:pt>
                <c:pt idx="20">
                  <c:v>4.8935003575507476E-5</c:v>
                </c:pt>
                <c:pt idx="21">
                  <c:v>5.1977690493514377E-5</c:v>
                </c:pt>
                <c:pt idx="22">
                  <c:v>7.5361556081272893E-5</c:v>
                </c:pt>
                <c:pt idx="23">
                  <c:v>1.3269882054051904E-4</c:v>
                </c:pt>
                <c:pt idx="24">
                  <c:v>1.8103901174491868E-4</c:v>
                </c:pt>
                <c:pt idx="25">
                  <c:v>1.8790762091040554E-4</c:v>
                </c:pt>
                <c:pt idx="26">
                  <c:v>1.6908722890432283E-4</c:v>
                </c:pt>
                <c:pt idx="27">
                  <c:v>1.4704329527179288E-4</c:v>
                </c:pt>
                <c:pt idx="28">
                  <c:v>1.4688931973260374E-4</c:v>
                </c:pt>
                <c:pt idx="29">
                  <c:v>2.650905211427317E-5</c:v>
                </c:pt>
                <c:pt idx="30">
                  <c:v>1.0550715221562944E-4</c:v>
                </c:pt>
              </c:numCache>
            </c:numRef>
          </c:yVal>
          <c:smooth val="1"/>
        </c:ser>
        <c:dLbls>
          <c:showLegendKey val="0"/>
          <c:showVal val="0"/>
          <c:showCatName val="0"/>
          <c:showSerName val="0"/>
          <c:showPercent val="0"/>
          <c:showBubbleSize val="0"/>
        </c:dLbls>
        <c:axId val="496679632"/>
        <c:axId val="496677672"/>
      </c:scatterChart>
      <c:valAx>
        <c:axId val="4966796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7672"/>
        <c:crossesAt val="-1.5000000000000005E-3"/>
        <c:crossBetween val="midCat"/>
      </c:valAx>
      <c:valAx>
        <c:axId val="49667767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963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4996.9697526026439</c:v>
                </c:pt>
                <c:pt idx="1">
                  <c:v>4926.5247056201688</c:v>
                </c:pt>
                <c:pt idx="2">
                  <c:v>4664.0275306247404</c:v>
                </c:pt>
                <c:pt idx="3">
                  <c:v>4501.5272460802498</c:v>
                </c:pt>
                <c:pt idx="4">
                  <c:v>4277.0247205352516</c:v>
                </c:pt>
                <c:pt idx="5">
                  <c:v>4057.1339447184118</c:v>
                </c:pt>
                <c:pt idx="6">
                  <c:v>3871.2085792615189</c:v>
                </c:pt>
                <c:pt idx="7">
                  <c:v>3695.7625493946439</c:v>
                </c:pt>
                <c:pt idx="8">
                  <c:v>3525.6507332792175</c:v>
                </c:pt>
                <c:pt idx="9">
                  <c:v>3357.1601763672447</c:v>
                </c:pt>
                <c:pt idx="10">
                  <c:v>3187.0425045347711</c:v>
                </c:pt>
                <c:pt idx="11">
                  <c:v>2997.0028018093208</c:v>
                </c:pt>
                <c:pt idx="12">
                  <c:v>2785.0363810762474</c:v>
                </c:pt>
                <c:pt idx="13">
                  <c:v>2548.712876778392</c:v>
                </c:pt>
                <c:pt idx="14">
                  <c:v>2277.7375849845675</c:v>
                </c:pt>
                <c:pt idx="15">
                  <c:v>1945.4137442071965</c:v>
                </c:pt>
                <c:pt idx="16">
                  <c:v>1547.0318046663995</c:v>
                </c:pt>
                <c:pt idx="17">
                  <c:v>1144.6926744741063</c:v>
                </c:pt>
                <c:pt idx="18">
                  <c:v>800.0022694204547</c:v>
                </c:pt>
                <c:pt idx="19">
                  <c:v>550.39561645469337</c:v>
                </c:pt>
                <c:pt idx="20">
                  <c:v>400.36991500319726</c:v>
                </c:pt>
                <c:pt idx="21">
                  <c:v>323.44807762127937</c:v>
                </c:pt>
                <c:pt idx="22">
                  <c:v>285.59938965207465</c:v>
                </c:pt>
                <c:pt idx="23">
                  <c:v>264.76327977544184</c:v>
                </c:pt>
                <c:pt idx="24">
                  <c:v>251.36786936213514</c:v>
                </c:pt>
                <c:pt idx="25">
                  <c:v>244.9741090491205</c:v>
                </c:pt>
                <c:pt idx="26">
                  <c:v>233.26752352666406</c:v>
                </c:pt>
                <c:pt idx="27">
                  <c:v>224.96994724712687</c:v>
                </c:pt>
                <c:pt idx="28">
                  <c:v>223.78952034508092</c:v>
                </c:pt>
                <c:pt idx="29">
                  <c:v>223.13107522763994</c:v>
                </c:pt>
                <c:pt idx="30">
                  <c:v>223.04922894872254</c:v>
                </c:pt>
              </c:numCache>
            </c:numRef>
          </c:yVal>
          <c:smooth val="1"/>
        </c:ser>
        <c:dLbls>
          <c:showLegendKey val="0"/>
          <c:showVal val="0"/>
          <c:showCatName val="0"/>
          <c:showSerName val="0"/>
          <c:showPercent val="0"/>
          <c:showBubbleSize val="0"/>
        </c:dLbls>
        <c:axId val="496680808"/>
        <c:axId val="496680416"/>
      </c:scatterChart>
      <c:valAx>
        <c:axId val="4966808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0416"/>
        <c:crosses val="autoZero"/>
        <c:crossBetween val="midCat"/>
      </c:valAx>
      <c:valAx>
        <c:axId val="4966804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080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7.3363530047133021E-3</c:v>
                </c:pt>
                <c:pt idx="1">
                  <c:v>7.344415389165331E-3</c:v>
                </c:pt>
                <c:pt idx="2">
                  <c:v>7.3393954140620948E-3</c:v>
                </c:pt>
                <c:pt idx="3">
                  <c:v>7.3379131251343002E-3</c:v>
                </c:pt>
                <c:pt idx="4">
                  <c:v>7.3374178606839396E-3</c:v>
                </c:pt>
                <c:pt idx="5">
                  <c:v>7.337265854918968E-3</c:v>
                </c:pt>
                <c:pt idx="6">
                  <c:v>7.3372139366016447E-3</c:v>
                </c:pt>
                <c:pt idx="7">
                  <c:v>7.3371829539788094E-3</c:v>
                </c:pt>
                <c:pt idx="8">
                  <c:v>7.3372870368769794E-3</c:v>
                </c:pt>
                <c:pt idx="9">
                  <c:v>7.3382040433628845E-3</c:v>
                </c:pt>
                <c:pt idx="10">
                  <c:v>7.3474162083799364E-3</c:v>
                </c:pt>
                <c:pt idx="11">
                  <c:v>7.4397255058995613E-3</c:v>
                </c:pt>
                <c:pt idx="12">
                  <c:v>8.3608897545369154E-3</c:v>
                </c:pt>
                <c:pt idx="13">
                  <c:v>1.7323075794531673E-2</c:v>
                </c:pt>
                <c:pt idx="14">
                  <c:v>8.3857311458767403E-2</c:v>
                </c:pt>
                <c:pt idx="15">
                  <c:v>0.15955467421815822</c:v>
                </c:pt>
                <c:pt idx="16">
                  <c:v>0.1431224264732873</c:v>
                </c:pt>
                <c:pt idx="17">
                  <c:v>0.12560951608329002</c:v>
                </c:pt>
                <c:pt idx="18">
                  <c:v>0.10541268661522285</c:v>
                </c:pt>
                <c:pt idx="19">
                  <c:v>8.2445220247135895E-2</c:v>
                </c:pt>
                <c:pt idx="20">
                  <c:v>5.5054536532654991E-2</c:v>
                </c:pt>
                <c:pt idx="21">
                  <c:v>3.7158236353016398E-2</c:v>
                </c:pt>
                <c:pt idx="22">
                  <c:v>1.1414833059908206E-2</c:v>
                </c:pt>
                <c:pt idx="23">
                  <c:v>4.8247305033697015E-2</c:v>
                </c:pt>
                <c:pt idx="24">
                  <c:v>7.3596821731477871E-2</c:v>
                </c:pt>
                <c:pt idx="25">
                  <c:v>0.10398821681711355</c:v>
                </c:pt>
                <c:pt idx="26">
                  <c:v>0.13346397003617438</c:v>
                </c:pt>
                <c:pt idx="27">
                  <c:v>0.15018763343735661</c:v>
                </c:pt>
                <c:pt idx="28">
                  <c:v>0.15642502128489988</c:v>
                </c:pt>
                <c:pt idx="29">
                  <c:v>0.15818695394115923</c:v>
                </c:pt>
                <c:pt idx="30">
                  <c:v>0.14776497212207509</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2.9934269547069129E-3</c:v>
                </c:pt>
                <c:pt idx="1">
                  <c:v>3.1421977215080584E-3</c:v>
                </c:pt>
                <c:pt idx="2">
                  <c:v>4.6510064594394943E-3</c:v>
                </c:pt>
                <c:pt idx="3">
                  <c:v>1.5946390451886179E-2</c:v>
                </c:pt>
                <c:pt idx="4">
                  <c:v>2.5399757358862848E-2</c:v>
                </c:pt>
                <c:pt idx="5">
                  <c:v>7.2840392228536707E-2</c:v>
                </c:pt>
                <c:pt idx="6">
                  <c:v>0.11873118434200096</c:v>
                </c:pt>
                <c:pt idx="7">
                  <c:v>9.8589287621850208E-2</c:v>
                </c:pt>
                <c:pt idx="8">
                  <c:v>7.6166907387904506E-2</c:v>
                </c:pt>
                <c:pt idx="9">
                  <c:v>4.970038953749234E-2</c:v>
                </c:pt>
                <c:pt idx="10">
                  <c:v>2.1005498569180457E-2</c:v>
                </c:pt>
                <c:pt idx="11">
                  <c:v>4.1792734472805458E-3</c:v>
                </c:pt>
                <c:pt idx="12">
                  <c:v>2.6036733389330522E-2</c:v>
                </c:pt>
                <c:pt idx="13">
                  <c:v>2.3709139185459738E-2</c:v>
                </c:pt>
                <c:pt idx="14">
                  <c:v>2.8145942065131699E-2</c:v>
                </c:pt>
                <c:pt idx="15">
                  <c:v>2.6740927401774313E-2</c:v>
                </c:pt>
                <c:pt idx="16">
                  <c:v>2.0231822434913258E-2</c:v>
                </c:pt>
                <c:pt idx="17">
                  <c:v>1.48562711933901E-3</c:v>
                </c:pt>
                <c:pt idx="18">
                  <c:v>4.4678551460647822E-2</c:v>
                </c:pt>
                <c:pt idx="19">
                  <c:v>9.565577027892927E-2</c:v>
                </c:pt>
                <c:pt idx="20">
                  <c:v>0.14068866991813114</c:v>
                </c:pt>
                <c:pt idx="21">
                  <c:v>0.16990993717292482</c:v>
                </c:pt>
                <c:pt idx="22">
                  <c:v>0.19063764699880573</c:v>
                </c:pt>
                <c:pt idx="23">
                  <c:v>0.1982783025005288</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1.4487405626423212E-2</c:v>
                </c:pt>
                <c:pt idx="1">
                  <c:v>2.8175864516128631E-2</c:v>
                </c:pt>
                <c:pt idx="2">
                  <c:v>7.4567126550507956E-2</c:v>
                </c:pt>
                <c:pt idx="3">
                  <c:v>0.11436828460951363</c:v>
                </c:pt>
                <c:pt idx="4">
                  <c:v>9.4087782087746444E-2</c:v>
                </c:pt>
                <c:pt idx="5">
                  <c:v>7.1354582324625729E-2</c:v>
                </c:pt>
                <c:pt idx="6">
                  <c:v>4.4609504953991803E-2</c:v>
                </c:pt>
                <c:pt idx="7">
                  <c:v>1.5781201613726849E-2</c:v>
                </c:pt>
                <c:pt idx="8">
                  <c:v>1.446022143714664E-4</c:v>
                </c:pt>
                <c:pt idx="9">
                  <c:v>2.2113580961457734E-2</c:v>
                </c:pt>
                <c:pt idx="10">
                  <c:v>1.9223099822858063E-2</c:v>
                </c:pt>
                <c:pt idx="11">
                  <c:v>2.3667871840465881E-2</c:v>
                </c:pt>
                <c:pt idx="12">
                  <c:v>2.2759593798514614E-2</c:v>
                </c:pt>
                <c:pt idx="13">
                  <c:v>2.0363067246818214E-2</c:v>
                </c:pt>
                <c:pt idx="14">
                  <c:v>2.1427522633652024E-2</c:v>
                </c:pt>
                <c:pt idx="15">
                  <c:v>1.8819792056874542E-2</c:v>
                </c:pt>
                <c:pt idx="16">
                  <c:v>5.7365075942033507E-3</c:v>
                </c:pt>
                <c:pt idx="17">
                  <c:v>3.2551664559522346E-2</c:v>
                </c:pt>
                <c:pt idx="18">
                  <c:v>7.7450426664401925E-2</c:v>
                </c:pt>
                <c:pt idx="19">
                  <c:v>0.11910323936246618</c:v>
                </c:pt>
                <c:pt idx="20">
                  <c:v>0.14661755323213485</c:v>
                </c:pt>
                <c:pt idx="21">
                  <c:v>0.15857538824275499</c:v>
                </c:pt>
                <c:pt idx="22">
                  <c:v>0.13814747123850774</c:v>
                </c:pt>
                <c:pt idx="23">
                  <c:v>8.5842791581572042E-2</c:v>
                </c:pt>
                <c:pt idx="24">
                  <c:v>2.9401060616787326E-2</c:v>
                </c:pt>
                <c:pt idx="25">
                  <c:v>1.031023052961148E-2</c:v>
                </c:pt>
                <c:pt idx="26">
                  <c:v>2.7230828489378332E-2</c:v>
                </c:pt>
                <c:pt idx="27">
                  <c:v>1.800880621853904E-2</c:v>
                </c:pt>
                <c:pt idx="28">
                  <c:v>3.7541930141726781E-3</c:v>
                </c:pt>
                <c:pt idx="29">
                  <c:v>2.5213538430638458E-3</c:v>
                </c:pt>
                <c:pt idx="30">
                  <c:v>1.7857452041088898E-3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5.3691652646276466E-3</c:v>
                </c:pt>
                <c:pt idx="1">
                  <c:v>7.6086457750793989E-3</c:v>
                </c:pt>
                <c:pt idx="2">
                  <c:v>7.9966405436074067E-3</c:v>
                </c:pt>
                <c:pt idx="3">
                  <c:v>8.6945654372347081E-3</c:v>
                </c:pt>
                <c:pt idx="4">
                  <c:v>8.7951211603728204E-3</c:v>
                </c:pt>
                <c:pt idx="5">
                  <c:v>1.0276449483412045E-2</c:v>
                </c:pt>
                <c:pt idx="6">
                  <c:v>1.1163885775995992E-2</c:v>
                </c:pt>
                <c:pt idx="7">
                  <c:v>1.3011716865223663E-2</c:v>
                </c:pt>
                <c:pt idx="8">
                  <c:v>1.2758513435979909E-2</c:v>
                </c:pt>
                <c:pt idx="9">
                  <c:v>1.1213363767944148E-3</c:v>
                </c:pt>
                <c:pt idx="10">
                  <c:v>2.0766714364297462E-2</c:v>
                </c:pt>
                <c:pt idx="11">
                  <c:v>3.6380775470042363E-2</c:v>
                </c:pt>
                <c:pt idx="12">
                  <c:v>4.7470658165565532E-2</c:v>
                </c:pt>
                <c:pt idx="13">
                  <c:v>5.87168117877317E-2</c:v>
                </c:pt>
                <c:pt idx="14">
                  <c:v>8.1741541990149366E-2</c:v>
                </c:pt>
                <c:pt idx="15">
                  <c:v>9.397691154168504E-2</c:v>
                </c:pt>
                <c:pt idx="16">
                  <c:v>0.10794598844902481</c:v>
                </c:pt>
                <c:pt idx="17">
                  <c:v>9.8503049327387709E-2</c:v>
                </c:pt>
                <c:pt idx="18">
                  <c:v>8.3591386151305902E-2</c:v>
                </c:pt>
                <c:pt idx="19">
                  <c:v>6.2671731626677593E-2</c:v>
                </c:pt>
                <c:pt idx="20">
                  <c:v>4.4346285654695408E-2</c:v>
                </c:pt>
                <c:pt idx="21">
                  <c:v>3.2866266467380952E-2</c:v>
                </c:pt>
                <c:pt idx="22">
                  <c:v>2.4706779014201104E-2</c:v>
                </c:pt>
                <c:pt idx="23">
                  <c:v>1.8157090605957545E-2</c:v>
                </c:pt>
                <c:pt idx="24">
                  <c:v>1.2345743463110631E-2</c:v>
                </c:pt>
                <c:pt idx="25">
                  <c:v>1.2952083878712984E-2</c:v>
                </c:pt>
                <c:pt idx="26">
                  <c:v>8.3390651921893509E-3</c:v>
                </c:pt>
                <c:pt idx="27">
                  <c:v>7.7698402864347831E-3</c:v>
                </c:pt>
                <c:pt idx="28">
                  <c:v>2.5063980990988185E-3</c:v>
                </c:pt>
                <c:pt idx="29">
                  <c:v>2.3409938764007072E-3</c:v>
                </c:pt>
                <c:pt idx="30">
                  <c:v>9.8421711382363922E-4</c:v>
                </c:pt>
              </c:numCache>
            </c:numRef>
          </c:yVal>
          <c:smooth val="1"/>
        </c:ser>
        <c:dLbls>
          <c:showLegendKey val="0"/>
          <c:showVal val="0"/>
          <c:showCatName val="0"/>
          <c:showSerName val="0"/>
          <c:showPercent val="0"/>
          <c:showBubbleSize val="0"/>
        </c:dLbls>
        <c:axId val="496678064"/>
        <c:axId val="496681592"/>
      </c:scatterChart>
      <c:valAx>
        <c:axId val="4966780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1592"/>
        <c:crossesAt val="1.0000000000000005E-9"/>
        <c:crossBetween val="midCat"/>
      </c:valAx>
      <c:valAx>
        <c:axId val="496681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806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-44.148639789513958</c:v>
                </c:pt>
                <c:pt idx="1">
                  <c:v>-32.523099905859404</c:v>
                </c:pt>
                <c:pt idx="2">
                  <c:v>-27.199076392270609</c:v>
                </c:pt>
                <c:pt idx="3">
                  <c:v>-22.864644542581122</c:v>
                </c:pt>
                <c:pt idx="4">
                  <c:v>-15.874303798022783</c:v>
                </c:pt>
                <c:pt idx="5">
                  <c:v>0</c:v>
                </c:pt>
                <c:pt idx="6">
                  <c:v>14.169451285459033</c:v>
                </c:pt>
              </c:numCache>
            </c:numRef>
          </c:yVal>
          <c:smooth val="0"/>
        </c:ser>
        <c:dLbls>
          <c:showLegendKey val="0"/>
          <c:showVal val="0"/>
          <c:showCatName val="0"/>
          <c:showSerName val="0"/>
          <c:showPercent val="0"/>
          <c:showBubbleSize val="0"/>
        </c:dLbls>
        <c:axId val="496681200"/>
        <c:axId val="496684336"/>
      </c:scatterChart>
      <c:valAx>
        <c:axId val="4966812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4336"/>
        <c:crossesAt val="-100"/>
        <c:crossBetween val="midCat"/>
      </c:valAx>
      <c:valAx>
        <c:axId val="496684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120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496681984"/>
        <c:axId val="496682376"/>
      </c:scatterChart>
      <c:valAx>
        <c:axId val="49668198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2376"/>
        <c:crosses val="autoZero"/>
        <c:crossBetween val="midCat"/>
      </c:valAx>
      <c:valAx>
        <c:axId val="49668237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198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6.7063984979372177E-35</c:v>
                </c:pt>
                <c:pt idx="1">
                  <c:v>6.7063984979372166E-34</c:v>
                </c:pt>
                <c:pt idx="2">
                  <c:v>6.7063984979372166E-33</c:v>
                </c:pt>
                <c:pt idx="3">
                  <c:v>6.7063984979372169E-32</c:v>
                </c:pt>
                <c:pt idx="4">
                  <c:v>6.7063984979372166E-31</c:v>
                </c:pt>
                <c:pt idx="5">
                  <c:v>6.706398497937217E-30</c:v>
                </c:pt>
                <c:pt idx="6">
                  <c:v>6.706398497937217E-29</c:v>
                </c:pt>
                <c:pt idx="7">
                  <c:v>6.7063984979372172E-28</c:v>
                </c:pt>
                <c:pt idx="8">
                  <c:v>6.7063984979372167E-27</c:v>
                </c:pt>
                <c:pt idx="9">
                  <c:v>6.7063984979372161E-26</c:v>
                </c:pt>
                <c:pt idx="10">
                  <c:v>6.7063984979372175E-25</c:v>
                </c:pt>
                <c:pt idx="11">
                  <c:v>6.7063984979372166E-24</c:v>
                </c:pt>
                <c:pt idx="12">
                  <c:v>6.7063984979372174E-23</c:v>
                </c:pt>
                <c:pt idx="13">
                  <c:v>6.7063984979372172E-22</c:v>
                </c:pt>
                <c:pt idx="14">
                  <c:v>6.7063984979372168E-21</c:v>
                </c:pt>
                <c:pt idx="15">
                  <c:v>6.7063984979372173E-20</c:v>
                </c:pt>
                <c:pt idx="16">
                  <c:v>6.7063984979372173E-19</c:v>
                </c:pt>
                <c:pt idx="17">
                  <c:v>6.7063984979372165E-18</c:v>
                </c:pt>
                <c:pt idx="18">
                  <c:v>6.7063984979372171E-17</c:v>
                </c:pt>
                <c:pt idx="19">
                  <c:v>6.7063984979372166E-16</c:v>
                </c:pt>
                <c:pt idx="20">
                  <c:v>6.7063984979372168E-15</c:v>
                </c:pt>
                <c:pt idx="21">
                  <c:v>6.7063984979372173E-14</c:v>
                </c:pt>
                <c:pt idx="22">
                  <c:v>6.7063984979372171E-13</c:v>
                </c:pt>
                <c:pt idx="23">
                  <c:v>6.7063984979372165E-12</c:v>
                </c:pt>
                <c:pt idx="24">
                  <c:v>6.7063984979372163E-11</c:v>
                </c:pt>
                <c:pt idx="25">
                  <c:v>6.7063984979372165E-10</c:v>
                </c:pt>
                <c:pt idx="26">
                  <c:v>6.706398497937217E-9</c:v>
                </c:pt>
                <c:pt idx="27">
                  <c:v>6.7063984979372163E-8</c:v>
                </c:pt>
                <c:pt idx="28">
                  <c:v>6.7063984979372166E-7</c:v>
                </c:pt>
                <c:pt idx="29">
                  <c:v>6.7063984979372172E-6</c:v>
                </c:pt>
                <c:pt idx="30">
                  <c:v>6.7063984979372172E-5</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7.505803257846905E-30</c:v>
                </c:pt>
                <c:pt idx="1">
                  <c:v>7.505803257846905E-29</c:v>
                </c:pt>
                <c:pt idx="2">
                  <c:v>7.5058032578469052E-28</c:v>
                </c:pt>
                <c:pt idx="3">
                  <c:v>7.5058032578469045E-27</c:v>
                </c:pt>
                <c:pt idx="4">
                  <c:v>7.5058032578469042E-26</c:v>
                </c:pt>
                <c:pt idx="5">
                  <c:v>7.5058032578469053E-25</c:v>
                </c:pt>
                <c:pt idx="6">
                  <c:v>7.5058032578469055E-24</c:v>
                </c:pt>
                <c:pt idx="7">
                  <c:v>7.5058032578469055E-23</c:v>
                </c:pt>
                <c:pt idx="8">
                  <c:v>7.5058032578469051E-22</c:v>
                </c:pt>
                <c:pt idx="9">
                  <c:v>7.5058032578469053E-21</c:v>
                </c:pt>
                <c:pt idx="10">
                  <c:v>7.5058032578469056E-20</c:v>
                </c:pt>
                <c:pt idx="11">
                  <c:v>7.5058032578469051E-19</c:v>
                </c:pt>
                <c:pt idx="12">
                  <c:v>7.5058032578469051E-18</c:v>
                </c:pt>
                <c:pt idx="13">
                  <c:v>7.5058032578469057E-17</c:v>
                </c:pt>
                <c:pt idx="14">
                  <c:v>7.5058032578469059E-16</c:v>
                </c:pt>
                <c:pt idx="15">
                  <c:v>7.5058032578469044E-15</c:v>
                </c:pt>
                <c:pt idx="16">
                  <c:v>7.505803257846905E-14</c:v>
                </c:pt>
                <c:pt idx="17">
                  <c:v>7.5058032578469047E-13</c:v>
                </c:pt>
                <c:pt idx="18">
                  <c:v>7.5058032578469043E-12</c:v>
                </c:pt>
                <c:pt idx="19">
                  <c:v>7.505803257846905E-11</c:v>
                </c:pt>
                <c:pt idx="20">
                  <c:v>7.5058032578469052E-10</c:v>
                </c:pt>
                <c:pt idx="21">
                  <c:v>7.5058032578469054E-9</c:v>
                </c:pt>
                <c:pt idx="22">
                  <c:v>7.5058032578469048E-8</c:v>
                </c:pt>
                <c:pt idx="23">
                  <c:v>7.5058032578469053E-7</c:v>
                </c:pt>
                <c:pt idx="24">
                  <c:v>7.5058032578469047E-6</c:v>
                </c:pt>
                <c:pt idx="25">
                  <c:v>7.5058032578469055E-5</c:v>
                </c:pt>
                <c:pt idx="26">
                  <c:v>7.505803257846905E-4</c:v>
                </c:pt>
                <c:pt idx="27">
                  <c:v>7.5058032578469054E-3</c:v>
                </c:pt>
                <c:pt idx="28">
                  <c:v>7.5058032578469047E-2</c:v>
                </c:pt>
                <c:pt idx="29">
                  <c:v>0.75058032578469047</c:v>
                </c:pt>
                <c:pt idx="30">
                  <c:v>7.5058032578469049</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1.5402499734235971E-27</c:v>
                </c:pt>
                <c:pt idx="1">
                  <c:v>1.540249973423597E-26</c:v>
                </c:pt>
                <c:pt idx="2">
                  <c:v>1.5402499734235972E-25</c:v>
                </c:pt>
                <c:pt idx="3">
                  <c:v>1.5402499734235971E-24</c:v>
                </c:pt>
                <c:pt idx="4">
                  <c:v>1.5402499734235971E-23</c:v>
                </c:pt>
                <c:pt idx="5">
                  <c:v>1.5402499734235973E-22</c:v>
                </c:pt>
                <c:pt idx="6">
                  <c:v>1.5402499734235972E-21</c:v>
                </c:pt>
                <c:pt idx="7">
                  <c:v>1.5402499734235972E-20</c:v>
                </c:pt>
                <c:pt idx="8">
                  <c:v>1.5402499734235971E-19</c:v>
                </c:pt>
                <c:pt idx="9">
                  <c:v>1.5402499734235971E-18</c:v>
                </c:pt>
                <c:pt idx="10">
                  <c:v>1.5402499734235973E-17</c:v>
                </c:pt>
                <c:pt idx="11">
                  <c:v>1.5402499734235973E-16</c:v>
                </c:pt>
                <c:pt idx="12">
                  <c:v>1.5402499734235971E-15</c:v>
                </c:pt>
                <c:pt idx="13">
                  <c:v>1.5402499734235971E-14</c:v>
                </c:pt>
                <c:pt idx="14">
                  <c:v>1.5402499734235971E-13</c:v>
                </c:pt>
                <c:pt idx="15">
                  <c:v>1.5402499734235971E-12</c:v>
                </c:pt>
                <c:pt idx="16">
                  <c:v>1.540249973423597E-11</c:v>
                </c:pt>
                <c:pt idx="17">
                  <c:v>1.540249973423597E-10</c:v>
                </c:pt>
                <c:pt idx="18">
                  <c:v>1.5402499734235972E-9</c:v>
                </c:pt>
                <c:pt idx="19">
                  <c:v>1.540249973423597E-8</c:v>
                </c:pt>
                <c:pt idx="20">
                  <c:v>1.540249973423597E-7</c:v>
                </c:pt>
                <c:pt idx="21">
                  <c:v>1.5402499734235972E-6</c:v>
                </c:pt>
                <c:pt idx="22">
                  <c:v>1.5402499734235973E-5</c:v>
                </c:pt>
                <c:pt idx="23">
                  <c:v>1.5402499734235971E-4</c:v>
                </c:pt>
                <c:pt idx="24">
                  <c:v>1.5402499734235972E-3</c:v>
                </c:pt>
                <c:pt idx="25">
                  <c:v>1.5402499734235971E-2</c:v>
                </c:pt>
                <c:pt idx="26">
                  <c:v>0.15402499734235972</c:v>
                </c:pt>
                <c:pt idx="27">
                  <c:v>1.540249973423597</c:v>
                </c:pt>
                <c:pt idx="28">
                  <c:v>15.40249973423597</c:v>
                </c:pt>
                <c:pt idx="29">
                  <c:v>154.02499734235971</c:v>
                </c:pt>
                <c:pt idx="30">
                  <c:v>1540.2499734235971</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1.1749274339626463E-25</c:v>
                </c:pt>
                <c:pt idx="1">
                  <c:v>1.1749274339626462E-24</c:v>
                </c:pt>
                <c:pt idx="2">
                  <c:v>1.1749274339626461E-23</c:v>
                </c:pt>
                <c:pt idx="3">
                  <c:v>1.1749274339626461E-22</c:v>
                </c:pt>
                <c:pt idx="4">
                  <c:v>1.1749274339626462E-21</c:v>
                </c:pt>
                <c:pt idx="5">
                  <c:v>1.1749274339626461E-20</c:v>
                </c:pt>
                <c:pt idx="6">
                  <c:v>1.1749274339626462E-19</c:v>
                </c:pt>
                <c:pt idx="7">
                  <c:v>1.1749274339626462E-18</c:v>
                </c:pt>
                <c:pt idx="8">
                  <c:v>1.1749274339626461E-17</c:v>
                </c:pt>
                <c:pt idx="9">
                  <c:v>1.174927433962646E-16</c:v>
                </c:pt>
                <c:pt idx="10">
                  <c:v>1.1749274339626461E-15</c:v>
                </c:pt>
                <c:pt idx="11">
                  <c:v>1.1749274339626462E-14</c:v>
                </c:pt>
                <c:pt idx="12">
                  <c:v>1.1749274339626463E-13</c:v>
                </c:pt>
                <c:pt idx="13">
                  <c:v>1.1749274339626462E-12</c:v>
                </c:pt>
                <c:pt idx="14">
                  <c:v>1.1749274339626461E-11</c:v>
                </c:pt>
                <c:pt idx="15">
                  <c:v>1.1749274339626461E-10</c:v>
                </c:pt>
                <c:pt idx="16">
                  <c:v>1.1749274339626461E-9</c:v>
                </c:pt>
                <c:pt idx="17">
                  <c:v>1.1749274339626461E-8</c:v>
                </c:pt>
                <c:pt idx="18">
                  <c:v>1.1749274339626462E-7</c:v>
                </c:pt>
                <c:pt idx="19">
                  <c:v>1.1749274339626462E-6</c:v>
                </c:pt>
                <c:pt idx="20">
                  <c:v>1.1749274339626461E-5</c:v>
                </c:pt>
                <c:pt idx="21">
                  <c:v>1.1749274339626461E-4</c:v>
                </c:pt>
                <c:pt idx="22">
                  <c:v>1.1749274339626461E-3</c:v>
                </c:pt>
                <c:pt idx="23">
                  <c:v>1.1749274339626461E-2</c:v>
                </c:pt>
                <c:pt idx="24">
                  <c:v>0.11749274339626462</c:v>
                </c:pt>
                <c:pt idx="25">
                  <c:v>1.1749274339626461</c:v>
                </c:pt>
                <c:pt idx="26">
                  <c:v>11.749274339626462</c:v>
                </c:pt>
                <c:pt idx="27">
                  <c:v>117.49274339626461</c:v>
                </c:pt>
                <c:pt idx="28">
                  <c:v>1174.9274339626461</c:v>
                </c:pt>
                <c:pt idx="29">
                  <c:v>11749.274339626461</c:v>
                </c:pt>
                <c:pt idx="30">
                  <c:v>117492.74339626462</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1.2760786908108374E-22</c:v>
                </c:pt>
                <c:pt idx="1">
                  <c:v>1.2760786908108374E-21</c:v>
                </c:pt>
                <c:pt idx="2">
                  <c:v>1.2760786908108374E-20</c:v>
                </c:pt>
                <c:pt idx="3">
                  <c:v>1.2760786908108373E-19</c:v>
                </c:pt>
                <c:pt idx="4">
                  <c:v>1.2760786908108373E-18</c:v>
                </c:pt>
                <c:pt idx="5">
                  <c:v>1.2760786908108375E-17</c:v>
                </c:pt>
                <c:pt idx="6">
                  <c:v>1.2760786908108374E-16</c:v>
                </c:pt>
                <c:pt idx="7">
                  <c:v>1.2760786908108374E-15</c:v>
                </c:pt>
                <c:pt idx="8">
                  <c:v>1.2760786908108374E-14</c:v>
                </c:pt>
                <c:pt idx="9">
                  <c:v>1.2760786908108374E-13</c:v>
                </c:pt>
                <c:pt idx="10">
                  <c:v>1.2760786908108375E-12</c:v>
                </c:pt>
                <c:pt idx="11">
                  <c:v>1.2760786908108375E-11</c:v>
                </c:pt>
                <c:pt idx="12">
                  <c:v>1.2760786908108375E-10</c:v>
                </c:pt>
                <c:pt idx="13">
                  <c:v>1.2760786908108375E-9</c:v>
                </c:pt>
                <c:pt idx="14">
                  <c:v>1.2760786908108374E-8</c:v>
                </c:pt>
                <c:pt idx="15">
                  <c:v>1.2760786908108375E-7</c:v>
                </c:pt>
                <c:pt idx="16">
                  <c:v>1.2760786908108375E-6</c:v>
                </c:pt>
                <c:pt idx="17">
                  <c:v>1.2760786908108375E-5</c:v>
                </c:pt>
                <c:pt idx="18">
                  <c:v>1.2760786908108375E-4</c:v>
                </c:pt>
                <c:pt idx="19">
                  <c:v>1.2760786908108375E-3</c:v>
                </c:pt>
                <c:pt idx="20">
                  <c:v>1.2760786908108375E-2</c:v>
                </c:pt>
                <c:pt idx="21">
                  <c:v>0.12760786908108374</c:v>
                </c:pt>
                <c:pt idx="22">
                  <c:v>1.2760786908108375</c:v>
                </c:pt>
                <c:pt idx="23">
                  <c:v>12.760786908108374</c:v>
                </c:pt>
                <c:pt idx="24">
                  <c:v>127.60786908108375</c:v>
                </c:pt>
                <c:pt idx="25">
                  <c:v>1276.0786908108373</c:v>
                </c:pt>
                <c:pt idx="26">
                  <c:v>12760.786908108374</c:v>
                </c:pt>
                <c:pt idx="27">
                  <c:v>127607.86908108374</c:v>
                </c:pt>
                <c:pt idx="28">
                  <c:v>1276078.6908108373</c:v>
                </c:pt>
                <c:pt idx="29">
                  <c:v>12760786.908108374</c:v>
                </c:pt>
                <c:pt idx="30">
                  <c:v>127607869.08108374</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1.4246707401733272E-9</c:v>
                </c:pt>
                <c:pt idx="1">
                  <c:v>1.424670740173327E-8</c:v>
                </c:pt>
                <c:pt idx="2">
                  <c:v>1.4246707401733271E-7</c:v>
                </c:pt>
                <c:pt idx="3">
                  <c:v>1.4246707401733271E-6</c:v>
                </c:pt>
                <c:pt idx="4">
                  <c:v>1.4246707401733271E-5</c:v>
                </c:pt>
                <c:pt idx="5">
                  <c:v>1.4246707401733273E-4</c:v>
                </c:pt>
                <c:pt idx="6">
                  <c:v>1.4246707401733272E-3</c:v>
                </c:pt>
                <c:pt idx="7">
                  <c:v>1.4246707401733271E-2</c:v>
                </c:pt>
                <c:pt idx="8">
                  <c:v>0.14246707401733269</c:v>
                </c:pt>
                <c:pt idx="9">
                  <c:v>1.424670740173327</c:v>
                </c:pt>
                <c:pt idx="10">
                  <c:v>14.246707401733271</c:v>
                </c:pt>
                <c:pt idx="11">
                  <c:v>142.46707401733272</c:v>
                </c:pt>
                <c:pt idx="12">
                  <c:v>1424.6707401733272</c:v>
                </c:pt>
                <c:pt idx="13">
                  <c:v>14246.707401733271</c:v>
                </c:pt>
                <c:pt idx="14">
                  <c:v>142467.07401733272</c:v>
                </c:pt>
                <c:pt idx="15">
                  <c:v>1424670.740173327</c:v>
                </c:pt>
                <c:pt idx="16">
                  <c:v>14246707.401733272</c:v>
                </c:pt>
                <c:pt idx="17">
                  <c:v>142467074.0173327</c:v>
                </c:pt>
                <c:pt idx="18">
                  <c:v>1424670740.1733272</c:v>
                </c:pt>
                <c:pt idx="19">
                  <c:v>14246707401.733271</c:v>
                </c:pt>
                <c:pt idx="20">
                  <c:v>142467074017.3327</c:v>
                </c:pt>
                <c:pt idx="21">
                  <c:v>1424670740173.3271</c:v>
                </c:pt>
                <c:pt idx="22">
                  <c:v>14246707401733.271</c:v>
                </c:pt>
                <c:pt idx="23">
                  <c:v>142467074017332.72</c:v>
                </c:pt>
                <c:pt idx="24">
                  <c:v>1424670740173327</c:v>
                </c:pt>
                <c:pt idx="25">
                  <c:v>1.424670740173327E+16</c:v>
                </c:pt>
                <c:pt idx="26">
                  <c:v>1.424670740173327E+17</c:v>
                </c:pt>
                <c:pt idx="27">
                  <c:v>1.4246707401733271E+18</c:v>
                </c:pt>
                <c:pt idx="28">
                  <c:v>1.4246707401733272E+19</c:v>
                </c:pt>
                <c:pt idx="29">
                  <c:v>1.4246707401733271E+20</c:v>
                </c:pt>
                <c:pt idx="30">
                  <c:v>1.4246707401733272E+21</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96683944"/>
        <c:axId val="496676888"/>
      </c:scatterChart>
      <c:valAx>
        <c:axId val="49668394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6888"/>
        <c:crosses val="autoZero"/>
        <c:crossBetween val="midCat"/>
      </c:valAx>
      <c:valAx>
        <c:axId val="496676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8394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6.7063984979372177E-35</c:v>
                </c:pt>
                <c:pt idx="1">
                  <c:v>6.7063984979372166E-34</c:v>
                </c:pt>
                <c:pt idx="2">
                  <c:v>6.7063984979372166E-33</c:v>
                </c:pt>
                <c:pt idx="3">
                  <c:v>6.7063984979372169E-32</c:v>
                </c:pt>
                <c:pt idx="4">
                  <c:v>6.7063984979372166E-31</c:v>
                </c:pt>
                <c:pt idx="5">
                  <c:v>6.706398497937217E-30</c:v>
                </c:pt>
                <c:pt idx="6">
                  <c:v>6.706398497937217E-29</c:v>
                </c:pt>
                <c:pt idx="7">
                  <c:v>6.7063984979372172E-28</c:v>
                </c:pt>
                <c:pt idx="8">
                  <c:v>6.7063984979372167E-27</c:v>
                </c:pt>
                <c:pt idx="9">
                  <c:v>6.7063984979372161E-26</c:v>
                </c:pt>
                <c:pt idx="10">
                  <c:v>6.7063984979372175E-25</c:v>
                </c:pt>
                <c:pt idx="11">
                  <c:v>6.7063984979372166E-24</c:v>
                </c:pt>
                <c:pt idx="12">
                  <c:v>6.7063984979372174E-23</c:v>
                </c:pt>
                <c:pt idx="13">
                  <c:v>6.7063984979372172E-22</c:v>
                </c:pt>
                <c:pt idx="14">
                  <c:v>6.7063984979372168E-21</c:v>
                </c:pt>
                <c:pt idx="15">
                  <c:v>6.7063984979372173E-20</c:v>
                </c:pt>
                <c:pt idx="16">
                  <c:v>6.7063984979372173E-19</c:v>
                </c:pt>
                <c:pt idx="17">
                  <c:v>6.7063984979372165E-18</c:v>
                </c:pt>
                <c:pt idx="18">
                  <c:v>6.7063984979372171E-17</c:v>
                </c:pt>
                <c:pt idx="19">
                  <c:v>6.7063984979372166E-16</c:v>
                </c:pt>
                <c:pt idx="20">
                  <c:v>6.7063984979372168E-15</c:v>
                </c:pt>
                <c:pt idx="21">
                  <c:v>6.7063984979372173E-14</c:v>
                </c:pt>
                <c:pt idx="22">
                  <c:v>6.7063984979372171E-13</c:v>
                </c:pt>
                <c:pt idx="23">
                  <c:v>6.7063984979372165E-12</c:v>
                </c:pt>
                <c:pt idx="24">
                  <c:v>6.7063984979372163E-11</c:v>
                </c:pt>
                <c:pt idx="25">
                  <c:v>6.7063984979372165E-10</c:v>
                </c:pt>
                <c:pt idx="26">
                  <c:v>6.706398497937217E-9</c:v>
                </c:pt>
                <c:pt idx="27">
                  <c:v>6.7063984979372163E-8</c:v>
                </c:pt>
                <c:pt idx="28">
                  <c:v>6.7063984979372166E-7</c:v>
                </c:pt>
                <c:pt idx="29">
                  <c:v>6.7063984979372172E-6</c:v>
                </c:pt>
                <c:pt idx="30">
                  <c:v>6.7063984979372172E-5</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7.505803257846905E-30</c:v>
                </c:pt>
                <c:pt idx="1">
                  <c:v>7.505803257846905E-29</c:v>
                </c:pt>
                <c:pt idx="2">
                  <c:v>7.5058032578469052E-28</c:v>
                </c:pt>
                <c:pt idx="3">
                  <c:v>7.5058032578469045E-27</c:v>
                </c:pt>
                <c:pt idx="4">
                  <c:v>7.5058032578469042E-26</c:v>
                </c:pt>
                <c:pt idx="5">
                  <c:v>7.5058032578469053E-25</c:v>
                </c:pt>
                <c:pt idx="6">
                  <c:v>7.5058032578469055E-24</c:v>
                </c:pt>
                <c:pt idx="7">
                  <c:v>7.5058032578469055E-23</c:v>
                </c:pt>
                <c:pt idx="8">
                  <c:v>7.5058032578469051E-22</c:v>
                </c:pt>
                <c:pt idx="9">
                  <c:v>7.5058032578469053E-21</c:v>
                </c:pt>
                <c:pt idx="10">
                  <c:v>7.5058032578469056E-20</c:v>
                </c:pt>
                <c:pt idx="11">
                  <c:v>7.5058032578469051E-19</c:v>
                </c:pt>
                <c:pt idx="12">
                  <c:v>7.5058032578469051E-18</c:v>
                </c:pt>
                <c:pt idx="13">
                  <c:v>7.5058032578469057E-17</c:v>
                </c:pt>
                <c:pt idx="14">
                  <c:v>7.5058032578469059E-16</c:v>
                </c:pt>
                <c:pt idx="15">
                  <c:v>7.5058032578469044E-15</c:v>
                </c:pt>
                <c:pt idx="16">
                  <c:v>7.505803257846905E-14</c:v>
                </c:pt>
                <c:pt idx="17">
                  <c:v>7.5058032578469047E-13</c:v>
                </c:pt>
                <c:pt idx="18">
                  <c:v>7.5058032578469043E-12</c:v>
                </c:pt>
                <c:pt idx="19">
                  <c:v>7.505803257846905E-11</c:v>
                </c:pt>
                <c:pt idx="20">
                  <c:v>7.5058032578469052E-10</c:v>
                </c:pt>
                <c:pt idx="21">
                  <c:v>7.5058032578469054E-9</c:v>
                </c:pt>
                <c:pt idx="22">
                  <c:v>7.5058032578469048E-8</c:v>
                </c:pt>
                <c:pt idx="23">
                  <c:v>7.5058032578469053E-7</c:v>
                </c:pt>
                <c:pt idx="24">
                  <c:v>7.5058032578469047E-6</c:v>
                </c:pt>
                <c:pt idx="25">
                  <c:v>7.5058032578469055E-5</c:v>
                </c:pt>
                <c:pt idx="26">
                  <c:v>7.505803257846905E-4</c:v>
                </c:pt>
                <c:pt idx="27">
                  <c:v>7.5058032578469054E-3</c:v>
                </c:pt>
                <c:pt idx="28">
                  <c:v>7.5058032578469047E-2</c:v>
                </c:pt>
                <c:pt idx="29">
                  <c:v>0.75058032578469047</c:v>
                </c:pt>
                <c:pt idx="30">
                  <c:v>7.5058032578469049</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1.5402499734235971E-27</c:v>
                </c:pt>
                <c:pt idx="1">
                  <c:v>1.540249973423597E-26</c:v>
                </c:pt>
                <c:pt idx="2">
                  <c:v>1.5402499734235972E-25</c:v>
                </c:pt>
                <c:pt idx="3">
                  <c:v>1.5402499734235971E-24</c:v>
                </c:pt>
                <c:pt idx="4">
                  <c:v>1.5402499734235971E-23</c:v>
                </c:pt>
                <c:pt idx="5">
                  <c:v>1.5402499734235973E-22</c:v>
                </c:pt>
                <c:pt idx="6">
                  <c:v>1.5402499734235972E-21</c:v>
                </c:pt>
                <c:pt idx="7">
                  <c:v>1.5402499734235972E-20</c:v>
                </c:pt>
                <c:pt idx="8">
                  <c:v>1.5402499734235971E-19</c:v>
                </c:pt>
                <c:pt idx="9">
                  <c:v>1.5402499734235971E-18</c:v>
                </c:pt>
                <c:pt idx="10">
                  <c:v>1.5402499734235973E-17</c:v>
                </c:pt>
                <c:pt idx="11">
                  <c:v>1.5402499734235973E-16</c:v>
                </c:pt>
                <c:pt idx="12">
                  <c:v>1.5402499734235971E-15</c:v>
                </c:pt>
                <c:pt idx="13">
                  <c:v>1.5402499734235971E-14</c:v>
                </c:pt>
                <c:pt idx="14">
                  <c:v>1.5402499734235971E-13</c:v>
                </c:pt>
                <c:pt idx="15">
                  <c:v>1.5402499734235971E-12</c:v>
                </c:pt>
                <c:pt idx="16">
                  <c:v>1.540249973423597E-11</c:v>
                </c:pt>
                <c:pt idx="17">
                  <c:v>1.540249973423597E-10</c:v>
                </c:pt>
                <c:pt idx="18">
                  <c:v>1.5402499734235972E-9</c:v>
                </c:pt>
                <c:pt idx="19">
                  <c:v>1.540249973423597E-8</c:v>
                </c:pt>
                <c:pt idx="20">
                  <c:v>1.540249973423597E-7</c:v>
                </c:pt>
                <c:pt idx="21">
                  <c:v>1.5402499734235972E-6</c:v>
                </c:pt>
                <c:pt idx="22">
                  <c:v>1.5402499734235973E-5</c:v>
                </c:pt>
                <c:pt idx="23">
                  <c:v>1.5402499734235971E-4</c:v>
                </c:pt>
                <c:pt idx="24">
                  <c:v>1.5402499734235972E-3</c:v>
                </c:pt>
                <c:pt idx="25">
                  <c:v>1.5402499734235971E-2</c:v>
                </c:pt>
                <c:pt idx="26">
                  <c:v>0.15402499734235972</c:v>
                </c:pt>
                <c:pt idx="27">
                  <c:v>1.540249973423597</c:v>
                </c:pt>
                <c:pt idx="28">
                  <c:v>15.40249973423597</c:v>
                </c:pt>
                <c:pt idx="29">
                  <c:v>154.02499734235971</c:v>
                </c:pt>
                <c:pt idx="30">
                  <c:v>1540.2499734235971</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1.1749274339626463E-25</c:v>
                </c:pt>
                <c:pt idx="1">
                  <c:v>1.1749274339626462E-24</c:v>
                </c:pt>
                <c:pt idx="2">
                  <c:v>1.1749274339626461E-23</c:v>
                </c:pt>
                <c:pt idx="3">
                  <c:v>1.1749274339626461E-22</c:v>
                </c:pt>
                <c:pt idx="4">
                  <c:v>1.1749274339626462E-21</c:v>
                </c:pt>
                <c:pt idx="5">
                  <c:v>1.1749274339626461E-20</c:v>
                </c:pt>
                <c:pt idx="6">
                  <c:v>1.1749274339626462E-19</c:v>
                </c:pt>
                <c:pt idx="7">
                  <c:v>1.1749274339626462E-18</c:v>
                </c:pt>
                <c:pt idx="8">
                  <c:v>1.1749274339626461E-17</c:v>
                </c:pt>
                <c:pt idx="9">
                  <c:v>1.174927433962646E-16</c:v>
                </c:pt>
                <c:pt idx="10">
                  <c:v>1.1749274339626461E-15</c:v>
                </c:pt>
                <c:pt idx="11">
                  <c:v>1.1749274339626462E-14</c:v>
                </c:pt>
                <c:pt idx="12">
                  <c:v>1.1749274339626463E-13</c:v>
                </c:pt>
                <c:pt idx="13">
                  <c:v>1.1749274339626462E-12</c:v>
                </c:pt>
                <c:pt idx="14">
                  <c:v>1.1749274339626461E-11</c:v>
                </c:pt>
                <c:pt idx="15">
                  <c:v>1.1749274339626461E-10</c:v>
                </c:pt>
                <c:pt idx="16">
                  <c:v>1.1749274339626461E-9</c:v>
                </c:pt>
                <c:pt idx="17">
                  <c:v>1.1749274339626461E-8</c:v>
                </c:pt>
                <c:pt idx="18">
                  <c:v>1.1749274339626462E-7</c:v>
                </c:pt>
                <c:pt idx="19">
                  <c:v>1.1749274339626462E-6</c:v>
                </c:pt>
                <c:pt idx="20">
                  <c:v>1.1749274339626461E-5</c:v>
                </c:pt>
                <c:pt idx="21">
                  <c:v>1.1749274339626461E-4</c:v>
                </c:pt>
                <c:pt idx="22">
                  <c:v>1.1749274339626461E-3</c:v>
                </c:pt>
                <c:pt idx="23">
                  <c:v>1.1749274339626461E-2</c:v>
                </c:pt>
                <c:pt idx="24">
                  <c:v>0.11749274339626462</c:v>
                </c:pt>
                <c:pt idx="25">
                  <c:v>1.1749274339626461</c:v>
                </c:pt>
                <c:pt idx="26">
                  <c:v>11.749274339626462</c:v>
                </c:pt>
                <c:pt idx="27">
                  <c:v>117.49274339626461</c:v>
                </c:pt>
                <c:pt idx="28">
                  <c:v>1174.9274339626461</c:v>
                </c:pt>
                <c:pt idx="29">
                  <c:v>11749.274339626461</c:v>
                </c:pt>
                <c:pt idx="30">
                  <c:v>117492.74339626462</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1.2760786908108374E-22</c:v>
                </c:pt>
                <c:pt idx="1">
                  <c:v>1.2760786908108374E-21</c:v>
                </c:pt>
                <c:pt idx="2">
                  <c:v>1.2760786908108374E-20</c:v>
                </c:pt>
                <c:pt idx="3">
                  <c:v>1.2760786908108373E-19</c:v>
                </c:pt>
                <c:pt idx="4">
                  <c:v>1.2760786908108373E-18</c:v>
                </c:pt>
                <c:pt idx="5">
                  <c:v>1.2760786908108375E-17</c:v>
                </c:pt>
                <c:pt idx="6">
                  <c:v>1.2760786908108374E-16</c:v>
                </c:pt>
                <c:pt idx="7">
                  <c:v>1.2760786908108374E-15</c:v>
                </c:pt>
                <c:pt idx="8">
                  <c:v>1.2760786908108374E-14</c:v>
                </c:pt>
                <c:pt idx="9">
                  <c:v>1.2760786908108374E-13</c:v>
                </c:pt>
                <c:pt idx="10">
                  <c:v>1.2760786908108375E-12</c:v>
                </c:pt>
                <c:pt idx="11">
                  <c:v>1.2760786908108375E-11</c:v>
                </c:pt>
                <c:pt idx="12">
                  <c:v>1.2760786908108375E-10</c:v>
                </c:pt>
                <c:pt idx="13">
                  <c:v>1.2760786908108375E-9</c:v>
                </c:pt>
                <c:pt idx="14">
                  <c:v>1.2760786908108374E-8</c:v>
                </c:pt>
                <c:pt idx="15">
                  <c:v>1.2760786908108375E-7</c:v>
                </c:pt>
                <c:pt idx="16">
                  <c:v>1.2760786908108375E-6</c:v>
                </c:pt>
                <c:pt idx="17">
                  <c:v>1.2760786908108375E-5</c:v>
                </c:pt>
                <c:pt idx="18">
                  <c:v>1.2760786908108375E-4</c:v>
                </c:pt>
                <c:pt idx="19">
                  <c:v>1.2760786908108375E-3</c:v>
                </c:pt>
                <c:pt idx="20">
                  <c:v>1.2760786908108375E-2</c:v>
                </c:pt>
                <c:pt idx="21">
                  <c:v>0.12760786908108374</c:v>
                </c:pt>
                <c:pt idx="22">
                  <c:v>1.2760786908108375</c:v>
                </c:pt>
                <c:pt idx="23">
                  <c:v>12.760786908108374</c:v>
                </c:pt>
                <c:pt idx="24">
                  <c:v>127.60786908108375</c:v>
                </c:pt>
                <c:pt idx="25">
                  <c:v>1276.0786908108373</c:v>
                </c:pt>
                <c:pt idx="26">
                  <c:v>12760.786908108374</c:v>
                </c:pt>
                <c:pt idx="27">
                  <c:v>127607.86908108374</c:v>
                </c:pt>
                <c:pt idx="28">
                  <c:v>1276078.6908108373</c:v>
                </c:pt>
                <c:pt idx="29">
                  <c:v>12760786.908108374</c:v>
                </c:pt>
                <c:pt idx="30">
                  <c:v>127607869.08108374</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1.4246707401733272E-9</c:v>
                </c:pt>
                <c:pt idx="1">
                  <c:v>1.424670740173327E-8</c:v>
                </c:pt>
                <c:pt idx="2">
                  <c:v>1.4246707401733271E-7</c:v>
                </c:pt>
                <c:pt idx="3">
                  <c:v>1.4246707401733271E-6</c:v>
                </c:pt>
                <c:pt idx="4">
                  <c:v>1.4246707401733271E-5</c:v>
                </c:pt>
                <c:pt idx="5">
                  <c:v>1.4246707401733273E-4</c:v>
                </c:pt>
                <c:pt idx="6">
                  <c:v>1.4246707401733272E-3</c:v>
                </c:pt>
                <c:pt idx="7">
                  <c:v>1.4246707401733271E-2</c:v>
                </c:pt>
                <c:pt idx="8">
                  <c:v>0.14246707401733269</c:v>
                </c:pt>
                <c:pt idx="9">
                  <c:v>1.424670740173327</c:v>
                </c:pt>
                <c:pt idx="10">
                  <c:v>14.246707401733271</c:v>
                </c:pt>
                <c:pt idx="11">
                  <c:v>142.46707401733272</c:v>
                </c:pt>
                <c:pt idx="12">
                  <c:v>1424.6707401733272</c:v>
                </c:pt>
                <c:pt idx="13">
                  <c:v>14246.707401733271</c:v>
                </c:pt>
                <c:pt idx="14">
                  <c:v>142467.07401733272</c:v>
                </c:pt>
                <c:pt idx="15">
                  <c:v>1424670.740173327</c:v>
                </c:pt>
                <c:pt idx="16">
                  <c:v>14246707.401733272</c:v>
                </c:pt>
                <c:pt idx="17">
                  <c:v>142467074.0173327</c:v>
                </c:pt>
                <c:pt idx="18">
                  <c:v>1424670740.1733272</c:v>
                </c:pt>
                <c:pt idx="19">
                  <c:v>14246707401.733271</c:v>
                </c:pt>
                <c:pt idx="20">
                  <c:v>142467074017.3327</c:v>
                </c:pt>
                <c:pt idx="21">
                  <c:v>1424670740173.3271</c:v>
                </c:pt>
                <c:pt idx="22">
                  <c:v>14246707401733.271</c:v>
                </c:pt>
                <c:pt idx="23">
                  <c:v>142467074017332.72</c:v>
                </c:pt>
                <c:pt idx="24">
                  <c:v>1424670740173327</c:v>
                </c:pt>
                <c:pt idx="25">
                  <c:v>1.424670740173327E+16</c:v>
                </c:pt>
                <c:pt idx="26">
                  <c:v>1.424670740173327E+17</c:v>
                </c:pt>
                <c:pt idx="27">
                  <c:v>1.4246707401733271E+18</c:v>
                </c:pt>
                <c:pt idx="28">
                  <c:v>1.4246707401733272E+19</c:v>
                </c:pt>
                <c:pt idx="29">
                  <c:v>1.4246707401733271E+20</c:v>
                </c:pt>
                <c:pt idx="30">
                  <c:v>1.4246707401733272E+21</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96677280"/>
        <c:axId val="497148224"/>
      </c:scatterChart>
      <c:valAx>
        <c:axId val="4966772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8224"/>
        <c:crosses val="autoZero"/>
        <c:crossBetween val="midCat"/>
      </c:valAx>
      <c:valAx>
        <c:axId val="497148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667728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-44.148639789513958</c:v>
                </c:pt>
                <c:pt idx="1">
                  <c:v>-43.917097847056944</c:v>
                </c:pt>
                <c:pt idx="2">
                  <c:v>-43.685334153925872</c:v>
                </c:pt>
                <c:pt idx="3">
                  <c:v>-43.453126959446706</c:v>
                </c:pt>
                <c:pt idx="4">
                  <c:v>-43.220254512945388</c:v>
                </c:pt>
                <c:pt idx="5">
                  <c:v>-42.986495063747874</c:v>
                </c:pt>
                <c:pt idx="6">
                  <c:v>-42.751626861180107</c:v>
                </c:pt>
                <c:pt idx="7">
                  <c:v>-42.515428154568028</c:v>
                </c:pt>
                <c:pt idx="8">
                  <c:v>-42.277677193237615</c:v>
                </c:pt>
                <c:pt idx="9">
                  <c:v>-42.038152226514796</c:v>
                </c:pt>
                <c:pt idx="10">
                  <c:v>-41.796631503725521</c:v>
                </c:pt>
                <c:pt idx="11">
                  <c:v>-41.552893274195753</c:v>
                </c:pt>
                <c:pt idx="12">
                  <c:v>-41.306715787251427</c:v>
                </c:pt>
                <c:pt idx="13">
                  <c:v>-41.057877292218507</c:v>
                </c:pt>
                <c:pt idx="14">
                  <c:v>-40.806156038422927</c:v>
                </c:pt>
                <c:pt idx="15">
                  <c:v>-40.551330275190658</c:v>
                </c:pt>
                <c:pt idx="16">
                  <c:v>-40.293178251847628</c:v>
                </c:pt>
                <c:pt idx="17">
                  <c:v>-40.031478217719801</c:v>
                </c:pt>
                <c:pt idx="18">
                  <c:v>-39.766008422133119</c:v>
                </c:pt>
                <c:pt idx="19">
                  <c:v>-39.496547114413538</c:v>
                </c:pt>
                <c:pt idx="20">
                  <c:v>-39.222872543887007</c:v>
                </c:pt>
                <c:pt idx="21">
                  <c:v>-38.944762959879476</c:v>
                </c:pt>
                <c:pt idx="22">
                  <c:v>-38.661996611716887</c:v>
                </c:pt>
                <c:pt idx="23">
                  <c:v>-38.374351748725203</c:v>
                </c:pt>
                <c:pt idx="24">
                  <c:v>-38.08160662023036</c:v>
                </c:pt>
                <c:pt idx="25">
                  <c:v>-37.783539475558314</c:v>
                </c:pt>
                <c:pt idx="26">
                  <c:v>-37.479928564035021</c:v>
                </c:pt>
                <c:pt idx="27">
                  <c:v>-37.17055213498643</c:v>
                </c:pt>
                <c:pt idx="28">
                  <c:v>-36.855188437738477</c:v>
                </c:pt>
                <c:pt idx="29">
                  <c:v>-36.533615721617124</c:v>
                </c:pt>
                <c:pt idx="30">
                  <c:v>-36.20561223594833</c:v>
                </c:pt>
                <c:pt idx="31">
                  <c:v>-35.87095623005802</c:v>
                </c:pt>
                <c:pt idx="32">
                  <c:v>-35.529425953272167</c:v>
                </c:pt>
                <c:pt idx="33">
                  <c:v>-35.180799654916704</c:v>
                </c:pt>
                <c:pt idx="34">
                  <c:v>-34.824855584317589</c:v>
                </c:pt>
                <c:pt idx="35">
                  <c:v>-34.461371990800778</c:v>
                </c:pt>
                <c:pt idx="36">
                  <c:v>-34.090127123692206</c:v>
                </c:pt>
                <c:pt idx="37">
                  <c:v>-33.710899232317843</c:v>
                </c:pt>
                <c:pt idx="38">
                  <c:v>-33.32346656600361</c:v>
                </c:pt>
                <c:pt idx="39">
                  <c:v>-32.927607374075485</c:v>
                </c:pt>
                <c:pt idx="40">
                  <c:v>-32.523099905859404</c:v>
                </c:pt>
                <c:pt idx="41">
                  <c:v>-32.356991978104546</c:v>
                </c:pt>
                <c:pt idx="42">
                  <c:v>-32.182586978298787</c:v>
                </c:pt>
                <c:pt idx="43">
                  <c:v>-32.000457861353247</c:v>
                </c:pt>
                <c:pt idx="44">
                  <c:v>-31.811177582179031</c:v>
                </c:pt>
                <c:pt idx="45">
                  <c:v>-31.615319095687251</c:v>
                </c:pt>
                <c:pt idx="46">
                  <c:v>-31.413455356789008</c:v>
                </c:pt>
                <c:pt idx="47">
                  <c:v>-31.206159320395422</c:v>
                </c:pt>
                <c:pt idx="48">
                  <c:v>-30.994003941417592</c:v>
                </c:pt>
                <c:pt idx="49">
                  <c:v>-30.777562174766636</c:v>
                </c:pt>
                <c:pt idx="50">
                  <c:v>-30.557406975353658</c:v>
                </c:pt>
                <c:pt idx="51">
                  <c:v>-30.334111298089763</c:v>
                </c:pt>
                <c:pt idx="52">
                  <c:v>-30.108248097886069</c:v>
                </c:pt>
                <c:pt idx="53">
                  <c:v>-29.880390329653682</c:v>
                </c:pt>
                <c:pt idx="54">
                  <c:v>-29.651110948303703</c:v>
                </c:pt>
                <c:pt idx="55">
                  <c:v>-29.420982908747256</c:v>
                </c:pt>
                <c:pt idx="56">
                  <c:v>-29.190579165895443</c:v>
                </c:pt>
                <c:pt idx="57">
                  <c:v>-28.960472674659368</c:v>
                </c:pt>
                <c:pt idx="58">
                  <c:v>-28.731236389950148</c:v>
                </c:pt>
                <c:pt idx="59">
                  <c:v>-28.503443266678886</c:v>
                </c:pt>
                <c:pt idx="60">
                  <c:v>-28.277666259756696</c:v>
                </c:pt>
                <c:pt idx="61">
                  <c:v>-28.054478324094685</c:v>
                </c:pt>
                <c:pt idx="62">
                  <c:v>-27.834452414603959</c:v>
                </c:pt>
                <c:pt idx="63">
                  <c:v>-27.618161486195635</c:v>
                </c:pt>
                <c:pt idx="64">
                  <c:v>-27.406178493780814</c:v>
                </c:pt>
                <c:pt idx="65">
                  <c:v>-27.199076392270612</c:v>
                </c:pt>
                <c:pt idx="66">
                  <c:v>-26.997273316609995</c:v>
                </c:pt>
                <c:pt idx="67">
                  <c:v>-26.800568121879369</c:v>
                </c:pt>
                <c:pt idx="68">
                  <c:v>-26.608604843193017</c:v>
                </c:pt>
                <c:pt idx="69">
                  <c:v>-26.421027515665209</c:v>
                </c:pt>
                <c:pt idx="70">
                  <c:v>-26.237480174410216</c:v>
                </c:pt>
                <c:pt idx="71">
                  <c:v>-26.057606854542307</c:v>
                </c:pt>
                <c:pt idx="72">
                  <c:v>-25.881051591175762</c:v>
                </c:pt>
                <c:pt idx="73">
                  <c:v>-25.707458419424846</c:v>
                </c:pt>
                <c:pt idx="74">
                  <c:v>-25.536471374403831</c:v>
                </c:pt>
                <c:pt idx="75">
                  <c:v>-25.367734491227001</c:v>
                </c:pt>
                <c:pt idx="76">
                  <c:v>-25.200891805008617</c:v>
                </c:pt>
                <c:pt idx="77">
                  <c:v>-25.035587350862961</c:v>
                </c:pt>
                <c:pt idx="78">
                  <c:v>-24.87146516390429</c:v>
                </c:pt>
                <c:pt idx="79">
                  <c:v>-24.708169279246896</c:v>
                </c:pt>
                <c:pt idx="80">
                  <c:v>-24.545343732005037</c:v>
                </c:pt>
                <c:pt idx="81">
                  <c:v>-24.382632557292993</c:v>
                </c:pt>
                <c:pt idx="82">
                  <c:v>-24.21967979022503</c:v>
                </c:pt>
                <c:pt idx="83">
                  <c:v>-24.056129465915429</c:v>
                </c:pt>
                <c:pt idx="84">
                  <c:v>-23.891625619478457</c:v>
                </c:pt>
                <c:pt idx="85">
                  <c:v>-23.725812286028386</c:v>
                </c:pt>
                <c:pt idx="86">
                  <c:v>-23.558333500679495</c:v>
                </c:pt>
                <c:pt idx="87">
                  <c:v>-23.38883329854605</c:v>
                </c:pt>
                <c:pt idx="88">
                  <c:v>-23.216955714742323</c:v>
                </c:pt>
                <c:pt idx="89">
                  <c:v>-23.042344784382589</c:v>
                </c:pt>
                <c:pt idx="90">
                  <c:v>-22.864644542581125</c:v>
                </c:pt>
                <c:pt idx="91">
                  <c:v>-22.683556164532305</c:v>
                </c:pt>
                <c:pt idx="92">
                  <c:v>-22.499009385750988</c:v>
                </c:pt>
                <c:pt idx="93">
                  <c:v>-22.310991081832135</c:v>
                </c:pt>
                <c:pt idx="94">
                  <c:v>-22.119488128370705</c:v>
                </c:pt>
                <c:pt idx="95">
                  <c:v>-21.924487400961656</c:v>
                </c:pt>
                <c:pt idx="96">
                  <c:v>-21.725975775199956</c:v>
                </c:pt>
                <c:pt idx="97">
                  <c:v>-21.523940126680561</c:v>
                </c:pt>
                <c:pt idx="98">
                  <c:v>-21.318367330998434</c:v>
                </c:pt>
                <c:pt idx="99">
                  <c:v>-21.10924426374854</c:v>
                </c:pt>
                <c:pt idx="100">
                  <c:v>-20.896557800525834</c:v>
                </c:pt>
                <c:pt idx="101">
                  <c:v>-20.680294816925283</c:v>
                </c:pt>
                <c:pt idx="102">
                  <c:v>-20.460442188541847</c:v>
                </c:pt>
                <c:pt idx="103">
                  <c:v>-20.236986790970487</c:v>
                </c:pt>
                <c:pt idx="104">
                  <c:v>-20.009915499806166</c:v>
                </c:pt>
                <c:pt idx="105">
                  <c:v>-19.779215190643843</c:v>
                </c:pt>
                <c:pt idx="106">
                  <c:v>-19.544872739078478</c:v>
                </c:pt>
                <c:pt idx="107">
                  <c:v>-19.306875020705043</c:v>
                </c:pt>
                <c:pt idx="108">
                  <c:v>-19.065208911118489</c:v>
                </c:pt>
                <c:pt idx="109">
                  <c:v>-18.819861285913781</c:v>
                </c:pt>
                <c:pt idx="110">
                  <c:v>-18.570819020685875</c:v>
                </c:pt>
                <c:pt idx="111">
                  <c:v>-18.318068991029744</c:v>
                </c:pt>
                <c:pt idx="112">
                  <c:v>-18.061598072540338</c:v>
                </c:pt>
                <c:pt idx="113">
                  <c:v>-17.801393140812628</c:v>
                </c:pt>
                <c:pt idx="114">
                  <c:v>-17.537441071441567</c:v>
                </c:pt>
                <c:pt idx="115">
                  <c:v>-17.269728740022124</c:v>
                </c:pt>
                <c:pt idx="116">
                  <c:v>-16.998243022149257</c:v>
                </c:pt>
                <c:pt idx="117">
                  <c:v>-16.722970793417925</c:v>
                </c:pt>
                <c:pt idx="118">
                  <c:v>-16.443898929423096</c:v>
                </c:pt>
                <c:pt idx="119">
                  <c:v>-16.161014305759728</c:v>
                </c:pt>
                <c:pt idx="120">
                  <c:v>-15.87430379802278</c:v>
                </c:pt>
                <c:pt idx="121">
                  <c:v>-15.58376745350866</c:v>
                </c:pt>
                <c:pt idx="122">
                  <c:v>-15.289458006319544</c:v>
                </c:pt>
                <c:pt idx="123">
                  <c:v>-14.991441362259053</c:v>
                </c:pt>
                <c:pt idx="124">
                  <c:v>-14.6897834271308</c:v>
                </c:pt>
                <c:pt idx="125">
                  <c:v>-14.384550106738409</c:v>
                </c:pt>
                <c:pt idx="126">
                  <c:v>-14.075807306885499</c:v>
                </c:pt>
                <c:pt idx="127">
                  <c:v>-13.763620933375691</c:v>
                </c:pt>
                <c:pt idx="128">
                  <c:v>-13.4480568920126</c:v>
                </c:pt>
                <c:pt idx="129">
                  <c:v>-13.129181088599854</c:v>
                </c:pt>
                <c:pt idx="130">
                  <c:v>-12.807059428941061</c:v>
                </c:pt>
                <c:pt idx="131">
                  <c:v>-12.481757818839847</c:v>
                </c:pt>
                <c:pt idx="132">
                  <c:v>-12.153342164099831</c:v>
                </c:pt>
                <c:pt idx="133">
                  <c:v>-11.821878370524631</c:v>
                </c:pt>
                <c:pt idx="134">
                  <c:v>-11.48743234391787</c:v>
                </c:pt>
                <c:pt idx="135">
                  <c:v>-11.150069990083162</c:v>
                </c:pt>
                <c:pt idx="136">
                  <c:v>-10.809857214824131</c:v>
                </c:pt>
                <c:pt idx="137">
                  <c:v>-10.466859923944391</c:v>
                </c:pt>
                <c:pt idx="138">
                  <c:v>-10.121144023247567</c:v>
                </c:pt>
                <c:pt idx="139">
                  <c:v>-9.7727754185372753</c:v>
                </c:pt>
                <c:pt idx="140">
                  <c:v>-9.4218200156171381</c:v>
                </c:pt>
                <c:pt idx="141">
                  <c:v>-9.0683437202907697</c:v>
                </c:pt>
                <c:pt idx="142">
                  <c:v>-8.7124124383617954</c:v>
                </c:pt>
                <c:pt idx="143">
                  <c:v>-8.3540920756338295</c:v>
                </c:pt>
                <c:pt idx="144">
                  <c:v>-7.9934485379104965</c:v>
                </c:pt>
                <c:pt idx="145">
                  <c:v>-7.6305477309954108</c:v>
                </c:pt>
                <c:pt idx="146">
                  <c:v>-7.265455560692196</c:v>
                </c:pt>
                <c:pt idx="147">
                  <c:v>-6.8982379328044683</c:v>
                </c:pt>
                <c:pt idx="148">
                  <c:v>-6.5289607531358476</c:v>
                </c:pt>
                <c:pt idx="149">
                  <c:v>-6.1576899274899555</c:v>
                </c:pt>
                <c:pt idx="150">
                  <c:v>-5.7844913616704092</c:v>
                </c:pt>
                <c:pt idx="151">
                  <c:v>-5.4094309614808296</c:v>
                </c:pt>
                <c:pt idx="152">
                  <c:v>-5.0325746327248346</c:v>
                </c:pt>
                <c:pt idx="153">
                  <c:v>-4.6539882812060442</c:v>
                </c:pt>
                <c:pt idx="154">
                  <c:v>-4.2737378127280792</c:v>
                </c:pt>
                <c:pt idx="155">
                  <c:v>-3.8918891330945571</c:v>
                </c:pt>
                <c:pt idx="156">
                  <c:v>-3.5085081481090983</c:v>
                </c:pt>
                <c:pt idx="157">
                  <c:v>-3.1236607635753209</c:v>
                </c:pt>
                <c:pt idx="158">
                  <c:v>-2.737412885296846</c:v>
                </c:pt>
                <c:pt idx="159">
                  <c:v>-2.3498304190772923</c:v>
                </c:pt>
                <c:pt idx="160">
                  <c:v>-1.9609792707202791</c:v>
                </c:pt>
                <c:pt idx="161">
                  <c:v>-1.5709253460294257</c:v>
                </c:pt>
                <c:pt idx="162">
                  <c:v>-1.1797345508083517</c:v>
                </c:pt>
                <c:pt idx="163">
                  <c:v>-0.78747279086067645</c:v>
                </c:pt>
                <c:pt idx="164">
                  <c:v>-0.39420597199001944</c:v>
                </c:pt>
                <c:pt idx="165">
                  <c:v>0</c:v>
                </c:pt>
                <c:pt idx="166">
                  <c:v>0.39508604528581448</c:v>
                </c:pt>
                <c:pt idx="167">
                  <c:v>0.79102038796406515</c:v>
                </c:pt>
                <c:pt idx="168">
                  <c:v>1.1877780781114449</c:v>
                </c:pt>
                <c:pt idx="169">
                  <c:v>1.5853341658046469</c:v>
                </c:pt>
                <c:pt idx="170">
                  <c:v>1.9836637011203642</c:v>
                </c:pt>
                <c:pt idx="171">
                  <c:v>2.3827417341352897</c:v>
                </c:pt>
                <c:pt idx="172">
                  <c:v>2.7825433149261167</c:v>
                </c:pt>
                <c:pt idx="173">
                  <c:v>3.1830434935695378</c:v>
                </c:pt>
                <c:pt idx="174">
                  <c:v>3.5842173201422467</c:v>
                </c:pt>
                <c:pt idx="175">
                  <c:v>3.9860398447209362</c:v>
                </c:pt>
                <c:pt idx="176">
                  <c:v>4.3884861173822989</c:v>
                </c:pt>
                <c:pt idx="177">
                  <c:v>4.7915311882030283</c:v>
                </c:pt>
                <c:pt idx="178">
                  <c:v>5.1951501072598179</c:v>
                </c:pt>
                <c:pt idx="179">
                  <c:v>5.5993179246293598</c:v>
                </c:pt>
                <c:pt idx="180">
                  <c:v>6.0040096903883473</c:v>
                </c:pt>
                <c:pt idx="181">
                  <c:v>6.4092004546134742</c:v>
                </c:pt>
                <c:pt idx="182">
                  <c:v>6.8148652673814336</c:v>
                </c:pt>
                <c:pt idx="183">
                  <c:v>7.2209791787689168</c:v>
                </c:pt>
                <c:pt idx="184">
                  <c:v>7.6275172388526187</c:v>
                </c:pt>
                <c:pt idx="185">
                  <c:v>8.0344544977092323</c:v>
                </c:pt>
                <c:pt idx="186">
                  <c:v>8.4417660054154471</c:v>
                </c:pt>
                <c:pt idx="187">
                  <c:v>8.8494268120479624</c:v>
                </c:pt>
                <c:pt idx="188">
                  <c:v>9.257411967683467</c:v>
                </c:pt>
                <c:pt idx="189">
                  <c:v>9.6656965223986546</c:v>
                </c:pt>
                <c:pt idx="190">
                  <c:v>10.074255526270219</c:v>
                </c:pt>
                <c:pt idx="191">
                  <c:v>10.483064029374852</c:v>
                </c:pt>
                <c:pt idx="192">
                  <c:v>10.892097081789249</c:v>
                </c:pt>
                <c:pt idx="193">
                  <c:v>11.3013297335901</c:v>
                </c:pt>
                <c:pt idx="194">
                  <c:v>11.7107370348541</c:v>
                </c:pt>
                <c:pt idx="195">
                  <c:v>12.120294035657942</c:v>
                </c:pt>
                <c:pt idx="196">
                  <c:v>12.529975786078319</c:v>
                </c:pt>
                <c:pt idx="197">
                  <c:v>12.939757336191922</c:v>
                </c:pt>
                <c:pt idx="198">
                  <c:v>13.349613736075449</c:v>
                </c:pt>
                <c:pt idx="199">
                  <c:v>13.759520035805588</c:v>
                </c:pt>
                <c:pt idx="200">
                  <c:v>14.169451285459033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-44.148639789513958</c:v>
                </c:pt>
                <c:pt idx="1">
                  <c:v>-32.523099905859404</c:v>
                </c:pt>
                <c:pt idx="2">
                  <c:v>-27.199076392270609</c:v>
                </c:pt>
                <c:pt idx="3">
                  <c:v>-22.864644542581122</c:v>
                </c:pt>
                <c:pt idx="4">
                  <c:v>-15.874303798022783</c:v>
                </c:pt>
                <c:pt idx="5">
                  <c:v>0</c:v>
                </c:pt>
                <c:pt idx="6">
                  <c:v>14.169451285459033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-43.966081861101486</c:v>
                </c:pt>
                <c:pt idx="1">
                  <c:v>-43.805917206378865</c:v>
                </c:pt>
                <c:pt idx="2">
                  <c:v>-43.634887751049007</c:v>
                </c:pt>
                <c:pt idx="3">
                  <c:v>-43.453274130571856</c:v>
                </c:pt>
                <c:pt idx="4">
                  <c:v>-43.261388286873284</c:v>
                </c:pt>
                <c:pt idx="5">
                  <c:v>-43.059570209211643</c:v>
                </c:pt>
                <c:pt idx="6">
                  <c:v>-42.848184819185633</c:v>
                </c:pt>
                <c:pt idx="7">
                  <c:v>-42.627618996489616</c:v>
                </c:pt>
                <c:pt idx="8">
                  <c:v>-42.398278742039281</c:v>
                </c:pt>
                <c:pt idx="9">
                  <c:v>-42.160586475138302</c:v>
                </c:pt>
                <c:pt idx="10">
                  <c:v>-41.91497846139265</c:v>
                </c:pt>
                <c:pt idx="11">
                  <c:v>-41.661902368098481</c:v>
                </c:pt>
                <c:pt idx="12">
                  <c:v>-41.40181494389202</c:v>
                </c:pt>
                <c:pt idx="13">
                  <c:v>-41.13517981945941</c:v>
                </c:pt>
                <c:pt idx="14">
                  <c:v>-40.862465426155183</c:v>
                </c:pt>
                <c:pt idx="15">
                  <c:v>-40.584143029409546</c:v>
                </c:pt>
                <c:pt idx="16">
                  <c:v>-40.300684873839344</c:v>
                </c:pt>
                <c:pt idx="17">
                  <c:v>-40.012562437012775</c:v>
                </c:pt>
                <c:pt idx="18">
                  <c:v>-39.720244788856803</c:v>
                </c:pt>
                <c:pt idx="19">
                  <c:v>-39.424197053725436</c:v>
                </c:pt>
                <c:pt idx="20">
                  <c:v>-39.12487897219134</c:v>
                </c:pt>
                <c:pt idx="21">
                  <c:v>-38.822743559648643</c:v>
                </c:pt>
                <c:pt idx="22">
                  <c:v>-38.518235858859754</c:v>
                </c:pt>
                <c:pt idx="23">
                  <c:v>-38.211791783606287</c:v>
                </c:pt>
                <c:pt idx="24">
                  <c:v>-37.903837050647553</c:v>
                </c:pt>
                <c:pt idx="25">
                  <c:v>-37.594786197218468</c:v>
                </c:pt>
                <c:pt idx="26">
                  <c:v>-37.285041681338527</c:v>
                </c:pt>
                <c:pt idx="27">
                  <c:v>-36.974993062238497</c:v>
                </c:pt>
                <c:pt idx="28">
                  <c:v>-36.66501625824516</c:v>
                </c:pt>
                <c:pt idx="29">
                  <c:v>-36.355472879501747</c:v>
                </c:pt>
                <c:pt idx="30">
                  <c:v>-36.046709632936313</c:v>
                </c:pt>
                <c:pt idx="31">
                  <c:v>-35.739057796926758</c:v>
                </c:pt>
                <c:pt idx="32">
                  <c:v>-35.432832763144518</c:v>
                </c:pt>
                <c:pt idx="33">
                  <c:v>-35.12833364309769</c:v>
                </c:pt>
                <c:pt idx="34">
                  <c:v>-34.825842936926648</c:v>
                </c:pt>
                <c:pt idx="35">
                  <c:v>-34.52562626204309</c:v>
                </c:pt>
                <c:pt idx="36">
                  <c:v>-34.227932139237467</c:v>
                </c:pt>
                <c:pt idx="37">
                  <c:v>-33.932991833916375</c:v>
                </c:pt>
                <c:pt idx="38">
                  <c:v>-33.641019250165591</c:v>
                </c:pt>
                <c:pt idx="39">
                  <c:v>-33.352210875371483</c:v>
                </c:pt>
                <c:pt idx="40">
                  <c:v>-33.066745773168371</c:v>
                </c:pt>
                <c:pt idx="41">
                  <c:v>-32.784785622514029</c:v>
                </c:pt>
                <c:pt idx="42">
                  <c:v>-32.506474800732342</c:v>
                </c:pt>
                <c:pt idx="43">
                  <c:v>-32.23194050839804</c:v>
                </c:pt>
                <c:pt idx="44">
                  <c:v>-31.961292933971038</c:v>
                </c:pt>
                <c:pt idx="45">
                  <c:v>-31.694625456126985</c:v>
                </c:pt>
                <c:pt idx="46">
                  <c:v>-31.432014881764388</c:v>
                </c:pt>
                <c:pt idx="47">
                  <c:v>-31.173521717703515</c:v>
                </c:pt>
                <c:pt idx="48">
                  <c:v>-30.919190474129191</c:v>
                </c:pt>
                <c:pt idx="49">
                  <c:v>-30.669049997864672</c:v>
                </c:pt>
                <c:pt idx="50">
                  <c:v>-30.423113833598734</c:v>
                </c:pt>
                <c:pt idx="51">
                  <c:v>-30.18138061122399</c:v>
                </c:pt>
                <c:pt idx="52">
                  <c:v>-29.943834457480271</c:v>
                </c:pt>
                <c:pt idx="53">
                  <c:v>-29.710445430132022</c:v>
                </c:pt>
                <c:pt idx="54">
                  <c:v>-29.481169972943938</c:v>
                </c:pt>
                <c:pt idx="55">
                  <c:v>-29.25595138975531</c:v>
                </c:pt>
                <c:pt idx="56">
                  <c:v>-29.034720335988204</c:v>
                </c:pt>
                <c:pt idx="57">
                  <c:v>-28.817395325960906</c:v>
                </c:pt>
                <c:pt idx="58">
                  <c:v>-28.603883254412878</c:v>
                </c:pt>
                <c:pt idx="59">
                  <c:v>-28.394079930683269</c:v>
                </c:pt>
                <c:pt idx="60">
                  <c:v>-28.187870624020722</c:v>
                </c:pt>
                <c:pt idx="61">
                  <c:v>-27.985130618537433</c:v>
                </c:pt>
                <c:pt idx="62">
                  <c:v>-27.785725776355761</c:v>
                </c:pt>
                <c:pt idx="63">
                  <c:v>-27.589513107531864</c:v>
                </c:pt>
                <c:pt idx="64">
                  <c:v>-27.396341345375511</c:v>
                </c:pt>
                <c:pt idx="65">
                  <c:v>-27.206051525821401</c:v>
                </c:pt>
                <c:pt idx="66">
                  <c:v>-27.018477569542327</c:v>
                </c:pt>
                <c:pt idx="67">
                  <c:v>-26.833446865530302</c:v>
                </c:pt>
                <c:pt idx="68">
                  <c:v>-26.650780854907364</c:v>
                </c:pt>
                <c:pt idx="69">
                  <c:v>-26.47029561376273</c:v>
                </c:pt>
                <c:pt idx="70">
                  <c:v>-26.29180243384927</c:v>
                </c:pt>
                <c:pt idx="71">
                  <c:v>-26.115108400007031</c:v>
                </c:pt>
                <c:pt idx="72">
                  <c:v>-25.940016963217513</c:v>
                </c:pt>
                <c:pt idx="73">
                  <c:v>-25.766328508227836</c:v>
                </c:pt>
                <c:pt idx="74">
                  <c:v>-25.593840914719056</c:v>
                </c:pt>
                <c:pt idx="75">
                  <c:v>-25.422350111029015</c:v>
                </c:pt>
                <c:pt idx="76">
                  <c:v>-25.251650619475143</c:v>
                </c:pt>
                <c:pt idx="77">
                  <c:v>-25.081536092358174</c:v>
                </c:pt>
                <c:pt idx="78">
                  <c:v>-24.911799837763468</c:v>
                </c:pt>
                <c:pt idx="79">
                  <c:v>-24.742235334312092</c:v>
                </c:pt>
                <c:pt idx="80">
                  <c:v>-24.572636734048913</c:v>
                </c:pt>
                <c:pt idx="81">
                  <c:v>-24.402799352690998</c:v>
                </c:pt>
                <c:pt idx="82">
                  <c:v>-24.232520146494981</c:v>
                </c:pt>
                <c:pt idx="83">
                  <c:v>-24.061598175037069</c:v>
                </c:pt>
                <c:pt idx="84">
                  <c:v>-23.88983504923576</c:v>
                </c:pt>
                <c:pt idx="85">
                  <c:v>-23.717035363981896</c:v>
                </c:pt>
                <c:pt idx="86">
                  <c:v>-23.54300711477692</c:v>
                </c:pt>
                <c:pt idx="87">
                  <c:v>-23.367562097815259</c:v>
                </c:pt>
                <c:pt idx="88">
                  <c:v>-23.190516292982469</c:v>
                </c:pt>
                <c:pt idx="89">
                  <c:v>-23.011690229276152</c:v>
                </c:pt>
                <c:pt idx="90">
                  <c:v>-22.830909332192302</c:v>
                </c:pt>
                <c:pt idx="91">
                  <c:v>-22.648004252655127</c:v>
                </c:pt>
                <c:pt idx="92">
                  <c:v>-22.462811177103866</c:v>
                </c:pt>
                <c:pt idx="93">
                  <c:v>-22.27517211838574</c:v>
                </c:pt>
                <c:pt idx="94">
                  <c:v>-22.084935187139664</c:v>
                </c:pt>
                <c:pt idx="95">
                  <c:v>-21.891954843390629</c:v>
                </c:pt>
                <c:pt idx="96">
                  <c:v>-21.69609212811055</c:v>
                </c:pt>
                <c:pt idx="97">
                  <c:v>-21.49721487453651</c:v>
                </c:pt>
                <c:pt idx="98">
                  <c:v>-21.295197899073045</c:v>
                </c:pt>
                <c:pt idx="99">
                  <c:v>-21.08992317164056</c:v>
                </c:pt>
                <c:pt idx="100">
                  <c:v>-20.881279965367437</c:v>
                </c:pt>
                <c:pt idx="101">
                  <c:v>-20.669164985558922</c:v>
                </c:pt>
                <c:pt idx="102">
                  <c:v>-20.453482477911457</c:v>
                </c:pt>
                <c:pt idx="103">
                  <c:v>-20.23414431597638</c:v>
                </c:pt>
                <c:pt idx="104">
                  <c:v>-20.011070067912822</c:v>
                </c:pt>
                <c:pt idx="105">
                  <c:v>-19.78418704260465</c:v>
                </c:pt>
                <c:pt idx="106">
                  <c:v>-19.553430315252236</c:v>
                </c:pt>
                <c:pt idx="107">
                  <c:v>-19.318742732585036</c:v>
                </c:pt>
                <c:pt idx="108">
                  <c:v>-19.080074897876649</c:v>
                </c:pt>
                <c:pt idx="109">
                  <c:v>-18.837385135979378</c:v>
                </c:pt>
                <c:pt idx="110">
                  <c:v>-18.590639438630991</c:v>
                </c:pt>
                <c:pt idx="111">
                  <c:v>-18.339811390321692</c:v>
                </c:pt>
                <c:pt idx="112">
                  <c:v>-18.084882075044938</c:v>
                </c:pt>
                <c:pt idx="113">
                  <c:v>-17.825839964291223</c:v>
                </c:pt>
                <c:pt idx="114">
                  <c:v>-17.562680786679415</c:v>
                </c:pt>
                <c:pt idx="115">
                  <c:v>-17.295407379655742</c:v>
                </c:pt>
                <c:pt idx="116">
                  <c:v>-17.024029523726071</c:v>
                </c:pt>
                <c:pt idx="117">
                  <c:v>-16.748563759722511</c:v>
                </c:pt>
                <c:pt idx="118">
                  <c:v>-16.469033189641088</c:v>
                </c:pt>
                <c:pt idx="119">
                  <c:v>-16.185467261622424</c:v>
                </c:pt>
                <c:pt idx="120">
                  <c:v>-15.897901539683179</c:v>
                </c:pt>
                <c:pt idx="121">
                  <c:v>-15.606377458841303</c:v>
                </c:pt>
                <c:pt idx="122">
                  <c:v>-15.310942066313725</c:v>
                </c:pt>
                <c:pt idx="123">
                  <c:v>-15.011647749500565</c:v>
                </c:pt>
                <c:pt idx="124">
                  <c:v>-14.708551951505559</c:v>
                </c:pt>
                <c:pt idx="125">
                  <c:v>-14.401716874977742</c:v>
                </c:pt>
                <c:pt idx="126">
                  <c:v>-14.091209175095036</c:v>
                </c:pt>
                <c:pt idx="127">
                  <c:v>-13.77709964254587</c:v>
                </c:pt>
                <c:pt idx="128">
                  <c:v>-13.459462877400441</c:v>
                </c:pt>
                <c:pt idx="129">
                  <c:v>-13.138376954798741</c:v>
                </c:pt>
                <c:pt idx="130">
                  <c:v>-12.813923083418006</c:v>
                </c:pt>
                <c:pt idx="131">
                  <c:v>-12.486185257717638</c:v>
                </c:pt>
                <c:pt idx="132">
                  <c:v>-12.155249904995307</c:v>
                </c:pt>
                <c:pt idx="133">
                  <c:v>-11.821205528323315</c:v>
                </c:pt>
                <c:pt idx="134">
                  <c:v>-11.484142346469858</c:v>
                </c:pt>
                <c:pt idx="135">
                  <c:v>-11.144151931945331</c:v>
                </c:pt>
                <c:pt idx="136">
                  <c:v>-10.801326848349294</c:v>
                </c:pt>
                <c:pt idx="137">
                  <c:v>-10.455760288229222</c:v>
                </c:pt>
                <c:pt idx="138">
                  <c:v>-10.107545712697695</c:v>
                </c:pt>
                <c:pt idx="139">
                  <c:v>-9.7567764940901789</c:v>
                </c:pt>
                <c:pt idx="140">
                  <c:v>-9.4035455629809466</c:v>
                </c:pt>
                <c:pt idx="141">
                  <c:v>-9.0479450609104095</c:v>
                </c:pt>
                <c:pt idx="142">
                  <c:v>-8.6900660002123704</c:v>
                </c:pt>
                <c:pt idx="143">
                  <c:v>-8.3299979323654441</c:v>
                </c:pt>
                <c:pt idx="144">
                  <c:v>-7.967828626328191</c:v>
                </c:pt>
                <c:pt idx="145">
                  <c:v>-7.6036437583531891</c:v>
                </c:pt>
                <c:pt idx="146">
                  <c:v>-7.2375266148106379</c:v>
                </c:pt>
                <c:pt idx="147">
                  <c:v>-6.8695578095876533</c:v>
                </c:pt>
                <c:pt idx="148">
                  <c:v>-6.4998150176649041</c:v>
                </c:pt>
                <c:pt idx="149">
                  <c:v>-6.1283727265077328</c:v>
                </c:pt>
                <c:pt idx="150">
                  <c:v>-5.7553020069444045</c:v>
                </c:pt>
                <c:pt idx="151">
                  <c:v>-5.3806703052396534</c:v>
                </c:pt>
                <c:pt idx="152">
                  <c:v>-5.0045412581071487</c:v>
                </c:pt>
                <c:pt idx="153">
                  <c:v>-4.6269745324400562</c:v>
                </c:pt>
                <c:pt idx="154">
                  <c:v>-4.248025691574342</c:v>
                </c:pt>
                <c:pt idx="155">
                  <c:v>-3.8677460899349669</c:v>
                </c:pt>
                <c:pt idx="156">
                  <c:v>-3.4861827979506388</c:v>
                </c:pt>
                <c:pt idx="157">
                  <c:v>-3.1033785591582652</c:v>
                </c:pt>
                <c:pt idx="158">
                  <c:v>-2.7193717814537841</c:v>
                </c:pt>
                <c:pt idx="159">
                  <c:v>-2.3341965644815166</c:v>
                </c:pt>
                <c:pt idx="160">
                  <c:v>-1.9478827651897093</c:v>
                </c:pt>
                <c:pt idx="161">
                  <c:v>-1.560456103615423</c:v>
                </c:pt>
                <c:pt idx="162">
                  <c:v>-1.1719383109974466</c:v>
                </c:pt>
                <c:pt idx="163">
                  <c:v>-0.78234732235137705</c:v>
                </c:pt>
                <c:pt idx="164">
                  <c:v>-0.39169751567655381</c:v>
                </c:pt>
                <c:pt idx="165">
                  <c:v>0</c:v>
                </c:pt>
                <c:pt idx="166">
                  <c:v>0.39273704550195404</c:v>
                </c:pt>
                <c:pt idx="167">
                  <c:v>0.78650797902819791</c:v>
                </c:pt>
                <c:pt idx="168">
                  <c:v>1.1813092480118474</c:v>
                </c:pt>
                <c:pt idx="169">
                  <c:v>1.5771388829665567</c:v>
                </c:pt>
                <c:pt idx="170">
                  <c:v>1.9739959309374675</c:v>
                </c:pt>
                <c:pt idx="171">
                  <c:v>2.3718798261386147</c:v>
                </c:pt>
                <c:pt idx="172">
                  <c:v>2.7707896953231153</c:v>
                </c:pt>
                <c:pt idx="173">
                  <c:v>3.1707235953969657</c:v>
                </c:pt>
                <c:pt idx="174">
                  <c:v>3.5716776807517694</c:v>
                </c:pt>
                <c:pt idx="175">
                  <c:v>3.9736452977562071</c:v>
                </c:pt>
                <c:pt idx="176">
                  <c:v>4.3766160038105815</c:v>
                </c:pt>
                <c:pt idx="177">
                  <c:v>4.7805745083332409</c:v>
                </c:pt>
                <c:pt idx="178">
                  <c:v>5.1854995330122202</c:v>
                </c:pt>
                <c:pt idx="179">
                  <c:v>5.5913625886198899</c:v>
                </c:pt>
                <c:pt idx="180">
                  <c:v>5.9981266656529257</c:v>
                </c:pt>
                <c:pt idx="181">
                  <c:v>6.4057448360244571</c:v>
                </c:pt>
                <c:pt idx="182">
                  <c:v>6.8141587629996483</c:v>
                </c:pt>
                <c:pt idx="183">
                  <c:v>7.2232971165305591</c:v>
                </c:pt>
                <c:pt idx="184">
                  <c:v>7.6330738911105742</c:v>
                </c:pt>
                <c:pt idx="185">
                  <c:v>8.0433866232332338</c:v>
                </c:pt>
                <c:pt idx="186">
                  <c:v>8.454114505504748</c:v>
                </c:pt>
                <c:pt idx="187">
                  <c:v>8.8651163944240174</c:v>
                </c:pt>
                <c:pt idx="188">
                  <c:v>9.2762287088084516</c:v>
                </c:pt>
                <c:pt idx="189">
                  <c:v>9.6872632158083913</c:v>
                </c:pt>
                <c:pt idx="190">
                  <c:v>10.098004701417461</c:v>
                </c:pt>
                <c:pt idx="191">
                  <c:v>10.5082085223506</c:v>
                </c:pt>
                <c:pt idx="192">
                  <c:v>10.917598036126149</c:v>
                </c:pt>
                <c:pt idx="193">
                  <c:v>11.325861906152685</c:v>
                </c:pt>
                <c:pt idx="194">
                  <c:v>11.732651278586015</c:v>
                </c:pt>
                <c:pt idx="195">
                  <c:v>12.137576827686058</c:v>
                </c:pt>
                <c:pt idx="196">
                  <c:v>12.540205666367894</c:v>
                </c:pt>
                <c:pt idx="197">
                  <c:v>12.940058118605847</c:v>
                </c:pt>
                <c:pt idx="198">
                  <c:v>13.336604350313822</c:v>
                </c:pt>
                <c:pt idx="199">
                  <c:v>13.729260855289715</c:v>
                </c:pt>
                <c:pt idx="200">
                  <c:v>14.117386792776214</c:v>
                </c:pt>
              </c:numCache>
            </c:numRef>
          </c:yVal>
          <c:smooth val="1"/>
        </c:ser>
        <c:dLbls>
          <c:showLegendKey val="0"/>
          <c:showVal val="0"/>
          <c:showCatName val="0"/>
          <c:showSerName val="0"/>
          <c:showPercent val="0"/>
          <c:showBubbleSize val="0"/>
        </c:dLbls>
        <c:axId val="497144696"/>
        <c:axId val="497145088"/>
      </c:scatterChart>
      <c:valAx>
        <c:axId val="49714469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5088"/>
        <c:crossesAt val="-1000"/>
        <c:crossBetween val="midCat"/>
      </c:valAx>
      <c:valAx>
        <c:axId val="497145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14469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0.39221841834373827</v>
      </c>
      <c r="D59" s="55">
        <v>1</v>
      </c>
    </row>
    <row r="60" spans="1:4" s="11" customFormat="1" x14ac:dyDescent="0.25">
      <c r="A60" s="54">
        <v>2</v>
      </c>
      <c r="B60" s="56">
        <f>'Shiftfunktion bestimmen'!N2</f>
        <v>5.1965887951144966E-4</v>
      </c>
      <c r="D60" s="55">
        <v>2</v>
      </c>
    </row>
    <row r="61" spans="1:4" s="11" customFormat="1" x14ac:dyDescent="0.25">
      <c r="A61" s="54">
        <v>3</v>
      </c>
      <c r="B61" s="56">
        <f>'Shiftfunktion bestimmen'!N3</f>
        <v>-1.1342579241560348E-6</v>
      </c>
      <c r="D61" s="55">
        <v>3</v>
      </c>
    </row>
    <row r="62" spans="1:4" s="11" customFormat="1" x14ac:dyDescent="0.25">
      <c r="A62" s="54">
        <v>4</v>
      </c>
      <c r="B62" s="56">
        <f>'Shiftfunktion bestimmen'!N4</f>
        <v>1.0611049046546597E-7</v>
      </c>
      <c r="D62" s="55">
        <v>4</v>
      </c>
    </row>
    <row r="63" spans="1:4" s="11" customFormat="1" x14ac:dyDescent="0.25">
      <c r="A63" s="54">
        <v>5</v>
      </c>
      <c r="B63" s="56">
        <f>'Shiftfunktion bestimmen'!N5</f>
        <v>-3.496097996826968E-9</v>
      </c>
      <c r="D63" s="55">
        <v>5</v>
      </c>
    </row>
    <row r="64" spans="1:4" s="11" customFormat="1" x14ac:dyDescent="0.25">
      <c r="A64" s="54">
        <v>6</v>
      </c>
      <c r="B64" s="56">
        <f>'Shiftfunktion bestimmen'!N6</f>
        <v>-7.7300896494968135E-11</v>
      </c>
      <c r="D64" s="55">
        <v>6</v>
      </c>
    </row>
    <row r="65" spans="1:5" s="11" customFormat="1" x14ac:dyDescent="0.25">
      <c r="A65" s="54">
        <v>7</v>
      </c>
      <c r="B65" s="56">
        <f>'Shiftfunktion bestimmen'!N7</f>
        <v>-4.6218679567194521E-13</v>
      </c>
      <c r="D65" s="55">
        <v>7</v>
      </c>
    </row>
    <row r="66" spans="1:5" x14ac:dyDescent="0.25">
      <c r="A66" s="54">
        <v>8</v>
      </c>
      <c r="B66" s="56">
        <f>'Shiftfunktion bestimmen'!N8</f>
        <v>-8.804868497760777E-16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0.19143202464260001</v>
      </c>
      <c r="D74" s="51">
        <v>1</v>
      </c>
      <c r="E74" s="56">
        <f>'Mastercurve bestimmen'!A18</f>
        <v>1.0000000000000001E-20</v>
      </c>
    </row>
    <row r="75" spans="1:5" x14ac:dyDescent="0.25">
      <c r="A75" s="50">
        <f>A74+1</f>
        <v>2</v>
      </c>
      <c r="B75" s="56">
        <f>'Mastercurve bestimmen'!C19</f>
        <v>5.4135576469364788E-2</v>
      </c>
      <c r="D75" s="51">
        <v>2</v>
      </c>
      <c r="E75" s="56">
        <f>'Mastercurve bestimmen'!A19</f>
        <v>3.9038946506297401E-14</v>
      </c>
    </row>
    <row r="76" spans="1:5" x14ac:dyDescent="0.25">
      <c r="A76" s="50">
        <f t="shared" ref="A76:A104" si="0">A75+1</f>
        <v>3</v>
      </c>
      <c r="B76" s="56">
        <f>'Mastercurve bestimmen'!C20</f>
        <v>2.1015020588822823E-2</v>
      </c>
      <c r="D76" s="51">
        <v>3</v>
      </c>
      <c r="E76" s="56">
        <f>'Mastercurve bestimmen'!A20</f>
        <v>4.3276437088188502E-13</v>
      </c>
    </row>
    <row r="77" spans="1:5" x14ac:dyDescent="0.25">
      <c r="A77" s="50">
        <f t="shared" si="0"/>
        <v>4</v>
      </c>
      <c r="B77" s="56">
        <f>'Mastercurve bestimmen'!C21</f>
        <v>4.0498121245543535E-2</v>
      </c>
      <c r="D77" s="51">
        <v>4</v>
      </c>
      <c r="E77" s="56">
        <f>'Mastercurve bestimmen'!A21</f>
        <v>4.7973886968128502E-12</v>
      </c>
    </row>
    <row r="78" spans="1:5" x14ac:dyDescent="0.25">
      <c r="A78" s="50">
        <f t="shared" si="0"/>
        <v>5</v>
      </c>
      <c r="B78" s="56">
        <f>'Mastercurve bestimmen'!C22</f>
        <v>3.8180364153293539E-2</v>
      </c>
      <c r="D78" s="51">
        <v>5</v>
      </c>
      <c r="E78" s="56">
        <f>'Mastercurve bestimmen'!A22</f>
        <v>5.31812225239524E-11</v>
      </c>
    </row>
    <row r="79" spans="1:5" x14ac:dyDescent="0.25">
      <c r="A79" s="50">
        <f t="shared" si="0"/>
        <v>6</v>
      </c>
      <c r="B79" s="56">
        <f>'Mastercurve bestimmen'!C23</f>
        <v>3.033915085060401E-2</v>
      </c>
      <c r="D79" s="51">
        <v>6</v>
      </c>
      <c r="E79" s="56">
        <f>'Mastercurve bestimmen'!A23</f>
        <v>5.8953789402578301E-10</v>
      </c>
    </row>
    <row r="80" spans="1:5" x14ac:dyDescent="0.25">
      <c r="A80" s="50">
        <f t="shared" si="0"/>
        <v>7</v>
      </c>
      <c r="B80" s="56">
        <f>'Mastercurve bestimmen'!C24</f>
        <v>2.9818488774257267E-2</v>
      </c>
      <c r="D80" s="51">
        <v>7</v>
      </c>
      <c r="E80" s="56">
        <f>'Mastercurve bestimmen'!A24</f>
        <v>6.5352940755699598E-9</v>
      </c>
    </row>
    <row r="81" spans="1:5" x14ac:dyDescent="0.25">
      <c r="A81" s="50">
        <f t="shared" si="0"/>
        <v>8</v>
      </c>
      <c r="B81" s="56">
        <f>'Mastercurve bestimmen'!C25</f>
        <v>2.8586713902441586E-2</v>
      </c>
      <c r="D81" s="51">
        <v>8</v>
      </c>
      <c r="E81" s="56">
        <f>'Mastercurve bestimmen'!A25</f>
        <v>7.2446689325643296E-8</v>
      </c>
    </row>
    <row r="82" spans="1:5" x14ac:dyDescent="0.25">
      <c r="A82" s="50">
        <f t="shared" si="0"/>
        <v>9</v>
      </c>
      <c r="B82" s="56">
        <f>'Mastercurve bestimmen'!C26</f>
        <v>2.8589469167233993E-2</v>
      </c>
      <c r="D82" s="51">
        <f>A82</f>
        <v>9</v>
      </c>
      <c r="E82" s="56">
        <f>'Mastercurve bestimmen'!A26</f>
        <v>8.03104303120212E-7</v>
      </c>
    </row>
    <row r="83" spans="1:5" x14ac:dyDescent="0.25">
      <c r="A83" s="50">
        <f t="shared" si="0"/>
        <v>10</v>
      </c>
      <c r="B83" s="56">
        <f>'Mastercurve bestimmen'!C27</f>
        <v>2.8115831969051441E-2</v>
      </c>
      <c r="C83" s="11"/>
      <c r="D83" s="51">
        <f t="shared" ref="D83:D104" si="1">A83</f>
        <v>10</v>
      </c>
      <c r="E83" s="56">
        <f>'Mastercurve bestimmen'!A27</f>
        <v>8.9027742702096099E-6</v>
      </c>
    </row>
    <row r="84" spans="1:5" x14ac:dyDescent="0.25">
      <c r="A84" s="50">
        <f t="shared" si="0"/>
        <v>11</v>
      </c>
      <c r="B84" s="56">
        <f>'Mastercurve bestimmen'!C28</f>
        <v>3.3973946984022944E-2</v>
      </c>
      <c r="C84" s="11"/>
      <c r="D84" s="51">
        <f t="shared" si="1"/>
        <v>11</v>
      </c>
      <c r="E84" s="56">
        <f>'Mastercurve bestimmen'!A28</f>
        <v>9.86912775817142E-5</v>
      </c>
    </row>
    <row r="85" spans="1:5" x14ac:dyDescent="0.25">
      <c r="A85" s="50">
        <f t="shared" si="0"/>
        <v>12</v>
      </c>
      <c r="B85" s="56">
        <f>'Mastercurve bestimmen'!C29</f>
        <v>3.6313930353248758E-2</v>
      </c>
      <c r="C85" s="11"/>
      <c r="D85" s="51">
        <f t="shared" si="1"/>
        <v>12</v>
      </c>
      <c r="E85" s="56">
        <f>'Mastercurve bestimmen'!A29</f>
        <v>1.0940374286813801E-3</v>
      </c>
    </row>
    <row r="86" spans="1:5" x14ac:dyDescent="0.25">
      <c r="A86" s="50">
        <f t="shared" si="0"/>
        <v>13</v>
      </c>
      <c r="B86" s="56">
        <f>'Mastercurve bestimmen'!C30</f>
        <v>4.1806327659667623E-2</v>
      </c>
      <c r="C86" s="11"/>
      <c r="D86" s="51">
        <f t="shared" si="1"/>
        <v>13</v>
      </c>
      <c r="E86" s="56">
        <f>'Mastercurve bestimmen'!A30</f>
        <v>1.2127899493091E-2</v>
      </c>
    </row>
    <row r="87" spans="1:5" x14ac:dyDescent="0.25">
      <c r="A87" s="50">
        <f t="shared" si="0"/>
        <v>14</v>
      </c>
      <c r="B87" s="56">
        <f>'Mastercurve bestimmen'!C31</f>
        <v>4.6977125912982913E-2</v>
      </c>
      <c r="C87" s="11"/>
      <c r="D87" s="51">
        <f t="shared" si="1"/>
        <v>14</v>
      </c>
      <c r="E87" s="56">
        <f>'Mastercurve bestimmen'!A31</f>
        <v>0.13444324870292301</v>
      </c>
    </row>
    <row r="88" spans="1:5" x14ac:dyDescent="0.25">
      <c r="A88" s="50">
        <f t="shared" si="0"/>
        <v>15</v>
      </c>
      <c r="B88" s="56">
        <f>'Mastercurve bestimmen'!C32</f>
        <v>6.4330039712108877E-2</v>
      </c>
      <c r="C88" s="11"/>
      <c r="D88" s="51">
        <f t="shared" si="1"/>
        <v>15</v>
      </c>
      <c r="E88" s="56">
        <f>'Mastercurve bestimmen'!A32</f>
        <v>1.49036419143257</v>
      </c>
    </row>
    <row r="89" spans="1:5" x14ac:dyDescent="0.25">
      <c r="A89" s="50">
        <f t="shared" si="0"/>
        <v>16</v>
      </c>
      <c r="B89" s="56">
        <f>'Mastercurve bestimmen'!C33</f>
        <v>7.1283808515689162E-2</v>
      </c>
      <c r="C89" s="11"/>
      <c r="D89" s="51">
        <f t="shared" si="1"/>
        <v>16</v>
      </c>
      <c r="E89" s="56">
        <f>'Mastercurve bestimmen'!A33</f>
        <v>16.521360830937301</v>
      </c>
    </row>
    <row r="90" spans="1:5" x14ac:dyDescent="0.25">
      <c r="A90" s="50">
        <f t="shared" si="0"/>
        <v>17</v>
      </c>
      <c r="B90" s="56">
        <f>'Mastercurve bestimmen'!C34</f>
        <v>6.5008577665533668E-2</v>
      </c>
      <c r="C90" s="11"/>
      <c r="D90" s="51">
        <f t="shared" si="1"/>
        <v>17</v>
      </c>
      <c r="E90" s="56">
        <f>'Mastercurve bestimmen'!A34</f>
        <v>183.146753843879</v>
      </c>
    </row>
    <row r="91" spans="1:5" x14ac:dyDescent="0.25">
      <c r="A91" s="50">
        <f t="shared" si="0"/>
        <v>18</v>
      </c>
      <c r="B91" s="56">
        <f>'Mastercurve bestimmen'!C35</f>
        <v>4.954350168244695E-2</v>
      </c>
      <c r="C91" s="11"/>
      <c r="D91" s="51">
        <f t="shared" si="1"/>
        <v>18</v>
      </c>
      <c r="E91" s="56">
        <f>'Mastercurve bestimmen'!A35</f>
        <v>2030.26456396616</v>
      </c>
    </row>
    <row r="92" spans="1:5" x14ac:dyDescent="0.25">
      <c r="A92" s="50">
        <f t="shared" si="0"/>
        <v>19</v>
      </c>
      <c r="B92" s="56">
        <f>'Mastercurve bestimmen'!C36</f>
        <v>3.0281570029291476E-2</v>
      </c>
      <c r="C92" s="11"/>
      <c r="D92" s="51">
        <f t="shared" si="1"/>
        <v>19</v>
      </c>
      <c r="E92" s="56">
        <f>'Mastercurve bestimmen'!A36</f>
        <v>22506.400540467101</v>
      </c>
    </row>
    <row r="93" spans="1:5" x14ac:dyDescent="0.25">
      <c r="A93" s="50">
        <f t="shared" si="0"/>
        <v>20</v>
      </c>
      <c r="B93" s="56">
        <f>'Mastercurve bestimmen'!C37</f>
        <v>1.5838845962715554E-2</v>
      </c>
      <c r="C93" s="11"/>
      <c r="D93" s="51">
        <f t="shared" si="1"/>
        <v>20</v>
      </c>
      <c r="E93" s="56">
        <f>'Mastercurve bestimmen'!A37</f>
        <v>249493.62476110301</v>
      </c>
    </row>
    <row r="94" spans="1:5" x14ac:dyDescent="0.25">
      <c r="A94" s="50">
        <f t="shared" si="0"/>
        <v>21</v>
      </c>
      <c r="B94" s="56">
        <f>'Mastercurve bestimmen'!C38</f>
        <v>5.1881409706128322E-3</v>
      </c>
      <c r="C94" s="11"/>
      <c r="D94" s="51">
        <f t="shared" si="1"/>
        <v>21</v>
      </c>
      <c r="E94" s="56">
        <f>'Mastercurve bestimmen'!A38</f>
        <v>2765749.6224023802</v>
      </c>
    </row>
    <row r="95" spans="1:5" x14ac:dyDescent="0.25">
      <c r="A95" s="50">
        <f t="shared" si="0"/>
        <v>22</v>
      </c>
      <c r="B95" s="56">
        <f>'Mastercurve bestimmen'!C39</f>
        <v>3.8617191328215671E-3</v>
      </c>
      <c r="C95" s="11"/>
      <c r="D95" s="51">
        <f t="shared" si="1"/>
        <v>22</v>
      </c>
      <c r="E95" s="56">
        <f>'Mastercurve bestimmen'!A39</f>
        <v>10000000</v>
      </c>
    </row>
    <row r="96" spans="1:5" x14ac:dyDescent="0.25">
      <c r="A96" s="50">
        <f t="shared" si="0"/>
        <v>23</v>
      </c>
      <c r="B96" s="56">
        <f>'Mastercurve bestimmen'!C40</f>
        <v>3.0600017424879029E-3</v>
      </c>
      <c r="C96" s="11"/>
      <c r="D96" s="51">
        <f t="shared" si="1"/>
        <v>23</v>
      </c>
      <c r="E96" s="56">
        <f>'Mastercurve bestimmen'!A40</f>
        <v>100000000</v>
      </c>
    </row>
    <row r="97" spans="1:5" x14ac:dyDescent="0.25">
      <c r="A97" s="50">
        <f t="shared" si="0"/>
        <v>24</v>
      </c>
      <c r="B97" s="56">
        <f>'Mastercurve bestimmen'!C41</f>
        <v>1.8593150246318942E-3</v>
      </c>
      <c r="C97" s="11"/>
      <c r="D97" s="51">
        <f t="shared" si="1"/>
        <v>24</v>
      </c>
      <c r="E97" s="56">
        <f>'Mastercurve bestimmen'!A41</f>
        <v>1000000000</v>
      </c>
    </row>
    <row r="98" spans="1:5" x14ac:dyDescent="0.25">
      <c r="A98" s="50">
        <f t="shared" si="0"/>
        <v>25</v>
      </c>
      <c r="B98" s="56">
        <f>'Mastercurve bestimmen'!C42</f>
        <v>1.0289911498978865E-4</v>
      </c>
      <c r="C98" s="11"/>
      <c r="D98" s="51">
        <f t="shared" si="1"/>
        <v>25</v>
      </c>
      <c r="E98" s="56">
        <f>'Mastercurve bestimmen'!A42</f>
        <v>10000000000</v>
      </c>
    </row>
    <row r="99" spans="1:5" x14ac:dyDescent="0.25">
      <c r="A99" s="50">
        <f t="shared" si="0"/>
        <v>26</v>
      </c>
      <c r="B99" s="56">
        <f>'Mastercurve bestimmen'!C43</f>
        <v>3.4301074619822757E-3</v>
      </c>
      <c r="C99" s="11"/>
      <c r="D99" s="51">
        <f t="shared" si="1"/>
        <v>26</v>
      </c>
      <c r="E99" s="56">
        <f>'Mastercurve bestimmen'!A43</f>
        <v>100000000000</v>
      </c>
    </row>
    <row r="100" spans="1:5" x14ac:dyDescent="0.25">
      <c r="A100" s="50">
        <f t="shared" si="0"/>
        <v>27</v>
      </c>
      <c r="B100" s="56">
        <f>'Mastercurve bestimmen'!C44</f>
        <v>1.0099566360327609E-4</v>
      </c>
      <c r="C100" s="11"/>
      <c r="D100" s="51">
        <f t="shared" si="1"/>
        <v>27</v>
      </c>
      <c r="E100" s="56">
        <f>'Mastercurve bestimmen'!A44</f>
        <v>1000000000000</v>
      </c>
    </row>
    <row r="101" spans="1:5" x14ac:dyDescent="0.25">
      <c r="A101" s="50">
        <f t="shared" si="0"/>
        <v>28</v>
      </c>
      <c r="B101" s="56">
        <f>'Mastercurve bestimmen'!C45</f>
        <v>2.8535751866135694E-4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1.5499334140859142E-4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12">
        <f>STUTT!D8</f>
        <v>6190.9489999999996</v>
      </c>
      <c r="D113" s="112"/>
    </row>
    <row r="114" spans="1:4" s="11" customFormat="1" x14ac:dyDescent="0.25">
      <c r="A114" s="61" t="str">
        <f>STUTT!B9</f>
        <v>MP,GXY,</v>
      </c>
      <c r="B114" s="52" t="str">
        <f>STUTT!C9</f>
        <v>MatID,</v>
      </c>
      <c r="C114" s="112">
        <f>STUTT!D9</f>
        <v>7910.6138000000001</v>
      </c>
      <c r="D114" s="112"/>
    </row>
    <row r="115" spans="1:4" x14ac:dyDescent="0.25">
      <c r="A115" s="61" t="str">
        <f>STUTT!B10</f>
        <v>MP,GYZ,</v>
      </c>
      <c r="B115" s="52" t="str">
        <f>STUTT!C10</f>
        <v>MatID,</v>
      </c>
      <c r="C115" s="112">
        <f>STUTT!D10</f>
        <v>7910.6138000000001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107" zoomScale="120" zoomScaleNormal="120" zoomScaleSheetLayoutView="110" workbookViewId="0">
      <selection activeCell="E6" sqref="E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5057.043084778943</v>
      </c>
      <c r="G16" s="26">
        <f>INDEX(Comparison!$AM$3:$AS$33,G14,$B$3)</f>
        <v>4848.8236532156789</v>
      </c>
      <c r="H16" s="26">
        <f>INDEX(Comparison!$AM$3:$AS$33,H14,$B$3)</f>
        <v>4684.5989366281638</v>
      </c>
      <c r="I16" s="26">
        <f>INDEX(Comparison!$AM$3:$AS$33,I14,$B$3)</f>
        <v>4498.1692065771867</v>
      </c>
      <c r="J16" s="26">
        <f>INDEX(Comparison!$AM$3:$AS$33,J14,$B$3)</f>
        <v>4277.4916896280383</v>
      </c>
      <c r="K16" s="26">
        <f>INDEX(Comparison!$AM$3:$AS$33,K14,$B$3)</f>
        <v>4057.0756825676294</v>
      </c>
      <c r="L16" s="26">
        <f>INDEX(Comparison!$AM$3:$AS$33,L14,$B$3)</f>
        <v>3871.2190964450751</v>
      </c>
      <c r="M16" s="26">
        <f>INDEX(Comparison!$AM$3:$AS$33,M14,$B$3)</f>
        <v>3695.7543511911053</v>
      </c>
      <c r="N16" s="26">
        <f>INDEX(Comparison!$AM$3:$AS$33,N14,$B$3)</f>
        <v>3525.6595385822288</v>
      </c>
      <c r="O16" s="26">
        <f>INDEX(Comparison!$AM$3:$AS$33,O14,$B$3)</f>
        <v>3357.1494631908417</v>
      </c>
      <c r="P16" s="26">
        <f>INDEX(Comparison!$AM$3:$AS$33,P14,$B$3)</f>
        <v>3187.0619417508151</v>
      </c>
      <c r="Q16" s="26">
        <f>INDEX(Comparison!$AM$3:$AS$33,Q14,$B$3)</f>
        <v>2996.966538971345</v>
      </c>
      <c r="R16" s="26">
        <f>INDEX(Comparison!$AM$3:$AS$33,R14,$B$3)</f>
        <v>2785.0882808530132</v>
      </c>
      <c r="S16" s="26">
        <f>INDEX(Comparison!$AM$3:$AS$33,S14,$B$3)</f>
        <v>2548.6636373493402</v>
      </c>
      <c r="T16" s="26">
        <f>INDEX(Comparison!$AM$3:$AS$33,T14,$B$3)</f>
        <v>2277.7712640750647</v>
      </c>
      <c r="U16" s="26">
        <f>INDEX(Comparison!$AM$3:$AS$33,U14,$B$3)</f>
        <v>1945.3918502755284</v>
      </c>
      <c r="V16" s="26">
        <f>INDEX(Comparison!$AM$3:$AS$33,V14,$B$3)</f>
        <v>1547.0547031117155</v>
      </c>
      <c r="W16" s="26">
        <f>INDEX(Comparison!$AM$3:$AS$33,W14,$B$3)</f>
        <v>1144.6630604809154</v>
      </c>
      <c r="X16" s="26">
        <f>INDEX(Comparison!$AM$3:$AS$33,X14,$B$3)</f>
        <v>800.03144169281939</v>
      </c>
      <c r="Y16" s="26">
        <f>INDEX(Comparison!$AM$3:$AS$33,Y14,$B$3)</f>
        <v>550.37343151827611</v>
      </c>
      <c r="Z16" s="26">
        <f>INDEX(Comparison!$AM$3:$AS$33,Z14,$B$3)</f>
        <v>400.38950806520603</v>
      </c>
      <c r="AA16" s="26">
        <f>INDEX(Comparison!$AM$3:$AS$33,AA14,$B$3)</f>
        <v>323.43126641101793</v>
      </c>
      <c r="AB16" s="26">
        <f>INDEX(Comparison!$AM$3:$AS$33,AB14,$B$3)</f>
        <v>285.62091448863987</v>
      </c>
      <c r="AC16" s="26">
        <f>INDEX(Comparison!$AM$3:$AS$33,AC14,$B$3)</f>
        <v>264.72815066208511</v>
      </c>
      <c r="AD16" s="26">
        <f>INDEX(Comparison!$AM$3:$AS$33,AD14,$B$3)</f>
        <v>251.4133849928937</v>
      </c>
      <c r="AE16" s="26">
        <f>INDEX(Comparison!$AM$3:$AS$33,AE14,$B$3)</f>
        <v>244.9280851953373</v>
      </c>
      <c r="AF16" s="26">
        <f>INDEX(Comparison!$AM$3:$AS$33,AF14,$B$3)</f>
        <v>233.30697275617146</v>
      </c>
      <c r="AG16" s="26">
        <f>INDEX(Comparison!$AM$3:$AS$33,AG14,$B$3)</f>
        <v>224.93687178827099</v>
      </c>
      <c r="AH16" s="26">
        <f>INDEX(Comparison!$AM$3:$AS$33,AH14,$B$3)</f>
        <v>223.82239746478544</v>
      </c>
      <c r="AI16" s="26">
        <f>INDEX(Comparison!$AM$3:$AS$33,AI14,$B$3)</f>
        <v>223.13699037774649</v>
      </c>
      <c r="AJ16" s="26">
        <f>INDEX(Comparison!$AM$3:$AS$33,AJ14,$B$3)</f>
        <v>223.02569814244063</v>
      </c>
    </row>
    <row r="17" spans="1:36" x14ac:dyDescent="0.25">
      <c r="A17" s="14" t="s">
        <v>20</v>
      </c>
      <c r="B17" s="105">
        <v>3.3034582863681661E-2</v>
      </c>
      <c r="C17" s="18">
        <f t="shared" ref="C17:C48" si="3">ABS(B17/$B$49)</f>
        <v>3.5888033787879803E-2</v>
      </c>
      <c r="D17" s="66"/>
      <c r="E17" s="65" t="s">
        <v>22</v>
      </c>
      <c r="F17" s="27">
        <f>($C$17+SUM(F18:F48))*$B$51</f>
        <v>4996.9697526026439</v>
      </c>
      <c r="G17" s="27">
        <f t="shared" ref="G17:M17" si="4">($C$17+SUM(G18:G48))*$B$51</f>
        <v>4926.5247056201688</v>
      </c>
      <c r="H17" s="27">
        <f t="shared" si="4"/>
        <v>4664.0275306247404</v>
      </c>
      <c r="I17" s="27">
        <f t="shared" si="4"/>
        <v>4501.5272460802498</v>
      </c>
      <c r="J17" s="27">
        <f t="shared" si="4"/>
        <v>4277.0247205352516</v>
      </c>
      <c r="K17" s="27">
        <f t="shared" si="4"/>
        <v>4057.1339447184118</v>
      </c>
      <c r="L17" s="27">
        <f t="shared" si="4"/>
        <v>3871.2085792615189</v>
      </c>
      <c r="M17" s="27">
        <f t="shared" si="4"/>
        <v>3695.7625493946439</v>
      </c>
      <c r="N17" s="27">
        <f t="shared" ref="N17" si="5">($C$17+SUM(N18:N48))*$B$51</f>
        <v>3525.6507332792175</v>
      </c>
      <c r="O17" s="27">
        <f t="shared" ref="O17" si="6">($C$17+SUM(O18:O48))*$B$51</f>
        <v>3357.1601763672447</v>
      </c>
      <c r="P17" s="27">
        <f t="shared" ref="P17" si="7">($C$17+SUM(P18:P48))*$B$51</f>
        <v>3187.0425045347711</v>
      </c>
      <c r="Q17" s="27">
        <f t="shared" ref="Q17" si="8">($C$17+SUM(Q18:Q48))*$B$51</f>
        <v>2997.0028018093208</v>
      </c>
      <c r="R17" s="27">
        <f t="shared" ref="R17" si="9">($C$17+SUM(R18:R48))*$B$51</f>
        <v>2785.0363810762474</v>
      </c>
      <c r="S17" s="27">
        <f t="shared" ref="S17:T17" si="10">($C$17+SUM(S18:S48))*$B$51</f>
        <v>2548.712876778392</v>
      </c>
      <c r="T17" s="27">
        <f t="shared" si="10"/>
        <v>2277.7375849845675</v>
      </c>
      <c r="U17" s="27">
        <f t="shared" ref="U17" si="11">($C$17+SUM(U18:U48))*$B$51</f>
        <v>1945.4137442071965</v>
      </c>
      <c r="V17" s="27">
        <f t="shared" ref="V17" si="12">($C$17+SUM(V18:V48))*$B$51</f>
        <v>1547.0318046663995</v>
      </c>
      <c r="W17" s="27">
        <f t="shared" ref="W17" si="13">($C$17+SUM(W18:W48))*$B$51</f>
        <v>1144.6926744741063</v>
      </c>
      <c r="X17" s="27">
        <f t="shared" ref="X17" si="14">($C$17+SUM(X18:X48))*$B$51</f>
        <v>800.0022694204547</v>
      </c>
      <c r="Y17" s="27">
        <f t="shared" ref="Y17" si="15">($C$17+SUM(Y18:Y48))*$B$51</f>
        <v>550.39561645469337</v>
      </c>
      <c r="Z17" s="27">
        <f t="shared" ref="Z17:AA17" si="16">($C$17+SUM(Z18:Z48))*$B$51</f>
        <v>400.36991500319726</v>
      </c>
      <c r="AA17" s="27">
        <f t="shared" si="16"/>
        <v>323.44807762127937</v>
      </c>
      <c r="AB17" s="27">
        <f t="shared" ref="AB17" si="17">($C$17+SUM(AB18:AB48))*$B$51</f>
        <v>285.59938965207465</v>
      </c>
      <c r="AC17" s="27">
        <f t="shared" ref="AC17" si="18">($C$17+SUM(AC18:AC48))*$B$51</f>
        <v>264.76327977544184</v>
      </c>
      <c r="AD17" s="27">
        <f t="shared" ref="AD17" si="19">($C$17+SUM(AD18:AD48))*$B$51</f>
        <v>251.36786936213514</v>
      </c>
      <c r="AE17" s="27">
        <f t="shared" ref="AE17" si="20">($C$17+SUM(AE18:AE48))*$B$51</f>
        <v>244.9741090491205</v>
      </c>
      <c r="AF17" s="27">
        <f t="shared" ref="AF17" si="21">($C$17+SUM(AF18:AF48))*$B$51</f>
        <v>233.26752352666406</v>
      </c>
      <c r="AG17" s="27">
        <f t="shared" ref="AG17:AH17" si="22">($C$17+SUM(AG18:AG48))*$B$51</f>
        <v>224.96994724712687</v>
      </c>
      <c r="AH17" s="27">
        <f t="shared" si="22"/>
        <v>223.78952034508092</v>
      </c>
      <c r="AI17" s="27">
        <f t="shared" ref="AI17" si="23">($C$17+SUM(AI18:AI48))*$B$51</f>
        <v>223.13107522763994</v>
      </c>
      <c r="AJ17" s="27">
        <f t="shared" ref="AJ17" si="24">($C$17+SUM(AJ18:AJ48))*$B$51</f>
        <v>223.04922894872254</v>
      </c>
    </row>
    <row r="18" spans="1:36" x14ac:dyDescent="0.25">
      <c r="A18" s="3">
        <f>0.000000000000001/10^5</f>
        <v>1.0000000000000001E-20</v>
      </c>
      <c r="B18" s="106">
        <v>0.17621129979414016</v>
      </c>
      <c r="C18" s="18">
        <f t="shared" si="3"/>
        <v>0.19143202464260001</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4.9831266803877422E-2</v>
      </c>
      <c r="C19" s="18">
        <f t="shared" si="3"/>
        <v>5.4135576469364788E-2</v>
      </c>
      <c r="D19" s="17"/>
      <c r="F19" s="3">
        <f t="shared" si="25"/>
        <v>5.276647944523935E-2</v>
      </c>
      <c r="G19" s="3">
        <f t="shared" si="25"/>
        <v>4.1902149324334899E-2</v>
      </c>
      <c r="H19" s="3">
        <f t="shared" si="25"/>
        <v>4.1784779037912561E-3</v>
      </c>
      <c r="I19" s="3">
        <f t="shared" si="25"/>
        <v>4.062900692077582E-13</v>
      </c>
      <c r="J19" s="3">
        <f t="shared" si="25"/>
        <v>3.0691433937730527E-113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1.9344120191335148E-2</v>
      </c>
      <c r="C20" s="18">
        <f t="shared" si="3"/>
        <v>2.1015020588822823E-2</v>
      </c>
      <c r="D20" s="17"/>
      <c r="F20" s="3">
        <f t="shared" si="25"/>
        <v>2.0966516689907452E-2</v>
      </c>
      <c r="G20" s="3">
        <f t="shared" si="25"/>
        <v>2.0534988460983311E-2</v>
      </c>
      <c r="H20" s="3">
        <f t="shared" si="25"/>
        <v>1.6679239815743794E-2</v>
      </c>
      <c r="I20" s="3">
        <f t="shared" si="25"/>
        <v>2.0844628150036913E-3</v>
      </c>
      <c r="J20" s="3">
        <f t="shared" si="25"/>
        <v>1.9371941216106284E-12</v>
      </c>
      <c r="K20" s="3">
        <f t="shared" si="25"/>
        <v>9.3102865262658724E-103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3.7278123120836809E-2</v>
      </c>
      <c r="C21" s="18">
        <f t="shared" si="3"/>
        <v>4.0498121245543535E-2</v>
      </c>
      <c r="D21" s="17"/>
      <c r="F21" s="3">
        <f t="shared" si="25"/>
        <v>4.0489680424245236E-2</v>
      </c>
      <c r="G21" s="3">
        <f t="shared" si="25"/>
        <v>4.0413792156096889E-2</v>
      </c>
      <c r="H21" s="3">
        <f t="shared" si="25"/>
        <v>3.966268854980752E-2</v>
      </c>
      <c r="I21" s="3">
        <f t="shared" si="25"/>
        <v>3.2878168010731179E-2</v>
      </c>
      <c r="J21" s="3">
        <f t="shared" si="25"/>
        <v>5.0368871165724491E-3</v>
      </c>
      <c r="K21" s="3">
        <f t="shared" si="25"/>
        <v>3.5868093407202571E-11</v>
      </c>
      <c r="L21" s="3">
        <f t="shared" si="25"/>
        <v>1.2027324662780892E-92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3.514465046601345E-2</v>
      </c>
      <c r="C22" s="18">
        <f t="shared" si="3"/>
        <v>3.8180364153293539E-2</v>
      </c>
      <c r="D22" s="17"/>
      <c r="F22" s="3">
        <f t="shared" si="25"/>
        <v>3.8179646230624996E-2</v>
      </c>
      <c r="G22" s="3">
        <f t="shared" si="25"/>
        <v>3.817318553405176E-2</v>
      </c>
      <c r="H22" s="3">
        <f t="shared" si="25"/>
        <v>3.8108638667565774E-2</v>
      </c>
      <c r="I22" s="3">
        <f t="shared" si="25"/>
        <v>3.7469142465292586E-2</v>
      </c>
      <c r="J22" s="3">
        <f t="shared" si="25"/>
        <v>3.1635663055634894E-2</v>
      </c>
      <c r="K22" s="3">
        <f t="shared" si="25"/>
        <v>5.8238317120866629E-3</v>
      </c>
      <c r="L22" s="3">
        <f t="shared" si="25"/>
        <v>2.6033201088462523E-10</v>
      </c>
      <c r="M22" s="3">
        <f t="shared" si="25"/>
        <v>8.2930662314403633E-84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2.7926890581743028E-2</v>
      </c>
      <c r="C23" s="18">
        <f t="shared" si="3"/>
        <v>3.033915085060401E-2</v>
      </c>
      <c r="D23" s="17"/>
      <c r="F23" s="3">
        <f t="shared" si="25"/>
        <v>3.0339099388051006E-2</v>
      </c>
      <c r="G23" s="3">
        <f t="shared" si="25"/>
        <v>3.0338636229002132E-2</v>
      </c>
      <c r="H23" s="3">
        <f t="shared" si="25"/>
        <v>3.0334005027379807E-2</v>
      </c>
      <c r="I23" s="3">
        <f t="shared" si="25"/>
        <v>3.0287731875840638E-2</v>
      </c>
      <c r="J23" s="3">
        <f t="shared" si="25"/>
        <v>2.9828864965529348E-2</v>
      </c>
      <c r="K23" s="3">
        <f t="shared" si="25"/>
        <v>2.5605690330941951E-2</v>
      </c>
      <c r="L23" s="3">
        <f t="shared" si="25"/>
        <v>5.5633207194784795E-3</v>
      </c>
      <c r="M23" s="3">
        <f t="shared" si="25"/>
        <v>1.3040978553104286E-9</v>
      </c>
      <c r="N23" s="3">
        <f t="shared" si="25"/>
        <v>6.5323735964669565E-76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2.7447626250720752E-2</v>
      </c>
      <c r="C24" s="18">
        <f t="shared" si="3"/>
        <v>2.9818488774257267E-2</v>
      </c>
      <c r="D24" s="17"/>
      <c r="F24" s="3">
        <f t="shared" si="25"/>
        <v>2.9818484211572537E-2</v>
      </c>
      <c r="G24" s="3">
        <f t="shared" si="25"/>
        <v>2.9818443147441372E-2</v>
      </c>
      <c r="H24" s="3">
        <f t="shared" si="25"/>
        <v>2.9818032509240016E-2</v>
      </c>
      <c r="I24" s="3">
        <f t="shared" si="25"/>
        <v>2.9813926438239439E-2</v>
      </c>
      <c r="J24" s="3">
        <f t="shared" si="25"/>
        <v>2.9772896813687662E-2</v>
      </c>
      <c r="K24" s="3">
        <f t="shared" si="25"/>
        <v>2.9365693332437905E-2</v>
      </c>
      <c r="L24" s="3">
        <f t="shared" si="25"/>
        <v>2.5587739916911229E-2</v>
      </c>
      <c r="M24" s="3">
        <f t="shared" si="25"/>
        <v>6.4557783930198542E-3</v>
      </c>
      <c r="N24" s="3">
        <f t="shared" si="25"/>
        <v>6.7470740458781172E-9</v>
      </c>
      <c r="O24" s="3">
        <f t="shared" si="25"/>
        <v>1.0490208015168305E-68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2.6313789570982165E-2</v>
      </c>
      <c r="C25" s="18">
        <f t="shared" si="3"/>
        <v>2.8586713902441586E-2</v>
      </c>
      <c r="D25" s="17"/>
      <c r="F25" s="3">
        <f t="shared" si="25"/>
        <v>2.8586713507851937E-2</v>
      </c>
      <c r="G25" s="3">
        <f t="shared" si="25"/>
        <v>2.8586709956545345E-2</v>
      </c>
      <c r="H25" s="3">
        <f t="shared" si="25"/>
        <v>2.8586674443503657E-2</v>
      </c>
      <c r="I25" s="3">
        <f t="shared" si="25"/>
        <v>2.8586319315513257E-2</v>
      </c>
      <c r="J25" s="3">
        <f t="shared" si="25"/>
        <v>2.8582768278243843E-2</v>
      </c>
      <c r="K25" s="3">
        <f t="shared" si="25"/>
        <v>2.8547282157857616E-2</v>
      </c>
      <c r="L25" s="3">
        <f t="shared" si="25"/>
        <v>2.8194835074200762E-2</v>
      </c>
      <c r="M25" s="3">
        <f t="shared" si="25"/>
        <v>2.4901038975108414E-2</v>
      </c>
      <c r="N25" s="3">
        <f t="shared" si="25"/>
        <v>7.1894648260378974E-3</v>
      </c>
      <c r="O25" s="3">
        <f t="shared" si="25"/>
        <v>2.8939266270625237E-8</v>
      </c>
      <c r="P25" s="3">
        <f t="shared" si="25"/>
        <v>3.2314470238884246E-62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2.6316325765180882E-2</v>
      </c>
      <c r="C26" s="18">
        <f t="shared" si="3"/>
        <v>2.8589469167233993E-2</v>
      </c>
      <c r="D26" s="17"/>
      <c r="F26" s="3">
        <f t="shared" si="25"/>
        <v>2.8589469131635292E-2</v>
      </c>
      <c r="G26" s="3">
        <f t="shared" si="25"/>
        <v>2.8589468811246996E-2</v>
      </c>
      <c r="H26" s="3">
        <f t="shared" si="25"/>
        <v>2.8589465607364216E-2</v>
      </c>
      <c r="I26" s="3">
        <f t="shared" si="25"/>
        <v>2.8589433568556141E-2</v>
      </c>
      <c r="J26" s="3">
        <f t="shared" si="25"/>
        <v>2.8589113182450155E-2</v>
      </c>
      <c r="K26" s="3">
        <f t="shared" si="25"/>
        <v>2.8585909518855191E-2</v>
      </c>
      <c r="L26" s="3">
        <f t="shared" si="25"/>
        <v>2.855389262120921E-2</v>
      </c>
      <c r="M26" s="3">
        <f t="shared" si="25"/>
        <v>2.8235689315281851E-2</v>
      </c>
      <c r="N26" s="3">
        <f t="shared" si="25"/>
        <v>2.5242311430585702E-2</v>
      </c>
      <c r="O26" s="3">
        <f t="shared" si="25"/>
        <v>8.230692576211068E-3</v>
      </c>
      <c r="P26" s="3">
        <f t="shared" si="25"/>
        <v>1.1181729493660046E-7</v>
      </c>
      <c r="Q26" s="3">
        <f t="shared" si="25"/>
        <v>2.3946111007728983E-56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2.5880347372963481E-2</v>
      </c>
      <c r="C27" s="18">
        <f t="shared" si="3"/>
        <v>2.8115831969051441E-2</v>
      </c>
      <c r="D27" s="17"/>
      <c r="F27" s="3">
        <f t="shared" si="25"/>
        <v>2.8115831965893345E-2</v>
      </c>
      <c r="G27" s="3">
        <f t="shared" si="25"/>
        <v>2.8115831937470463E-2</v>
      </c>
      <c r="H27" s="3">
        <f t="shared" si="25"/>
        <v>2.8115831653241663E-2</v>
      </c>
      <c r="I27" s="3">
        <f t="shared" si="25"/>
        <v>2.8115828810953803E-2</v>
      </c>
      <c r="J27" s="3">
        <f t="shared" si="25"/>
        <v>2.8115800388091028E-2</v>
      </c>
      <c r="K27" s="3">
        <f t="shared" si="25"/>
        <v>2.8115516161043606E-2</v>
      </c>
      <c r="L27" s="3">
        <f t="shared" si="25"/>
        <v>2.8112674048595868E-2</v>
      </c>
      <c r="M27" s="3">
        <f t="shared" si="25"/>
        <v>2.8084268720857512E-2</v>
      </c>
      <c r="N27" s="3">
        <f t="shared" si="25"/>
        <v>2.7801789224699655E-2</v>
      </c>
      <c r="O27" s="3">
        <f t="shared" si="25"/>
        <v>2.5128641613459232E-2</v>
      </c>
      <c r="P27" s="3">
        <f t="shared" si="25"/>
        <v>9.1439043004684396E-3</v>
      </c>
      <c r="Q27" s="3">
        <f t="shared" si="25"/>
        <v>3.7218448825788348E-7</v>
      </c>
      <c r="R27" s="3">
        <f t="shared" si="25"/>
        <v>4.6454119851976501E-51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3.1272684747333933E-2</v>
      </c>
      <c r="C28" s="18">
        <f t="shared" si="3"/>
        <v>3.3973946984022944E-2</v>
      </c>
      <c r="D28" s="17"/>
      <c r="F28" s="3">
        <f t="shared" si="25"/>
        <v>3.3973946983678699E-2</v>
      </c>
      <c r="G28" s="3">
        <f t="shared" si="25"/>
        <v>3.3973946980580497E-2</v>
      </c>
      <c r="H28" s="3">
        <f t="shared" si="25"/>
        <v>3.3973946949598474E-2</v>
      </c>
      <c r="I28" s="3">
        <f t="shared" si="25"/>
        <v>3.397394663977827E-2</v>
      </c>
      <c r="J28" s="3">
        <f t="shared" si="25"/>
        <v>3.3973943541576346E-2</v>
      </c>
      <c r="K28" s="3">
        <f t="shared" si="25"/>
        <v>3.3973912559572675E-2</v>
      </c>
      <c r="L28" s="3">
        <f t="shared" si="25"/>
        <v>3.3973602741089882E-2</v>
      </c>
      <c r="M28" s="3">
        <f t="shared" si="25"/>
        <v>3.3970504711650834E-2</v>
      </c>
      <c r="N28" s="3">
        <f t="shared" si="25"/>
        <v>3.3939539950904873E-2</v>
      </c>
      <c r="O28" s="3">
        <f t="shared" si="25"/>
        <v>3.3631440479360515E-2</v>
      </c>
      <c r="P28" s="3">
        <f t="shared" si="25"/>
        <v>3.0700160685129076E-2</v>
      </c>
      <c r="Q28" s="3">
        <f t="shared" si="25"/>
        <v>1.2333673378739122E-2</v>
      </c>
      <c r="R28" s="3">
        <f t="shared" si="25"/>
        <v>1.3508601477651031E-6</v>
      </c>
      <c r="S28" s="3">
        <f t="shared" si="25"/>
        <v>3.3557519653567566E-46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3.3426616471964474E-2</v>
      </c>
      <c r="C29" s="18">
        <f t="shared" si="3"/>
        <v>3.6313930353248758E-2</v>
      </c>
      <c r="D29" s="17"/>
      <c r="F29" s="3">
        <f t="shared" si="25"/>
        <v>3.6313930353215562E-2</v>
      </c>
      <c r="G29" s="3">
        <f t="shared" si="25"/>
        <v>3.6313930352916829E-2</v>
      </c>
      <c r="H29" s="3">
        <f t="shared" si="25"/>
        <v>3.6313930349929496E-2</v>
      </c>
      <c r="I29" s="3">
        <f t="shared" si="25"/>
        <v>3.631393032005617E-2</v>
      </c>
      <c r="J29" s="3">
        <f t="shared" si="25"/>
        <v>3.631393002132291E-2</v>
      </c>
      <c r="K29" s="3">
        <f t="shared" si="25"/>
        <v>3.631392703399041E-2</v>
      </c>
      <c r="L29" s="3">
        <f t="shared" si="25"/>
        <v>3.6313897160678919E-2</v>
      </c>
      <c r="M29" s="3">
        <f t="shared" si="25"/>
        <v>3.6313598428915649E-2</v>
      </c>
      <c r="N29" s="3">
        <f t="shared" si="25"/>
        <v>3.631061124644102E-2</v>
      </c>
      <c r="O29" s="3">
        <f t="shared" si="25"/>
        <v>3.6280752933386694E-2</v>
      </c>
      <c r="P29" s="3">
        <f t="shared" si="25"/>
        <v>3.5983516868425956E-2</v>
      </c>
      <c r="Q29" s="3">
        <f t="shared" si="25"/>
        <v>3.3141851281770093E-2</v>
      </c>
      <c r="R29" s="3">
        <f t="shared" si="25"/>
        <v>1.4558221905670564E-2</v>
      </c>
      <c r="S29" s="3">
        <f t="shared" si="25"/>
        <v>3.8942519149898859E-6</v>
      </c>
      <c r="T29" s="3">
        <f t="shared" si="25"/>
        <v>7.3043422580586675E-42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3.8482314285101064E-2</v>
      </c>
      <c r="C30" s="18">
        <f t="shared" si="3"/>
        <v>4.1806327659667623E-2</v>
      </c>
      <c r="D30" s="17"/>
      <c r="F30" s="3">
        <f t="shared" si="25"/>
        <v>4.1806327659664175E-2</v>
      </c>
      <c r="G30" s="3">
        <f t="shared" si="25"/>
        <v>4.1806327659633151E-2</v>
      </c>
      <c r="H30" s="3">
        <f t="shared" si="25"/>
        <v>4.1806327659322913E-2</v>
      </c>
      <c r="I30" s="3">
        <f t="shared" si="25"/>
        <v>4.1806327656220506E-2</v>
      </c>
      <c r="J30" s="3">
        <f t="shared" si="25"/>
        <v>4.180632762519642E-2</v>
      </c>
      <c r="K30" s="3">
        <f t="shared" si="25"/>
        <v>4.1806327314955601E-2</v>
      </c>
      <c r="L30" s="3">
        <f t="shared" si="25"/>
        <v>4.1806324212547541E-2</v>
      </c>
      <c r="M30" s="3">
        <f t="shared" si="25"/>
        <v>4.180629318847956E-2</v>
      </c>
      <c r="N30" s="3">
        <f t="shared" si="25"/>
        <v>4.1805982949066019E-2</v>
      </c>
      <c r="O30" s="3">
        <f t="shared" si="25"/>
        <v>4.1802880681551524E-2</v>
      </c>
      <c r="P30" s="3">
        <f t="shared" si="25"/>
        <v>4.177187066501778E-2</v>
      </c>
      <c r="Q30" s="3">
        <f t="shared" si="25"/>
        <v>4.1463032891972749E-2</v>
      </c>
      <c r="R30" s="3">
        <f t="shared" si="25"/>
        <v>3.8497495926912623E-2</v>
      </c>
      <c r="S30" s="3">
        <f t="shared" si="25"/>
        <v>1.8329331955383887E-2</v>
      </c>
      <c r="T30" s="3">
        <f t="shared" si="25"/>
        <v>1.0972060303567828E-5</v>
      </c>
      <c r="U30" s="3">
        <f t="shared" si="25"/>
        <v>6.4819201730622605E-38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4.324198332632373E-2</v>
      </c>
      <c r="C31" s="18">
        <f t="shared" si="3"/>
        <v>4.6977125912982913E-2</v>
      </c>
      <c r="D31" s="17"/>
      <c r="F31" s="3">
        <f t="shared" si="25"/>
        <v>4.6977125912982566E-2</v>
      </c>
      <c r="G31" s="3">
        <f t="shared" si="25"/>
        <v>4.6977125912979416E-2</v>
      </c>
      <c r="H31" s="3">
        <f t="shared" si="25"/>
        <v>4.6977125912947969E-2</v>
      </c>
      <c r="I31" s="3">
        <f t="shared" si="25"/>
        <v>4.6977125912633498E-2</v>
      </c>
      <c r="J31" s="3">
        <f t="shared" si="25"/>
        <v>4.6977125909488715E-2</v>
      </c>
      <c r="K31" s="3">
        <f t="shared" si="25"/>
        <v>4.697712587804094E-2</v>
      </c>
      <c r="L31" s="3">
        <f t="shared" si="25"/>
        <v>4.6977125563563163E-2</v>
      </c>
      <c r="M31" s="3">
        <f t="shared" si="25"/>
        <v>4.6977122418785579E-2</v>
      </c>
      <c r="N31" s="3">
        <f t="shared" si="25"/>
        <v>4.6977090971021235E-2</v>
      </c>
      <c r="O31" s="3">
        <f t="shared" si="25"/>
        <v>4.6976776494535674E-2</v>
      </c>
      <c r="P31" s="3">
        <f t="shared" si="25"/>
        <v>4.6973631845462917E-2</v>
      </c>
      <c r="Q31" s="3">
        <f t="shared" si="25"/>
        <v>4.6942196930152176E-2</v>
      </c>
      <c r="R31" s="3">
        <f t="shared" si="25"/>
        <v>4.6629002456761104E-2</v>
      </c>
      <c r="S31" s="3">
        <f t="shared" si="25"/>
        <v>4.3609716180771259E-2</v>
      </c>
      <c r="T31" s="3">
        <f t="shared" si="25"/>
        <v>2.2328246413670996E-2</v>
      </c>
      <c r="U31" s="3">
        <f t="shared" si="25"/>
        <v>2.764191822165108E-5</v>
      </c>
      <c r="V31" s="3">
        <f t="shared" si="26"/>
        <v>2.3372425921241418E-34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5.9215170161015962E-2</v>
      </c>
      <c r="C32" s="18">
        <f t="shared" si="3"/>
        <v>6.4330039712108877E-2</v>
      </c>
      <c r="D32" s="17"/>
      <c r="F32" s="3">
        <f t="shared" si="25"/>
        <v>6.4330039712108836E-2</v>
      </c>
      <c r="G32" s="3">
        <f t="shared" si="25"/>
        <v>6.4330039712108447E-2</v>
      </c>
      <c r="H32" s="3">
        <f t="shared" si="25"/>
        <v>6.4330039712104561E-2</v>
      </c>
      <c r="I32" s="3">
        <f t="shared" si="25"/>
        <v>6.4330039712065717E-2</v>
      </c>
      <c r="J32" s="3">
        <f t="shared" si="25"/>
        <v>6.4330039711677237E-2</v>
      </c>
      <c r="K32" s="3">
        <f t="shared" si="25"/>
        <v>6.4330039707792483E-2</v>
      </c>
      <c r="L32" s="3">
        <f t="shared" si="25"/>
        <v>6.4330039668944905E-2</v>
      </c>
      <c r="M32" s="3">
        <f t="shared" si="25"/>
        <v>6.4330039280469153E-2</v>
      </c>
      <c r="N32" s="3">
        <f t="shared" si="25"/>
        <v>6.4330035395711721E-2</v>
      </c>
      <c r="O32" s="3">
        <f t="shared" si="25"/>
        <v>6.4329996548150359E-2</v>
      </c>
      <c r="P32" s="3">
        <f t="shared" si="25"/>
        <v>6.4329608073827024E-2</v>
      </c>
      <c r="Q32" s="3">
        <f t="shared" si="25"/>
        <v>6.4325723459616263E-2</v>
      </c>
      <c r="R32" s="3">
        <f t="shared" si="25"/>
        <v>6.4286890216890533E-2</v>
      </c>
      <c r="S32" s="3">
        <f t="shared" si="25"/>
        <v>6.3899844850291959E-2</v>
      </c>
      <c r="T32" s="3">
        <f t="shared" si="25"/>
        <v>6.0155267363587492E-2</v>
      </c>
      <c r="U32" s="3">
        <f t="shared" si="25"/>
        <v>3.2886089797693391E-2</v>
      </c>
      <c r="V32" s="3">
        <f t="shared" si="26"/>
        <v>7.841479434577187E-5</v>
      </c>
      <c r="W32" s="3">
        <f t="shared" si="26"/>
        <v>4.6586030046353839E-31</v>
      </c>
      <c r="X32" s="3">
        <f t="shared" si="26"/>
        <v>2.5517178348042854E-293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6.561604609405014E-2</v>
      </c>
      <c r="C33" s="18">
        <f t="shared" si="3"/>
        <v>7.1283808515689162E-2</v>
      </c>
      <c r="D33" s="17"/>
      <c r="F33" s="3">
        <f t="shared" si="25"/>
        <v>7.1283808515689148E-2</v>
      </c>
      <c r="G33" s="3">
        <f t="shared" si="25"/>
        <v>7.128380851568912E-2</v>
      </c>
      <c r="H33" s="3">
        <f t="shared" si="25"/>
        <v>7.1283808515688732E-2</v>
      </c>
      <c r="I33" s="3">
        <f t="shared" si="25"/>
        <v>7.1283808515684846E-2</v>
      </c>
      <c r="J33" s="3">
        <f t="shared" si="25"/>
        <v>7.1283808515646016E-2</v>
      </c>
      <c r="K33" s="3">
        <f t="shared" si="25"/>
        <v>7.1283808515257688E-2</v>
      </c>
      <c r="L33" s="3">
        <f t="shared" si="25"/>
        <v>7.1283808511374516E-2</v>
      </c>
      <c r="M33" s="3">
        <f t="shared" si="25"/>
        <v>7.1283808472542703E-2</v>
      </c>
      <c r="N33" s="3">
        <f t="shared" si="25"/>
        <v>7.1283808084224645E-2</v>
      </c>
      <c r="O33" s="3">
        <f t="shared" si="25"/>
        <v>7.1283804201044201E-2</v>
      </c>
      <c r="P33" s="3">
        <f t="shared" si="25"/>
        <v>7.128376536925124E-2</v>
      </c>
      <c r="Q33" s="3">
        <f t="shared" si="25"/>
        <v>7.1283377052485164E-2</v>
      </c>
      <c r="R33" s="3">
        <f t="shared" si="25"/>
        <v>7.1279494001166649E-2</v>
      </c>
      <c r="S33" s="3">
        <f t="shared" si="25"/>
        <v>7.1240675119856114E-2</v>
      </c>
      <c r="T33" s="3">
        <f t="shared" si="25"/>
        <v>7.0853647153138785E-2</v>
      </c>
      <c r="U33" s="3">
        <f t="shared" ref="P33:AE48" si="27">$C33*EXP(-U$15/$A33)</f>
        <v>6.7097146057178966E-2</v>
      </c>
      <c r="V33" s="3">
        <f t="shared" si="27"/>
        <v>3.8915483121467351E-2</v>
      </c>
      <c r="W33" s="3">
        <f t="shared" si="27"/>
        <v>1.6761242520920512E-4</v>
      </c>
      <c r="X33" s="3">
        <f t="shared" si="27"/>
        <v>3.6825109399750707E-28</v>
      </c>
      <c r="Y33" s="3">
        <f t="shared" si="27"/>
        <v>9.6498908907799982E-265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5.9839757687349997E-2</v>
      </c>
      <c r="C34" s="18">
        <f t="shared" si="3"/>
        <v>6.5008577665533668E-2</v>
      </c>
      <c r="D34" s="17"/>
      <c r="F34" s="3">
        <f t="shared" ref="F34:O48" si="28">$C34*EXP(-F$15/$A34)</f>
        <v>6.5008577665533668E-2</v>
      </c>
      <c r="G34" s="3">
        <f t="shared" si="28"/>
        <v>6.5008577665533668E-2</v>
      </c>
      <c r="H34" s="3">
        <f t="shared" si="28"/>
        <v>6.5008577665533626E-2</v>
      </c>
      <c r="I34" s="3">
        <f t="shared" si="28"/>
        <v>6.5008577665533321E-2</v>
      </c>
      <c r="J34" s="3">
        <f t="shared" si="28"/>
        <v>6.5008577665530115E-2</v>
      </c>
      <c r="K34" s="3">
        <f t="shared" si="28"/>
        <v>6.5008577665498168E-2</v>
      </c>
      <c r="L34" s="3">
        <f t="shared" si="28"/>
        <v>6.5008577665178716E-2</v>
      </c>
      <c r="M34" s="3">
        <f t="shared" si="28"/>
        <v>6.5008577661984132E-2</v>
      </c>
      <c r="N34" s="3">
        <f t="shared" si="28"/>
        <v>6.5008577630038325E-2</v>
      </c>
      <c r="O34" s="3">
        <f t="shared" si="28"/>
        <v>6.5008577310580185E-2</v>
      </c>
      <c r="P34" s="3">
        <f t="shared" si="27"/>
        <v>6.500857411599896E-2</v>
      </c>
      <c r="Q34" s="3">
        <f t="shared" si="27"/>
        <v>6.5008542170195333E-2</v>
      </c>
      <c r="R34" s="3">
        <f t="shared" si="27"/>
        <v>6.5008222713022493E-2</v>
      </c>
      <c r="S34" s="3">
        <f t="shared" si="27"/>
        <v>6.5005028227633946E-2</v>
      </c>
      <c r="T34" s="3">
        <f t="shared" si="27"/>
        <v>6.4973092006160957E-2</v>
      </c>
      <c r="U34" s="3">
        <f t="shared" si="27"/>
        <v>6.4654591465188732E-2</v>
      </c>
      <c r="V34" s="3">
        <f t="shared" si="27"/>
        <v>6.155420710434744E-2</v>
      </c>
      <c r="W34" s="3">
        <f t="shared" si="27"/>
        <v>3.7656628772832615E-2</v>
      </c>
      <c r="X34" s="3">
        <f t="shared" si="27"/>
        <v>2.7648934065266568E-4</v>
      </c>
      <c r="Y34" s="3">
        <f t="shared" si="27"/>
        <v>1.2590644194662737E-25</v>
      </c>
      <c r="Z34" s="3">
        <f t="shared" si="27"/>
        <v>4.8277362363150842E-239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4.5604307033351006E-2</v>
      </c>
      <c r="C35" s="18">
        <f t="shared" si="3"/>
        <v>4.954350168244695E-2</v>
      </c>
      <c r="D35" s="17"/>
      <c r="F35" s="3">
        <f t="shared" si="28"/>
        <v>4.954350168244695E-2</v>
      </c>
      <c r="G35" s="3">
        <f t="shared" si="28"/>
        <v>4.954350168244695E-2</v>
      </c>
      <c r="H35" s="3">
        <f t="shared" si="28"/>
        <v>4.954350168244695E-2</v>
      </c>
      <c r="I35" s="3">
        <f t="shared" si="28"/>
        <v>4.9543501682446929E-2</v>
      </c>
      <c r="J35" s="3">
        <f t="shared" si="28"/>
        <v>4.9543501682446707E-2</v>
      </c>
      <c r="K35" s="3">
        <f t="shared" si="28"/>
        <v>4.9543501682444507E-2</v>
      </c>
      <c r="L35" s="3">
        <f t="shared" si="28"/>
        <v>4.9543501682422553E-2</v>
      </c>
      <c r="M35" s="3">
        <f t="shared" si="28"/>
        <v>4.9543501682202923E-2</v>
      </c>
      <c r="N35" s="3">
        <f t="shared" si="28"/>
        <v>4.95435016800067E-2</v>
      </c>
      <c r="O35" s="3">
        <f t="shared" si="28"/>
        <v>4.9543501658044463E-2</v>
      </c>
      <c r="P35" s="3">
        <f t="shared" si="27"/>
        <v>4.9543501438422094E-2</v>
      </c>
      <c r="Q35" s="3">
        <f t="shared" si="27"/>
        <v>4.9543499242198454E-2</v>
      </c>
      <c r="R35" s="3">
        <f t="shared" si="27"/>
        <v>4.9543477279967406E-2</v>
      </c>
      <c r="S35" s="3">
        <f t="shared" si="27"/>
        <v>4.9543257658192431E-2</v>
      </c>
      <c r="T35" s="3">
        <f t="shared" si="27"/>
        <v>4.9541061493987897E-2</v>
      </c>
      <c r="U35" s="3">
        <f t="shared" si="27"/>
        <v>4.951910520559278E-2</v>
      </c>
      <c r="V35" s="3">
        <f t="shared" si="27"/>
        <v>4.9300076809609517E-2</v>
      </c>
      <c r="W35" s="3">
        <f t="shared" si="27"/>
        <v>4.7162375287734211E-2</v>
      </c>
      <c r="X35" s="3">
        <f t="shared" si="27"/>
        <v>3.0274460225520564E-2</v>
      </c>
      <c r="Y35" s="3">
        <f t="shared" si="27"/>
        <v>3.5965309136120954E-4</v>
      </c>
      <c r="Z35" s="3">
        <f t="shared" si="27"/>
        <v>2.0135280617136739E-23</v>
      </c>
      <c r="AA35" s="3">
        <f t="shared" si="27"/>
        <v>6.0911118773876886E-216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2.7873888000875806E-2</v>
      </c>
      <c r="C36" s="18">
        <f t="shared" si="3"/>
        <v>3.0281570029291476E-2</v>
      </c>
      <c r="D36" s="17"/>
      <c r="F36" s="3">
        <f t="shared" si="28"/>
        <v>3.0281570029291476E-2</v>
      </c>
      <c r="G36" s="3">
        <f t="shared" si="28"/>
        <v>3.0281570029291476E-2</v>
      </c>
      <c r="H36" s="3">
        <f t="shared" si="28"/>
        <v>3.0281570029291476E-2</v>
      </c>
      <c r="I36" s="3">
        <f t="shared" si="28"/>
        <v>3.0281570029291476E-2</v>
      </c>
      <c r="J36" s="3">
        <f t="shared" si="28"/>
        <v>3.0281570029291462E-2</v>
      </c>
      <c r="K36" s="3">
        <f t="shared" si="28"/>
        <v>3.0281570029291341E-2</v>
      </c>
      <c r="L36" s="3">
        <f t="shared" si="28"/>
        <v>3.028157002929013E-2</v>
      </c>
      <c r="M36" s="3">
        <f t="shared" si="28"/>
        <v>3.0281570029278022E-2</v>
      </c>
      <c r="N36" s="3">
        <f t="shared" si="28"/>
        <v>3.0281570029156928E-2</v>
      </c>
      <c r="O36" s="3">
        <f t="shared" si="28"/>
        <v>3.0281570027946011E-2</v>
      </c>
      <c r="P36" s="3">
        <f t="shared" si="27"/>
        <v>3.0281570015836829E-2</v>
      </c>
      <c r="Q36" s="3">
        <f t="shared" si="27"/>
        <v>3.0281569894744995E-2</v>
      </c>
      <c r="R36" s="3">
        <f t="shared" si="27"/>
        <v>3.0281568683826691E-2</v>
      </c>
      <c r="S36" s="3">
        <f t="shared" si="27"/>
        <v>3.0281556574646321E-2</v>
      </c>
      <c r="T36" s="3">
        <f t="shared" si="27"/>
        <v>3.028143548310893E-2</v>
      </c>
      <c r="U36" s="3">
        <f t="shared" si="27"/>
        <v>3.0280224594367203E-2</v>
      </c>
      <c r="V36" s="3">
        <f t="shared" si="27"/>
        <v>3.0268118369774871E-2</v>
      </c>
      <c r="W36" s="3">
        <f t="shared" si="27"/>
        <v>3.0147322012780003E-2</v>
      </c>
      <c r="X36" s="3">
        <f t="shared" si="27"/>
        <v>2.8965558104511877E-2</v>
      </c>
      <c r="Y36" s="3">
        <f t="shared" si="27"/>
        <v>1.9418403057381819E-2</v>
      </c>
      <c r="Z36" s="3">
        <f t="shared" si="27"/>
        <v>3.5606527004614422E-4</v>
      </c>
      <c r="AA36" s="3">
        <f t="shared" si="27"/>
        <v>1.5299972750965703E-21</v>
      </c>
      <c r="AB36" s="3">
        <f t="shared" si="27"/>
        <v>3.2832282526940215E-195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1.457950225172612E-2</v>
      </c>
      <c r="C37" s="18">
        <f t="shared" si="3"/>
        <v>1.5838845962715554E-2</v>
      </c>
      <c r="D37" s="17"/>
      <c r="F37" s="3">
        <f t="shared" si="28"/>
        <v>1.5838845962715554E-2</v>
      </c>
      <c r="G37" s="3">
        <f t="shared" si="28"/>
        <v>1.5838845962715554E-2</v>
      </c>
      <c r="H37" s="3">
        <f t="shared" si="28"/>
        <v>1.5838845962715554E-2</v>
      </c>
      <c r="I37" s="3">
        <f t="shared" si="28"/>
        <v>1.5838845962715554E-2</v>
      </c>
      <c r="J37" s="3">
        <f t="shared" si="28"/>
        <v>1.5838845962715554E-2</v>
      </c>
      <c r="K37" s="3">
        <f t="shared" si="28"/>
        <v>1.5838845962715547E-2</v>
      </c>
      <c r="L37" s="3">
        <f t="shared" si="28"/>
        <v>1.5838845962715491E-2</v>
      </c>
      <c r="M37" s="3">
        <f t="shared" si="28"/>
        <v>1.5838845962714919E-2</v>
      </c>
      <c r="N37" s="3">
        <f t="shared" si="28"/>
        <v>1.5838845962709205E-2</v>
      </c>
      <c r="O37" s="3">
        <f t="shared" si="28"/>
        <v>1.583884596265207E-2</v>
      </c>
      <c r="P37" s="3">
        <f t="shared" si="27"/>
        <v>1.5838845962080714E-2</v>
      </c>
      <c r="Q37" s="3">
        <f t="shared" si="27"/>
        <v>1.5838845956367156E-2</v>
      </c>
      <c r="R37" s="3">
        <f t="shared" si="27"/>
        <v>1.5838845899231582E-2</v>
      </c>
      <c r="S37" s="3">
        <f t="shared" si="27"/>
        <v>1.5838845327875859E-2</v>
      </c>
      <c r="T37" s="3">
        <f t="shared" si="27"/>
        <v>1.5838839614319755E-2</v>
      </c>
      <c r="U37" s="3">
        <f t="shared" si="27"/>
        <v>1.5838782478872087E-2</v>
      </c>
      <c r="V37" s="3">
        <f t="shared" si="27"/>
        <v>1.5838211135731008E-2</v>
      </c>
      <c r="W37" s="3">
        <f t="shared" si="27"/>
        <v>1.5832498837732547E-2</v>
      </c>
      <c r="X37" s="3">
        <f t="shared" si="27"/>
        <v>1.5775489047850137E-2</v>
      </c>
      <c r="Y37" s="3">
        <f t="shared" si="27"/>
        <v>1.5216560530675173E-2</v>
      </c>
      <c r="Z37" s="3">
        <f t="shared" si="27"/>
        <v>1.0608480018881008E-2</v>
      </c>
      <c r="AA37" s="3">
        <f t="shared" si="27"/>
        <v>2.877529671428381E-4</v>
      </c>
      <c r="AB37" s="3">
        <f t="shared" si="27"/>
        <v>6.2042071299986306E-20</v>
      </c>
      <c r="AC37" s="3">
        <f t="shared" si="27"/>
        <v>1.3469487392507582E-176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4.7756328422777234E-3</v>
      </c>
      <c r="C38" s="18">
        <f t="shared" si="3"/>
        <v>5.1881409706128322E-3</v>
      </c>
      <c r="D38" s="17"/>
      <c r="F38" s="3">
        <f t="shared" si="28"/>
        <v>5.1881409706128322E-3</v>
      </c>
      <c r="G38" s="3">
        <f t="shared" si="28"/>
        <v>5.1881409706128322E-3</v>
      </c>
      <c r="H38" s="3">
        <f t="shared" si="28"/>
        <v>5.1881409706128322E-3</v>
      </c>
      <c r="I38" s="3">
        <f t="shared" si="28"/>
        <v>5.1881409706128322E-3</v>
      </c>
      <c r="J38" s="3">
        <f t="shared" si="28"/>
        <v>5.1881409706128322E-3</v>
      </c>
      <c r="K38" s="3">
        <f t="shared" si="28"/>
        <v>5.1881409706128322E-3</v>
      </c>
      <c r="L38" s="3">
        <f t="shared" si="28"/>
        <v>5.1881409706128305E-3</v>
      </c>
      <c r="M38" s="3">
        <f t="shared" si="28"/>
        <v>5.1881409706128132E-3</v>
      </c>
      <c r="N38" s="3">
        <f t="shared" si="28"/>
        <v>5.1881409706126449E-3</v>
      </c>
      <c r="O38" s="3">
        <f t="shared" si="28"/>
        <v>5.1881409706109561E-3</v>
      </c>
      <c r="P38" s="3">
        <f t="shared" si="27"/>
        <v>5.1881409705940738E-3</v>
      </c>
      <c r="Q38" s="3">
        <f t="shared" si="27"/>
        <v>5.188140970425247E-3</v>
      </c>
      <c r="R38" s="3">
        <f t="shared" si="27"/>
        <v>5.1881409687369786E-3</v>
      </c>
      <c r="S38" s="3">
        <f t="shared" si="27"/>
        <v>5.1881409518542976E-3</v>
      </c>
      <c r="T38" s="3">
        <f t="shared" si="27"/>
        <v>5.1881407830274909E-3</v>
      </c>
      <c r="U38" s="3">
        <f t="shared" si="27"/>
        <v>5.1881390947597214E-3</v>
      </c>
      <c r="V38" s="3">
        <f t="shared" si="27"/>
        <v>5.188122212112246E-3</v>
      </c>
      <c r="W38" s="3">
        <f t="shared" si="27"/>
        <v>5.1879533886590263E-3</v>
      </c>
      <c r="X38" s="3">
        <f t="shared" si="27"/>
        <v>5.1862654562441768E-3</v>
      </c>
      <c r="Y38" s="3">
        <f t="shared" si="27"/>
        <v>5.1694163074861551E-3</v>
      </c>
      <c r="Z38" s="3">
        <f t="shared" si="27"/>
        <v>5.0039063414449693E-3</v>
      </c>
      <c r="AA38" s="3">
        <f t="shared" si="27"/>
        <v>3.6139805496263507E-3</v>
      </c>
      <c r="AB38" s="3">
        <f t="shared" si="27"/>
        <v>1.3955718342661079E-4</v>
      </c>
      <c r="AC38" s="3">
        <f t="shared" si="27"/>
        <v>1.0290015893663566E-18</v>
      </c>
      <c r="AD38" s="3">
        <f t="shared" si="27"/>
        <v>4.8871373276046949E-160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3.554674559310694E-3</v>
      </c>
      <c r="C39" s="18">
        <f t="shared" si="3"/>
        <v>3.8617191328215671E-3</v>
      </c>
      <c r="D39" s="17"/>
      <c r="F39" s="3">
        <f t="shared" si="28"/>
        <v>3.8617191328215671E-3</v>
      </c>
      <c r="G39" s="3">
        <f t="shared" si="28"/>
        <v>3.8617191328215671E-3</v>
      </c>
      <c r="H39" s="3">
        <f t="shared" si="28"/>
        <v>3.8617191328215671E-3</v>
      </c>
      <c r="I39" s="3">
        <f t="shared" si="28"/>
        <v>3.8617191328215671E-3</v>
      </c>
      <c r="J39" s="3">
        <f t="shared" si="28"/>
        <v>3.8617191328215671E-3</v>
      </c>
      <c r="K39" s="3">
        <f t="shared" si="28"/>
        <v>3.8617191328215671E-3</v>
      </c>
      <c r="L39" s="3">
        <f t="shared" si="28"/>
        <v>3.8617191328215667E-3</v>
      </c>
      <c r="M39" s="3">
        <f t="shared" si="28"/>
        <v>3.8617191328215632E-3</v>
      </c>
      <c r="N39" s="3">
        <f t="shared" si="28"/>
        <v>3.8617191328215285E-3</v>
      </c>
      <c r="O39" s="3">
        <f t="shared" si="28"/>
        <v>3.8617191328211807E-3</v>
      </c>
      <c r="P39" s="3">
        <f t="shared" si="27"/>
        <v>3.8617191328177056E-3</v>
      </c>
      <c r="Q39" s="3">
        <f t="shared" si="27"/>
        <v>3.86171913278295E-3</v>
      </c>
      <c r="R39" s="3">
        <f t="shared" si="27"/>
        <v>3.8617191324353951E-3</v>
      </c>
      <c r="S39" s="3">
        <f t="shared" si="27"/>
        <v>3.861719128959848E-3</v>
      </c>
      <c r="T39" s="3">
        <f t="shared" si="27"/>
        <v>3.8617190942043761E-3</v>
      </c>
      <c r="U39" s="3">
        <f t="shared" si="27"/>
        <v>3.8617187466496732E-3</v>
      </c>
      <c r="V39" s="3">
        <f t="shared" si="27"/>
        <v>3.861715271104365E-3</v>
      </c>
      <c r="W39" s="3">
        <f t="shared" si="27"/>
        <v>3.8616805158233243E-3</v>
      </c>
      <c r="X39" s="3">
        <f t="shared" si="27"/>
        <v>3.861332980216237E-3</v>
      </c>
      <c r="Y39" s="3">
        <f t="shared" si="27"/>
        <v>3.8578593439048529E-3</v>
      </c>
      <c r="Z39" s="3">
        <f t="shared" si="27"/>
        <v>3.823294385435974E-3</v>
      </c>
      <c r="AA39" s="3">
        <f t="shared" si="27"/>
        <v>3.4942279693223315E-3</v>
      </c>
      <c r="AB39" s="3">
        <f t="shared" si="27"/>
        <v>1.4206470765434651E-3</v>
      </c>
      <c r="AC39" s="3">
        <f t="shared" si="27"/>
        <v>1.7532177739254307E-7</v>
      </c>
      <c r="AD39" s="3">
        <f t="shared" si="27"/>
        <v>1.4365888572149528E-46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2.8167015702979491E-3</v>
      </c>
      <c r="C40" s="18">
        <f t="shared" si="3"/>
        <v>3.0600017424879029E-3</v>
      </c>
      <c r="D40" s="17"/>
      <c r="F40" s="3">
        <f t="shared" si="28"/>
        <v>3.0600017424879029E-3</v>
      </c>
      <c r="G40" s="3">
        <f t="shared" si="28"/>
        <v>3.0600017424879029E-3</v>
      </c>
      <c r="H40" s="3">
        <f t="shared" si="28"/>
        <v>3.0600017424879029E-3</v>
      </c>
      <c r="I40" s="3">
        <f t="shared" si="28"/>
        <v>3.0600017424879029E-3</v>
      </c>
      <c r="J40" s="3">
        <f t="shared" si="28"/>
        <v>3.0600017424879029E-3</v>
      </c>
      <c r="K40" s="3">
        <f t="shared" si="28"/>
        <v>3.0600017424879029E-3</v>
      </c>
      <c r="L40" s="3">
        <f t="shared" si="28"/>
        <v>3.0600017424879029E-3</v>
      </c>
      <c r="M40" s="3">
        <f t="shared" si="28"/>
        <v>3.0600017424879025E-3</v>
      </c>
      <c r="N40" s="3">
        <f t="shared" si="28"/>
        <v>3.0600017424878998E-3</v>
      </c>
      <c r="O40" s="3">
        <f t="shared" si="28"/>
        <v>3.0600017424878721E-3</v>
      </c>
      <c r="P40" s="3">
        <f t="shared" si="27"/>
        <v>3.0600017424875967E-3</v>
      </c>
      <c r="Q40" s="3">
        <f t="shared" si="27"/>
        <v>3.0600017424848428E-3</v>
      </c>
      <c r="R40" s="3">
        <f t="shared" si="27"/>
        <v>3.0600017424573028E-3</v>
      </c>
      <c r="S40" s="3">
        <f t="shared" si="27"/>
        <v>3.0600017421819029E-3</v>
      </c>
      <c r="T40" s="3">
        <f t="shared" si="27"/>
        <v>3.0600017394279014E-3</v>
      </c>
      <c r="U40" s="3">
        <f t="shared" si="27"/>
        <v>3.0600017118878856E-3</v>
      </c>
      <c r="V40" s="3">
        <f t="shared" si="27"/>
        <v>3.0600014364877441E-3</v>
      </c>
      <c r="W40" s="3">
        <f t="shared" si="27"/>
        <v>3.0599986824876905E-3</v>
      </c>
      <c r="X40" s="3">
        <f t="shared" si="27"/>
        <v>3.0599711426234776E-3</v>
      </c>
      <c r="Y40" s="3">
        <f t="shared" si="27"/>
        <v>3.0596957576131526E-3</v>
      </c>
      <c r="Z40" s="3">
        <f t="shared" si="27"/>
        <v>3.0569432702364134E-3</v>
      </c>
      <c r="AA40" s="3">
        <f t="shared" si="27"/>
        <v>3.0295542164223131E-3</v>
      </c>
      <c r="AB40" s="3">
        <f t="shared" si="27"/>
        <v>2.7688040758582911E-3</v>
      </c>
      <c r="AC40" s="3">
        <f t="shared" si="27"/>
        <v>1.1257117310100894E-3</v>
      </c>
      <c r="AD40" s="3">
        <f t="shared" si="27"/>
        <v>1.3892386418203206E-7</v>
      </c>
      <c r="AE40" s="3">
        <f t="shared" si="27"/>
        <v>1.1383438968811144E-46</v>
      </c>
      <c r="AF40" s="3">
        <f t="shared" si="29"/>
        <v>0</v>
      </c>
      <c r="AG40" s="3">
        <f t="shared" si="29"/>
        <v>0</v>
      </c>
      <c r="AH40" s="3">
        <f t="shared" si="29"/>
        <v>0</v>
      </c>
      <c r="AI40" s="3">
        <f t="shared" si="29"/>
        <v>0</v>
      </c>
      <c r="AJ40" s="3">
        <f t="shared" si="29"/>
        <v>0</v>
      </c>
    </row>
    <row r="41" spans="1:36" x14ac:dyDescent="0.25">
      <c r="A41" s="3">
        <f t="shared" si="30"/>
        <v>1000000000</v>
      </c>
      <c r="B41" s="106">
        <v>1.7114812311515965E-3</v>
      </c>
      <c r="C41" s="18">
        <f t="shared" si="3"/>
        <v>1.8593150246318942E-3</v>
      </c>
      <c r="D41" s="17"/>
      <c r="F41" s="3">
        <f t="shared" si="28"/>
        <v>1.8593150246318942E-3</v>
      </c>
      <c r="G41" s="3">
        <f t="shared" si="28"/>
        <v>1.8593150246318942E-3</v>
      </c>
      <c r="H41" s="3">
        <f t="shared" si="28"/>
        <v>1.8593150246318942E-3</v>
      </c>
      <c r="I41" s="3">
        <f t="shared" si="28"/>
        <v>1.8593150246318942E-3</v>
      </c>
      <c r="J41" s="3">
        <f t="shared" si="28"/>
        <v>1.8593150246318942E-3</v>
      </c>
      <c r="K41" s="3">
        <f t="shared" si="28"/>
        <v>1.8593150246318942E-3</v>
      </c>
      <c r="L41" s="3">
        <f t="shared" si="28"/>
        <v>1.8593150246318942E-3</v>
      </c>
      <c r="M41" s="3">
        <f t="shared" si="28"/>
        <v>1.8593150246318942E-3</v>
      </c>
      <c r="N41" s="3">
        <f t="shared" si="28"/>
        <v>1.859315024631894E-3</v>
      </c>
      <c r="O41" s="3">
        <f t="shared" si="28"/>
        <v>1.8593150246318923E-3</v>
      </c>
      <c r="P41" s="3">
        <f t="shared" si="27"/>
        <v>1.8593150246318756E-3</v>
      </c>
      <c r="Q41" s="3">
        <f t="shared" si="27"/>
        <v>1.8593150246317082E-3</v>
      </c>
      <c r="R41" s="3">
        <f t="shared" si="27"/>
        <v>1.859315024630035E-3</v>
      </c>
      <c r="S41" s="3">
        <f t="shared" si="27"/>
        <v>1.859315024613301E-3</v>
      </c>
      <c r="T41" s="3">
        <f t="shared" si="27"/>
        <v>1.8593150244459627E-3</v>
      </c>
      <c r="U41" s="3">
        <f t="shared" si="27"/>
        <v>1.8593150227725792E-3</v>
      </c>
      <c r="V41" s="3">
        <f t="shared" si="27"/>
        <v>1.859315006038744E-3</v>
      </c>
      <c r="W41" s="3">
        <f t="shared" si="27"/>
        <v>1.8593148387004012E-3</v>
      </c>
      <c r="X41" s="3">
        <f t="shared" si="27"/>
        <v>1.8593131653177992E-3</v>
      </c>
      <c r="Y41" s="3">
        <f t="shared" si="27"/>
        <v>1.8592964315746134E-3</v>
      </c>
      <c r="Z41" s="3">
        <f t="shared" si="27"/>
        <v>1.8591291024256963E-3</v>
      </c>
      <c r="AA41" s="3">
        <f t="shared" si="27"/>
        <v>1.8574566389549664E-3</v>
      </c>
      <c r="AB41" s="3">
        <f t="shared" si="27"/>
        <v>1.8408145310241373E-3</v>
      </c>
      <c r="AC41" s="3">
        <f t="shared" si="27"/>
        <v>1.6823778062033897E-3</v>
      </c>
      <c r="AD41" s="3">
        <f t="shared" si="27"/>
        <v>6.8400377222324778E-4</v>
      </c>
      <c r="AE41" s="3">
        <f t="shared" si="27"/>
        <v>8.4412771524620794E-8</v>
      </c>
      <c r="AF41" s="3">
        <f t="shared" si="29"/>
        <v>6.9167931549876984E-47</v>
      </c>
      <c r="AG41" s="3">
        <f t="shared" si="29"/>
        <v>0</v>
      </c>
      <c r="AH41" s="3">
        <f t="shared" si="29"/>
        <v>0</v>
      </c>
      <c r="AI41" s="3">
        <f t="shared" si="29"/>
        <v>0</v>
      </c>
      <c r="AJ41" s="3">
        <f t="shared" si="29"/>
        <v>0</v>
      </c>
    </row>
    <row r="42" spans="1:36" x14ac:dyDescent="0.25">
      <c r="A42" s="3">
        <f t="shared" si="30"/>
        <v>10000000000</v>
      </c>
      <c r="B42" s="106">
        <v>9.4717625401859634E-5</v>
      </c>
      <c r="C42" s="18">
        <f t="shared" si="3"/>
        <v>1.0289911498978865E-4</v>
      </c>
      <c r="D42" s="17"/>
      <c r="F42" s="3">
        <f t="shared" si="28"/>
        <v>1.0289911498978865E-4</v>
      </c>
      <c r="G42" s="3">
        <f t="shared" si="28"/>
        <v>1.0289911498978865E-4</v>
      </c>
      <c r="H42" s="3">
        <f t="shared" si="28"/>
        <v>1.0289911498978865E-4</v>
      </c>
      <c r="I42" s="3">
        <f t="shared" si="28"/>
        <v>1.0289911498978865E-4</v>
      </c>
      <c r="J42" s="3">
        <f t="shared" si="28"/>
        <v>1.0289911498978865E-4</v>
      </c>
      <c r="K42" s="3">
        <f t="shared" si="28"/>
        <v>1.0289911498978865E-4</v>
      </c>
      <c r="L42" s="3">
        <f t="shared" si="28"/>
        <v>1.0289911498978865E-4</v>
      </c>
      <c r="M42" s="3">
        <f t="shared" si="28"/>
        <v>1.0289911498978865E-4</v>
      </c>
      <c r="N42" s="3">
        <f t="shared" si="28"/>
        <v>1.0289911498978865E-4</v>
      </c>
      <c r="O42" s="3">
        <f t="shared" si="28"/>
        <v>1.0289911498978864E-4</v>
      </c>
      <c r="P42" s="3">
        <f t="shared" si="27"/>
        <v>1.0289911498978854E-4</v>
      </c>
      <c r="Q42" s="3">
        <f t="shared" si="27"/>
        <v>1.0289911498978762E-4</v>
      </c>
      <c r="R42" s="3">
        <f t="shared" si="27"/>
        <v>1.0289911498977837E-4</v>
      </c>
      <c r="S42" s="3">
        <f t="shared" si="27"/>
        <v>1.0289911498968576E-4</v>
      </c>
      <c r="T42" s="3">
        <f t="shared" si="27"/>
        <v>1.0289911498875966E-4</v>
      </c>
      <c r="U42" s="3">
        <f t="shared" si="27"/>
        <v>1.0289911497949873E-4</v>
      </c>
      <c r="V42" s="3">
        <f t="shared" si="27"/>
        <v>1.0289911488688954E-4</v>
      </c>
      <c r="W42" s="3">
        <f t="shared" si="27"/>
        <v>1.0289911396079751E-4</v>
      </c>
      <c r="X42" s="3">
        <f t="shared" si="27"/>
        <v>1.0289910469987767E-4</v>
      </c>
      <c r="Y42" s="3">
        <f t="shared" si="27"/>
        <v>1.0289901209072511E-4</v>
      </c>
      <c r="Z42" s="3">
        <f t="shared" si="27"/>
        <v>1.0289808600378369E-4</v>
      </c>
      <c r="AA42" s="3">
        <f t="shared" si="27"/>
        <v>1.0288882559276809E-4</v>
      </c>
      <c r="AB42" s="3">
        <f t="shared" si="27"/>
        <v>1.027962673072108E-4</v>
      </c>
      <c r="AC42" s="3">
        <f t="shared" si="27"/>
        <v>1.0187525168857678E-4</v>
      </c>
      <c r="AD42" s="3">
        <f t="shared" si="27"/>
        <v>9.3106969525545661E-5</v>
      </c>
      <c r="AE42" s="3">
        <f t="shared" si="27"/>
        <v>3.7854468919479432E-5</v>
      </c>
      <c r="AF42" s="3">
        <f t="shared" si="29"/>
        <v>4.671612593158257E-9</v>
      </c>
      <c r="AG42" s="3">
        <f t="shared" si="29"/>
        <v>3.8279252562731829E-48</v>
      </c>
      <c r="AH42" s="3">
        <f t="shared" si="29"/>
        <v>0</v>
      </c>
      <c r="AI42" s="3">
        <f t="shared" si="29"/>
        <v>0</v>
      </c>
      <c r="AJ42" s="3">
        <f t="shared" si="29"/>
        <v>0</v>
      </c>
    </row>
    <row r="43" spans="1:36" x14ac:dyDescent="0.25">
      <c r="A43" s="3">
        <f t="shared" si="30"/>
        <v>100000000000</v>
      </c>
      <c r="B43" s="106">
        <v>3.1573802525357172E-3</v>
      </c>
      <c r="C43" s="18">
        <f t="shared" si="3"/>
        <v>3.4301074619822757E-3</v>
      </c>
      <c r="D43" s="17"/>
      <c r="F43" s="3">
        <f t="shared" si="28"/>
        <v>3.4301074619822757E-3</v>
      </c>
      <c r="G43" s="3">
        <f t="shared" si="28"/>
        <v>3.4301074619822757E-3</v>
      </c>
      <c r="H43" s="3">
        <f t="shared" si="28"/>
        <v>3.4301074619822757E-3</v>
      </c>
      <c r="I43" s="3">
        <f t="shared" si="28"/>
        <v>3.4301074619822757E-3</v>
      </c>
      <c r="J43" s="3">
        <f t="shared" si="28"/>
        <v>3.4301074619822757E-3</v>
      </c>
      <c r="K43" s="3">
        <f t="shared" si="28"/>
        <v>3.4301074619822757E-3</v>
      </c>
      <c r="L43" s="3">
        <f t="shared" si="28"/>
        <v>3.4301074619822757E-3</v>
      </c>
      <c r="M43" s="3">
        <f t="shared" si="28"/>
        <v>3.4301074619822757E-3</v>
      </c>
      <c r="N43" s="3">
        <f t="shared" si="28"/>
        <v>3.4301074619822757E-3</v>
      </c>
      <c r="O43" s="3">
        <f t="shared" si="28"/>
        <v>3.4301074619822757E-3</v>
      </c>
      <c r="P43" s="3">
        <f t="shared" si="27"/>
        <v>3.4301074619822753E-3</v>
      </c>
      <c r="Q43" s="3">
        <f t="shared" si="27"/>
        <v>3.4301074619822723E-3</v>
      </c>
      <c r="R43" s="3">
        <f t="shared" si="27"/>
        <v>3.4301074619822415E-3</v>
      </c>
      <c r="S43" s="3">
        <f t="shared" si="27"/>
        <v>3.4301074619819327E-3</v>
      </c>
      <c r="T43" s="3">
        <f t="shared" si="27"/>
        <v>3.4301074619788458E-3</v>
      </c>
      <c r="U43" s="3">
        <f t="shared" si="27"/>
        <v>3.4301074619479746E-3</v>
      </c>
      <c r="V43" s="3">
        <f t="shared" si="27"/>
        <v>3.430107461639265E-3</v>
      </c>
      <c r="W43" s="3">
        <f t="shared" si="27"/>
        <v>3.4301074585521684E-3</v>
      </c>
      <c r="X43" s="3">
        <f t="shared" si="27"/>
        <v>3.4301074276812012E-3</v>
      </c>
      <c r="Y43" s="3">
        <f t="shared" si="27"/>
        <v>3.430107118971547E-3</v>
      </c>
      <c r="Z43" s="3">
        <f t="shared" si="27"/>
        <v>3.430104031876529E-3</v>
      </c>
      <c r="AA43" s="3">
        <f t="shared" si="27"/>
        <v>3.4300731610791605E-3</v>
      </c>
      <c r="AB43" s="3">
        <f t="shared" si="27"/>
        <v>3.4297644683860431E-3</v>
      </c>
      <c r="AC43" s="3">
        <f t="shared" si="27"/>
        <v>3.4266790690024827E-3</v>
      </c>
      <c r="AD43" s="3">
        <f t="shared" si="27"/>
        <v>3.3959773224773331E-3</v>
      </c>
      <c r="AE43" s="3">
        <f t="shared" si="27"/>
        <v>3.1036895794859204E-3</v>
      </c>
      <c r="AF43" s="3">
        <f t="shared" si="29"/>
        <v>1.261866016272034E-3</v>
      </c>
      <c r="AG43" s="3">
        <f t="shared" si="29"/>
        <v>1.5572663785177052E-7</v>
      </c>
      <c r="AH43" s="3">
        <f t="shared" si="29"/>
        <v>1.2760260364490067E-46</v>
      </c>
      <c r="AI43" s="3">
        <f t="shared" si="29"/>
        <v>0</v>
      </c>
      <c r="AJ43" s="3">
        <f t="shared" si="29"/>
        <v>0</v>
      </c>
    </row>
    <row r="44" spans="1:36" x14ac:dyDescent="0.25">
      <c r="A44" s="3">
        <f t="shared" si="30"/>
        <v>1000000000000</v>
      </c>
      <c r="B44" s="106">
        <v>9.2965517082791598E-5</v>
      </c>
      <c r="C44" s="18">
        <f t="shared" si="3"/>
        <v>1.0099566360327609E-4</v>
      </c>
      <c r="D44" s="17"/>
      <c r="F44" s="3">
        <f t="shared" si="28"/>
        <v>1.0099566360327609E-4</v>
      </c>
      <c r="G44" s="3">
        <f t="shared" si="28"/>
        <v>1.0099566360327609E-4</v>
      </c>
      <c r="H44" s="3">
        <f t="shared" si="28"/>
        <v>1.0099566360327609E-4</v>
      </c>
      <c r="I44" s="3">
        <f t="shared" si="28"/>
        <v>1.0099566360327609E-4</v>
      </c>
      <c r="J44" s="3">
        <f t="shared" si="28"/>
        <v>1.0099566360327609E-4</v>
      </c>
      <c r="K44" s="3">
        <f t="shared" si="28"/>
        <v>1.0099566360327609E-4</v>
      </c>
      <c r="L44" s="3">
        <f t="shared" si="28"/>
        <v>1.0099566360327609E-4</v>
      </c>
      <c r="M44" s="3">
        <f t="shared" si="28"/>
        <v>1.0099566360327609E-4</v>
      </c>
      <c r="N44" s="3">
        <f t="shared" si="28"/>
        <v>1.0099566360327609E-4</v>
      </c>
      <c r="O44" s="3">
        <f t="shared" si="28"/>
        <v>1.0099566360327609E-4</v>
      </c>
      <c r="P44" s="3">
        <f t="shared" si="27"/>
        <v>1.0099566360327609E-4</v>
      </c>
      <c r="Q44" s="3">
        <f t="shared" si="27"/>
        <v>1.0099566360327608E-4</v>
      </c>
      <c r="R44" s="3">
        <f t="shared" si="27"/>
        <v>1.00995663603276E-4</v>
      </c>
      <c r="S44" s="3">
        <f t="shared" si="27"/>
        <v>1.0099566360327509E-4</v>
      </c>
      <c r="T44" s="3">
        <f t="shared" si="27"/>
        <v>1.00995663603266E-4</v>
      </c>
      <c r="U44" s="3">
        <f t="shared" si="27"/>
        <v>1.009956636031751E-4</v>
      </c>
      <c r="V44" s="3">
        <f t="shared" si="27"/>
        <v>1.0099566360226613E-4</v>
      </c>
      <c r="W44" s="3">
        <f t="shared" si="27"/>
        <v>1.0099566359317652E-4</v>
      </c>
      <c r="X44" s="3">
        <f t="shared" si="27"/>
        <v>1.0099566350228044E-4</v>
      </c>
      <c r="Y44" s="3">
        <f t="shared" si="27"/>
        <v>1.0099566259331946E-4</v>
      </c>
      <c r="Z44" s="3">
        <f t="shared" si="27"/>
        <v>1.0099565350371024E-4</v>
      </c>
      <c r="AA44" s="3">
        <f t="shared" si="27"/>
        <v>1.0099556260766299E-4</v>
      </c>
      <c r="AB44" s="3">
        <f t="shared" si="27"/>
        <v>1.0099465365168982E-4</v>
      </c>
      <c r="AC44" s="3">
        <f t="shared" si="27"/>
        <v>1.0098556454187726E-4</v>
      </c>
      <c r="AD44" s="3">
        <f t="shared" si="27"/>
        <v>1.0089471842067622E-4</v>
      </c>
      <c r="AE44" s="3">
        <f t="shared" si="27"/>
        <v>9.9990739959810408E-5</v>
      </c>
      <c r="AF44" s="3">
        <f t="shared" si="29"/>
        <v>9.1384655487616677E-5</v>
      </c>
      <c r="AG44" s="3">
        <f t="shared" si="29"/>
        <v>3.7154228287112186E-5</v>
      </c>
      <c r="AH44" s="3">
        <f t="shared" si="29"/>
        <v>4.5851960339042827E-9</v>
      </c>
      <c r="AI44" s="3">
        <f t="shared" si="29"/>
        <v>3.7571154185282933E-48</v>
      </c>
      <c r="AJ44" s="3">
        <f t="shared" si="29"/>
        <v>0</v>
      </c>
    </row>
    <row r="45" spans="1:36" x14ac:dyDescent="0.25">
      <c r="A45" s="3">
        <f t="shared" si="30"/>
        <v>10000000000000</v>
      </c>
      <c r="B45" s="106">
        <v>2.6266879516750733E-4</v>
      </c>
      <c r="C45" s="18">
        <f t="shared" si="3"/>
        <v>2.8535751866135694E-4</v>
      </c>
      <c r="D45" s="17"/>
      <c r="F45" s="3">
        <f t="shared" si="28"/>
        <v>2.8535751866135694E-4</v>
      </c>
      <c r="G45" s="3">
        <f t="shared" si="28"/>
        <v>2.8535751866135694E-4</v>
      </c>
      <c r="H45" s="3">
        <f t="shared" si="28"/>
        <v>2.8535751866135694E-4</v>
      </c>
      <c r="I45" s="3">
        <f t="shared" si="28"/>
        <v>2.8535751866135694E-4</v>
      </c>
      <c r="J45" s="3">
        <f t="shared" si="28"/>
        <v>2.8535751866135694E-4</v>
      </c>
      <c r="K45" s="3">
        <f t="shared" si="28"/>
        <v>2.8535751866135694E-4</v>
      </c>
      <c r="L45" s="3">
        <f t="shared" si="28"/>
        <v>2.8535751866135694E-4</v>
      </c>
      <c r="M45" s="3">
        <f t="shared" si="28"/>
        <v>2.8535751866135694E-4</v>
      </c>
      <c r="N45" s="3">
        <f t="shared" si="28"/>
        <v>2.8535751866135694E-4</v>
      </c>
      <c r="O45" s="3">
        <f t="shared" si="28"/>
        <v>2.8535751866135694E-4</v>
      </c>
      <c r="P45" s="3">
        <f t="shared" si="27"/>
        <v>2.8535751866135694E-4</v>
      </c>
      <c r="Q45" s="3">
        <f t="shared" si="27"/>
        <v>2.8535751866135694E-4</v>
      </c>
      <c r="R45" s="3">
        <f t="shared" si="27"/>
        <v>2.8535751866135689E-4</v>
      </c>
      <c r="S45" s="3">
        <f t="shared" si="27"/>
        <v>2.8535751866135667E-4</v>
      </c>
      <c r="T45" s="3">
        <f t="shared" si="27"/>
        <v>2.8535751866135407E-4</v>
      </c>
      <c r="U45" s="3">
        <f t="shared" si="27"/>
        <v>2.8535751866132838E-4</v>
      </c>
      <c r="V45" s="3">
        <f t="shared" si="27"/>
        <v>2.8535751866107158E-4</v>
      </c>
      <c r="W45" s="3">
        <f t="shared" si="27"/>
        <v>2.8535751865850338E-4</v>
      </c>
      <c r="X45" s="3">
        <f t="shared" si="27"/>
        <v>2.8535751863282118E-4</v>
      </c>
      <c r="Y45" s="3">
        <f t="shared" si="27"/>
        <v>2.8535751837599943E-4</v>
      </c>
      <c r="Z45" s="3">
        <f t="shared" si="27"/>
        <v>2.8535751580778177E-4</v>
      </c>
      <c r="AA45" s="3">
        <f t="shared" si="27"/>
        <v>2.8535749012560652E-4</v>
      </c>
      <c r="AB45" s="3">
        <f t="shared" si="27"/>
        <v>2.8535723330398098E-4</v>
      </c>
      <c r="AC45" s="3">
        <f t="shared" si="27"/>
        <v>2.8535466510043814E-4</v>
      </c>
      <c r="AD45" s="3">
        <f t="shared" si="27"/>
        <v>2.8532898433623085E-4</v>
      </c>
      <c r="AE45" s="3">
        <f t="shared" si="27"/>
        <v>2.8507230377390722E-4</v>
      </c>
      <c r="AF45" s="3">
        <f t="shared" si="29"/>
        <v>2.825181639097516E-4</v>
      </c>
      <c r="AG45" s="3">
        <f t="shared" si="29"/>
        <v>2.5820216040269034E-4</v>
      </c>
      <c r="AH45" s="3">
        <f t="shared" si="29"/>
        <v>1.0497716449920941E-4</v>
      </c>
      <c r="AI45" s="3">
        <f t="shared" si="29"/>
        <v>1.2955211304422566E-8</v>
      </c>
      <c r="AJ45" s="3">
        <f t="shared" si="29"/>
        <v>1.0615516497490314E-47</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1.426698495198754E-4</v>
      </c>
      <c r="C48" s="18">
        <f t="shared" si="3"/>
        <v>1.5499334140859142E-4</v>
      </c>
      <c r="D48" s="17"/>
      <c r="F48" s="3">
        <f t="shared" si="28"/>
        <v>1.5499334140859142E-4</v>
      </c>
      <c r="G48" s="3">
        <f t="shared" si="28"/>
        <v>1.5499334140859142E-4</v>
      </c>
      <c r="H48" s="3">
        <f t="shared" si="28"/>
        <v>1.5499334140859142E-4</v>
      </c>
      <c r="I48" s="3">
        <f t="shared" si="28"/>
        <v>1.5499334140859142E-4</v>
      </c>
      <c r="J48" s="3">
        <f t="shared" si="28"/>
        <v>1.5499334140859142E-4</v>
      </c>
      <c r="K48" s="3">
        <f t="shared" si="28"/>
        <v>1.5499334140859142E-4</v>
      </c>
      <c r="L48" s="3">
        <f t="shared" si="28"/>
        <v>1.5499334140859142E-4</v>
      </c>
      <c r="M48" s="3">
        <f t="shared" si="28"/>
        <v>1.5499334140859142E-4</v>
      </c>
      <c r="N48" s="3">
        <f t="shared" si="28"/>
        <v>1.5499334140859142E-4</v>
      </c>
      <c r="O48" s="3">
        <f t="shared" si="28"/>
        <v>1.5499334140859142E-4</v>
      </c>
      <c r="P48" s="3">
        <f t="shared" si="27"/>
        <v>1.5499334140859142E-4</v>
      </c>
      <c r="Q48" s="3">
        <f t="shared" si="27"/>
        <v>1.5499334140859142E-4</v>
      </c>
      <c r="R48" s="3">
        <f t="shared" si="27"/>
        <v>1.5499334140859142E-4</v>
      </c>
      <c r="S48" s="3">
        <f t="shared" si="27"/>
        <v>1.5499334140859142E-4</v>
      </c>
      <c r="T48" s="3">
        <f t="shared" si="27"/>
        <v>1.5499334140859142E-4</v>
      </c>
      <c r="U48" s="3">
        <f t="shared" si="27"/>
        <v>1.5499334140859139E-4</v>
      </c>
      <c r="V48" s="3">
        <f t="shared" si="27"/>
        <v>1.5499334140859126E-4</v>
      </c>
      <c r="W48" s="3">
        <f t="shared" si="27"/>
        <v>1.5499334140858987E-4</v>
      </c>
      <c r="X48" s="3">
        <f t="shared" si="27"/>
        <v>1.5499334140857591E-4</v>
      </c>
      <c r="Y48" s="3">
        <f t="shared" si="27"/>
        <v>1.5499334140843643E-4</v>
      </c>
      <c r="Z48" s="3">
        <f t="shared" si="27"/>
        <v>1.549933414070415E-4</v>
      </c>
      <c r="AA48" s="3">
        <f t="shared" si="27"/>
        <v>1.5499334139309207E-4</v>
      </c>
      <c r="AB48" s="3">
        <f t="shared" si="27"/>
        <v>1.5499334125359808E-4</v>
      </c>
      <c r="AC48" s="3">
        <f t="shared" si="27"/>
        <v>1.5499333985865801E-4</v>
      </c>
      <c r="AD48" s="3">
        <f t="shared" si="27"/>
        <v>1.5499332590925805E-4</v>
      </c>
      <c r="AE48" s="3">
        <f t="shared" si="27"/>
        <v>1.5499318641532751E-4</v>
      </c>
      <c r="AF48" s="3">
        <f t="shared" si="29"/>
        <v>1.5499179148292696E-4</v>
      </c>
      <c r="AG48" s="3">
        <f t="shared" si="29"/>
        <v>1.5497784284939143E-4</v>
      </c>
      <c r="AH48" s="3">
        <f t="shared" si="29"/>
        <v>1.5483842553802777E-4</v>
      </c>
      <c r="AI48" s="3">
        <f t="shared" si="29"/>
        <v>1.5345113189380399E-4</v>
      </c>
      <c r="AJ48" s="3">
        <f t="shared" si="29"/>
        <v>1.4024377485291582E-4</v>
      </c>
    </row>
    <row r="49" spans="1:36" x14ac:dyDescent="0.25">
      <c r="B49" s="16">
        <f>SUM(B17:B48)</f>
        <v>0.92049018508331271</v>
      </c>
      <c r="C49" s="18">
        <f>SUM(C17:C48)</f>
        <v>0.99999999999999989</v>
      </c>
      <c r="F49" s="3">
        <f t="shared" ref="F49:AJ49" si="31">F16-F17</f>
        <v>60.073332176299118</v>
      </c>
      <c r="G49" s="3">
        <f t="shared" si="31"/>
        <v>-77.701052404489928</v>
      </c>
      <c r="H49" s="3">
        <f t="shared" si="31"/>
        <v>20.571406003423363</v>
      </c>
      <c r="I49" s="3">
        <f t="shared" si="31"/>
        <v>-3.3580395030630825</v>
      </c>
      <c r="J49" s="3">
        <f t="shared" si="31"/>
        <v>0.46696909278671228</v>
      </c>
      <c r="K49" s="3">
        <f t="shared" si="31"/>
        <v>-5.8262150782411481E-2</v>
      </c>
      <c r="L49" s="3">
        <f t="shared" si="31"/>
        <v>1.0517183556203236E-2</v>
      </c>
      <c r="M49" s="3">
        <f t="shared" si="31"/>
        <v>-8.1982035385408381E-3</v>
      </c>
      <c r="N49" s="3">
        <f t="shared" si="31"/>
        <v>8.8053030112860142E-3</v>
      </c>
      <c r="O49" s="3">
        <f t="shared" si="31"/>
        <v>-1.0713176402987301E-2</v>
      </c>
      <c r="P49" s="3">
        <f t="shared" si="31"/>
        <v>1.9437216044025263E-2</v>
      </c>
      <c r="Q49" s="3">
        <f t="shared" si="31"/>
        <v>-3.6262837975755247E-2</v>
      </c>
      <c r="R49" s="3">
        <f t="shared" si="31"/>
        <v>5.1899776765822025E-2</v>
      </c>
      <c r="S49" s="3">
        <f t="shared" si="31"/>
        <v>-4.9239429051795014E-2</v>
      </c>
      <c r="T49" s="3">
        <f t="shared" si="31"/>
        <v>3.3679090497116704E-2</v>
      </c>
      <c r="U49" s="3">
        <f t="shared" si="31"/>
        <v>-2.1893931668046207E-2</v>
      </c>
      <c r="V49" s="3">
        <f t="shared" si="31"/>
        <v>2.2898445316059224E-2</v>
      </c>
      <c r="W49" s="3">
        <f t="shared" si="31"/>
        <v>-2.9613993190878318E-2</v>
      </c>
      <c r="X49" s="3">
        <f t="shared" si="31"/>
        <v>2.9172272364689888E-2</v>
      </c>
      <c r="Y49" s="3">
        <f t="shared" si="31"/>
        <v>-2.218493641726127E-2</v>
      </c>
      <c r="Z49" s="3">
        <f t="shared" si="31"/>
        <v>1.9593062008766537E-2</v>
      </c>
      <c r="AA49" s="3">
        <f t="shared" si="31"/>
        <v>-1.6811210261437282E-2</v>
      </c>
      <c r="AB49" s="3">
        <f t="shared" si="31"/>
        <v>2.1524836565220085E-2</v>
      </c>
      <c r="AC49" s="3">
        <f t="shared" si="31"/>
        <v>-3.5129113356731523E-2</v>
      </c>
      <c r="AD49" s="3">
        <f t="shared" si="31"/>
        <v>4.5515630758558245E-2</v>
      </c>
      <c r="AE49" s="3">
        <f t="shared" si="31"/>
        <v>-4.6023853783196955E-2</v>
      </c>
      <c r="AF49" s="3">
        <f t="shared" si="31"/>
        <v>3.9449229507397376E-2</v>
      </c>
      <c r="AG49" s="3">
        <f t="shared" si="31"/>
        <v>-3.307545885587615E-2</v>
      </c>
      <c r="AH49" s="3">
        <f t="shared" si="31"/>
        <v>3.2877119704522784E-2</v>
      </c>
      <c r="AI49" s="3">
        <f t="shared" si="31"/>
        <v>5.9151501065457524E-3</v>
      </c>
      <c r="AJ49" s="3">
        <f t="shared" si="31"/>
        <v>-2.3530806281911509E-2</v>
      </c>
    </row>
    <row r="50" spans="1:36" x14ac:dyDescent="0.25">
      <c r="F50" s="57">
        <f t="shared" ref="F50:AJ50" si="32">F49/F17</f>
        <v>1.2021952333213596E-2</v>
      </c>
      <c r="G50" s="57">
        <f t="shared" si="32"/>
        <v>-1.5771980665366142E-2</v>
      </c>
      <c r="H50" s="57">
        <f t="shared" si="32"/>
        <v>4.4106527820318951E-3</v>
      </c>
      <c r="I50" s="57">
        <f t="shared" si="32"/>
        <v>-7.4597782474539708E-4</v>
      </c>
      <c r="J50" s="57">
        <f t="shared" si="32"/>
        <v>1.0918082622825549E-4</v>
      </c>
      <c r="K50" s="57">
        <f t="shared" si="32"/>
        <v>-1.4360420823240827E-5</v>
      </c>
      <c r="L50" s="57">
        <f t="shared" si="32"/>
        <v>2.7167700579464823E-6</v>
      </c>
      <c r="M50" s="57">
        <f t="shared" si="32"/>
        <v>-2.2182711765082639E-6</v>
      </c>
      <c r="N50" s="57">
        <f t="shared" si="32"/>
        <v>2.4974972501306665E-6</v>
      </c>
      <c r="O50" s="57">
        <f t="shared" si="32"/>
        <v>-3.1911424657074123E-6</v>
      </c>
      <c r="P50" s="57">
        <f t="shared" si="32"/>
        <v>6.0988254836163886E-6</v>
      </c>
      <c r="Q50" s="57">
        <f t="shared" si="32"/>
        <v>-1.209970105929264E-5</v>
      </c>
      <c r="R50" s="57">
        <f t="shared" si="32"/>
        <v>1.8635223984315033E-5</v>
      </c>
      <c r="S50" s="57">
        <f t="shared" si="32"/>
        <v>-1.9319331534132761E-5</v>
      </c>
      <c r="T50" s="57">
        <f t="shared" si="32"/>
        <v>1.4786203081135394E-5</v>
      </c>
      <c r="U50" s="57">
        <f t="shared" si="32"/>
        <v>-1.1254126138071733E-5</v>
      </c>
      <c r="V50" s="57">
        <f t="shared" si="32"/>
        <v>1.4801534943877269E-5</v>
      </c>
      <c r="W50" s="57">
        <f t="shared" si="32"/>
        <v>-2.5870693375829939E-5</v>
      </c>
      <c r="X50" s="57">
        <f t="shared" si="32"/>
        <v>3.6465237012168908E-5</v>
      </c>
      <c r="Y50" s="57">
        <f t="shared" si="32"/>
        <v>-4.030725491631428E-5</v>
      </c>
      <c r="Z50" s="57">
        <f t="shared" si="32"/>
        <v>4.8937398327269602E-5</v>
      </c>
      <c r="AA50" s="57">
        <f t="shared" si="32"/>
        <v>-5.1974988953625142E-5</v>
      </c>
      <c r="AB50" s="57">
        <f t="shared" si="32"/>
        <v>7.5367235873445869E-5</v>
      </c>
      <c r="AC50" s="57">
        <f t="shared" si="32"/>
        <v>-1.3268121389992666E-4</v>
      </c>
      <c r="AD50" s="57">
        <f t="shared" si="32"/>
        <v>1.8107179280334268E-4</v>
      </c>
      <c r="AE50" s="57">
        <f t="shared" si="32"/>
        <v>-1.8787231827004449E-4</v>
      </c>
      <c r="AF50" s="57">
        <f t="shared" si="32"/>
        <v>1.6911582423040583E-4</v>
      </c>
      <c r="AG50" s="57">
        <f t="shared" si="32"/>
        <v>-1.4702167671997159E-4</v>
      </c>
      <c r="AH50" s="57">
        <f t="shared" si="32"/>
        <v>1.469108993746742E-4</v>
      </c>
      <c r="AI50" s="57">
        <f t="shared" si="32"/>
        <v>2.6509754862746363E-5</v>
      </c>
      <c r="AJ50" s="57">
        <f t="shared" si="32"/>
        <v>-1.054960216308171E-4</v>
      </c>
    </row>
    <row r="51" spans="1:36" x14ac:dyDescent="0.25">
      <c r="A51" s="13" t="s">
        <v>21</v>
      </c>
      <c r="B51" s="3">
        <f>STUTT!D8</f>
        <v>6190.9489999999996</v>
      </c>
      <c r="E51" s="11" t="s">
        <v>24</v>
      </c>
      <c r="F51" s="20">
        <f t="shared" ref="F51:AJ51" si="33">(F16-F17)^2</f>
        <v>3608.805238763975</v>
      </c>
      <c r="G51" s="20">
        <f t="shared" si="33"/>
        <v>6037.4535447652897</v>
      </c>
      <c r="H51" s="20">
        <f t="shared" si="33"/>
        <v>423.18274495768276</v>
      </c>
      <c r="I51" s="20">
        <f t="shared" si="33"/>
        <v>11.276429304132154</v>
      </c>
      <c r="J51" s="20">
        <f t="shared" si="33"/>
        <v>0.2180601336180451</v>
      </c>
      <c r="K51" s="20">
        <f t="shared" si="33"/>
        <v>3.394478213792451E-3</v>
      </c>
      <c r="L51" s="20">
        <f t="shared" si="33"/>
        <v>1.1061114995487174E-4</v>
      </c>
      <c r="M51" s="20">
        <f t="shared" si="33"/>
        <v>6.7210541259343513E-5</v>
      </c>
      <c r="N51" s="20">
        <f t="shared" si="33"/>
        <v>7.7533361120562548E-5</v>
      </c>
      <c r="O51" s="20">
        <f t="shared" si="33"/>
        <v>1.1477214864152393E-4</v>
      </c>
      <c r="P51" s="20">
        <f t="shared" si="33"/>
        <v>3.7780536754211311E-4</v>
      </c>
      <c r="Q51" s="20">
        <f t="shared" si="33"/>
        <v>1.3149934180558768E-3</v>
      </c>
      <c r="R51" s="20">
        <f t="shared" si="33"/>
        <v>2.6935868283421596E-3</v>
      </c>
      <c r="S51" s="20">
        <f t="shared" si="33"/>
        <v>2.4245213733467548E-3</v>
      </c>
      <c r="T51" s="20">
        <f t="shared" si="33"/>
        <v>1.1342811367129767E-3</v>
      </c>
      <c r="U51" s="20">
        <f t="shared" si="33"/>
        <v>4.7934424388507656E-4</v>
      </c>
      <c r="V51" s="20">
        <f t="shared" si="33"/>
        <v>5.2433879789255461E-4</v>
      </c>
      <c r="W51" s="20">
        <f t="shared" si="33"/>
        <v>8.7698859270938742E-4</v>
      </c>
      <c r="X51" s="20">
        <f t="shared" si="33"/>
        <v>8.5102147491964938E-4</v>
      </c>
      <c r="Y51" s="20">
        <f t="shared" si="33"/>
        <v>4.9217140383792525E-4</v>
      </c>
      <c r="Z51" s="20">
        <f t="shared" si="33"/>
        <v>3.8388807887937063E-4</v>
      </c>
      <c r="AA51" s="20">
        <f t="shared" si="33"/>
        <v>2.8261679045425415E-4</v>
      </c>
      <c r="AB51" s="20">
        <f t="shared" si="33"/>
        <v>4.6331858915943559E-4</v>
      </c>
      <c r="AC51" s="20">
        <f t="shared" si="33"/>
        <v>1.2340546052300931E-3</v>
      </c>
      <c r="AD51" s="20">
        <f t="shared" si="33"/>
        <v>2.0716726433494133E-3</v>
      </c>
      <c r="AE51" s="20">
        <f t="shared" si="33"/>
        <v>2.1181951170570926E-3</v>
      </c>
      <c r="AF51" s="20">
        <f t="shared" si="33"/>
        <v>1.556241708727312E-3</v>
      </c>
      <c r="AG51" s="20">
        <f t="shared" si="33"/>
        <v>1.0939859785267559E-3</v>
      </c>
      <c r="AH51" s="20">
        <f t="shared" si="33"/>
        <v>1.0809050000655203E-3</v>
      </c>
      <c r="AI51" s="20">
        <f t="shared" si="33"/>
        <v>3.4989000782968227E-5</v>
      </c>
      <c r="AJ51" s="20">
        <f t="shared" si="33"/>
        <v>5.5369884427684617E-4</v>
      </c>
    </row>
    <row r="52" spans="1:36" x14ac:dyDescent="0.25">
      <c r="A52" s="13"/>
    </row>
    <row r="53" spans="1:36" x14ac:dyDescent="0.25">
      <c r="E53" s="119" t="s">
        <v>25</v>
      </c>
      <c r="F53" s="119"/>
      <c r="G53" s="104">
        <f>SUM(F51:AJ51)</f>
        <v>10080.961825149112</v>
      </c>
      <c r="I53" s="3">
        <f>G53+C123</f>
        <v>10080.961825149112</v>
      </c>
      <c r="K53" s="3">
        <f>SUM(Z51:AJ51)</f>
        <v>1.0873566356509065E-2</v>
      </c>
    </row>
    <row r="55" spans="1:36" x14ac:dyDescent="0.25">
      <c r="E55" s="30" t="s">
        <v>30</v>
      </c>
      <c r="F55" s="31">
        <f t="shared" ref="F55:AJ55" si="34">ABS(F17-F16)/F16</f>
        <v>1.1879141856060553E-2</v>
      </c>
      <c r="G55" s="31">
        <f t="shared" si="34"/>
        <v>1.6024722275259397E-2</v>
      </c>
      <c r="H55" s="31">
        <f t="shared" si="34"/>
        <v>4.3912843514903018E-3</v>
      </c>
      <c r="I55" s="31">
        <f t="shared" si="34"/>
        <v>7.4653472309422781E-4</v>
      </c>
      <c r="J55" s="31">
        <f t="shared" si="34"/>
        <v>1.091689070767824E-4</v>
      </c>
      <c r="K55" s="31">
        <f t="shared" si="34"/>
        <v>1.436062704788852E-5</v>
      </c>
      <c r="L55" s="31">
        <f t="shared" si="34"/>
        <v>2.7167626771269863E-6</v>
      </c>
      <c r="M55" s="31">
        <f t="shared" si="34"/>
        <v>2.2182760972461923E-6</v>
      </c>
      <c r="N55" s="31">
        <f t="shared" si="34"/>
        <v>2.4974910126537301E-6</v>
      </c>
      <c r="O55" s="31">
        <f t="shared" si="34"/>
        <v>3.1911526491301459E-6</v>
      </c>
      <c r="P55" s="31">
        <f t="shared" si="34"/>
        <v>6.0987882881709582E-6</v>
      </c>
      <c r="Q55" s="31">
        <f t="shared" si="34"/>
        <v>1.2099847463829815E-5</v>
      </c>
      <c r="R55" s="31">
        <f t="shared" si="34"/>
        <v>1.8634876719213451E-5</v>
      </c>
      <c r="S55" s="31">
        <f t="shared" si="34"/>
        <v>1.9319704777914508E-5</v>
      </c>
      <c r="T55" s="31">
        <f t="shared" si="34"/>
        <v>1.4785984452566524E-5</v>
      </c>
      <c r="U55" s="31">
        <f t="shared" si="34"/>
        <v>1.1254252794852276E-5</v>
      </c>
      <c r="V55" s="31">
        <f t="shared" si="34"/>
        <v>1.4801315861683327E-5</v>
      </c>
      <c r="W55" s="31">
        <f t="shared" si="34"/>
        <v>2.5871362685921203E-5</v>
      </c>
      <c r="X55" s="31">
        <f t="shared" si="34"/>
        <v>3.6463907347145104E-5</v>
      </c>
      <c r="Y55" s="31">
        <f t="shared" si="34"/>
        <v>4.0308879656601989E-5</v>
      </c>
      <c r="Z55" s="31">
        <f t="shared" si="34"/>
        <v>4.8935003575507476E-5</v>
      </c>
      <c r="AA55" s="31">
        <f t="shared" si="34"/>
        <v>5.1977690493514377E-5</v>
      </c>
      <c r="AB55" s="31">
        <f t="shared" si="34"/>
        <v>7.5361556081272893E-5</v>
      </c>
      <c r="AC55" s="31">
        <f t="shared" si="34"/>
        <v>1.3269882054051904E-4</v>
      </c>
      <c r="AD55" s="31">
        <f t="shared" si="34"/>
        <v>1.8103901174491868E-4</v>
      </c>
      <c r="AE55" s="31">
        <f t="shared" si="34"/>
        <v>1.8790762091040554E-4</v>
      </c>
      <c r="AF55" s="31">
        <f t="shared" si="34"/>
        <v>1.6908722890432283E-4</v>
      </c>
      <c r="AG55" s="31">
        <f t="shared" si="34"/>
        <v>1.4704329527179288E-4</v>
      </c>
      <c r="AH55" s="31">
        <f t="shared" si="34"/>
        <v>1.4688931973260374E-4</v>
      </c>
      <c r="AI55" s="31">
        <f t="shared" si="34"/>
        <v>2.650905211427317E-5</v>
      </c>
      <c r="AJ55" s="31">
        <f t="shared" si="34"/>
        <v>1.0550715221562944E-4</v>
      </c>
    </row>
    <row r="56" spans="1:36" x14ac:dyDescent="0.25">
      <c r="E56" s="13" t="s">
        <v>31</v>
      </c>
      <c r="F56" s="32">
        <f>AVERAGE(F55:AJ55)</f>
        <v>1.1176913256160635E-3</v>
      </c>
    </row>
    <row r="57" spans="1:36" x14ac:dyDescent="0.25">
      <c r="A57" s="42"/>
      <c r="B57" s="15"/>
      <c r="C57" s="15"/>
      <c r="D57" s="15"/>
      <c r="F57" s="60">
        <f>AVERAGE(S55:X55)</f>
        <v>2.0416087986680488E-5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-44.148639789513958</v>
      </c>
    </row>
    <row r="119" spans="1:14" x14ac:dyDescent="0.25">
      <c r="L119" s="11">
        <f>L118+1</f>
        <v>2</v>
      </c>
      <c r="M119" s="11">
        <f t="shared" ref="M119:M124" si="35">INDEX($B$125:$K$126,1,L119)</f>
        <v>0</v>
      </c>
      <c r="N119" s="11">
        <f t="shared" ref="N119:N124" si="36">IF(L119=$B$3,0,INDEX($B$125:$K$126,2,L119))</f>
        <v>-32.523099905859404</v>
      </c>
    </row>
    <row r="120" spans="1:14" x14ac:dyDescent="0.25">
      <c r="L120" s="11">
        <f t="shared" ref="L120:L124" si="37">L119+1</f>
        <v>3</v>
      </c>
      <c r="M120" s="11">
        <f t="shared" si="35"/>
        <v>25</v>
      </c>
      <c r="N120" s="11">
        <f t="shared" si="36"/>
        <v>-27.199076392270609</v>
      </c>
    </row>
    <row r="121" spans="1:14" x14ac:dyDescent="0.25">
      <c r="A121" s="103">
        <f>(A165+A204+A243+A282+A321+A360+A399)*10^9</f>
        <v>1.4223453375424854E+16</v>
      </c>
      <c r="L121" s="11">
        <f t="shared" si="37"/>
        <v>4</v>
      </c>
      <c r="M121" s="11">
        <f t="shared" si="35"/>
        <v>50</v>
      </c>
      <c r="N121" s="11">
        <f t="shared" si="36"/>
        <v>-22.864644542581122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-15.874303798022783</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14.169451285459033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-44.148639789513958</v>
      </c>
      <c r="C126" s="107">
        <v>-32.523099905859404</v>
      </c>
      <c r="D126" s="107">
        <v>-27.199076392270609</v>
      </c>
      <c r="E126" s="107">
        <v>-22.864644542581122</v>
      </c>
      <c r="F126" s="107">
        <v>-15.874303798022783</v>
      </c>
      <c r="G126" s="107">
        <v>1.42929895818854E-2</v>
      </c>
      <c r="H126" s="107">
        <v>14.169451285459033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6190.9489999999914</v>
      </c>
      <c r="C131" s="27">
        <f t="shared" ref="C131:AF131" si="40">($C$17+SUM(C132:C162))*$B$51</f>
        <v>6190.9489999999196</v>
      </c>
      <c r="D131" s="27">
        <f t="shared" si="40"/>
        <v>6190.9489999992047</v>
      </c>
      <c r="E131" s="27">
        <f t="shared" si="40"/>
        <v>6190.9489999920515</v>
      </c>
      <c r="F131" s="27">
        <f t="shared" si="40"/>
        <v>6190.9489999205189</v>
      </c>
      <c r="G131" s="27">
        <f t="shared" si="40"/>
        <v>6190.9489992051931</v>
      </c>
      <c r="H131" s="27">
        <f t="shared" si="40"/>
        <v>6190.9489920519381</v>
      </c>
      <c r="I131" s="27">
        <f t="shared" si="40"/>
        <v>6190.9489205193895</v>
      </c>
      <c r="J131" s="27">
        <f t="shared" si="40"/>
        <v>6190.9482051941368</v>
      </c>
      <c r="K131" s="27">
        <f t="shared" si="40"/>
        <v>6190.9410519653566</v>
      </c>
      <c r="L131" s="27">
        <f t="shared" si="40"/>
        <v>6190.8695220521467</v>
      </c>
      <c r="M131" s="27">
        <f t="shared" si="40"/>
        <v>6190.1544603253842</v>
      </c>
      <c r="N131" s="27">
        <f t="shared" si="40"/>
        <v>6183.0275306589465</v>
      </c>
      <c r="O131" s="27">
        <f t="shared" si="40"/>
        <v>6114.0749374476554</v>
      </c>
      <c r="P131" s="27">
        <f t="shared" si="40"/>
        <v>5611.864449879833</v>
      </c>
      <c r="Q131" s="27">
        <f t="shared" si="40"/>
        <v>5007.2520045383435</v>
      </c>
      <c r="R131" s="27">
        <f t="shared" si="40"/>
        <v>5005.7971011759537</v>
      </c>
      <c r="S131" s="27">
        <f t="shared" si="40"/>
        <v>5005.7431299860236</v>
      </c>
      <c r="T131" s="27">
        <f t="shared" si="40"/>
        <v>5005.2038598467152</v>
      </c>
      <c r="U131" s="27">
        <f t="shared" si="40"/>
        <v>4999.8550835184997</v>
      </c>
      <c r="V131" s="27">
        <f t="shared" si="40"/>
        <v>4950.5193151773265</v>
      </c>
      <c r="W131" s="27">
        <f t="shared" si="40"/>
        <v>4708.3154408869132</v>
      </c>
      <c r="X131" s="27">
        <f t="shared" si="40"/>
        <v>4532.2670373620831</v>
      </c>
      <c r="Y131" s="27">
        <f t="shared" si="40"/>
        <v>4321.4466161149294</v>
      </c>
      <c r="Z131" s="27">
        <f t="shared" si="40"/>
        <v>4098.1723227888833</v>
      </c>
      <c r="AA131" s="27">
        <f t="shared" si="40"/>
        <v>3906.0475934940737</v>
      </c>
      <c r="AB131" s="27">
        <f t="shared" si="40"/>
        <v>3729.9153762756041</v>
      </c>
      <c r="AC131" s="27">
        <f t="shared" si="40"/>
        <v>3558.5338186517902</v>
      </c>
      <c r="AD131" s="27">
        <f t="shared" si="40"/>
        <v>3389.6451708518307</v>
      </c>
      <c r="AE131" s="27">
        <f t="shared" si="40"/>
        <v>3219.6256928675343</v>
      </c>
      <c r="AF131" s="27">
        <f t="shared" si="40"/>
        <v>3034.3933962756682</v>
      </c>
    </row>
    <row r="132" spans="1:33" x14ac:dyDescent="0.25">
      <c r="B132" s="3">
        <f t="shared" ref="B132:Z133" si="41">$C18*EXP(-B$129/$A18/EXP(-$B$126))</f>
        <v>0.19143202464259873</v>
      </c>
      <c r="C132" s="3">
        <f t="shared" ref="C132:AF132" si="42">$C18*EXP(-C$129/$A18/EXP(-$B$126))</f>
        <v>0.19143202464258718</v>
      </c>
      <c r="D132" s="3">
        <f t="shared" si="42"/>
        <v>0.19143202464247161</v>
      </c>
      <c r="E132" s="3">
        <f t="shared" si="42"/>
        <v>0.19143202464131617</v>
      </c>
      <c r="F132" s="3">
        <f t="shared" si="42"/>
        <v>0.1914320246297618</v>
      </c>
      <c r="G132" s="3">
        <f t="shared" si="42"/>
        <v>0.19143202451421806</v>
      </c>
      <c r="H132" s="3">
        <f t="shared" si="42"/>
        <v>0.19143202335878057</v>
      </c>
      <c r="I132" s="3">
        <f t="shared" si="42"/>
        <v>0.19143201180440603</v>
      </c>
      <c r="J132" s="3">
        <f t="shared" si="42"/>
        <v>0.19143189626069879</v>
      </c>
      <c r="K132" s="3">
        <f t="shared" si="42"/>
        <v>0.19143074082746239</v>
      </c>
      <c r="L132" s="3">
        <f t="shared" si="42"/>
        <v>0.19141918687865542</v>
      </c>
      <c r="M132" s="3">
        <f t="shared" si="42"/>
        <v>0.19130368573775003</v>
      </c>
      <c r="N132" s="3">
        <f t="shared" si="42"/>
        <v>0.1901525004951197</v>
      </c>
      <c r="O132" s="3">
        <f t="shared" si="42"/>
        <v>0.17901485619960367</v>
      </c>
      <c r="P132" s="3">
        <f t="shared" si="42"/>
        <v>9.7894751092660048E-2</v>
      </c>
      <c r="Q132" s="3">
        <f t="shared" si="42"/>
        <v>2.3413305478432896E-4</v>
      </c>
      <c r="R132" s="3">
        <f t="shared" si="42"/>
        <v>1.433824449273049E-30</v>
      </c>
      <c r="S132" s="3">
        <f t="shared" si="42"/>
        <v>1.0637228359552985E-292</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5.4135576469364788E-2</v>
      </c>
      <c r="C133" s="3">
        <f t="shared" si="41"/>
        <v>5.4135576469364788E-2</v>
      </c>
      <c r="D133" s="3">
        <f t="shared" si="41"/>
        <v>5.4135576469364788E-2</v>
      </c>
      <c r="E133" s="3">
        <f t="shared" si="41"/>
        <v>5.4135576469364788E-2</v>
      </c>
      <c r="F133" s="3">
        <f t="shared" si="41"/>
        <v>5.4135576469364788E-2</v>
      </c>
      <c r="G133" s="3">
        <f t="shared" si="41"/>
        <v>5.4135576469364774E-2</v>
      </c>
      <c r="H133" s="3">
        <f t="shared" si="41"/>
        <v>5.4135576469364698E-2</v>
      </c>
      <c r="I133" s="3">
        <f t="shared" si="41"/>
        <v>5.4135576469363858E-2</v>
      </c>
      <c r="J133" s="3">
        <f t="shared" si="41"/>
        <v>5.413557646935549E-2</v>
      </c>
      <c r="K133" s="3">
        <f t="shared" si="41"/>
        <v>5.4135576469271793E-2</v>
      </c>
      <c r="L133" s="3">
        <f t="shared" si="41"/>
        <v>5.413557646843481E-2</v>
      </c>
      <c r="M133" s="3">
        <f t="shared" si="41"/>
        <v>5.4135576460064977E-2</v>
      </c>
      <c r="N133" s="3">
        <f t="shared" si="41"/>
        <v>5.4135576376366699E-2</v>
      </c>
      <c r="O133" s="3">
        <f t="shared" si="41"/>
        <v>5.413557553938389E-2</v>
      </c>
      <c r="P133" s="3">
        <f t="shared" si="41"/>
        <v>5.4135567169556517E-2</v>
      </c>
      <c r="Q133" s="3">
        <f t="shared" si="41"/>
        <v>5.4135483471353989E-2</v>
      </c>
      <c r="R133" s="3">
        <f t="shared" si="41"/>
        <v>5.4134646496445907E-2</v>
      </c>
      <c r="S133" s="3">
        <f t="shared" si="41"/>
        <v>5.4126277459046121E-2</v>
      </c>
      <c r="T133" s="3">
        <f t="shared" si="41"/>
        <v>5.404265821245844E-2</v>
      </c>
      <c r="U133" s="3">
        <f t="shared" si="41"/>
        <v>5.3213537966745765E-2</v>
      </c>
      <c r="V133" s="3">
        <f t="shared" si="41"/>
        <v>4.5590720196745427E-2</v>
      </c>
      <c r="W133" s="3">
        <f t="shared" si="41"/>
        <v>9.7144817352438403E-3</v>
      </c>
      <c r="X133" s="3">
        <f t="shared" si="41"/>
        <v>1.8743533584211239E-9</v>
      </c>
      <c r="Y133" s="3">
        <f t="shared" si="41"/>
        <v>1.3402005597793405E-76</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2.1015020588822823E-2</v>
      </c>
      <c r="C134" s="3">
        <f t="shared" si="44"/>
        <v>2.1015020588822823E-2</v>
      </c>
      <c r="D134" s="3">
        <f t="shared" si="44"/>
        <v>2.1015020588822823E-2</v>
      </c>
      <c r="E134" s="3">
        <f t="shared" si="44"/>
        <v>2.1015020588822823E-2</v>
      </c>
      <c r="F134" s="3">
        <f t="shared" si="44"/>
        <v>2.1015020588822823E-2</v>
      </c>
      <c r="G134" s="3">
        <f t="shared" si="44"/>
        <v>2.1015020588822823E-2</v>
      </c>
      <c r="H134" s="3">
        <f t="shared" si="44"/>
        <v>2.1015020588822819E-2</v>
      </c>
      <c r="I134" s="3">
        <f t="shared" si="44"/>
        <v>2.1015020588822791E-2</v>
      </c>
      <c r="J134" s="3">
        <f t="shared" si="44"/>
        <v>2.1015020588822497E-2</v>
      </c>
      <c r="K134" s="3">
        <f t="shared" si="44"/>
        <v>2.1015020588819565E-2</v>
      </c>
      <c r="L134" s="3">
        <f t="shared" si="44"/>
        <v>2.1015020588790258E-2</v>
      </c>
      <c r="M134" s="3">
        <f t="shared" si="44"/>
        <v>2.101502058849716E-2</v>
      </c>
      <c r="N134" s="3">
        <f t="shared" si="44"/>
        <v>2.1015020585566199E-2</v>
      </c>
      <c r="O134" s="3">
        <f t="shared" si="44"/>
        <v>2.1015020556256578E-2</v>
      </c>
      <c r="P134" s="3">
        <f t="shared" si="44"/>
        <v>2.1015020263160381E-2</v>
      </c>
      <c r="Q134" s="3">
        <f t="shared" si="44"/>
        <v>2.1015017332198641E-2</v>
      </c>
      <c r="R134" s="3">
        <f t="shared" si="44"/>
        <v>2.1014988022603698E-2</v>
      </c>
      <c r="S134" s="3">
        <f t="shared" si="44"/>
        <v>2.101469492890258E-2</v>
      </c>
      <c r="T134" s="3">
        <f t="shared" si="44"/>
        <v>2.1011764216707963E-2</v>
      </c>
      <c r="U134" s="3">
        <f t="shared" si="44"/>
        <v>2.0982479564822985E-2</v>
      </c>
      <c r="V134" s="3">
        <f t="shared" si="44"/>
        <v>2.0691868499807219E-2</v>
      </c>
      <c r="W134" s="3">
        <f t="shared" si="44"/>
        <v>1.7998185304448126E-2</v>
      </c>
      <c r="X134" s="3">
        <f t="shared" si="44"/>
        <v>4.4618894969945221E-3</v>
      </c>
      <c r="Y134" s="3">
        <f t="shared" si="44"/>
        <v>3.9121880766794981E-9</v>
      </c>
      <c r="Z134" s="3">
        <f t="shared" si="44"/>
        <v>1.0505793807185086E-69</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4.0498121245543535E-2</v>
      </c>
      <c r="C135" s="3">
        <f t="shared" si="47"/>
        <v>4.0498121245543535E-2</v>
      </c>
      <c r="D135" s="3">
        <f t="shared" si="47"/>
        <v>4.0498121245543535E-2</v>
      </c>
      <c r="E135" s="3">
        <f t="shared" si="47"/>
        <v>4.0498121245543535E-2</v>
      </c>
      <c r="F135" s="3">
        <f t="shared" si="47"/>
        <v>4.0498121245543535E-2</v>
      </c>
      <c r="G135" s="3">
        <f t="shared" si="47"/>
        <v>4.0498121245543535E-2</v>
      </c>
      <c r="H135" s="3">
        <f t="shared" si="47"/>
        <v>4.0498121245543535E-2</v>
      </c>
      <c r="I135" s="3">
        <f t="shared" si="47"/>
        <v>4.0498121245543528E-2</v>
      </c>
      <c r="J135" s="3">
        <f t="shared" si="47"/>
        <v>4.0498121245543479E-2</v>
      </c>
      <c r="K135" s="3">
        <f t="shared" si="47"/>
        <v>4.0498121245542966E-2</v>
      </c>
      <c r="L135" s="3">
        <f t="shared" si="47"/>
        <v>4.0498121245537873E-2</v>
      </c>
      <c r="M135" s="3">
        <f t="shared" si="47"/>
        <v>4.049812124548692E-2</v>
      </c>
      <c r="N135" s="3">
        <f t="shared" si="47"/>
        <v>4.0498121244977404E-2</v>
      </c>
      <c r="O135" s="3">
        <f t="shared" si="47"/>
        <v>4.0498121239882189E-2</v>
      </c>
      <c r="P135" s="3">
        <f t="shared" si="47"/>
        <v>4.049812118893012E-2</v>
      </c>
      <c r="Q135" s="3">
        <f t="shared" si="47"/>
        <v>4.049812067940943E-2</v>
      </c>
      <c r="R135" s="3">
        <f t="shared" si="47"/>
        <v>4.0498115584202798E-2</v>
      </c>
      <c r="S135" s="3">
        <f t="shared" si="47"/>
        <v>4.0498064632171794E-2</v>
      </c>
      <c r="T135" s="3">
        <f t="shared" si="47"/>
        <v>4.0497555115387524E-2</v>
      </c>
      <c r="U135" s="3">
        <f t="shared" si="47"/>
        <v>4.0492460300101472E-2</v>
      </c>
      <c r="V135" s="3">
        <f t="shared" si="47"/>
        <v>4.044154738650841E-2</v>
      </c>
      <c r="W135" s="3">
        <f t="shared" si="47"/>
        <v>3.9935925828158934E-2</v>
      </c>
      <c r="X135" s="3">
        <f t="shared" si="47"/>
        <v>3.52146749755144E-2</v>
      </c>
      <c r="Y135" s="3">
        <f t="shared" si="47"/>
        <v>1.000743911610342E-2</v>
      </c>
      <c r="Z135" s="3">
        <f t="shared" si="47"/>
        <v>3.4380776380142051E-8</v>
      </c>
      <c r="AA135" s="3">
        <f t="shared" ref="AA135" si="48">$C21*EXP(-AA$129/$A21/EXP(-$B$126))</f>
        <v>7.8748612369641193E-63</v>
      </c>
      <c r="AB135" s="3">
        <f t="shared" si="46"/>
        <v>0</v>
      </c>
      <c r="AC135" s="3">
        <f t="shared" si="46"/>
        <v>0</v>
      </c>
      <c r="AD135" s="3">
        <f t="shared" si="46"/>
        <v>0</v>
      </c>
      <c r="AE135" s="3">
        <f t="shared" si="46"/>
        <v>0</v>
      </c>
      <c r="AF135" s="3">
        <f t="shared" si="46"/>
        <v>0</v>
      </c>
    </row>
    <row r="136" spans="1:33" x14ac:dyDescent="0.25">
      <c r="B136" s="3">
        <f t="shared" ref="B136:Z136" si="49">$C22*EXP(-B$129/$A22/EXP(-$B$126))</f>
        <v>3.8180364153293539E-2</v>
      </c>
      <c r="C136" s="3">
        <f t="shared" si="49"/>
        <v>3.8180364153293539E-2</v>
      </c>
      <c r="D136" s="3">
        <f t="shared" si="49"/>
        <v>3.8180364153293539E-2</v>
      </c>
      <c r="E136" s="3">
        <f t="shared" si="49"/>
        <v>3.8180364153293539E-2</v>
      </c>
      <c r="F136" s="3">
        <f t="shared" si="49"/>
        <v>3.8180364153293539E-2</v>
      </c>
      <c r="G136" s="3">
        <f t="shared" si="49"/>
        <v>3.8180364153293539E-2</v>
      </c>
      <c r="H136" s="3">
        <f t="shared" si="49"/>
        <v>3.8180364153293539E-2</v>
      </c>
      <c r="I136" s="3">
        <f t="shared" si="49"/>
        <v>3.8180364153293539E-2</v>
      </c>
      <c r="J136" s="3">
        <f t="shared" si="49"/>
        <v>3.8180364153293532E-2</v>
      </c>
      <c r="K136" s="3">
        <f t="shared" si="49"/>
        <v>3.818036415329349E-2</v>
      </c>
      <c r="L136" s="3">
        <f t="shared" si="49"/>
        <v>3.8180364153293053E-2</v>
      </c>
      <c r="M136" s="3">
        <f t="shared" si="49"/>
        <v>3.8180364153288723E-2</v>
      </c>
      <c r="N136" s="3">
        <f t="shared" si="49"/>
        <v>3.8180364153245397E-2</v>
      </c>
      <c r="O136" s="3">
        <f t="shared" si="49"/>
        <v>3.818036415281207E-2</v>
      </c>
      <c r="P136" s="3">
        <f t="shared" si="49"/>
        <v>3.8180364148478814E-2</v>
      </c>
      <c r="Q136" s="3">
        <f t="shared" si="49"/>
        <v>3.8180364105146331E-2</v>
      </c>
      <c r="R136" s="3">
        <f t="shared" si="49"/>
        <v>3.8180363671821468E-2</v>
      </c>
      <c r="S136" s="3">
        <f t="shared" si="49"/>
        <v>3.8180359338573069E-2</v>
      </c>
      <c r="T136" s="3">
        <f t="shared" si="49"/>
        <v>3.8180316006116169E-2</v>
      </c>
      <c r="U136" s="3">
        <f t="shared" si="49"/>
        <v>3.8179882684252035E-2</v>
      </c>
      <c r="V136" s="3">
        <f t="shared" si="49"/>
        <v>3.8175549736087284E-2</v>
      </c>
      <c r="W136" s="3">
        <f t="shared" si="49"/>
        <v>3.813224729073833E-2</v>
      </c>
      <c r="X136" s="3">
        <f t="shared" si="49"/>
        <v>3.7701915148182476E-2</v>
      </c>
      <c r="Y136" s="3">
        <f t="shared" si="49"/>
        <v>3.3656854123518279E-2</v>
      </c>
      <c r="Z136" s="3">
        <f t="shared" si="49"/>
        <v>1.0818688286673393E-2</v>
      </c>
      <c r="AA136" s="3">
        <f t="shared" ref="AA136" si="50">$C22*EXP(-AA$129/$A22/EXP(-$B$126))</f>
        <v>1.2740470963965707E-7</v>
      </c>
      <c r="AB136" s="3">
        <f t="shared" si="46"/>
        <v>6.5357318855649595E-57</v>
      </c>
      <c r="AC136" s="3">
        <f t="shared" si="46"/>
        <v>0</v>
      </c>
      <c r="AD136" s="3">
        <f t="shared" si="46"/>
        <v>0</v>
      </c>
      <c r="AE136" s="3">
        <f t="shared" si="46"/>
        <v>0</v>
      </c>
      <c r="AF136" s="3">
        <f t="shared" si="46"/>
        <v>0</v>
      </c>
    </row>
    <row r="137" spans="1:33" x14ac:dyDescent="0.25">
      <c r="B137" s="3">
        <f t="shared" ref="B137:Z137" si="51">$C23*EXP(-B$129/$A23/EXP(-$B$126))</f>
        <v>3.033915085060401E-2</v>
      </c>
      <c r="C137" s="3">
        <f t="shared" si="51"/>
        <v>3.033915085060401E-2</v>
      </c>
      <c r="D137" s="3">
        <f t="shared" si="51"/>
        <v>3.033915085060401E-2</v>
      </c>
      <c r="E137" s="3">
        <f t="shared" si="51"/>
        <v>3.033915085060401E-2</v>
      </c>
      <c r="F137" s="3">
        <f t="shared" si="51"/>
        <v>3.033915085060401E-2</v>
      </c>
      <c r="G137" s="3">
        <f t="shared" si="51"/>
        <v>3.033915085060401E-2</v>
      </c>
      <c r="H137" s="3">
        <f t="shared" si="51"/>
        <v>3.033915085060401E-2</v>
      </c>
      <c r="I137" s="3">
        <f t="shared" si="51"/>
        <v>3.033915085060401E-2</v>
      </c>
      <c r="J137" s="3">
        <f t="shared" si="51"/>
        <v>3.033915085060401E-2</v>
      </c>
      <c r="K137" s="3">
        <f t="shared" si="51"/>
        <v>3.0339150850604006E-2</v>
      </c>
      <c r="L137" s="3">
        <f t="shared" si="51"/>
        <v>3.0339150850603975E-2</v>
      </c>
      <c r="M137" s="3">
        <f t="shared" si="51"/>
        <v>3.0339150850603666E-2</v>
      </c>
      <c r="N137" s="3">
        <f t="shared" si="51"/>
        <v>3.0339150850600557E-2</v>
      </c>
      <c r="O137" s="3">
        <f t="shared" si="51"/>
        <v>3.0339150850569499E-2</v>
      </c>
      <c r="P137" s="3">
        <f t="shared" si="51"/>
        <v>3.0339150850258883E-2</v>
      </c>
      <c r="Q137" s="3">
        <f t="shared" si="51"/>
        <v>3.0339150847152722E-2</v>
      </c>
      <c r="R137" s="3">
        <f t="shared" si="51"/>
        <v>3.0339150816091141E-2</v>
      </c>
      <c r="S137" s="3">
        <f t="shared" si="51"/>
        <v>3.033915050547533E-2</v>
      </c>
      <c r="T137" s="3">
        <f t="shared" si="51"/>
        <v>3.0339147399317399E-2</v>
      </c>
      <c r="U137" s="3">
        <f t="shared" si="51"/>
        <v>3.0339116337755552E-2</v>
      </c>
      <c r="V137" s="3">
        <f t="shared" si="51"/>
        <v>3.0338805723886163E-2</v>
      </c>
      <c r="W137" s="3">
        <f t="shared" si="51"/>
        <v>3.033569976009157E-2</v>
      </c>
      <c r="X137" s="3">
        <f t="shared" si="51"/>
        <v>3.0304657605453682E-2</v>
      </c>
      <c r="Y137" s="3">
        <f t="shared" si="51"/>
        <v>2.9995977785118279E-2</v>
      </c>
      <c r="Z137" s="3">
        <f t="shared" si="51"/>
        <v>2.7076931162373395E-2</v>
      </c>
      <c r="AA137" s="3">
        <f t="shared" ref="AA137" si="52">$C23*EXP(-AA$129/$A23/EXP(-$B$126))</f>
        <v>9.7266573421893095E-3</v>
      </c>
      <c r="AB137" s="3">
        <f t="shared" si="46"/>
        <v>3.4802093778820511E-7</v>
      </c>
      <c r="AC137" s="3">
        <f t="shared" si="46"/>
        <v>1.1968037392469684E-51</v>
      </c>
      <c r="AD137" s="3">
        <f t="shared" si="46"/>
        <v>0</v>
      </c>
      <c r="AE137" s="3">
        <f t="shared" si="46"/>
        <v>0</v>
      </c>
      <c r="AF137" s="3">
        <f t="shared" si="46"/>
        <v>0</v>
      </c>
    </row>
    <row r="138" spans="1:33" x14ac:dyDescent="0.25">
      <c r="B138" s="3">
        <f t="shared" ref="B138:Z138" si="53">$C24*EXP(-B$129/$A24/EXP(-$B$126))</f>
        <v>2.9818488774257267E-2</v>
      </c>
      <c r="C138" s="3">
        <f t="shared" si="53"/>
        <v>2.9818488774257267E-2</v>
      </c>
      <c r="D138" s="3">
        <f t="shared" si="53"/>
        <v>2.9818488774257267E-2</v>
      </c>
      <c r="E138" s="3">
        <f t="shared" si="53"/>
        <v>2.9818488774257267E-2</v>
      </c>
      <c r="F138" s="3">
        <f t="shared" si="53"/>
        <v>2.9818488774257267E-2</v>
      </c>
      <c r="G138" s="3">
        <f t="shared" si="53"/>
        <v>2.9818488774257267E-2</v>
      </c>
      <c r="H138" s="3">
        <f t="shared" si="53"/>
        <v>2.9818488774257267E-2</v>
      </c>
      <c r="I138" s="3">
        <f t="shared" si="53"/>
        <v>2.9818488774257267E-2</v>
      </c>
      <c r="J138" s="3">
        <f t="shared" si="53"/>
        <v>2.9818488774257267E-2</v>
      </c>
      <c r="K138" s="3">
        <f t="shared" si="53"/>
        <v>2.9818488774257267E-2</v>
      </c>
      <c r="L138" s="3">
        <f t="shared" si="53"/>
        <v>2.9818488774257263E-2</v>
      </c>
      <c r="M138" s="3">
        <f t="shared" si="53"/>
        <v>2.9818488774257235E-2</v>
      </c>
      <c r="N138" s="3">
        <f t="shared" si="53"/>
        <v>2.9818488774256961E-2</v>
      </c>
      <c r="O138" s="3">
        <f t="shared" si="53"/>
        <v>2.9818488774254207E-2</v>
      </c>
      <c r="P138" s="3">
        <f t="shared" si="53"/>
        <v>2.9818488774226666E-2</v>
      </c>
      <c r="Q138" s="3">
        <f t="shared" si="53"/>
        <v>2.9818488773951275E-2</v>
      </c>
      <c r="R138" s="3">
        <f t="shared" si="53"/>
        <v>2.981848877119735E-2</v>
      </c>
      <c r="S138" s="3">
        <f t="shared" si="53"/>
        <v>2.9818488743658084E-2</v>
      </c>
      <c r="T138" s="3">
        <f t="shared" si="53"/>
        <v>2.9818488468265427E-2</v>
      </c>
      <c r="U138" s="3">
        <f t="shared" si="53"/>
        <v>2.9818485714338986E-2</v>
      </c>
      <c r="V138" s="3">
        <f t="shared" si="53"/>
        <v>2.9818458175088595E-2</v>
      </c>
      <c r="W138" s="3">
        <f t="shared" si="53"/>
        <v>2.9818182783983585E-2</v>
      </c>
      <c r="X138" s="3">
        <f t="shared" si="53"/>
        <v>2.9815429012816558E-2</v>
      </c>
      <c r="Y138" s="3">
        <f t="shared" si="53"/>
        <v>2.9787905284678777E-2</v>
      </c>
      <c r="Z138" s="3">
        <f t="shared" si="53"/>
        <v>2.9514061589898805E-2</v>
      </c>
      <c r="AA138" s="3">
        <f t="shared" ref="AA138" si="54">$C24*EXP(-AA$129/$A24/EXP(-$B$126))</f>
        <v>2.691033652665863E-2</v>
      </c>
      <c r="AB138" s="3">
        <f t="shared" si="46"/>
        <v>1.0686134230954684E-2</v>
      </c>
      <c r="AC138" s="3">
        <f t="shared" si="46"/>
        <v>1.0419229114611839E-6</v>
      </c>
      <c r="AD138" s="3">
        <f t="shared" si="46"/>
        <v>8.0906835969517527E-47</v>
      </c>
      <c r="AE138" s="3">
        <f t="shared" si="46"/>
        <v>0</v>
      </c>
      <c r="AF138" s="3">
        <f t="shared" si="46"/>
        <v>0</v>
      </c>
    </row>
    <row r="139" spans="1:33" x14ac:dyDescent="0.25">
      <c r="B139" s="3">
        <f t="shared" ref="B139:Z139" si="55">$C25*EXP(-B$129/$A25/EXP(-$B$126))</f>
        <v>2.8586713902441586E-2</v>
      </c>
      <c r="C139" s="3">
        <f t="shared" si="55"/>
        <v>2.8586713902441586E-2</v>
      </c>
      <c r="D139" s="3">
        <f t="shared" si="55"/>
        <v>2.8586713902441586E-2</v>
      </c>
      <c r="E139" s="3">
        <f t="shared" si="55"/>
        <v>2.8586713902441586E-2</v>
      </c>
      <c r="F139" s="3">
        <f t="shared" si="55"/>
        <v>2.8586713902441586E-2</v>
      </c>
      <c r="G139" s="3">
        <f t="shared" si="55"/>
        <v>2.8586713902441586E-2</v>
      </c>
      <c r="H139" s="3">
        <f t="shared" si="55"/>
        <v>2.8586713902441586E-2</v>
      </c>
      <c r="I139" s="3">
        <f t="shared" si="55"/>
        <v>2.8586713902441586E-2</v>
      </c>
      <c r="J139" s="3">
        <f t="shared" si="55"/>
        <v>2.8586713902441586E-2</v>
      </c>
      <c r="K139" s="3">
        <f t="shared" si="55"/>
        <v>2.8586713902441586E-2</v>
      </c>
      <c r="L139" s="3">
        <f t="shared" si="55"/>
        <v>2.8586713902441586E-2</v>
      </c>
      <c r="M139" s="3">
        <f t="shared" si="55"/>
        <v>2.8586713902441583E-2</v>
      </c>
      <c r="N139" s="3">
        <f t="shared" si="55"/>
        <v>2.8586713902441562E-2</v>
      </c>
      <c r="O139" s="3">
        <f t="shared" si="55"/>
        <v>2.8586713902441323E-2</v>
      </c>
      <c r="P139" s="3">
        <f t="shared" si="55"/>
        <v>2.8586713902438939E-2</v>
      </c>
      <c r="Q139" s="3">
        <f t="shared" si="55"/>
        <v>2.8586713902415125E-2</v>
      </c>
      <c r="R139" s="3">
        <f t="shared" si="55"/>
        <v>2.8586713902176958E-2</v>
      </c>
      <c r="S139" s="3">
        <f t="shared" si="55"/>
        <v>2.8586713899795311E-2</v>
      </c>
      <c r="T139" s="3">
        <f t="shared" si="55"/>
        <v>2.8586713875978831E-2</v>
      </c>
      <c r="U139" s="3">
        <f t="shared" si="55"/>
        <v>2.8586713637814044E-2</v>
      </c>
      <c r="V139" s="3">
        <f t="shared" si="55"/>
        <v>2.8586711256166263E-2</v>
      </c>
      <c r="W139" s="3">
        <f t="shared" si="55"/>
        <v>2.8586687439699363E-2</v>
      </c>
      <c r="X139" s="3">
        <f t="shared" si="55"/>
        <v>2.8586449276121716E-2</v>
      </c>
      <c r="Y139" s="3">
        <f t="shared" si="55"/>
        <v>2.8584067749473856E-2</v>
      </c>
      <c r="Z139" s="3">
        <f t="shared" si="55"/>
        <v>2.8560263392494765E-2</v>
      </c>
      <c r="AA139" s="3">
        <f t="shared" ref="AA139" si="56">$C25*EXP(-AA$129/$A25/EXP(-$B$126))</f>
        <v>2.8323307417190254E-2</v>
      </c>
      <c r="AB139" s="3">
        <f t="shared" si="46"/>
        <v>2.6059227917593148E-2</v>
      </c>
      <c r="AC139" s="3">
        <f t="shared" si="46"/>
        <v>1.1327584896924888E-2</v>
      </c>
      <c r="AD139" s="3">
        <f t="shared" si="46"/>
        <v>2.7283189565560538E-6</v>
      </c>
      <c r="AE139" s="3">
        <f t="shared" si="46"/>
        <v>1.792558295365939E-42</v>
      </c>
      <c r="AF139" s="3">
        <f t="shared" si="46"/>
        <v>0</v>
      </c>
    </row>
    <row r="140" spans="1:33" x14ac:dyDescent="0.25">
      <c r="B140" s="3">
        <f t="shared" ref="B140:Z140" si="57">$C26*EXP(-B$129/$A26/EXP(-$B$126))</f>
        <v>2.8589469167233993E-2</v>
      </c>
      <c r="C140" s="3">
        <f t="shared" si="57"/>
        <v>2.8589469167233993E-2</v>
      </c>
      <c r="D140" s="3">
        <f t="shared" si="57"/>
        <v>2.8589469167233993E-2</v>
      </c>
      <c r="E140" s="3">
        <f t="shared" si="57"/>
        <v>2.8589469167233993E-2</v>
      </c>
      <c r="F140" s="3">
        <f t="shared" si="57"/>
        <v>2.8589469167233993E-2</v>
      </c>
      <c r="G140" s="3">
        <f t="shared" si="57"/>
        <v>2.8589469167233993E-2</v>
      </c>
      <c r="H140" s="3">
        <f t="shared" si="57"/>
        <v>2.8589469167233993E-2</v>
      </c>
      <c r="I140" s="3">
        <f t="shared" si="57"/>
        <v>2.8589469167233993E-2</v>
      </c>
      <c r="J140" s="3">
        <f t="shared" si="57"/>
        <v>2.8589469167233993E-2</v>
      </c>
      <c r="K140" s="3">
        <f t="shared" si="57"/>
        <v>2.8589469167233993E-2</v>
      </c>
      <c r="L140" s="3">
        <f t="shared" si="57"/>
        <v>2.8589469167233993E-2</v>
      </c>
      <c r="M140" s="3">
        <f t="shared" si="57"/>
        <v>2.8589469167233993E-2</v>
      </c>
      <c r="N140" s="3">
        <f t="shared" si="57"/>
        <v>2.858946916723399E-2</v>
      </c>
      <c r="O140" s="3">
        <f t="shared" si="57"/>
        <v>2.8589469167233969E-2</v>
      </c>
      <c r="P140" s="3">
        <f t="shared" si="57"/>
        <v>2.8589469167233754E-2</v>
      </c>
      <c r="Q140" s="3">
        <f t="shared" si="57"/>
        <v>2.8589469167231606E-2</v>
      </c>
      <c r="R140" s="3">
        <f t="shared" si="57"/>
        <v>2.8589469167210117E-2</v>
      </c>
      <c r="S140" s="3">
        <f t="shared" si="57"/>
        <v>2.8589469166995257E-2</v>
      </c>
      <c r="T140" s="3">
        <f t="shared" si="57"/>
        <v>2.8589469164846601E-2</v>
      </c>
      <c r="U140" s="3">
        <f t="shared" si="57"/>
        <v>2.8589469143360087E-2</v>
      </c>
      <c r="V140" s="3">
        <f t="shared" si="57"/>
        <v>2.8589468928494923E-2</v>
      </c>
      <c r="W140" s="3">
        <f t="shared" si="57"/>
        <v>2.8589466779843409E-2</v>
      </c>
      <c r="X140" s="3">
        <f t="shared" si="57"/>
        <v>2.858944529333713E-2</v>
      </c>
      <c r="Y140" s="3">
        <f t="shared" si="57"/>
        <v>2.858923042916249E-2</v>
      </c>
      <c r="Z140" s="3">
        <f t="shared" si="57"/>
        <v>2.8587081876228812E-2</v>
      </c>
      <c r="AA140" s="3">
        <f t="shared" ref="AA140" si="58">$C26*EXP(-AA$129/$A26/EXP(-$B$126))</f>
        <v>2.8565605225695199E-2</v>
      </c>
      <c r="AB140" s="3">
        <f t="shared" si="46"/>
        <v>2.8351724136660993E-2</v>
      </c>
      <c r="AC140" s="3">
        <f t="shared" si="46"/>
        <v>2.6299041471587733E-2</v>
      </c>
      <c r="AD140" s="3">
        <f t="shared" si="46"/>
        <v>1.240350351170654E-2</v>
      </c>
      <c r="AE140" s="3">
        <f t="shared" si="46"/>
        <v>6.754433249021257E-6</v>
      </c>
      <c r="AF140" s="3">
        <f t="shared" si="46"/>
        <v>1.548939003307369E-38</v>
      </c>
    </row>
    <row r="141" spans="1:33" x14ac:dyDescent="0.25">
      <c r="B141" s="3">
        <f t="shared" ref="B141:Z141" si="59">$C27*EXP(-B$129/$A27/EXP(-$B$126))</f>
        <v>2.8115831969051441E-2</v>
      </c>
      <c r="C141" s="3">
        <f t="shared" si="59"/>
        <v>2.8115831969051441E-2</v>
      </c>
      <c r="D141" s="3">
        <f t="shared" si="59"/>
        <v>2.8115831969051441E-2</v>
      </c>
      <c r="E141" s="3">
        <f t="shared" si="59"/>
        <v>2.8115831969051441E-2</v>
      </c>
      <c r="F141" s="3">
        <f t="shared" si="59"/>
        <v>2.8115831969051441E-2</v>
      </c>
      <c r="G141" s="3">
        <f t="shared" si="59"/>
        <v>2.8115831969051441E-2</v>
      </c>
      <c r="H141" s="3">
        <f t="shared" si="59"/>
        <v>2.8115831969051441E-2</v>
      </c>
      <c r="I141" s="3">
        <f t="shared" si="59"/>
        <v>2.8115831969051441E-2</v>
      </c>
      <c r="J141" s="3">
        <f t="shared" si="59"/>
        <v>2.8115831969051441E-2</v>
      </c>
      <c r="K141" s="3">
        <f t="shared" si="59"/>
        <v>2.8115831969051441E-2</v>
      </c>
      <c r="L141" s="3">
        <f t="shared" si="59"/>
        <v>2.8115831969051441E-2</v>
      </c>
      <c r="M141" s="3">
        <f t="shared" si="59"/>
        <v>2.8115831969051441E-2</v>
      </c>
      <c r="N141" s="3">
        <f t="shared" si="59"/>
        <v>2.8115831969051441E-2</v>
      </c>
      <c r="O141" s="3">
        <f t="shared" si="59"/>
        <v>2.8115831969051437E-2</v>
      </c>
      <c r="P141" s="3">
        <f t="shared" si="59"/>
        <v>2.811583196905142E-2</v>
      </c>
      <c r="Q141" s="3">
        <f t="shared" si="59"/>
        <v>2.8115831969051229E-2</v>
      </c>
      <c r="R141" s="3">
        <f t="shared" si="59"/>
        <v>2.8115831969049321E-2</v>
      </c>
      <c r="S141" s="3">
        <f t="shared" si="59"/>
        <v>2.811583196903026E-2</v>
      </c>
      <c r="T141" s="3">
        <f t="shared" si="59"/>
        <v>2.8115831968839645E-2</v>
      </c>
      <c r="U141" s="3">
        <f t="shared" si="59"/>
        <v>2.8115831966933496E-2</v>
      </c>
      <c r="V141" s="3">
        <f t="shared" si="59"/>
        <v>2.811583194787198E-2</v>
      </c>
      <c r="W141" s="3">
        <f t="shared" si="59"/>
        <v>2.8115831757256817E-2</v>
      </c>
      <c r="X141" s="3">
        <f t="shared" si="59"/>
        <v>2.8115829851105278E-2</v>
      </c>
      <c r="Y141" s="3">
        <f t="shared" si="59"/>
        <v>2.8115810789596976E-2</v>
      </c>
      <c r="Z141" s="3">
        <f t="shared" si="59"/>
        <v>2.8115620175224738E-2</v>
      </c>
      <c r="AA141" s="3">
        <f t="shared" ref="AA141" si="60">$C27*EXP(-AA$129/$A27/EXP(-$B$126))</f>
        <v>2.8113714102576955E-2</v>
      </c>
      <c r="AB141" s="3">
        <f t="shared" si="46"/>
        <v>2.8094660481778312E-2</v>
      </c>
      <c r="AC141" s="3">
        <f t="shared" si="46"/>
        <v>2.7904833062502743E-2</v>
      </c>
      <c r="AD141" s="3">
        <f t="shared" si="46"/>
        <v>2.6075691551652042E-2</v>
      </c>
      <c r="AE141" s="3">
        <f t="shared" si="46"/>
        <v>1.3237314864724757E-2</v>
      </c>
      <c r="AF141" s="3">
        <f t="shared" si="46"/>
        <v>1.5046674962423228E-5</v>
      </c>
    </row>
    <row r="142" spans="1:33" x14ac:dyDescent="0.25">
      <c r="B142" s="3">
        <f t="shared" ref="B142:Z142" si="61">$C28*EXP(-B$129/$A28/EXP(-$B$126))</f>
        <v>3.3973946984022944E-2</v>
      </c>
      <c r="C142" s="3">
        <f t="shared" si="61"/>
        <v>3.3973946984022944E-2</v>
      </c>
      <c r="D142" s="3">
        <f t="shared" si="61"/>
        <v>3.3973946984022944E-2</v>
      </c>
      <c r="E142" s="3">
        <f t="shared" si="61"/>
        <v>3.3973946984022944E-2</v>
      </c>
      <c r="F142" s="3">
        <f t="shared" si="61"/>
        <v>3.3973946984022944E-2</v>
      </c>
      <c r="G142" s="3">
        <f t="shared" si="61"/>
        <v>3.3973946984022944E-2</v>
      </c>
      <c r="H142" s="3">
        <f t="shared" si="61"/>
        <v>3.3973946984022944E-2</v>
      </c>
      <c r="I142" s="3">
        <f t="shared" si="61"/>
        <v>3.3973946984022944E-2</v>
      </c>
      <c r="J142" s="3">
        <f t="shared" si="61"/>
        <v>3.3973946984022944E-2</v>
      </c>
      <c r="K142" s="3">
        <f t="shared" si="61"/>
        <v>3.3973946984022944E-2</v>
      </c>
      <c r="L142" s="3">
        <f t="shared" si="61"/>
        <v>3.3973946984022944E-2</v>
      </c>
      <c r="M142" s="3">
        <f t="shared" si="61"/>
        <v>3.3973946984022944E-2</v>
      </c>
      <c r="N142" s="3">
        <f t="shared" si="61"/>
        <v>3.3973946984022944E-2</v>
      </c>
      <c r="O142" s="3">
        <f t="shared" si="61"/>
        <v>3.3973946984022944E-2</v>
      </c>
      <c r="P142" s="3">
        <f t="shared" si="61"/>
        <v>3.3973946984022937E-2</v>
      </c>
      <c r="Q142" s="3">
        <f t="shared" si="61"/>
        <v>3.3973946984022924E-2</v>
      </c>
      <c r="R142" s="3">
        <f t="shared" si="61"/>
        <v>3.3973946984022715E-2</v>
      </c>
      <c r="S142" s="3">
        <f t="shared" si="61"/>
        <v>3.3973946984020634E-2</v>
      </c>
      <c r="T142" s="3">
        <f t="shared" si="61"/>
        <v>3.3973946983999859E-2</v>
      </c>
      <c r="U142" s="3">
        <f t="shared" si="61"/>
        <v>3.397394698379208E-2</v>
      </c>
      <c r="V142" s="3">
        <f t="shared" si="61"/>
        <v>3.3973946981714305E-2</v>
      </c>
      <c r="W142" s="3">
        <f t="shared" si="61"/>
        <v>3.3973946960936523E-2</v>
      </c>
      <c r="X142" s="3">
        <f t="shared" si="61"/>
        <v>3.3973946753158749E-2</v>
      </c>
      <c r="Y142" s="3">
        <f t="shared" si="61"/>
        <v>3.3973944675381042E-2</v>
      </c>
      <c r="Z142" s="3">
        <f t="shared" si="61"/>
        <v>3.3973923897610933E-2</v>
      </c>
      <c r="AA142" s="3">
        <f t="shared" ref="AA142" si="62">$C28*EXP(-AA$129/$A28/EXP(-$B$126))</f>
        <v>3.3973716120608795E-2</v>
      </c>
      <c r="AB142" s="3">
        <f t="shared" si="46"/>
        <v>3.3971638420475646E-2</v>
      </c>
      <c r="AC142" s="3">
        <f t="shared" si="46"/>
        <v>3.3950868406384678E-2</v>
      </c>
      <c r="AD142" s="3">
        <f t="shared" si="46"/>
        <v>3.3743865411007913E-2</v>
      </c>
      <c r="AE142" s="3">
        <f t="shared" si="46"/>
        <v>3.1741997952843229E-2</v>
      </c>
      <c r="AF142" s="3">
        <f t="shared" si="46"/>
        <v>1.7219817736485239E-2</v>
      </c>
    </row>
    <row r="143" spans="1:33" x14ac:dyDescent="0.25">
      <c r="B143" s="3">
        <f t="shared" ref="B143:Z143" si="63">$C29*EXP(-B$129/$A29/EXP(-$B$126))</f>
        <v>3.6313930353248758E-2</v>
      </c>
      <c r="C143" s="3">
        <f t="shared" si="63"/>
        <v>3.6313930353248758E-2</v>
      </c>
      <c r="D143" s="3">
        <f t="shared" si="63"/>
        <v>3.6313930353248758E-2</v>
      </c>
      <c r="E143" s="3">
        <f t="shared" si="63"/>
        <v>3.6313930353248758E-2</v>
      </c>
      <c r="F143" s="3">
        <f t="shared" si="63"/>
        <v>3.6313930353248758E-2</v>
      </c>
      <c r="G143" s="3">
        <f t="shared" si="63"/>
        <v>3.6313930353248758E-2</v>
      </c>
      <c r="H143" s="3">
        <f t="shared" si="63"/>
        <v>3.6313930353248758E-2</v>
      </c>
      <c r="I143" s="3">
        <f t="shared" si="63"/>
        <v>3.6313930353248758E-2</v>
      </c>
      <c r="J143" s="3">
        <f t="shared" si="63"/>
        <v>3.6313930353248758E-2</v>
      </c>
      <c r="K143" s="3">
        <f t="shared" si="63"/>
        <v>3.6313930353248758E-2</v>
      </c>
      <c r="L143" s="3">
        <f t="shared" si="63"/>
        <v>3.6313930353248758E-2</v>
      </c>
      <c r="M143" s="3">
        <f t="shared" si="63"/>
        <v>3.6313930353248758E-2</v>
      </c>
      <c r="N143" s="3">
        <f t="shared" si="63"/>
        <v>3.6313930353248758E-2</v>
      </c>
      <c r="O143" s="3">
        <f t="shared" si="63"/>
        <v>3.6313930353248758E-2</v>
      </c>
      <c r="P143" s="3">
        <f t="shared" si="63"/>
        <v>3.6313930353248758E-2</v>
      </c>
      <c r="Q143" s="3">
        <f t="shared" si="63"/>
        <v>3.6313930353248751E-2</v>
      </c>
      <c r="R143" s="3">
        <f t="shared" si="63"/>
        <v>3.6313930353248737E-2</v>
      </c>
      <c r="S143" s="3">
        <f t="shared" si="63"/>
        <v>3.6313930353248536E-2</v>
      </c>
      <c r="T143" s="3">
        <f t="shared" si="63"/>
        <v>3.631393035324653E-2</v>
      </c>
      <c r="U143" s="3">
        <f t="shared" si="63"/>
        <v>3.6313930353226498E-2</v>
      </c>
      <c r="V143" s="3">
        <f t="shared" si="63"/>
        <v>3.6313930353026151E-2</v>
      </c>
      <c r="W143" s="3">
        <f t="shared" si="63"/>
        <v>3.6313930351022733E-2</v>
      </c>
      <c r="X143" s="3">
        <f t="shared" si="63"/>
        <v>3.6313930330988488E-2</v>
      </c>
      <c r="Y143" s="3">
        <f t="shared" si="63"/>
        <v>3.6313930130646058E-2</v>
      </c>
      <c r="Z143" s="3">
        <f t="shared" si="63"/>
        <v>3.6313928127221805E-2</v>
      </c>
      <c r="AA143" s="3">
        <f t="shared" ref="AA143" si="64">$C29*EXP(-AA$129/$A29/EXP(-$B$126))</f>
        <v>3.6313908092985354E-2</v>
      </c>
      <c r="AB143" s="3">
        <f t="shared" si="46"/>
        <v>3.6313707751228788E-2</v>
      </c>
      <c r="AC143" s="3">
        <f t="shared" si="46"/>
        <v>3.6311704394452179E-2</v>
      </c>
      <c r="AD143" s="3">
        <f t="shared" si="46"/>
        <v>3.6291676904351963E-2</v>
      </c>
      <c r="AE143" s="3">
        <f t="shared" si="46"/>
        <v>3.6092008531144734E-2</v>
      </c>
      <c r="AF143" s="3">
        <f t="shared" si="46"/>
        <v>3.4154757547252244E-2</v>
      </c>
    </row>
    <row r="144" spans="1:33" x14ac:dyDescent="0.25">
      <c r="B144" s="3">
        <f t="shared" ref="B144:Z144" si="65">$C30*EXP(-B$129/$A30/EXP(-$B$126))</f>
        <v>4.1806327659667623E-2</v>
      </c>
      <c r="C144" s="3">
        <f t="shared" si="65"/>
        <v>4.1806327659667623E-2</v>
      </c>
      <c r="D144" s="3">
        <f t="shared" si="65"/>
        <v>4.1806327659667623E-2</v>
      </c>
      <c r="E144" s="3">
        <f t="shared" si="65"/>
        <v>4.1806327659667623E-2</v>
      </c>
      <c r="F144" s="3">
        <f t="shared" si="65"/>
        <v>4.1806327659667623E-2</v>
      </c>
      <c r="G144" s="3">
        <f t="shared" si="65"/>
        <v>4.1806327659667623E-2</v>
      </c>
      <c r="H144" s="3">
        <f t="shared" si="65"/>
        <v>4.1806327659667623E-2</v>
      </c>
      <c r="I144" s="3">
        <f t="shared" si="65"/>
        <v>4.1806327659667623E-2</v>
      </c>
      <c r="J144" s="3">
        <f t="shared" si="65"/>
        <v>4.1806327659667623E-2</v>
      </c>
      <c r="K144" s="3">
        <f t="shared" si="65"/>
        <v>4.1806327659667623E-2</v>
      </c>
      <c r="L144" s="3">
        <f t="shared" si="65"/>
        <v>4.1806327659667623E-2</v>
      </c>
      <c r="M144" s="3">
        <f t="shared" si="65"/>
        <v>4.1806327659667623E-2</v>
      </c>
      <c r="N144" s="3">
        <f t="shared" si="65"/>
        <v>4.1806327659667623E-2</v>
      </c>
      <c r="O144" s="3">
        <f t="shared" si="65"/>
        <v>4.1806327659667623E-2</v>
      </c>
      <c r="P144" s="3">
        <f t="shared" si="65"/>
        <v>4.1806327659667623E-2</v>
      </c>
      <c r="Q144" s="3">
        <f t="shared" si="65"/>
        <v>4.1806327659667623E-2</v>
      </c>
      <c r="R144" s="3">
        <f t="shared" si="65"/>
        <v>4.1806327659667623E-2</v>
      </c>
      <c r="S144" s="3">
        <f t="shared" si="65"/>
        <v>4.1806327659667603E-2</v>
      </c>
      <c r="T144" s="3">
        <f t="shared" si="65"/>
        <v>4.1806327659667394E-2</v>
      </c>
      <c r="U144" s="3">
        <f t="shared" si="65"/>
        <v>4.1806327659665313E-2</v>
      </c>
      <c r="V144" s="3">
        <f t="shared" si="65"/>
        <v>4.1806327659644503E-2</v>
      </c>
      <c r="W144" s="3">
        <f t="shared" si="65"/>
        <v>4.1806327659436447E-2</v>
      </c>
      <c r="X144" s="3">
        <f t="shared" si="65"/>
        <v>4.1806327657355848E-2</v>
      </c>
      <c r="Y144" s="3">
        <f t="shared" si="65"/>
        <v>4.1806327636549866E-2</v>
      </c>
      <c r="Z144" s="3">
        <f t="shared" si="65"/>
        <v>4.1806327428490005E-2</v>
      </c>
      <c r="AA144" s="3">
        <f t="shared" ref="AA144" si="66">$C30*EXP(-AA$129/$A30/EXP(-$B$126))</f>
        <v>4.1806325347891499E-2</v>
      </c>
      <c r="AB144" s="3">
        <f t="shared" ref="AB144:AF153" si="67">$C30*EXP(-AB$129/$A30/EXP(-$B$126))</f>
        <v>4.1806304541912101E-2</v>
      </c>
      <c r="AC144" s="3">
        <f t="shared" si="67"/>
        <v>4.1806096482687634E-2</v>
      </c>
      <c r="AD144" s="3">
        <f t="shared" si="67"/>
        <v>4.1804015947392324E-2</v>
      </c>
      <c r="AE144" s="3">
        <f t="shared" si="67"/>
        <v>4.1783216288320477E-2</v>
      </c>
      <c r="AF144" s="3">
        <f t="shared" si="67"/>
        <v>4.1575788038654395E-2</v>
      </c>
    </row>
    <row r="145" spans="1:32" x14ac:dyDescent="0.25">
      <c r="B145" s="3">
        <f t="shared" ref="B145:Z145" si="68">$C31*EXP(-B$129/$A31/EXP(-$B$126))</f>
        <v>4.6977125912982913E-2</v>
      </c>
      <c r="C145" s="3">
        <f t="shared" si="68"/>
        <v>4.6977125912982913E-2</v>
      </c>
      <c r="D145" s="3">
        <f t="shared" si="68"/>
        <v>4.6977125912982913E-2</v>
      </c>
      <c r="E145" s="3">
        <f t="shared" si="68"/>
        <v>4.6977125912982913E-2</v>
      </c>
      <c r="F145" s="3">
        <f t="shared" si="68"/>
        <v>4.6977125912982913E-2</v>
      </c>
      <c r="G145" s="3">
        <f t="shared" si="68"/>
        <v>4.6977125912982913E-2</v>
      </c>
      <c r="H145" s="3">
        <f t="shared" si="68"/>
        <v>4.6977125912982913E-2</v>
      </c>
      <c r="I145" s="3">
        <f t="shared" si="68"/>
        <v>4.6977125912982913E-2</v>
      </c>
      <c r="J145" s="3">
        <f t="shared" si="68"/>
        <v>4.6977125912982913E-2</v>
      </c>
      <c r="K145" s="3">
        <f t="shared" si="68"/>
        <v>4.6977125912982913E-2</v>
      </c>
      <c r="L145" s="3">
        <f t="shared" si="68"/>
        <v>4.6977125912982913E-2</v>
      </c>
      <c r="M145" s="3">
        <f t="shared" si="68"/>
        <v>4.6977125912982913E-2</v>
      </c>
      <c r="N145" s="3">
        <f t="shared" si="68"/>
        <v>4.6977125912982913E-2</v>
      </c>
      <c r="O145" s="3">
        <f t="shared" si="68"/>
        <v>4.6977125912982913E-2</v>
      </c>
      <c r="P145" s="3">
        <f t="shared" si="68"/>
        <v>4.6977125912982913E-2</v>
      </c>
      <c r="Q145" s="3">
        <f t="shared" si="68"/>
        <v>4.6977125912982913E-2</v>
      </c>
      <c r="R145" s="3">
        <f t="shared" si="68"/>
        <v>4.6977125912982913E-2</v>
      </c>
      <c r="S145" s="3">
        <f t="shared" si="68"/>
        <v>4.6977125912982913E-2</v>
      </c>
      <c r="T145" s="3">
        <f t="shared" si="68"/>
        <v>4.6977125912982892E-2</v>
      </c>
      <c r="U145" s="3">
        <f t="shared" si="68"/>
        <v>4.6977125912982677E-2</v>
      </c>
      <c r="V145" s="3">
        <f t="shared" si="68"/>
        <v>4.6977125912980575E-2</v>
      </c>
      <c r="W145" s="3">
        <f t="shared" si="68"/>
        <v>4.697712591295948E-2</v>
      </c>
      <c r="X145" s="3">
        <f t="shared" si="68"/>
        <v>4.697712591274858E-2</v>
      </c>
      <c r="Y145" s="3">
        <f t="shared" si="68"/>
        <v>4.6977125910639565E-2</v>
      </c>
      <c r="Z145" s="3">
        <f t="shared" si="68"/>
        <v>4.6977125889549436E-2</v>
      </c>
      <c r="AA145" s="3">
        <f t="shared" ref="AA145" si="69">$C31*EXP(-AA$129/$A31/EXP(-$B$126))</f>
        <v>4.6977125678648105E-2</v>
      </c>
      <c r="AB145" s="3">
        <f t="shared" si="67"/>
        <v>4.6977123569634904E-2</v>
      </c>
      <c r="AC145" s="3">
        <f t="shared" si="67"/>
        <v>4.6977102479508114E-2</v>
      </c>
      <c r="AD145" s="3">
        <f t="shared" si="67"/>
        <v>4.6976891578760907E-2</v>
      </c>
      <c r="AE145" s="3">
        <f t="shared" si="67"/>
        <v>4.6974782623363555E-2</v>
      </c>
      <c r="AF145" s="3">
        <f t="shared" si="67"/>
        <v>4.6953698275996075E-2</v>
      </c>
    </row>
    <row r="146" spans="1:32" x14ac:dyDescent="0.25">
      <c r="B146" s="3">
        <f t="shared" ref="B146:Z146" si="70">$C32*EXP(-B$129/$A32/EXP(-$B$126))</f>
        <v>6.4330039712108877E-2</v>
      </c>
      <c r="C146" s="3">
        <f t="shared" si="70"/>
        <v>6.4330039712108877E-2</v>
      </c>
      <c r="D146" s="3">
        <f t="shared" si="70"/>
        <v>6.4330039712108877E-2</v>
      </c>
      <c r="E146" s="3">
        <f t="shared" si="70"/>
        <v>6.4330039712108877E-2</v>
      </c>
      <c r="F146" s="3">
        <f t="shared" si="70"/>
        <v>6.4330039712108877E-2</v>
      </c>
      <c r="G146" s="3">
        <f t="shared" si="70"/>
        <v>6.4330039712108877E-2</v>
      </c>
      <c r="H146" s="3">
        <f t="shared" si="70"/>
        <v>6.4330039712108877E-2</v>
      </c>
      <c r="I146" s="3">
        <f t="shared" si="70"/>
        <v>6.4330039712108877E-2</v>
      </c>
      <c r="J146" s="3">
        <f t="shared" si="70"/>
        <v>6.4330039712108877E-2</v>
      </c>
      <c r="K146" s="3">
        <f t="shared" si="70"/>
        <v>6.4330039712108877E-2</v>
      </c>
      <c r="L146" s="3">
        <f t="shared" si="70"/>
        <v>6.4330039712108877E-2</v>
      </c>
      <c r="M146" s="3">
        <f t="shared" si="70"/>
        <v>6.4330039712108877E-2</v>
      </c>
      <c r="N146" s="3">
        <f t="shared" si="70"/>
        <v>6.4330039712108877E-2</v>
      </c>
      <c r="O146" s="3">
        <f t="shared" si="70"/>
        <v>6.4330039712108877E-2</v>
      </c>
      <c r="P146" s="3">
        <f t="shared" si="70"/>
        <v>6.4330039712108877E-2</v>
      </c>
      <c r="Q146" s="3">
        <f t="shared" si="70"/>
        <v>6.4330039712108877E-2</v>
      </c>
      <c r="R146" s="3">
        <f t="shared" si="70"/>
        <v>6.4330039712108877E-2</v>
      </c>
      <c r="S146" s="3">
        <f t="shared" si="70"/>
        <v>6.4330039712108877E-2</v>
      </c>
      <c r="T146" s="3">
        <f t="shared" si="70"/>
        <v>6.4330039712108877E-2</v>
      </c>
      <c r="U146" s="3">
        <f t="shared" si="70"/>
        <v>6.433003971210885E-2</v>
      </c>
      <c r="V146" s="3">
        <f t="shared" si="70"/>
        <v>6.4330039712108586E-2</v>
      </c>
      <c r="W146" s="3">
        <f t="shared" si="70"/>
        <v>6.4330039712105991E-2</v>
      </c>
      <c r="X146" s="3">
        <f t="shared" si="70"/>
        <v>6.4330039712079928E-2</v>
      </c>
      <c r="Y146" s="3">
        <f t="shared" si="70"/>
        <v>6.4330039711819401E-2</v>
      </c>
      <c r="Z146" s="3">
        <f t="shared" si="70"/>
        <v>6.4330039709214137E-2</v>
      </c>
      <c r="AA146" s="3">
        <f t="shared" ref="AA146" si="71">$C32*EXP(-AA$129/$A32/EXP(-$B$126))</f>
        <v>6.4330039683161394E-2</v>
      </c>
      <c r="AB146" s="3">
        <f t="shared" si="67"/>
        <v>6.4330039422634072E-2</v>
      </c>
      <c r="AC146" s="3">
        <f t="shared" si="67"/>
        <v>6.4330036817360908E-2</v>
      </c>
      <c r="AD146" s="3">
        <f t="shared" si="67"/>
        <v>6.4330010764635029E-2</v>
      </c>
      <c r="AE146" s="3">
        <f t="shared" si="67"/>
        <v>6.4329750237956507E-2</v>
      </c>
      <c r="AF146" s="3">
        <f t="shared" si="67"/>
        <v>6.4327145029200797E-2</v>
      </c>
    </row>
    <row r="147" spans="1:32" x14ac:dyDescent="0.25">
      <c r="B147" s="3">
        <f t="shared" ref="B147:Z147" si="72">$C33*EXP(-B$129/$A33/EXP(-$B$126))</f>
        <v>7.1283808515689162E-2</v>
      </c>
      <c r="C147" s="3">
        <f t="shared" si="72"/>
        <v>7.1283808515689162E-2</v>
      </c>
      <c r="D147" s="3">
        <f t="shared" si="72"/>
        <v>7.1283808515689162E-2</v>
      </c>
      <c r="E147" s="3">
        <f t="shared" si="72"/>
        <v>7.1283808515689162E-2</v>
      </c>
      <c r="F147" s="3">
        <f t="shared" si="72"/>
        <v>7.1283808515689162E-2</v>
      </c>
      <c r="G147" s="3">
        <f t="shared" si="72"/>
        <v>7.1283808515689162E-2</v>
      </c>
      <c r="H147" s="3">
        <f t="shared" si="72"/>
        <v>7.1283808515689162E-2</v>
      </c>
      <c r="I147" s="3">
        <f t="shared" si="72"/>
        <v>7.1283808515689162E-2</v>
      </c>
      <c r="J147" s="3">
        <f t="shared" si="72"/>
        <v>7.1283808515689162E-2</v>
      </c>
      <c r="K147" s="3">
        <f t="shared" si="72"/>
        <v>7.1283808515689162E-2</v>
      </c>
      <c r="L147" s="3">
        <f t="shared" si="72"/>
        <v>7.1283808515689162E-2</v>
      </c>
      <c r="M147" s="3">
        <f t="shared" si="72"/>
        <v>7.1283808515689162E-2</v>
      </c>
      <c r="N147" s="3">
        <f t="shared" si="72"/>
        <v>7.1283808515689162E-2</v>
      </c>
      <c r="O147" s="3">
        <f t="shared" si="72"/>
        <v>7.1283808515689162E-2</v>
      </c>
      <c r="P147" s="3">
        <f t="shared" si="72"/>
        <v>7.1283808515689162E-2</v>
      </c>
      <c r="Q147" s="3">
        <f t="shared" si="72"/>
        <v>7.1283808515689162E-2</v>
      </c>
      <c r="R147" s="3">
        <f t="shared" si="72"/>
        <v>7.1283808515689162E-2</v>
      </c>
      <c r="S147" s="3">
        <f t="shared" si="72"/>
        <v>7.1283808515689162E-2</v>
      </c>
      <c r="T147" s="3">
        <f t="shared" si="72"/>
        <v>7.1283808515689162E-2</v>
      </c>
      <c r="U147" s="3">
        <f t="shared" si="72"/>
        <v>7.1283808515689162E-2</v>
      </c>
      <c r="V147" s="3">
        <f t="shared" si="72"/>
        <v>7.1283808515689134E-2</v>
      </c>
      <c r="W147" s="3">
        <f t="shared" si="72"/>
        <v>7.1283808515688871E-2</v>
      </c>
      <c r="X147" s="3">
        <f t="shared" si="72"/>
        <v>7.1283808515686262E-2</v>
      </c>
      <c r="Y147" s="3">
        <f t="shared" si="72"/>
        <v>7.1283808515660227E-2</v>
      </c>
      <c r="Z147" s="3">
        <f t="shared" si="72"/>
        <v>7.128380851539981E-2</v>
      </c>
      <c r="AA147" s="3">
        <f t="shared" ref="AA147" si="73">$C33*EXP(-AA$129/$A33/EXP(-$B$126))</f>
        <v>7.1283808512795588E-2</v>
      </c>
      <c r="AB147" s="3">
        <f t="shared" si="67"/>
        <v>7.1283808486753433E-2</v>
      </c>
      <c r="AC147" s="3">
        <f t="shared" si="67"/>
        <v>7.1283808226331874E-2</v>
      </c>
      <c r="AD147" s="3">
        <f t="shared" si="67"/>
        <v>7.1283805622116281E-2</v>
      </c>
      <c r="AE147" s="3">
        <f t="shared" si="67"/>
        <v>7.1283779579965637E-2</v>
      </c>
      <c r="AF147" s="3">
        <f t="shared" si="67"/>
        <v>7.1283519158982428E-2</v>
      </c>
    </row>
    <row r="148" spans="1:32" x14ac:dyDescent="0.25">
      <c r="B148" s="3">
        <f t="shared" ref="B148:Z148" si="74">$C34*EXP(-B$129/$A34/EXP(-$B$126))</f>
        <v>6.5008577665533668E-2</v>
      </c>
      <c r="C148" s="3">
        <f t="shared" si="74"/>
        <v>6.5008577665533668E-2</v>
      </c>
      <c r="D148" s="3">
        <f t="shared" si="74"/>
        <v>6.5008577665533668E-2</v>
      </c>
      <c r="E148" s="3">
        <f t="shared" si="74"/>
        <v>6.5008577665533668E-2</v>
      </c>
      <c r="F148" s="3">
        <f t="shared" si="74"/>
        <v>6.5008577665533668E-2</v>
      </c>
      <c r="G148" s="3">
        <f t="shared" si="74"/>
        <v>6.5008577665533668E-2</v>
      </c>
      <c r="H148" s="3">
        <f t="shared" si="74"/>
        <v>6.5008577665533668E-2</v>
      </c>
      <c r="I148" s="3">
        <f t="shared" si="74"/>
        <v>6.5008577665533668E-2</v>
      </c>
      <c r="J148" s="3">
        <f t="shared" si="74"/>
        <v>6.5008577665533668E-2</v>
      </c>
      <c r="K148" s="3">
        <f t="shared" si="74"/>
        <v>6.5008577665533668E-2</v>
      </c>
      <c r="L148" s="3">
        <f t="shared" si="74"/>
        <v>6.5008577665533668E-2</v>
      </c>
      <c r="M148" s="3">
        <f t="shared" si="74"/>
        <v>6.5008577665533668E-2</v>
      </c>
      <c r="N148" s="3">
        <f t="shared" si="74"/>
        <v>6.5008577665533668E-2</v>
      </c>
      <c r="O148" s="3">
        <f t="shared" si="74"/>
        <v>6.5008577665533668E-2</v>
      </c>
      <c r="P148" s="3">
        <f t="shared" si="74"/>
        <v>6.5008577665533668E-2</v>
      </c>
      <c r="Q148" s="3">
        <f t="shared" si="74"/>
        <v>6.5008577665533668E-2</v>
      </c>
      <c r="R148" s="3">
        <f t="shared" si="74"/>
        <v>6.5008577665533668E-2</v>
      </c>
      <c r="S148" s="3">
        <f t="shared" si="74"/>
        <v>6.5008577665533668E-2</v>
      </c>
      <c r="T148" s="3">
        <f t="shared" si="74"/>
        <v>6.5008577665533668E-2</v>
      </c>
      <c r="U148" s="3">
        <f t="shared" si="74"/>
        <v>6.5008577665533668E-2</v>
      </c>
      <c r="V148" s="3">
        <f t="shared" si="74"/>
        <v>6.5008577665533668E-2</v>
      </c>
      <c r="W148" s="3">
        <f t="shared" si="74"/>
        <v>6.500857766553364E-2</v>
      </c>
      <c r="X148" s="3">
        <f t="shared" si="74"/>
        <v>6.5008577665533432E-2</v>
      </c>
      <c r="Y148" s="3">
        <f t="shared" si="74"/>
        <v>6.5008577665531281E-2</v>
      </c>
      <c r="Z148" s="3">
        <f t="shared" si="74"/>
        <v>6.5008577665509867E-2</v>
      </c>
      <c r="AA148" s="3">
        <f>$C34*EXP(-AA$129/$A34/EXP(-$B$126))</f>
        <v>6.5008577665295622E-2</v>
      </c>
      <c r="AB148" s="3">
        <f t="shared" si="67"/>
        <v>6.5008577663153211E-2</v>
      </c>
      <c r="AC148" s="3">
        <f t="shared" si="67"/>
        <v>6.5008577641729071E-2</v>
      </c>
      <c r="AD148" s="3">
        <f t="shared" si="67"/>
        <v>6.5008577427487724E-2</v>
      </c>
      <c r="AE148" s="3">
        <f t="shared" si="67"/>
        <v>6.5008575285074227E-2</v>
      </c>
      <c r="AF148" s="3">
        <f t="shared" si="67"/>
        <v>6.5008553860943161E-2</v>
      </c>
    </row>
    <row r="149" spans="1:32" x14ac:dyDescent="0.25">
      <c r="B149" s="3">
        <f t="shared" ref="B149:Z149" si="75">$C35*EXP(-B$129/$A35/EXP(-$B$126))</f>
        <v>4.954350168244695E-2</v>
      </c>
      <c r="C149" s="3">
        <f t="shared" si="75"/>
        <v>4.954350168244695E-2</v>
      </c>
      <c r="D149" s="3">
        <f t="shared" si="75"/>
        <v>4.954350168244695E-2</v>
      </c>
      <c r="E149" s="3">
        <f t="shared" si="75"/>
        <v>4.954350168244695E-2</v>
      </c>
      <c r="F149" s="3">
        <f t="shared" si="75"/>
        <v>4.954350168244695E-2</v>
      </c>
      <c r="G149" s="3">
        <f t="shared" si="75"/>
        <v>4.954350168244695E-2</v>
      </c>
      <c r="H149" s="3">
        <f t="shared" si="75"/>
        <v>4.954350168244695E-2</v>
      </c>
      <c r="I149" s="3">
        <f t="shared" si="75"/>
        <v>4.954350168244695E-2</v>
      </c>
      <c r="J149" s="3">
        <f t="shared" si="75"/>
        <v>4.954350168244695E-2</v>
      </c>
      <c r="K149" s="3">
        <f t="shared" si="75"/>
        <v>4.954350168244695E-2</v>
      </c>
      <c r="L149" s="3">
        <f t="shared" si="75"/>
        <v>4.954350168244695E-2</v>
      </c>
      <c r="M149" s="3">
        <f t="shared" si="75"/>
        <v>4.954350168244695E-2</v>
      </c>
      <c r="N149" s="3">
        <f t="shared" si="75"/>
        <v>4.954350168244695E-2</v>
      </c>
      <c r="O149" s="3">
        <f t="shared" si="75"/>
        <v>4.954350168244695E-2</v>
      </c>
      <c r="P149" s="3">
        <f t="shared" si="75"/>
        <v>4.954350168244695E-2</v>
      </c>
      <c r="Q149" s="3">
        <f t="shared" si="75"/>
        <v>4.954350168244695E-2</v>
      </c>
      <c r="R149" s="3">
        <f t="shared" si="75"/>
        <v>4.954350168244695E-2</v>
      </c>
      <c r="S149" s="3">
        <f t="shared" si="75"/>
        <v>4.954350168244695E-2</v>
      </c>
      <c r="T149" s="3">
        <f t="shared" si="75"/>
        <v>4.954350168244695E-2</v>
      </c>
      <c r="U149" s="3">
        <f t="shared" si="75"/>
        <v>4.954350168244695E-2</v>
      </c>
      <c r="V149" s="3">
        <f t="shared" si="75"/>
        <v>4.954350168244695E-2</v>
      </c>
      <c r="W149" s="3">
        <f t="shared" si="75"/>
        <v>4.954350168244695E-2</v>
      </c>
      <c r="X149" s="3">
        <f t="shared" si="75"/>
        <v>4.9543501682446936E-2</v>
      </c>
      <c r="Y149" s="3">
        <f t="shared" si="75"/>
        <v>4.9543501682446783E-2</v>
      </c>
      <c r="Z149" s="3">
        <f t="shared" si="75"/>
        <v>4.9543501682445312E-2</v>
      </c>
      <c r="AA149" s="3">
        <f t="shared" ref="AA149" si="76">$C35*EXP(-AA$129/$A35/EXP(-$B$126))</f>
        <v>4.9543501682430588E-2</v>
      </c>
      <c r="AB149" s="3">
        <f t="shared" si="67"/>
        <v>4.9543501682283296E-2</v>
      </c>
      <c r="AC149" s="3">
        <f t="shared" si="67"/>
        <v>4.9543501680810426E-2</v>
      </c>
      <c r="AD149" s="3">
        <f t="shared" si="67"/>
        <v>4.9543501666081666E-2</v>
      </c>
      <c r="AE149" s="3">
        <f t="shared" si="67"/>
        <v>4.9543501518794157E-2</v>
      </c>
      <c r="AF149" s="3">
        <f t="shared" si="67"/>
        <v>4.9543500045919057E-2</v>
      </c>
    </row>
    <row r="150" spans="1:32" x14ac:dyDescent="0.25">
      <c r="B150" s="3">
        <f t="shared" ref="B150:Z150" si="77">$C36*EXP(-B$129/$A36/EXP(-$B$126))</f>
        <v>3.0281570029291476E-2</v>
      </c>
      <c r="C150" s="3">
        <f t="shared" si="77"/>
        <v>3.0281570029291476E-2</v>
      </c>
      <c r="D150" s="3">
        <f t="shared" si="77"/>
        <v>3.0281570029291476E-2</v>
      </c>
      <c r="E150" s="3">
        <f t="shared" si="77"/>
        <v>3.0281570029291476E-2</v>
      </c>
      <c r="F150" s="3">
        <f t="shared" si="77"/>
        <v>3.0281570029291476E-2</v>
      </c>
      <c r="G150" s="3">
        <f t="shared" si="77"/>
        <v>3.0281570029291476E-2</v>
      </c>
      <c r="H150" s="3">
        <f t="shared" si="77"/>
        <v>3.0281570029291476E-2</v>
      </c>
      <c r="I150" s="3">
        <f t="shared" si="77"/>
        <v>3.0281570029291476E-2</v>
      </c>
      <c r="J150" s="3">
        <f t="shared" si="77"/>
        <v>3.0281570029291476E-2</v>
      </c>
      <c r="K150" s="3">
        <f t="shared" si="77"/>
        <v>3.0281570029291476E-2</v>
      </c>
      <c r="L150" s="3">
        <f t="shared" si="77"/>
        <v>3.0281570029291476E-2</v>
      </c>
      <c r="M150" s="3">
        <f t="shared" si="77"/>
        <v>3.0281570029291476E-2</v>
      </c>
      <c r="N150" s="3">
        <f t="shared" si="77"/>
        <v>3.0281570029291476E-2</v>
      </c>
      <c r="O150" s="3">
        <f t="shared" si="77"/>
        <v>3.0281570029291476E-2</v>
      </c>
      <c r="P150" s="3">
        <f t="shared" si="77"/>
        <v>3.0281570029291476E-2</v>
      </c>
      <c r="Q150" s="3">
        <f t="shared" si="77"/>
        <v>3.0281570029291476E-2</v>
      </c>
      <c r="R150" s="3">
        <f t="shared" si="77"/>
        <v>3.0281570029291476E-2</v>
      </c>
      <c r="S150" s="3">
        <f t="shared" si="77"/>
        <v>3.0281570029291476E-2</v>
      </c>
      <c r="T150" s="3">
        <f t="shared" si="77"/>
        <v>3.0281570029291476E-2</v>
      </c>
      <c r="U150" s="3">
        <f t="shared" si="77"/>
        <v>3.0281570029291476E-2</v>
      </c>
      <c r="V150" s="3">
        <f t="shared" si="77"/>
        <v>3.0281570029291476E-2</v>
      </c>
      <c r="W150" s="3">
        <f t="shared" si="77"/>
        <v>3.0281570029291476E-2</v>
      </c>
      <c r="X150" s="3">
        <f t="shared" si="77"/>
        <v>3.0281570029291476E-2</v>
      </c>
      <c r="Y150" s="3">
        <f t="shared" si="77"/>
        <v>3.0281570029291466E-2</v>
      </c>
      <c r="Z150" s="3">
        <f t="shared" si="77"/>
        <v>3.0281570029291386E-2</v>
      </c>
      <c r="AA150" s="3">
        <f t="shared" ref="AA150" si="78">$C36*EXP(-AA$129/$A36/EXP(-$B$126))</f>
        <v>3.0281570029290574E-2</v>
      </c>
      <c r="AB150" s="3">
        <f t="shared" si="67"/>
        <v>3.0281570029282452E-2</v>
      </c>
      <c r="AC150" s="3">
        <f t="shared" si="67"/>
        <v>3.0281570029201246E-2</v>
      </c>
      <c r="AD150" s="3">
        <f t="shared" si="67"/>
        <v>3.0281570028389153E-2</v>
      </c>
      <c r="AE150" s="3">
        <f t="shared" si="67"/>
        <v>3.0281570020268253E-2</v>
      </c>
      <c r="AF150" s="3">
        <f t="shared" si="67"/>
        <v>3.0281569939059245E-2</v>
      </c>
    </row>
    <row r="151" spans="1:32" x14ac:dyDescent="0.25">
      <c r="B151" s="3">
        <f t="shared" ref="B151:Z151" si="79">$C37*EXP(-B$129/$A37/EXP(-$B$126))</f>
        <v>1.5838845962715554E-2</v>
      </c>
      <c r="C151" s="3">
        <f t="shared" si="79"/>
        <v>1.5838845962715554E-2</v>
      </c>
      <c r="D151" s="3">
        <f t="shared" si="79"/>
        <v>1.5838845962715554E-2</v>
      </c>
      <c r="E151" s="3">
        <f t="shared" si="79"/>
        <v>1.5838845962715554E-2</v>
      </c>
      <c r="F151" s="3">
        <f t="shared" si="79"/>
        <v>1.5838845962715554E-2</v>
      </c>
      <c r="G151" s="3">
        <f t="shared" si="79"/>
        <v>1.5838845962715554E-2</v>
      </c>
      <c r="H151" s="3">
        <f t="shared" si="79"/>
        <v>1.5838845962715554E-2</v>
      </c>
      <c r="I151" s="3">
        <f t="shared" si="79"/>
        <v>1.5838845962715554E-2</v>
      </c>
      <c r="J151" s="3">
        <f t="shared" si="79"/>
        <v>1.5838845962715554E-2</v>
      </c>
      <c r="K151" s="3">
        <f t="shared" si="79"/>
        <v>1.5838845962715554E-2</v>
      </c>
      <c r="L151" s="3">
        <f t="shared" si="79"/>
        <v>1.5838845962715554E-2</v>
      </c>
      <c r="M151" s="3">
        <f t="shared" si="79"/>
        <v>1.5838845962715554E-2</v>
      </c>
      <c r="N151" s="3">
        <f t="shared" si="79"/>
        <v>1.5838845962715554E-2</v>
      </c>
      <c r="O151" s="3">
        <f t="shared" si="79"/>
        <v>1.5838845962715554E-2</v>
      </c>
      <c r="P151" s="3">
        <f t="shared" si="79"/>
        <v>1.5838845962715554E-2</v>
      </c>
      <c r="Q151" s="3">
        <f t="shared" si="79"/>
        <v>1.5838845962715554E-2</v>
      </c>
      <c r="R151" s="3">
        <f t="shared" si="79"/>
        <v>1.5838845962715554E-2</v>
      </c>
      <c r="S151" s="3">
        <f t="shared" si="79"/>
        <v>1.5838845962715554E-2</v>
      </c>
      <c r="T151" s="3">
        <f t="shared" si="79"/>
        <v>1.5838845962715554E-2</v>
      </c>
      <c r="U151" s="3">
        <f t="shared" si="79"/>
        <v>1.5838845962715554E-2</v>
      </c>
      <c r="V151" s="3">
        <f t="shared" si="79"/>
        <v>1.5838845962715554E-2</v>
      </c>
      <c r="W151" s="3">
        <f t="shared" si="79"/>
        <v>1.5838845962715554E-2</v>
      </c>
      <c r="X151" s="3">
        <f t="shared" si="79"/>
        <v>1.5838845962715554E-2</v>
      </c>
      <c r="Y151" s="3">
        <f t="shared" si="79"/>
        <v>1.5838845962715554E-2</v>
      </c>
      <c r="Z151" s="3">
        <f t="shared" si="79"/>
        <v>1.583884596271555E-2</v>
      </c>
      <c r="AA151" s="3">
        <f t="shared" ref="AA151" si="80">$C37*EXP(-AA$129/$A37/EXP(-$B$126))</f>
        <v>1.5838845962715512E-2</v>
      </c>
      <c r="AB151" s="3">
        <f t="shared" si="67"/>
        <v>1.5838845962715127E-2</v>
      </c>
      <c r="AC151" s="3">
        <f t="shared" si="67"/>
        <v>1.5838845962711297E-2</v>
      </c>
      <c r="AD151" s="3">
        <f t="shared" si="67"/>
        <v>1.583884596267298E-2</v>
      </c>
      <c r="AE151" s="3">
        <f t="shared" si="67"/>
        <v>1.5838845962289804E-2</v>
      </c>
      <c r="AF151" s="3">
        <f t="shared" si="67"/>
        <v>1.5838845958458064E-2</v>
      </c>
    </row>
    <row r="152" spans="1:32" x14ac:dyDescent="0.25">
      <c r="B152" s="3">
        <f t="shared" ref="B152:Z152" si="81">$C38*EXP(-B$129/$A38/EXP(-$B$126))</f>
        <v>5.1881409706128322E-3</v>
      </c>
      <c r="C152" s="3">
        <f t="shared" si="81"/>
        <v>5.1881409706128322E-3</v>
      </c>
      <c r="D152" s="3">
        <f t="shared" si="81"/>
        <v>5.1881409706128322E-3</v>
      </c>
      <c r="E152" s="3">
        <f t="shared" si="81"/>
        <v>5.1881409706128322E-3</v>
      </c>
      <c r="F152" s="3">
        <f t="shared" si="81"/>
        <v>5.1881409706128322E-3</v>
      </c>
      <c r="G152" s="3">
        <f t="shared" si="81"/>
        <v>5.1881409706128322E-3</v>
      </c>
      <c r="H152" s="3">
        <f t="shared" si="81"/>
        <v>5.1881409706128322E-3</v>
      </c>
      <c r="I152" s="3">
        <f t="shared" si="81"/>
        <v>5.1881409706128322E-3</v>
      </c>
      <c r="J152" s="3">
        <f t="shared" si="81"/>
        <v>5.1881409706128322E-3</v>
      </c>
      <c r="K152" s="3">
        <f t="shared" si="81"/>
        <v>5.1881409706128322E-3</v>
      </c>
      <c r="L152" s="3">
        <f t="shared" si="81"/>
        <v>5.1881409706128322E-3</v>
      </c>
      <c r="M152" s="3">
        <f t="shared" si="81"/>
        <v>5.1881409706128322E-3</v>
      </c>
      <c r="N152" s="3">
        <f t="shared" si="81"/>
        <v>5.1881409706128322E-3</v>
      </c>
      <c r="O152" s="3">
        <f t="shared" si="81"/>
        <v>5.1881409706128322E-3</v>
      </c>
      <c r="P152" s="3">
        <f t="shared" si="81"/>
        <v>5.1881409706128322E-3</v>
      </c>
      <c r="Q152" s="3">
        <f t="shared" si="81"/>
        <v>5.1881409706128322E-3</v>
      </c>
      <c r="R152" s="3">
        <f t="shared" si="81"/>
        <v>5.1881409706128322E-3</v>
      </c>
      <c r="S152" s="3">
        <f t="shared" si="81"/>
        <v>5.1881409706128322E-3</v>
      </c>
      <c r="T152" s="3">
        <f t="shared" si="81"/>
        <v>5.1881409706128322E-3</v>
      </c>
      <c r="U152" s="3">
        <f t="shared" si="81"/>
        <v>5.1881409706128322E-3</v>
      </c>
      <c r="V152" s="3">
        <f t="shared" si="81"/>
        <v>5.1881409706128322E-3</v>
      </c>
      <c r="W152" s="3">
        <f t="shared" si="81"/>
        <v>5.1881409706128322E-3</v>
      </c>
      <c r="X152" s="3">
        <f t="shared" si="81"/>
        <v>5.1881409706128322E-3</v>
      </c>
      <c r="Y152" s="3">
        <f t="shared" si="81"/>
        <v>5.1881409706128322E-3</v>
      </c>
      <c r="Z152" s="3">
        <f t="shared" si="81"/>
        <v>5.1881409706128322E-3</v>
      </c>
      <c r="AA152" s="3">
        <f t="shared" ref="AA152" si="82">$C38*EXP(-AA$129/$A38/EXP(-$B$126))</f>
        <v>5.1881409706128314E-3</v>
      </c>
      <c r="AB152" s="3">
        <f t="shared" si="67"/>
        <v>5.1881409706128192E-3</v>
      </c>
      <c r="AC152" s="3">
        <f t="shared" si="67"/>
        <v>5.1881409706127065E-3</v>
      </c>
      <c r="AD152" s="3">
        <f t="shared" si="67"/>
        <v>5.1881409706115746E-3</v>
      </c>
      <c r="AE152" s="3">
        <f t="shared" si="67"/>
        <v>5.188140970600252E-3</v>
      </c>
      <c r="AF152" s="3">
        <f t="shared" si="67"/>
        <v>5.1881409704870301E-3</v>
      </c>
    </row>
    <row r="153" spans="1:32" x14ac:dyDescent="0.25">
      <c r="B153" s="3">
        <f t="shared" ref="B153:Z153" si="83">$C39*EXP(-B$129/$A39/EXP(-$B$126))</f>
        <v>3.8617191328215671E-3</v>
      </c>
      <c r="C153" s="3">
        <f t="shared" si="83"/>
        <v>3.8617191328215671E-3</v>
      </c>
      <c r="D153" s="3">
        <f t="shared" si="83"/>
        <v>3.8617191328215671E-3</v>
      </c>
      <c r="E153" s="3">
        <f t="shared" si="83"/>
        <v>3.8617191328215671E-3</v>
      </c>
      <c r="F153" s="3">
        <f t="shared" si="83"/>
        <v>3.8617191328215671E-3</v>
      </c>
      <c r="G153" s="3">
        <f t="shared" si="83"/>
        <v>3.8617191328215671E-3</v>
      </c>
      <c r="H153" s="3">
        <f t="shared" si="83"/>
        <v>3.8617191328215671E-3</v>
      </c>
      <c r="I153" s="3">
        <f t="shared" si="83"/>
        <v>3.8617191328215671E-3</v>
      </c>
      <c r="J153" s="3">
        <f t="shared" si="83"/>
        <v>3.8617191328215671E-3</v>
      </c>
      <c r="K153" s="3">
        <f t="shared" si="83"/>
        <v>3.8617191328215671E-3</v>
      </c>
      <c r="L153" s="3">
        <f t="shared" si="83"/>
        <v>3.8617191328215671E-3</v>
      </c>
      <c r="M153" s="3">
        <f t="shared" si="83"/>
        <v>3.8617191328215671E-3</v>
      </c>
      <c r="N153" s="3">
        <f t="shared" si="83"/>
        <v>3.8617191328215671E-3</v>
      </c>
      <c r="O153" s="3">
        <f t="shared" si="83"/>
        <v>3.8617191328215671E-3</v>
      </c>
      <c r="P153" s="3">
        <f t="shared" si="83"/>
        <v>3.8617191328215671E-3</v>
      </c>
      <c r="Q153" s="3">
        <f t="shared" si="83"/>
        <v>3.8617191328215671E-3</v>
      </c>
      <c r="R153" s="3">
        <f t="shared" si="83"/>
        <v>3.8617191328215671E-3</v>
      </c>
      <c r="S153" s="3">
        <f t="shared" si="83"/>
        <v>3.8617191328215671E-3</v>
      </c>
      <c r="T153" s="3">
        <f t="shared" si="83"/>
        <v>3.8617191328215671E-3</v>
      </c>
      <c r="U153" s="3">
        <f t="shared" si="83"/>
        <v>3.8617191328215671E-3</v>
      </c>
      <c r="V153" s="3">
        <f t="shared" si="83"/>
        <v>3.8617191328215671E-3</v>
      </c>
      <c r="W153" s="3">
        <f t="shared" si="83"/>
        <v>3.8617191328215671E-3</v>
      </c>
      <c r="X153" s="3">
        <f t="shared" si="83"/>
        <v>3.8617191328215671E-3</v>
      </c>
      <c r="Y153" s="3">
        <f t="shared" si="83"/>
        <v>3.8617191328215671E-3</v>
      </c>
      <c r="Z153" s="3">
        <f t="shared" si="83"/>
        <v>3.8617191328215671E-3</v>
      </c>
      <c r="AA153" s="3">
        <f t="shared" ref="AA153" si="84">$C39*EXP(-AA$129/$A39/EXP(-$B$126))</f>
        <v>3.8617191328215667E-3</v>
      </c>
      <c r="AB153" s="3">
        <f t="shared" si="67"/>
        <v>3.8617191328215645E-3</v>
      </c>
      <c r="AC153" s="3">
        <f t="shared" si="67"/>
        <v>3.8617191328215415E-3</v>
      </c>
      <c r="AD153" s="3">
        <f t="shared" si="67"/>
        <v>3.8617191328213082E-3</v>
      </c>
      <c r="AE153" s="3">
        <f t="shared" si="67"/>
        <v>3.8617191328189772E-3</v>
      </c>
      <c r="AF153" s="3">
        <f t="shared" si="67"/>
        <v>3.861719132795669E-3</v>
      </c>
    </row>
    <row r="154" spans="1:32" x14ac:dyDescent="0.25">
      <c r="B154" s="3">
        <f t="shared" ref="B154:Z154" si="85">$C40*EXP(-B$129/$A40/EXP(-$B$126))</f>
        <v>3.0600017424879029E-3</v>
      </c>
      <c r="C154" s="3">
        <f t="shared" si="85"/>
        <v>3.0600017424879029E-3</v>
      </c>
      <c r="D154" s="3">
        <f t="shared" si="85"/>
        <v>3.0600017424879029E-3</v>
      </c>
      <c r="E154" s="3">
        <f t="shared" si="85"/>
        <v>3.0600017424879029E-3</v>
      </c>
      <c r="F154" s="3">
        <f t="shared" si="85"/>
        <v>3.0600017424879029E-3</v>
      </c>
      <c r="G154" s="3">
        <f t="shared" si="85"/>
        <v>3.0600017424879029E-3</v>
      </c>
      <c r="H154" s="3">
        <f t="shared" si="85"/>
        <v>3.0600017424879029E-3</v>
      </c>
      <c r="I154" s="3">
        <f t="shared" si="85"/>
        <v>3.0600017424879029E-3</v>
      </c>
      <c r="J154" s="3">
        <f t="shared" si="85"/>
        <v>3.0600017424879029E-3</v>
      </c>
      <c r="K154" s="3">
        <f t="shared" si="85"/>
        <v>3.0600017424879029E-3</v>
      </c>
      <c r="L154" s="3">
        <f t="shared" si="85"/>
        <v>3.0600017424879029E-3</v>
      </c>
      <c r="M154" s="3">
        <f t="shared" si="85"/>
        <v>3.0600017424879029E-3</v>
      </c>
      <c r="N154" s="3">
        <f t="shared" si="85"/>
        <v>3.0600017424879029E-3</v>
      </c>
      <c r="O154" s="3">
        <f t="shared" si="85"/>
        <v>3.0600017424879029E-3</v>
      </c>
      <c r="P154" s="3">
        <f t="shared" si="85"/>
        <v>3.0600017424879029E-3</v>
      </c>
      <c r="Q154" s="3">
        <f t="shared" si="85"/>
        <v>3.0600017424879029E-3</v>
      </c>
      <c r="R154" s="3">
        <f t="shared" si="85"/>
        <v>3.0600017424879029E-3</v>
      </c>
      <c r="S154" s="3">
        <f t="shared" si="85"/>
        <v>3.0600017424879029E-3</v>
      </c>
      <c r="T154" s="3">
        <f t="shared" si="85"/>
        <v>3.0600017424879029E-3</v>
      </c>
      <c r="U154" s="3">
        <f t="shared" si="85"/>
        <v>3.0600017424879029E-3</v>
      </c>
      <c r="V154" s="3">
        <f t="shared" si="85"/>
        <v>3.0600017424879029E-3</v>
      </c>
      <c r="W154" s="3">
        <f t="shared" si="85"/>
        <v>3.0600017424879029E-3</v>
      </c>
      <c r="X154" s="3">
        <f t="shared" si="85"/>
        <v>3.0600017424879029E-3</v>
      </c>
      <c r="Y154" s="3">
        <f t="shared" si="85"/>
        <v>3.0600017424879029E-3</v>
      </c>
      <c r="Z154" s="3">
        <f t="shared" si="85"/>
        <v>3.0600017424879029E-3</v>
      </c>
      <c r="AA154" s="3">
        <f t="shared" ref="AA154:AF154" si="86">$C40*EXP(-AA$129/$A40/EXP(-$B$126))</f>
        <v>3.0600017424879029E-3</v>
      </c>
      <c r="AB154" s="3">
        <f t="shared" si="86"/>
        <v>3.0600017424879025E-3</v>
      </c>
      <c r="AC154" s="3">
        <f t="shared" si="86"/>
        <v>3.0600017424879007E-3</v>
      </c>
      <c r="AD154" s="3">
        <f t="shared" si="86"/>
        <v>3.0600017424878825E-3</v>
      </c>
      <c r="AE154" s="3">
        <f t="shared" si="86"/>
        <v>3.0600017424876978E-3</v>
      </c>
      <c r="AF154" s="3">
        <f t="shared" si="86"/>
        <v>3.0600017424858507E-3</v>
      </c>
    </row>
    <row r="155" spans="1:32" x14ac:dyDescent="0.25">
      <c r="B155" s="3">
        <f t="shared" ref="B155:Z155" si="87">$C41*EXP(-B$129/$A41/EXP(-$B$126))</f>
        <v>1.8593150246318942E-3</v>
      </c>
      <c r="C155" s="3">
        <f t="shared" si="87"/>
        <v>1.8593150246318942E-3</v>
      </c>
      <c r="D155" s="3">
        <f t="shared" si="87"/>
        <v>1.8593150246318942E-3</v>
      </c>
      <c r="E155" s="3">
        <f t="shared" si="87"/>
        <v>1.8593150246318942E-3</v>
      </c>
      <c r="F155" s="3">
        <f t="shared" si="87"/>
        <v>1.8593150246318942E-3</v>
      </c>
      <c r="G155" s="3">
        <f t="shared" si="87"/>
        <v>1.8593150246318942E-3</v>
      </c>
      <c r="H155" s="3">
        <f t="shared" si="87"/>
        <v>1.8593150246318942E-3</v>
      </c>
      <c r="I155" s="3">
        <f t="shared" si="87"/>
        <v>1.8593150246318942E-3</v>
      </c>
      <c r="J155" s="3">
        <f t="shared" si="87"/>
        <v>1.8593150246318942E-3</v>
      </c>
      <c r="K155" s="3">
        <f t="shared" si="87"/>
        <v>1.8593150246318942E-3</v>
      </c>
      <c r="L155" s="3">
        <f t="shared" si="87"/>
        <v>1.8593150246318942E-3</v>
      </c>
      <c r="M155" s="3">
        <f t="shared" si="87"/>
        <v>1.8593150246318942E-3</v>
      </c>
      <c r="N155" s="3">
        <f t="shared" si="87"/>
        <v>1.8593150246318942E-3</v>
      </c>
      <c r="O155" s="3">
        <f t="shared" si="87"/>
        <v>1.8593150246318942E-3</v>
      </c>
      <c r="P155" s="3">
        <f t="shared" si="87"/>
        <v>1.8593150246318942E-3</v>
      </c>
      <c r="Q155" s="3">
        <f t="shared" si="87"/>
        <v>1.8593150246318942E-3</v>
      </c>
      <c r="R155" s="3">
        <f t="shared" si="87"/>
        <v>1.8593150246318942E-3</v>
      </c>
      <c r="S155" s="3">
        <f t="shared" si="87"/>
        <v>1.8593150246318942E-3</v>
      </c>
      <c r="T155" s="3">
        <f t="shared" si="87"/>
        <v>1.8593150246318942E-3</v>
      </c>
      <c r="U155" s="3">
        <f t="shared" si="87"/>
        <v>1.8593150246318942E-3</v>
      </c>
      <c r="V155" s="3">
        <f t="shared" si="87"/>
        <v>1.8593150246318942E-3</v>
      </c>
      <c r="W155" s="3">
        <f t="shared" si="87"/>
        <v>1.8593150246318942E-3</v>
      </c>
      <c r="X155" s="3">
        <f t="shared" si="87"/>
        <v>1.8593150246318942E-3</v>
      </c>
      <c r="Y155" s="3">
        <f t="shared" si="87"/>
        <v>1.8593150246318942E-3</v>
      </c>
      <c r="Z155" s="3">
        <f t="shared" si="87"/>
        <v>1.8593150246318942E-3</v>
      </c>
      <c r="AA155" s="3">
        <f t="shared" ref="AA155:AF155" si="88">$C41*EXP(-AA$129/$A41/EXP(-$B$126))</f>
        <v>1.8593150246318942E-3</v>
      </c>
      <c r="AB155" s="3">
        <f t="shared" si="88"/>
        <v>1.8593150246318942E-3</v>
      </c>
      <c r="AC155" s="3">
        <f t="shared" si="88"/>
        <v>1.859315024631894E-3</v>
      </c>
      <c r="AD155" s="3">
        <f t="shared" si="88"/>
        <v>1.8593150246318929E-3</v>
      </c>
      <c r="AE155" s="3">
        <f t="shared" si="88"/>
        <v>1.8593150246318819E-3</v>
      </c>
      <c r="AF155" s="3">
        <f t="shared" si="88"/>
        <v>1.8593150246317696E-3</v>
      </c>
    </row>
    <row r="156" spans="1:32" x14ac:dyDescent="0.25">
      <c r="B156" s="3">
        <f t="shared" ref="B156:Z156" si="89">$C42*EXP(-B$129/$A42/EXP(-$B$126))</f>
        <v>1.0289911498978865E-4</v>
      </c>
      <c r="C156" s="3">
        <f t="shared" si="89"/>
        <v>1.0289911498978865E-4</v>
      </c>
      <c r="D156" s="3">
        <f t="shared" si="89"/>
        <v>1.0289911498978865E-4</v>
      </c>
      <c r="E156" s="3">
        <f t="shared" si="89"/>
        <v>1.0289911498978865E-4</v>
      </c>
      <c r="F156" s="3">
        <f t="shared" si="89"/>
        <v>1.0289911498978865E-4</v>
      </c>
      <c r="G156" s="3">
        <f t="shared" si="89"/>
        <v>1.0289911498978865E-4</v>
      </c>
      <c r="H156" s="3">
        <f t="shared" si="89"/>
        <v>1.0289911498978865E-4</v>
      </c>
      <c r="I156" s="3">
        <f t="shared" si="89"/>
        <v>1.0289911498978865E-4</v>
      </c>
      <c r="J156" s="3">
        <f t="shared" si="89"/>
        <v>1.0289911498978865E-4</v>
      </c>
      <c r="K156" s="3">
        <f t="shared" si="89"/>
        <v>1.0289911498978865E-4</v>
      </c>
      <c r="L156" s="3">
        <f t="shared" si="89"/>
        <v>1.0289911498978865E-4</v>
      </c>
      <c r="M156" s="3">
        <f t="shared" si="89"/>
        <v>1.0289911498978865E-4</v>
      </c>
      <c r="N156" s="3">
        <f t="shared" si="89"/>
        <v>1.0289911498978865E-4</v>
      </c>
      <c r="O156" s="3">
        <f t="shared" si="89"/>
        <v>1.0289911498978865E-4</v>
      </c>
      <c r="P156" s="3">
        <f t="shared" si="89"/>
        <v>1.0289911498978865E-4</v>
      </c>
      <c r="Q156" s="3">
        <f t="shared" si="89"/>
        <v>1.0289911498978865E-4</v>
      </c>
      <c r="R156" s="3">
        <f t="shared" si="89"/>
        <v>1.0289911498978865E-4</v>
      </c>
      <c r="S156" s="3">
        <f t="shared" si="89"/>
        <v>1.0289911498978865E-4</v>
      </c>
      <c r="T156" s="3">
        <f t="shared" si="89"/>
        <v>1.0289911498978865E-4</v>
      </c>
      <c r="U156" s="3">
        <f t="shared" si="89"/>
        <v>1.0289911498978865E-4</v>
      </c>
      <c r="V156" s="3">
        <f t="shared" si="89"/>
        <v>1.0289911498978865E-4</v>
      </c>
      <c r="W156" s="3">
        <f t="shared" si="89"/>
        <v>1.0289911498978865E-4</v>
      </c>
      <c r="X156" s="3">
        <f t="shared" si="89"/>
        <v>1.0289911498978865E-4</v>
      </c>
      <c r="Y156" s="3">
        <f t="shared" si="89"/>
        <v>1.0289911498978865E-4</v>
      </c>
      <c r="Z156" s="3">
        <f t="shared" si="89"/>
        <v>1.0289911498978865E-4</v>
      </c>
      <c r="AA156" s="3">
        <f t="shared" ref="AA156:AF156" si="90">$C42*EXP(-AA$129/$A42/EXP(-$B$126))</f>
        <v>1.0289911498978865E-4</v>
      </c>
      <c r="AB156" s="3">
        <f t="shared" si="90"/>
        <v>1.0289911498978865E-4</v>
      </c>
      <c r="AC156" s="3">
        <f t="shared" si="90"/>
        <v>1.0289911498978865E-4</v>
      </c>
      <c r="AD156" s="3">
        <f t="shared" si="90"/>
        <v>1.0289911498978864E-4</v>
      </c>
      <c r="AE156" s="3">
        <f t="shared" si="90"/>
        <v>1.0289911498978858E-4</v>
      </c>
      <c r="AF156" s="3">
        <f t="shared" si="90"/>
        <v>1.0289911498978796E-4</v>
      </c>
    </row>
    <row r="157" spans="1:32" x14ac:dyDescent="0.25">
      <c r="B157" s="3">
        <f t="shared" ref="B157:Z157" si="91">$C43*EXP(-B$129/$A43/EXP(-$B$126))</f>
        <v>3.4301074619822757E-3</v>
      </c>
      <c r="C157" s="3">
        <f t="shared" si="91"/>
        <v>3.4301074619822757E-3</v>
      </c>
      <c r="D157" s="3">
        <f t="shared" si="91"/>
        <v>3.4301074619822757E-3</v>
      </c>
      <c r="E157" s="3">
        <f t="shared" si="91"/>
        <v>3.4301074619822757E-3</v>
      </c>
      <c r="F157" s="3">
        <f t="shared" si="91"/>
        <v>3.4301074619822757E-3</v>
      </c>
      <c r="G157" s="3">
        <f t="shared" si="91"/>
        <v>3.4301074619822757E-3</v>
      </c>
      <c r="H157" s="3">
        <f t="shared" si="91"/>
        <v>3.4301074619822757E-3</v>
      </c>
      <c r="I157" s="3">
        <f t="shared" si="91"/>
        <v>3.4301074619822757E-3</v>
      </c>
      <c r="J157" s="3">
        <f t="shared" si="91"/>
        <v>3.4301074619822757E-3</v>
      </c>
      <c r="K157" s="3">
        <f t="shared" si="91"/>
        <v>3.4301074619822757E-3</v>
      </c>
      <c r="L157" s="3">
        <f t="shared" si="91"/>
        <v>3.4301074619822757E-3</v>
      </c>
      <c r="M157" s="3">
        <f t="shared" si="91"/>
        <v>3.4301074619822757E-3</v>
      </c>
      <c r="N157" s="3">
        <f t="shared" si="91"/>
        <v>3.4301074619822757E-3</v>
      </c>
      <c r="O157" s="3">
        <f t="shared" si="91"/>
        <v>3.4301074619822757E-3</v>
      </c>
      <c r="P157" s="3">
        <f t="shared" si="91"/>
        <v>3.4301074619822757E-3</v>
      </c>
      <c r="Q157" s="3">
        <f t="shared" si="91"/>
        <v>3.4301074619822757E-3</v>
      </c>
      <c r="R157" s="3">
        <f t="shared" si="91"/>
        <v>3.4301074619822757E-3</v>
      </c>
      <c r="S157" s="3">
        <f t="shared" si="91"/>
        <v>3.4301074619822757E-3</v>
      </c>
      <c r="T157" s="3">
        <f t="shared" si="91"/>
        <v>3.4301074619822757E-3</v>
      </c>
      <c r="U157" s="3">
        <f t="shared" si="91"/>
        <v>3.4301074619822757E-3</v>
      </c>
      <c r="V157" s="3">
        <f t="shared" si="91"/>
        <v>3.4301074619822757E-3</v>
      </c>
      <c r="W157" s="3">
        <f t="shared" si="91"/>
        <v>3.4301074619822757E-3</v>
      </c>
      <c r="X157" s="3">
        <f t="shared" si="91"/>
        <v>3.4301074619822757E-3</v>
      </c>
      <c r="Y157" s="3">
        <f t="shared" si="91"/>
        <v>3.4301074619822757E-3</v>
      </c>
      <c r="Z157" s="3">
        <f t="shared" si="91"/>
        <v>3.4301074619822757E-3</v>
      </c>
      <c r="AA157" s="3">
        <f t="shared" ref="AA157:AF157" si="92">$C43*EXP(-AA$129/$A43/EXP(-$B$126))</f>
        <v>3.4301074619822757E-3</v>
      </c>
      <c r="AB157" s="3">
        <f t="shared" si="92"/>
        <v>3.4301074619822757E-3</v>
      </c>
      <c r="AC157" s="3">
        <f t="shared" si="92"/>
        <v>3.4301074619822757E-3</v>
      </c>
      <c r="AD157" s="3">
        <f t="shared" si="92"/>
        <v>3.4301074619822757E-3</v>
      </c>
      <c r="AE157" s="3">
        <f t="shared" si="92"/>
        <v>3.4301074619822753E-3</v>
      </c>
      <c r="AF157" s="3">
        <f t="shared" si="92"/>
        <v>3.4301074619822736E-3</v>
      </c>
    </row>
    <row r="158" spans="1:32" x14ac:dyDescent="0.25">
      <c r="B158" s="3">
        <f t="shared" ref="B158:Z158" si="93">$C44*EXP(-B$129/$A44/EXP(-$B$126))</f>
        <v>1.0099566360327609E-4</v>
      </c>
      <c r="C158" s="3">
        <f t="shared" si="93"/>
        <v>1.0099566360327609E-4</v>
      </c>
      <c r="D158" s="3">
        <f t="shared" si="93"/>
        <v>1.0099566360327609E-4</v>
      </c>
      <c r="E158" s="3">
        <f t="shared" si="93"/>
        <v>1.0099566360327609E-4</v>
      </c>
      <c r="F158" s="3">
        <f t="shared" si="93"/>
        <v>1.0099566360327609E-4</v>
      </c>
      <c r="G158" s="3">
        <f t="shared" si="93"/>
        <v>1.0099566360327609E-4</v>
      </c>
      <c r="H158" s="3">
        <f t="shared" si="93"/>
        <v>1.0099566360327609E-4</v>
      </c>
      <c r="I158" s="3">
        <f t="shared" si="93"/>
        <v>1.0099566360327609E-4</v>
      </c>
      <c r="J158" s="3">
        <f t="shared" si="93"/>
        <v>1.0099566360327609E-4</v>
      </c>
      <c r="K158" s="3">
        <f t="shared" si="93"/>
        <v>1.0099566360327609E-4</v>
      </c>
      <c r="L158" s="3">
        <f t="shared" si="93"/>
        <v>1.0099566360327609E-4</v>
      </c>
      <c r="M158" s="3">
        <f t="shared" si="93"/>
        <v>1.0099566360327609E-4</v>
      </c>
      <c r="N158" s="3">
        <f t="shared" si="93"/>
        <v>1.0099566360327609E-4</v>
      </c>
      <c r="O158" s="3">
        <f t="shared" si="93"/>
        <v>1.0099566360327609E-4</v>
      </c>
      <c r="P158" s="3">
        <f t="shared" si="93"/>
        <v>1.0099566360327609E-4</v>
      </c>
      <c r="Q158" s="3">
        <f t="shared" si="93"/>
        <v>1.0099566360327609E-4</v>
      </c>
      <c r="R158" s="3">
        <f t="shared" si="93"/>
        <v>1.0099566360327609E-4</v>
      </c>
      <c r="S158" s="3">
        <f t="shared" si="93"/>
        <v>1.0099566360327609E-4</v>
      </c>
      <c r="T158" s="3">
        <f t="shared" si="93"/>
        <v>1.0099566360327609E-4</v>
      </c>
      <c r="U158" s="3">
        <f t="shared" si="93"/>
        <v>1.0099566360327609E-4</v>
      </c>
      <c r="V158" s="3">
        <f t="shared" si="93"/>
        <v>1.0099566360327609E-4</v>
      </c>
      <c r="W158" s="3">
        <f t="shared" si="93"/>
        <v>1.0099566360327609E-4</v>
      </c>
      <c r="X158" s="3">
        <f t="shared" si="93"/>
        <v>1.0099566360327609E-4</v>
      </c>
      <c r="Y158" s="3">
        <f t="shared" si="93"/>
        <v>1.0099566360327609E-4</v>
      </c>
      <c r="Z158" s="3">
        <f t="shared" si="93"/>
        <v>1.0099566360327609E-4</v>
      </c>
      <c r="AA158" s="3">
        <f t="shared" ref="AA158:AF158" si="94">$C44*EXP(-AA$129/$A44/EXP(-$B$126))</f>
        <v>1.0099566360327609E-4</v>
      </c>
      <c r="AB158" s="3">
        <f t="shared" si="94"/>
        <v>1.0099566360327609E-4</v>
      </c>
      <c r="AC158" s="3">
        <f t="shared" si="94"/>
        <v>1.0099566360327609E-4</v>
      </c>
      <c r="AD158" s="3">
        <f t="shared" si="94"/>
        <v>1.0099566360327609E-4</v>
      </c>
      <c r="AE158" s="3">
        <f t="shared" si="94"/>
        <v>1.0099566360327609E-4</v>
      </c>
      <c r="AF158" s="3">
        <f t="shared" si="94"/>
        <v>1.0099566360327608E-4</v>
      </c>
    </row>
    <row r="159" spans="1:32" x14ac:dyDescent="0.25">
      <c r="A159" s="11" t="s">
        <v>75</v>
      </c>
      <c r="B159" s="3">
        <f t="shared" ref="B159:Z159" si="95">$C45*EXP(-B$129/$A45/EXP(-$B$126))</f>
        <v>2.8535751866135694E-4</v>
      </c>
      <c r="C159" s="3">
        <f t="shared" si="95"/>
        <v>2.8535751866135694E-4</v>
      </c>
      <c r="D159" s="3">
        <f t="shared" si="95"/>
        <v>2.8535751866135694E-4</v>
      </c>
      <c r="E159" s="3">
        <f t="shared" si="95"/>
        <v>2.8535751866135694E-4</v>
      </c>
      <c r="F159" s="3">
        <f t="shared" si="95"/>
        <v>2.8535751866135694E-4</v>
      </c>
      <c r="G159" s="3">
        <f t="shared" si="95"/>
        <v>2.8535751866135694E-4</v>
      </c>
      <c r="H159" s="3">
        <f t="shared" si="95"/>
        <v>2.8535751866135694E-4</v>
      </c>
      <c r="I159" s="3">
        <f t="shared" si="95"/>
        <v>2.8535751866135694E-4</v>
      </c>
      <c r="J159" s="3">
        <f t="shared" si="95"/>
        <v>2.8535751866135694E-4</v>
      </c>
      <c r="K159" s="3">
        <f t="shared" si="95"/>
        <v>2.8535751866135694E-4</v>
      </c>
      <c r="L159" s="3">
        <f t="shared" si="95"/>
        <v>2.8535751866135694E-4</v>
      </c>
      <c r="M159" s="3">
        <f t="shared" si="95"/>
        <v>2.8535751866135694E-4</v>
      </c>
      <c r="N159" s="3">
        <f t="shared" si="95"/>
        <v>2.8535751866135694E-4</v>
      </c>
      <c r="O159" s="3">
        <f t="shared" si="95"/>
        <v>2.8535751866135694E-4</v>
      </c>
      <c r="P159" s="3">
        <f t="shared" si="95"/>
        <v>2.8535751866135694E-4</v>
      </c>
      <c r="Q159" s="3">
        <f t="shared" si="95"/>
        <v>2.8535751866135694E-4</v>
      </c>
      <c r="R159" s="3">
        <f t="shared" si="95"/>
        <v>2.8535751866135694E-4</v>
      </c>
      <c r="S159" s="3">
        <f t="shared" si="95"/>
        <v>2.8535751866135694E-4</v>
      </c>
      <c r="T159" s="3">
        <f t="shared" si="95"/>
        <v>2.8535751866135694E-4</v>
      </c>
      <c r="U159" s="3">
        <f t="shared" si="95"/>
        <v>2.8535751866135694E-4</v>
      </c>
      <c r="V159" s="3">
        <f t="shared" si="95"/>
        <v>2.8535751866135694E-4</v>
      </c>
      <c r="W159" s="3">
        <f t="shared" si="95"/>
        <v>2.8535751866135694E-4</v>
      </c>
      <c r="X159" s="3">
        <f t="shared" si="95"/>
        <v>2.8535751866135694E-4</v>
      </c>
      <c r="Y159" s="3">
        <f t="shared" si="95"/>
        <v>2.8535751866135694E-4</v>
      </c>
      <c r="Z159" s="3">
        <f t="shared" si="95"/>
        <v>2.8535751866135694E-4</v>
      </c>
      <c r="AA159" s="3">
        <f t="shared" ref="AA159:AF159" si="96">$C45*EXP(-AA$129/$A45/EXP(-$B$126))</f>
        <v>2.8535751866135694E-4</v>
      </c>
      <c r="AB159" s="3">
        <f t="shared" si="96"/>
        <v>2.8535751866135694E-4</v>
      </c>
      <c r="AC159" s="3">
        <f t="shared" si="96"/>
        <v>2.8535751866135694E-4</v>
      </c>
      <c r="AD159" s="3">
        <f t="shared" si="96"/>
        <v>2.8535751866135694E-4</v>
      </c>
      <c r="AE159" s="3">
        <f t="shared" si="96"/>
        <v>2.8535751866135694E-4</v>
      </c>
      <c r="AF159" s="3">
        <f t="shared" si="96"/>
        <v>2.8535751866135694E-4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1.5499334140859142E-4</v>
      </c>
      <c r="C162" s="3">
        <f t="shared" si="101"/>
        <v>1.5499334140859142E-4</v>
      </c>
      <c r="D162" s="3">
        <f t="shared" si="101"/>
        <v>1.5499334140859142E-4</v>
      </c>
      <c r="E162" s="3">
        <f t="shared" si="101"/>
        <v>1.5499334140859142E-4</v>
      </c>
      <c r="F162" s="3">
        <f t="shared" si="101"/>
        <v>1.5499334140859142E-4</v>
      </c>
      <c r="G162" s="3">
        <f t="shared" si="101"/>
        <v>1.5499334140859142E-4</v>
      </c>
      <c r="H162" s="3">
        <f t="shared" si="101"/>
        <v>1.5499334140859142E-4</v>
      </c>
      <c r="I162" s="3">
        <f t="shared" si="101"/>
        <v>1.5499334140859142E-4</v>
      </c>
      <c r="J162" s="3">
        <f t="shared" si="101"/>
        <v>1.5499334140859142E-4</v>
      </c>
      <c r="K162" s="3">
        <f t="shared" si="101"/>
        <v>1.5499334140859142E-4</v>
      </c>
      <c r="L162" s="3">
        <f t="shared" si="101"/>
        <v>1.5499334140859142E-4</v>
      </c>
      <c r="M162" s="3">
        <f t="shared" si="101"/>
        <v>1.5499334140859142E-4</v>
      </c>
      <c r="N162" s="3">
        <f t="shared" si="101"/>
        <v>1.5499334140859142E-4</v>
      </c>
      <c r="O162" s="3">
        <f t="shared" si="101"/>
        <v>1.5499334140859142E-4</v>
      </c>
      <c r="P162" s="3">
        <f t="shared" si="101"/>
        <v>1.5499334140859142E-4</v>
      </c>
      <c r="Q162" s="3">
        <f t="shared" si="101"/>
        <v>1.5499334140859142E-4</v>
      </c>
      <c r="R162" s="3">
        <f t="shared" si="101"/>
        <v>1.5499334140859142E-4</v>
      </c>
      <c r="S162" s="3">
        <f t="shared" si="101"/>
        <v>1.5499334140859142E-4</v>
      </c>
      <c r="T162" s="3">
        <f t="shared" si="101"/>
        <v>1.5499334140859142E-4</v>
      </c>
      <c r="U162" s="3">
        <f t="shared" si="101"/>
        <v>1.5499334140859142E-4</v>
      </c>
      <c r="V162" s="3">
        <f t="shared" si="101"/>
        <v>1.5499334140859142E-4</v>
      </c>
      <c r="W162" s="3">
        <f t="shared" si="101"/>
        <v>1.5499334140859142E-4</v>
      </c>
      <c r="X162" s="3">
        <f t="shared" si="101"/>
        <v>1.5499334140859142E-4</v>
      </c>
      <c r="Y162" s="3">
        <f t="shared" si="101"/>
        <v>1.5499334140859142E-4</v>
      </c>
      <c r="Z162" s="3">
        <f t="shared" si="101"/>
        <v>1.5499334140859142E-4</v>
      </c>
      <c r="AA162" s="3">
        <f t="shared" ref="AA162:AF162" si="102">$C48*EXP(-AA$129/$A48/EXP(-$B$126))</f>
        <v>1.5499334140859142E-4</v>
      </c>
      <c r="AB162" s="3">
        <f t="shared" si="102"/>
        <v>1.5499334140859142E-4</v>
      </c>
      <c r="AC162" s="3">
        <f t="shared" si="102"/>
        <v>1.5499334140859142E-4</v>
      </c>
      <c r="AD162" s="3">
        <f t="shared" si="102"/>
        <v>1.5499334140859142E-4</v>
      </c>
      <c r="AE162" s="3">
        <f t="shared" si="102"/>
        <v>1.5499334140859142E-4</v>
      </c>
      <c r="AF162" s="3">
        <f t="shared" si="102"/>
        <v>1.5499334140859142E-4</v>
      </c>
    </row>
    <row r="163" spans="1:34" x14ac:dyDescent="0.25">
      <c r="A163" s="79">
        <f>AVERAGE(B163:AF163)</f>
        <v>6.0946583591233582E-2</v>
      </c>
      <c r="B163" s="80">
        <f>IF($A$64&lt;=B129,IF($B$64&gt;=B129,ABS((B131-B130)/B130),0),0)</f>
        <v>7.3363530047133021E-3</v>
      </c>
      <c r="C163" s="80">
        <f t="shared" ref="C163:AF163" si="103">IF($A$64&lt;=C129,IF($B$64&gt;=C129,ABS((C131-C130)/C130),0),0)</f>
        <v>7.344415389165331E-3</v>
      </c>
      <c r="D163" s="80">
        <f t="shared" si="103"/>
        <v>7.3393954140620948E-3</v>
      </c>
      <c r="E163" s="80">
        <f t="shared" si="103"/>
        <v>7.3379131251343002E-3</v>
      </c>
      <c r="F163" s="80">
        <f t="shared" si="103"/>
        <v>7.3374178606839396E-3</v>
      </c>
      <c r="G163" s="80">
        <f t="shared" si="103"/>
        <v>7.337265854918968E-3</v>
      </c>
      <c r="H163" s="80">
        <f t="shared" si="103"/>
        <v>7.3372139366016447E-3</v>
      </c>
      <c r="I163" s="80">
        <f t="shared" si="103"/>
        <v>7.3371829539788094E-3</v>
      </c>
      <c r="J163" s="80">
        <f t="shared" si="103"/>
        <v>7.3372870368769794E-3</v>
      </c>
      <c r="K163" s="80">
        <f t="shared" si="103"/>
        <v>7.3382040433628845E-3</v>
      </c>
      <c r="L163" s="80">
        <f t="shared" si="103"/>
        <v>7.3474162083799364E-3</v>
      </c>
      <c r="M163" s="80">
        <f t="shared" si="103"/>
        <v>7.4397255058995613E-3</v>
      </c>
      <c r="N163" s="80">
        <f t="shared" si="103"/>
        <v>8.3608897545369154E-3</v>
      </c>
      <c r="O163" s="80">
        <f t="shared" si="103"/>
        <v>1.7323075794531673E-2</v>
      </c>
      <c r="P163" s="80">
        <f t="shared" si="103"/>
        <v>8.3857311458767403E-2</v>
      </c>
      <c r="Q163" s="80">
        <f t="shared" si="103"/>
        <v>0.15955467421815822</v>
      </c>
      <c r="R163" s="80">
        <f t="shared" si="103"/>
        <v>0.1431224264732873</v>
      </c>
      <c r="S163" s="80">
        <f t="shared" si="103"/>
        <v>0.12560951608329002</v>
      </c>
      <c r="T163" s="80">
        <f t="shared" si="103"/>
        <v>0.10541268661522285</v>
      </c>
      <c r="U163" s="80">
        <f t="shared" si="103"/>
        <v>8.2445220247135895E-2</v>
      </c>
      <c r="V163" s="80">
        <f t="shared" si="103"/>
        <v>5.5054536532654991E-2</v>
      </c>
      <c r="W163" s="80">
        <f t="shared" si="103"/>
        <v>3.7158236353016398E-2</v>
      </c>
      <c r="X163" s="80">
        <f t="shared" si="103"/>
        <v>1.1414833059908206E-2</v>
      </c>
      <c r="Y163" s="80">
        <f t="shared" si="103"/>
        <v>4.8247305033697015E-2</v>
      </c>
      <c r="Z163" s="80">
        <f t="shared" si="103"/>
        <v>7.3596821731477871E-2</v>
      </c>
      <c r="AA163" s="80">
        <f t="shared" si="103"/>
        <v>0.10398821681711355</v>
      </c>
      <c r="AB163" s="80">
        <f t="shared" si="103"/>
        <v>0.13346397003617438</v>
      </c>
      <c r="AC163" s="80">
        <f t="shared" si="103"/>
        <v>0.15018763343735661</v>
      </c>
      <c r="AD163" s="80">
        <f t="shared" si="103"/>
        <v>0.15642502128489988</v>
      </c>
      <c r="AE163" s="80">
        <f t="shared" si="103"/>
        <v>0.15818695394115923</v>
      </c>
      <c r="AF163" s="80">
        <f t="shared" si="103"/>
        <v>0.14776497212207509</v>
      </c>
    </row>
    <row r="164" spans="1:34" x14ac:dyDescent="0.25">
      <c r="B164" s="21">
        <f>(B131-B130)^2</f>
        <v>2093.4888781183076</v>
      </c>
      <c r="C164" s="21">
        <f t="shared" ref="C164:AF164" si="104">(C131-C130)^2</f>
        <v>2098.1268240640152</v>
      </c>
      <c r="D164" s="21">
        <f t="shared" si="104"/>
        <v>2095.2384347376887</v>
      </c>
      <c r="E164" s="21">
        <f t="shared" si="104"/>
        <v>2094.3859425428632</v>
      </c>
      <c r="F164" s="21">
        <f t="shared" si="104"/>
        <v>2094.1011458398189</v>
      </c>
      <c r="G164" s="21">
        <f t="shared" si="104"/>
        <v>2094.0137399675496</v>
      </c>
      <c r="H164" s="21">
        <f t="shared" si="104"/>
        <v>2093.9838818119993</v>
      </c>
      <c r="I164" s="21">
        <f t="shared" si="104"/>
        <v>2093.9660183482742</v>
      </c>
      <c r="J164" s="21">
        <f t="shared" si="104"/>
        <v>2094.0253826389621</v>
      </c>
      <c r="K164" s="21">
        <f t="shared" si="104"/>
        <v>2094.5478631656483</v>
      </c>
      <c r="L164" s="21">
        <f t="shared" si="104"/>
        <v>2099.8004826046772</v>
      </c>
      <c r="M164" s="21">
        <f t="shared" si="104"/>
        <v>2152.7966931880792</v>
      </c>
      <c r="N164" s="21">
        <f t="shared" si="104"/>
        <v>2717.6909010404138</v>
      </c>
      <c r="O164" s="21">
        <f t="shared" si="104"/>
        <v>11616.893563544727</v>
      </c>
      <c r="P164" s="21">
        <f t="shared" si="104"/>
        <v>263857.82231114461</v>
      </c>
      <c r="Q164" s="21">
        <f t="shared" si="104"/>
        <v>903647.45321604365</v>
      </c>
      <c r="R164" s="21">
        <f t="shared" si="104"/>
        <v>699075.87205444102</v>
      </c>
      <c r="S164" s="21">
        <f t="shared" si="104"/>
        <v>517096.21628646291</v>
      </c>
      <c r="T164" s="21">
        <f t="shared" si="104"/>
        <v>347843.4550155258</v>
      </c>
      <c r="U164" s="21">
        <f t="shared" si="104"/>
        <v>201828.17584701529</v>
      </c>
      <c r="V164" s="21">
        <f t="shared" si="104"/>
        <v>83190.599075880877</v>
      </c>
      <c r="W164" s="21">
        <f t="shared" si="104"/>
        <v>33016.531636392829</v>
      </c>
      <c r="X164" s="21">
        <f t="shared" si="104"/>
        <v>2616.444169610038</v>
      </c>
      <c r="Y164" s="21">
        <f t="shared" si="104"/>
        <v>39561.879463466386</v>
      </c>
      <c r="Z164" s="21">
        <f t="shared" si="104"/>
        <v>78925.277443958665</v>
      </c>
      <c r="AA164" s="21">
        <f t="shared" si="104"/>
        <v>135367.51212981562</v>
      </c>
      <c r="AB164" s="21">
        <f t="shared" si="104"/>
        <v>192890.39253854877</v>
      </c>
      <c r="AC164" s="21">
        <f t="shared" si="104"/>
        <v>215910.19783579739</v>
      </c>
      <c r="AD164" s="21">
        <f t="shared" si="104"/>
        <v>210225.77531314699</v>
      </c>
      <c r="AE164" s="21">
        <f t="shared" si="104"/>
        <v>193372.52058987375</v>
      </c>
      <c r="AF164" s="21">
        <f t="shared" si="104"/>
        <v>152609.23950102803</v>
      </c>
    </row>
    <row r="165" spans="1:34" x14ac:dyDescent="0.25">
      <c r="A165" s="71">
        <f>SUM(B165:AF165)</f>
        <v>4310568.4241797645</v>
      </c>
      <c r="B165" s="60">
        <f>IF($A$64&lt;=B129,IF($B$64&gt;=B129,ABS(B164),0),0)</f>
        <v>2093.4888781183076</v>
      </c>
      <c r="C165" s="60">
        <f t="shared" ref="C165:AF165" si="105">IF($A$64&lt;=C129,IF($B$64&gt;=C129,ABS(C164),0),0)</f>
        <v>2098.1268240640152</v>
      </c>
      <c r="D165" s="60">
        <f t="shared" si="105"/>
        <v>2095.2384347376887</v>
      </c>
      <c r="E165" s="60">
        <f t="shared" si="105"/>
        <v>2094.3859425428632</v>
      </c>
      <c r="F165" s="60">
        <f t="shared" si="105"/>
        <v>2094.1011458398189</v>
      </c>
      <c r="G165" s="60">
        <f t="shared" si="105"/>
        <v>2094.0137399675496</v>
      </c>
      <c r="H165" s="60">
        <f t="shared" si="105"/>
        <v>2093.9838818119993</v>
      </c>
      <c r="I165" s="60">
        <f t="shared" si="105"/>
        <v>2093.9660183482742</v>
      </c>
      <c r="J165" s="60">
        <f t="shared" si="105"/>
        <v>2094.0253826389621</v>
      </c>
      <c r="K165" s="60">
        <f t="shared" si="105"/>
        <v>2094.5478631656483</v>
      </c>
      <c r="L165" s="60">
        <f t="shared" si="105"/>
        <v>2099.8004826046772</v>
      </c>
      <c r="M165" s="60">
        <f t="shared" si="105"/>
        <v>2152.7966931880792</v>
      </c>
      <c r="N165" s="60">
        <f t="shared" si="105"/>
        <v>2717.6909010404138</v>
      </c>
      <c r="O165" s="60">
        <f t="shared" si="105"/>
        <v>11616.893563544727</v>
      </c>
      <c r="P165" s="60">
        <f t="shared" si="105"/>
        <v>263857.82231114461</v>
      </c>
      <c r="Q165" s="60">
        <f t="shared" si="105"/>
        <v>903647.45321604365</v>
      </c>
      <c r="R165" s="60">
        <f t="shared" si="105"/>
        <v>699075.87205444102</v>
      </c>
      <c r="S165" s="60">
        <f t="shared" si="105"/>
        <v>517096.21628646291</v>
      </c>
      <c r="T165" s="60">
        <f t="shared" si="105"/>
        <v>347843.4550155258</v>
      </c>
      <c r="U165" s="60">
        <f t="shared" si="105"/>
        <v>201828.17584701529</v>
      </c>
      <c r="V165" s="60">
        <f t="shared" si="105"/>
        <v>83190.599075880877</v>
      </c>
      <c r="W165" s="60">
        <f t="shared" si="105"/>
        <v>33016.531636392829</v>
      </c>
      <c r="X165" s="60">
        <f t="shared" si="105"/>
        <v>2616.444169610038</v>
      </c>
      <c r="Y165" s="60">
        <f t="shared" si="105"/>
        <v>39561.879463466386</v>
      </c>
      <c r="Z165" s="60">
        <f t="shared" si="105"/>
        <v>78925.277443958665</v>
      </c>
      <c r="AA165" s="60">
        <f t="shared" si="105"/>
        <v>135367.51212981562</v>
      </c>
      <c r="AB165" s="60">
        <f t="shared" si="105"/>
        <v>192890.39253854877</v>
      </c>
      <c r="AC165" s="60">
        <f t="shared" si="105"/>
        <v>215910.19783579739</v>
      </c>
      <c r="AD165" s="60">
        <f t="shared" si="105"/>
        <v>210225.77531314699</v>
      </c>
      <c r="AE165" s="60">
        <f t="shared" si="105"/>
        <v>193372.52058987375</v>
      </c>
      <c r="AF165" s="60">
        <f t="shared" si="105"/>
        <v>152609.23950102803</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6190.9489991104529</v>
      </c>
      <c r="C170" s="27">
        <f t="shared" ref="C170:AF170" si="106">($C$17+SUM(C171:C201))*$B$51</f>
        <v>6190.9489911045266</v>
      </c>
      <c r="D170" s="27">
        <f t="shared" si="106"/>
        <v>6190.948911045276</v>
      </c>
      <c r="E170" s="27">
        <f t="shared" si="106"/>
        <v>6190.9481104530696</v>
      </c>
      <c r="F170" s="27">
        <f t="shared" si="106"/>
        <v>6190.9401045607428</v>
      </c>
      <c r="G170" s="27">
        <f t="shared" si="106"/>
        <v>6190.8600486118994</v>
      </c>
      <c r="H170" s="27">
        <f t="shared" si="106"/>
        <v>6190.0597864908095</v>
      </c>
      <c r="I170" s="27">
        <f t="shared" si="106"/>
        <v>6182.0868278236348</v>
      </c>
      <c r="J170" s="27">
        <f t="shared" si="106"/>
        <v>6105.2506766216484</v>
      </c>
      <c r="K170" s="27">
        <f t="shared" si="106"/>
        <v>5565.3015297123402</v>
      </c>
      <c r="L170" s="27">
        <f t="shared" si="106"/>
        <v>5006.4541199869873</v>
      </c>
      <c r="M170" s="27">
        <f t="shared" si="106"/>
        <v>5005.7963863031719</v>
      </c>
      <c r="N170" s="27">
        <f t="shared" si="106"/>
        <v>5005.735982385997</v>
      </c>
      <c r="O170" s="27">
        <f t="shared" si="106"/>
        <v>5005.1324965251542</v>
      </c>
      <c r="P170" s="27">
        <f t="shared" si="106"/>
        <v>4999.1526174157452</v>
      </c>
      <c r="Q170" s="27">
        <f t="shared" si="106"/>
        <v>4944.516466646076</v>
      </c>
      <c r="R170" s="27">
        <f t="shared" si="106"/>
        <v>4694.6899108247671</v>
      </c>
      <c r="S170" s="27">
        <f t="shared" si="106"/>
        <v>4523.626767323175</v>
      </c>
      <c r="T170" s="27">
        <f t="shared" si="106"/>
        <v>4308.5519906564687</v>
      </c>
      <c r="U170" s="27">
        <f t="shared" si="106"/>
        <v>4086.3218412991273</v>
      </c>
      <c r="V170" s="27">
        <f t="shared" si="106"/>
        <v>3896.172822671936</v>
      </c>
      <c r="W170" s="27">
        <f t="shared" si="106"/>
        <v>3720.334158359447</v>
      </c>
      <c r="X170" s="27">
        <f t="shared" si="106"/>
        <v>3549.4161392209135</v>
      </c>
      <c r="Y170" s="27">
        <f t="shared" si="106"/>
        <v>3380.7278831035887</v>
      </c>
      <c r="Z170" s="27">
        <f t="shared" si="106"/>
        <v>3210.7938190210971</v>
      </c>
      <c r="AA170" s="27">
        <f t="shared" si="106"/>
        <v>3024.3147660461505</v>
      </c>
      <c r="AB170" s="27">
        <f t="shared" si="106"/>
        <v>2813.7735584936372</v>
      </c>
      <c r="AC170" s="27">
        <f t="shared" si="106"/>
        <v>2580.6253211526114</v>
      </c>
      <c r="AD170" s="27">
        <f t="shared" si="106"/>
        <v>2313.3854125177504</v>
      </c>
      <c r="AE170" s="27">
        <f t="shared" si="106"/>
        <v>1990.3305412037898</v>
      </c>
      <c r="AF170" s="27">
        <f t="shared" si="106"/>
        <v>1594.0173898222595</v>
      </c>
      <c r="AG170" s="27"/>
      <c r="AH170" s="27"/>
    </row>
    <row r="171" spans="1:34" x14ac:dyDescent="0.25">
      <c r="B171" s="3">
        <f t="shared" ref="B171:AF171" si="107">$C18*EXP(-B$168/$A18/EXP(-$C$126))</f>
        <v>0.19143202449891489</v>
      </c>
      <c r="C171" s="3">
        <f t="shared" si="107"/>
        <v>0.1914320232057489</v>
      </c>
      <c r="D171" s="3">
        <f t="shared" si="107"/>
        <v>0.1914320102740894</v>
      </c>
      <c r="E171" s="3">
        <f t="shared" si="107"/>
        <v>0.19143188095754252</v>
      </c>
      <c r="F171" s="3">
        <f t="shared" si="107"/>
        <v>0.19143058779687813</v>
      </c>
      <c r="G171" s="3">
        <f t="shared" si="107"/>
        <v>0.19141765667068042</v>
      </c>
      <c r="H171" s="3">
        <f t="shared" si="107"/>
        <v>0.19128839344129822</v>
      </c>
      <c r="I171" s="3">
        <f t="shared" si="107"/>
        <v>0.19000055242321298</v>
      </c>
      <c r="J171" s="3">
        <f t="shared" si="107"/>
        <v>0.17758950766077358</v>
      </c>
      <c r="K171" s="3">
        <f t="shared" si="107"/>
        <v>9.037362419940996E-2</v>
      </c>
      <c r="L171" s="3">
        <f t="shared" si="107"/>
        <v>1.052654025149097E-4</v>
      </c>
      <c r="M171" s="3">
        <f t="shared" si="107"/>
        <v>4.8386612791450557E-34</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5.4135576469364774E-2</v>
      </c>
      <c r="C172" s="3">
        <f t="shared" si="108"/>
        <v>5.4135576469364684E-2</v>
      </c>
      <c r="D172" s="3">
        <f t="shared" si="108"/>
        <v>5.4135576469363747E-2</v>
      </c>
      <c r="E172" s="3">
        <f t="shared" si="108"/>
        <v>5.413557646935438E-2</v>
      </c>
      <c r="F172" s="3">
        <f t="shared" si="108"/>
        <v>5.4135576469260704E-2</v>
      </c>
      <c r="G172" s="3">
        <f t="shared" si="108"/>
        <v>5.4135576468323954E-2</v>
      </c>
      <c r="H172" s="3">
        <f t="shared" si="108"/>
        <v>5.4135576458956433E-2</v>
      </c>
      <c r="I172" s="3">
        <f t="shared" si="108"/>
        <v>5.4135576365281296E-2</v>
      </c>
      <c r="J172" s="3">
        <f t="shared" si="108"/>
        <v>5.4135575428529883E-2</v>
      </c>
      <c r="K172" s="3">
        <f t="shared" si="108"/>
        <v>5.4135566061016625E-2</v>
      </c>
      <c r="L172" s="3">
        <f t="shared" si="108"/>
        <v>5.4135472385973209E-2</v>
      </c>
      <c r="M172" s="3">
        <f t="shared" si="108"/>
        <v>5.4134535644454113E-2</v>
      </c>
      <c r="N172" s="3">
        <f t="shared" si="108"/>
        <v>5.4125169120714738E-2</v>
      </c>
      <c r="O172" s="3">
        <f t="shared" si="108"/>
        <v>5.403159297142994E-2</v>
      </c>
      <c r="P172" s="3">
        <f t="shared" si="108"/>
        <v>5.310468351468535E-2</v>
      </c>
      <c r="Q172" s="3">
        <f t="shared" si="108"/>
        <v>4.4666647511182975E-2</v>
      </c>
      <c r="R172" s="3">
        <f t="shared" si="108"/>
        <v>7.9156882547380108E-3</v>
      </c>
      <c r="S172" s="3">
        <f t="shared" si="108"/>
        <v>2.4184768107764925E-10</v>
      </c>
      <c r="T172" s="3">
        <f t="shared" si="108"/>
        <v>1.7142508904504841E-85</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2.1015020588822823E-2</v>
      </c>
      <c r="C173" s="3">
        <f t="shared" si="109"/>
        <v>2.1015020588822819E-2</v>
      </c>
      <c r="D173" s="3">
        <f t="shared" si="109"/>
        <v>2.1015020588822785E-2</v>
      </c>
      <c r="E173" s="3">
        <f t="shared" si="109"/>
        <v>2.1015020588822458E-2</v>
      </c>
      <c r="F173" s="3">
        <f t="shared" si="109"/>
        <v>2.101502058881918E-2</v>
      </c>
      <c r="G173" s="3">
        <f t="shared" si="109"/>
        <v>2.1015020588786376E-2</v>
      </c>
      <c r="H173" s="3">
        <f t="shared" si="109"/>
        <v>2.101502058845834E-2</v>
      </c>
      <c r="I173" s="3">
        <f t="shared" si="109"/>
        <v>2.1015020585178006E-2</v>
      </c>
      <c r="J173" s="3">
        <f t="shared" si="109"/>
        <v>2.1015020552374673E-2</v>
      </c>
      <c r="K173" s="3">
        <f t="shared" si="109"/>
        <v>2.1015020224341319E-2</v>
      </c>
      <c r="L173" s="3">
        <f t="shared" si="109"/>
        <v>2.1015016944008071E-2</v>
      </c>
      <c r="M173" s="3">
        <f t="shared" si="109"/>
        <v>2.1014984140703748E-2</v>
      </c>
      <c r="N173" s="3">
        <f t="shared" si="109"/>
        <v>2.1014656110476738E-2</v>
      </c>
      <c r="O173" s="3">
        <f t="shared" si="109"/>
        <v>2.1011376089812048E-2</v>
      </c>
      <c r="P173" s="3">
        <f t="shared" si="109"/>
        <v>2.09786040274502E-2</v>
      </c>
      <c r="Q173" s="3">
        <f t="shared" si="109"/>
        <v>2.0653681645236122E-2</v>
      </c>
      <c r="R173" s="3">
        <f t="shared" si="109"/>
        <v>1.7668773643510504E-2</v>
      </c>
      <c r="S173" s="3">
        <f t="shared" si="109"/>
        <v>3.7093318740239502E-3</v>
      </c>
      <c r="T173" s="3">
        <f t="shared" si="109"/>
        <v>6.1686273574651754E-10</v>
      </c>
      <c r="U173" s="3">
        <f t="shared" si="109"/>
        <v>9.9796883140468283E-78</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4.0498121245543535E-2</v>
      </c>
      <c r="C174" s="3">
        <f t="shared" si="110"/>
        <v>4.0498121245543535E-2</v>
      </c>
      <c r="D174" s="3">
        <f t="shared" si="110"/>
        <v>4.0498121245543528E-2</v>
      </c>
      <c r="E174" s="3">
        <f t="shared" si="110"/>
        <v>4.0498121245543472E-2</v>
      </c>
      <c r="F174" s="3">
        <f t="shared" si="110"/>
        <v>4.0498121245542903E-2</v>
      </c>
      <c r="G174" s="3">
        <f t="shared" si="110"/>
        <v>4.04981212455372E-2</v>
      </c>
      <c r="H174" s="3">
        <f t="shared" si="110"/>
        <v>4.0498121245480176E-2</v>
      </c>
      <c r="I174" s="3">
        <f t="shared" si="110"/>
        <v>4.0498121244909917E-2</v>
      </c>
      <c r="J174" s="3">
        <f t="shared" si="110"/>
        <v>4.049812123920736E-2</v>
      </c>
      <c r="K174" s="3">
        <f t="shared" si="110"/>
        <v>4.0498121182181789E-2</v>
      </c>
      <c r="L174" s="3">
        <f t="shared" si="110"/>
        <v>4.0498120611926064E-2</v>
      </c>
      <c r="M174" s="3">
        <f t="shared" si="110"/>
        <v>4.0498114909369297E-2</v>
      </c>
      <c r="N174" s="3">
        <f t="shared" si="110"/>
        <v>4.0498057883845785E-2</v>
      </c>
      <c r="O174" s="3">
        <f t="shared" si="110"/>
        <v>4.0497487633027018E-2</v>
      </c>
      <c r="P174" s="3">
        <f t="shared" si="110"/>
        <v>4.0491785566452471E-2</v>
      </c>
      <c r="Q174" s="3">
        <f t="shared" si="110"/>
        <v>4.0434809039021156E-2</v>
      </c>
      <c r="R174" s="3">
        <f t="shared" si="110"/>
        <v>3.9869434686486134E-2</v>
      </c>
      <c r="S174" s="3">
        <f t="shared" si="110"/>
        <v>3.4632743115672895E-2</v>
      </c>
      <c r="T174" s="3">
        <f t="shared" si="110"/>
        <v>8.4713968940493909E-3</v>
      </c>
      <c r="U174" s="3">
        <f t="shared" si="110"/>
        <v>6.4958562774874562E-9</v>
      </c>
      <c r="V174" s="3">
        <f t="shared" si="110"/>
        <v>4.5650988744482773E-70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3.8180364153293539E-2</v>
      </c>
      <c r="C175" s="3">
        <f t="shared" si="111"/>
        <v>3.8180364153293539E-2</v>
      </c>
      <c r="D175" s="3">
        <f t="shared" si="111"/>
        <v>3.8180364153293539E-2</v>
      </c>
      <c r="E175" s="3">
        <f t="shared" si="111"/>
        <v>3.8180364153293532E-2</v>
      </c>
      <c r="F175" s="3">
        <f t="shared" si="111"/>
        <v>3.8180364153293483E-2</v>
      </c>
      <c r="G175" s="3">
        <f t="shared" si="111"/>
        <v>3.8180364153292998E-2</v>
      </c>
      <c r="H175" s="3">
        <f t="shared" si="111"/>
        <v>3.8180364153288154E-2</v>
      </c>
      <c r="I175" s="3">
        <f t="shared" si="111"/>
        <v>3.8180364153239651E-2</v>
      </c>
      <c r="J175" s="3">
        <f t="shared" si="111"/>
        <v>3.8180364152754678E-2</v>
      </c>
      <c r="K175" s="3">
        <f t="shared" si="111"/>
        <v>3.8180364147904905E-2</v>
      </c>
      <c r="L175" s="3">
        <f t="shared" si="111"/>
        <v>3.8180364099407164E-2</v>
      </c>
      <c r="M175" s="3">
        <f t="shared" si="111"/>
        <v>3.8180363614429849E-2</v>
      </c>
      <c r="N175" s="3">
        <f t="shared" si="111"/>
        <v>3.8180358764656953E-2</v>
      </c>
      <c r="O175" s="3">
        <f t="shared" si="111"/>
        <v>3.8180310266961892E-2</v>
      </c>
      <c r="P175" s="3">
        <f t="shared" si="111"/>
        <v>3.8179825293399479E-2</v>
      </c>
      <c r="Q175" s="3">
        <f t="shared" si="111"/>
        <v>3.8174975896574814E-2</v>
      </c>
      <c r="R175" s="3">
        <f t="shared" si="111"/>
        <v>3.8126515792364896E-2</v>
      </c>
      <c r="S175" s="3">
        <f t="shared" si="111"/>
        <v>3.7645285292306749E-2</v>
      </c>
      <c r="T175" s="3">
        <f t="shared" si="111"/>
        <v>3.3154717465439444E-2</v>
      </c>
      <c r="U175" s="3">
        <f t="shared" si="111"/>
        <v>9.3087789412940897E-3</v>
      </c>
      <c r="V175" s="3">
        <f t="shared" si="111"/>
        <v>2.8337828956039404E-8</v>
      </c>
      <c r="W175" s="3">
        <f t="shared" si="111"/>
        <v>1.9368908605007554E-63</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3.033915085060401E-2</v>
      </c>
      <c r="C176" s="3">
        <f t="shared" si="112"/>
        <v>3.033915085060401E-2</v>
      </c>
      <c r="D176" s="3">
        <f t="shared" si="112"/>
        <v>3.033915085060401E-2</v>
      </c>
      <c r="E176" s="3">
        <f t="shared" si="112"/>
        <v>3.033915085060401E-2</v>
      </c>
      <c r="F176" s="3">
        <f t="shared" si="112"/>
        <v>3.0339150850604006E-2</v>
      </c>
      <c r="G176" s="3">
        <f t="shared" si="112"/>
        <v>3.0339150850603971E-2</v>
      </c>
      <c r="H176" s="3">
        <f t="shared" si="112"/>
        <v>3.0339150850603621E-2</v>
      </c>
      <c r="I176" s="3">
        <f t="shared" si="112"/>
        <v>3.0339150850600145E-2</v>
      </c>
      <c r="J176" s="3">
        <f t="shared" si="112"/>
        <v>3.0339150850565381E-2</v>
      </c>
      <c r="K176" s="3">
        <f t="shared" si="112"/>
        <v>3.0339150850217742E-2</v>
      </c>
      <c r="L176" s="3">
        <f t="shared" si="112"/>
        <v>3.0339150846741329E-2</v>
      </c>
      <c r="M176" s="3">
        <f t="shared" si="112"/>
        <v>3.0339150811977196E-2</v>
      </c>
      <c r="N176" s="3">
        <f t="shared" si="112"/>
        <v>3.0339150464335888E-2</v>
      </c>
      <c r="O176" s="3">
        <f t="shared" si="112"/>
        <v>3.0339146987922998E-2</v>
      </c>
      <c r="P176" s="3">
        <f t="shared" si="112"/>
        <v>3.0339112223816037E-2</v>
      </c>
      <c r="Q176" s="3">
        <f t="shared" si="112"/>
        <v>3.0338764584937322E-2</v>
      </c>
      <c r="R176" s="3">
        <f t="shared" si="112"/>
        <v>3.0335288415229547E-2</v>
      </c>
      <c r="S176" s="3">
        <f t="shared" si="112"/>
        <v>3.0300548616807987E-2</v>
      </c>
      <c r="T176" s="3">
        <f t="shared" si="112"/>
        <v>2.9955331242341569E-2</v>
      </c>
      <c r="U176" s="3">
        <f t="shared" si="112"/>
        <v>2.6712250036073835E-2</v>
      </c>
      <c r="V176" s="3">
        <f t="shared" si="112"/>
        <v>8.4932502404535416E-3</v>
      </c>
      <c r="W176" s="3">
        <f t="shared" si="112"/>
        <v>8.9682645090126654E-8</v>
      </c>
      <c r="X176" s="3">
        <f t="shared" si="112"/>
        <v>1.545444082730408E-57</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2.9818488774257267E-2</v>
      </c>
      <c r="C177" s="3">
        <f t="shared" si="113"/>
        <v>2.9818488774257267E-2</v>
      </c>
      <c r="D177" s="3">
        <f t="shared" si="113"/>
        <v>2.9818488774257267E-2</v>
      </c>
      <c r="E177" s="3">
        <f t="shared" si="113"/>
        <v>2.9818488774257267E-2</v>
      </c>
      <c r="F177" s="3">
        <f t="shared" si="113"/>
        <v>2.9818488774257267E-2</v>
      </c>
      <c r="G177" s="3">
        <f t="shared" si="113"/>
        <v>2.9818488774257263E-2</v>
      </c>
      <c r="H177" s="3">
        <f t="shared" si="113"/>
        <v>2.9818488774257232E-2</v>
      </c>
      <c r="I177" s="3">
        <f t="shared" si="113"/>
        <v>2.9818488774256927E-2</v>
      </c>
      <c r="J177" s="3">
        <f t="shared" si="113"/>
        <v>2.9818488774253842E-2</v>
      </c>
      <c r="K177" s="3">
        <f t="shared" si="113"/>
        <v>2.981848877422302E-2</v>
      </c>
      <c r="L177" s="3">
        <f t="shared" si="113"/>
        <v>2.9818488773914801E-2</v>
      </c>
      <c r="M177" s="3">
        <f t="shared" si="113"/>
        <v>2.9818488770832607E-2</v>
      </c>
      <c r="N177" s="3">
        <f t="shared" si="113"/>
        <v>2.9818488740010651E-2</v>
      </c>
      <c r="O177" s="3">
        <f t="shared" si="113"/>
        <v>2.9818488431791104E-2</v>
      </c>
      <c r="P177" s="3">
        <f t="shared" si="113"/>
        <v>2.9818485349595809E-2</v>
      </c>
      <c r="Q177" s="3">
        <f t="shared" si="113"/>
        <v>2.9818454527660392E-2</v>
      </c>
      <c r="R177" s="3">
        <f t="shared" si="113"/>
        <v>2.9818146310058469E-2</v>
      </c>
      <c r="S177" s="3">
        <f t="shared" si="113"/>
        <v>2.9815064309257348E-2</v>
      </c>
      <c r="T177" s="3">
        <f t="shared" si="113"/>
        <v>2.9784261816356718E-2</v>
      </c>
      <c r="U177" s="3">
        <f t="shared" si="113"/>
        <v>2.9477981718211376E-2</v>
      </c>
      <c r="V177" s="3">
        <f t="shared" si="113"/>
        <v>2.6583171206931037E-2</v>
      </c>
      <c r="W177" s="3">
        <f t="shared" si="113"/>
        <v>9.4557769640307987E-3</v>
      </c>
      <c r="X177" s="3">
        <f t="shared" si="113"/>
        <v>3.06620745293932E-7</v>
      </c>
      <c r="Y177" s="3">
        <f t="shared" si="113"/>
        <v>3.9413471239267439E-52</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2.8586713902441586E-2</v>
      </c>
      <c r="C178" s="3">
        <f t="shared" si="114"/>
        <v>2.8586713902441586E-2</v>
      </c>
      <c r="D178" s="3">
        <f t="shared" si="114"/>
        <v>2.8586713902441586E-2</v>
      </c>
      <c r="E178" s="3">
        <f t="shared" si="114"/>
        <v>2.8586713902441586E-2</v>
      </c>
      <c r="F178" s="3">
        <f t="shared" si="114"/>
        <v>2.8586713902441586E-2</v>
      </c>
      <c r="G178" s="3">
        <f t="shared" si="114"/>
        <v>2.8586713902441586E-2</v>
      </c>
      <c r="H178" s="3">
        <f t="shared" si="114"/>
        <v>2.8586713902441583E-2</v>
      </c>
      <c r="I178" s="3">
        <f t="shared" si="114"/>
        <v>2.8586713902441559E-2</v>
      </c>
      <c r="J178" s="3">
        <f t="shared" si="114"/>
        <v>2.8586713902441292E-2</v>
      </c>
      <c r="K178" s="3">
        <f t="shared" si="114"/>
        <v>2.8586713902438627E-2</v>
      </c>
      <c r="L178" s="3">
        <f t="shared" si="114"/>
        <v>2.8586713902411968E-2</v>
      </c>
      <c r="M178" s="3">
        <f t="shared" si="114"/>
        <v>2.8586713902145414E-2</v>
      </c>
      <c r="N178" s="3">
        <f t="shared" si="114"/>
        <v>2.8586713899479876E-2</v>
      </c>
      <c r="O178" s="3">
        <f t="shared" si="114"/>
        <v>2.8586713872824465E-2</v>
      </c>
      <c r="P178" s="3">
        <f t="shared" si="114"/>
        <v>2.858671360627036E-2</v>
      </c>
      <c r="Q178" s="3">
        <f t="shared" si="114"/>
        <v>2.8586710940729447E-2</v>
      </c>
      <c r="R178" s="3">
        <f t="shared" si="114"/>
        <v>2.8586684285334004E-2</v>
      </c>
      <c r="S178" s="3">
        <f t="shared" si="114"/>
        <v>2.8586417732746547E-2</v>
      </c>
      <c r="T178" s="3">
        <f t="shared" si="114"/>
        <v>2.8583752343566967E-2</v>
      </c>
      <c r="U178" s="3">
        <f t="shared" si="114"/>
        <v>2.8557112116554199E-2</v>
      </c>
      <c r="V178" s="3">
        <f t="shared" si="114"/>
        <v>2.829207162207166E-2</v>
      </c>
      <c r="W178" s="3">
        <f t="shared" si="114"/>
        <v>2.5773260965195874E-2</v>
      </c>
      <c r="X178" s="3">
        <f t="shared" si="114"/>
        <v>1.014414841879638E-2</v>
      </c>
      <c r="Y178" s="3">
        <f t="shared" si="114"/>
        <v>9.0506095636643392E-7</v>
      </c>
      <c r="Z178" s="3">
        <f t="shared" si="114"/>
        <v>2.8926786119565561E-47</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2.8589469167233993E-2</v>
      </c>
      <c r="C179" s="3">
        <f t="shared" si="115"/>
        <v>2.8589469167233993E-2</v>
      </c>
      <c r="D179" s="3">
        <f t="shared" si="115"/>
        <v>2.8589469167233993E-2</v>
      </c>
      <c r="E179" s="3">
        <f t="shared" si="115"/>
        <v>2.8589469167233993E-2</v>
      </c>
      <c r="F179" s="3">
        <f t="shared" si="115"/>
        <v>2.8589469167233993E-2</v>
      </c>
      <c r="G179" s="3">
        <f t="shared" si="115"/>
        <v>2.8589469167233993E-2</v>
      </c>
      <c r="H179" s="3">
        <f t="shared" si="115"/>
        <v>2.8589469167233993E-2</v>
      </c>
      <c r="I179" s="3">
        <f t="shared" si="115"/>
        <v>2.858946916723399E-2</v>
      </c>
      <c r="J179" s="3">
        <f t="shared" si="115"/>
        <v>2.8589469167233969E-2</v>
      </c>
      <c r="K179" s="3">
        <f t="shared" si="115"/>
        <v>2.8589469167233726E-2</v>
      </c>
      <c r="L179" s="3">
        <f t="shared" si="115"/>
        <v>2.8589469167231322E-2</v>
      </c>
      <c r="M179" s="3">
        <f t="shared" si="115"/>
        <v>2.8589469167207275E-2</v>
      </c>
      <c r="N179" s="3">
        <f t="shared" si="115"/>
        <v>2.8589469166966797E-2</v>
      </c>
      <c r="O179" s="3">
        <f t="shared" si="115"/>
        <v>2.8589469164562023E-2</v>
      </c>
      <c r="P179" s="3">
        <f t="shared" si="115"/>
        <v>2.8589469140514308E-2</v>
      </c>
      <c r="Q179" s="3">
        <f t="shared" si="115"/>
        <v>2.8589468900037156E-2</v>
      </c>
      <c r="R179" s="3">
        <f t="shared" si="115"/>
        <v>2.8589466495265732E-2</v>
      </c>
      <c r="S179" s="3">
        <f t="shared" si="115"/>
        <v>2.8589442447562625E-2</v>
      </c>
      <c r="T179" s="3">
        <f t="shared" si="115"/>
        <v>2.8589201971644055E-2</v>
      </c>
      <c r="U179" s="3">
        <f t="shared" si="115"/>
        <v>2.858679732370558E-2</v>
      </c>
      <c r="V179" s="3">
        <f t="shared" si="115"/>
        <v>2.8562761965582946E-2</v>
      </c>
      <c r="W179" s="3">
        <f t="shared" si="115"/>
        <v>2.8323517057168006E-2</v>
      </c>
      <c r="X179" s="3">
        <f t="shared" si="115"/>
        <v>2.6038561089416424E-2</v>
      </c>
      <c r="Y179" s="3">
        <f t="shared" si="115"/>
        <v>1.1228325289467699E-2</v>
      </c>
      <c r="Z179" s="3">
        <f t="shared" si="115"/>
        <v>2.4962899778240907E-6</v>
      </c>
      <c r="AA179" s="3">
        <f t="shared" si="115"/>
        <v>7.3636901480812773E-43</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2.8115831969051441E-2</v>
      </c>
      <c r="C180" s="3">
        <f t="shared" si="116"/>
        <v>2.8115831969051441E-2</v>
      </c>
      <c r="D180" s="3">
        <f t="shared" si="116"/>
        <v>2.8115831969051441E-2</v>
      </c>
      <c r="E180" s="3">
        <f t="shared" si="116"/>
        <v>2.8115831969051441E-2</v>
      </c>
      <c r="F180" s="3">
        <f t="shared" si="116"/>
        <v>2.8115831969051441E-2</v>
      </c>
      <c r="G180" s="3">
        <f t="shared" si="116"/>
        <v>2.8115831969051441E-2</v>
      </c>
      <c r="H180" s="3">
        <f t="shared" si="116"/>
        <v>2.8115831969051441E-2</v>
      </c>
      <c r="I180" s="3">
        <f t="shared" si="116"/>
        <v>2.8115831969051441E-2</v>
      </c>
      <c r="J180" s="3">
        <f t="shared" si="116"/>
        <v>2.8115831969051437E-2</v>
      </c>
      <c r="K180" s="3">
        <f t="shared" si="116"/>
        <v>2.8115831969051416E-2</v>
      </c>
      <c r="L180" s="3">
        <f t="shared" si="116"/>
        <v>2.8115831969051205E-2</v>
      </c>
      <c r="M180" s="3">
        <f t="shared" si="116"/>
        <v>2.8115831969049071E-2</v>
      </c>
      <c r="N180" s="3">
        <f t="shared" si="116"/>
        <v>2.8115831969027737E-2</v>
      </c>
      <c r="O180" s="3">
        <f t="shared" si="116"/>
        <v>2.8115831968814401E-2</v>
      </c>
      <c r="P180" s="3">
        <f t="shared" si="116"/>
        <v>2.8115831966681035E-2</v>
      </c>
      <c r="Q180" s="3">
        <f t="shared" si="116"/>
        <v>2.8115831945347381E-2</v>
      </c>
      <c r="R180" s="3">
        <f t="shared" si="116"/>
        <v>2.8115831732010831E-2</v>
      </c>
      <c r="S180" s="3">
        <f t="shared" si="116"/>
        <v>2.8115829598645455E-2</v>
      </c>
      <c r="T180" s="3">
        <f t="shared" si="116"/>
        <v>2.8115808265000566E-2</v>
      </c>
      <c r="U180" s="3">
        <f t="shared" si="116"/>
        <v>2.8115594929441993E-2</v>
      </c>
      <c r="V180" s="3">
        <f t="shared" si="116"/>
        <v>2.811346166288468E-2</v>
      </c>
      <c r="W180" s="3">
        <f t="shared" si="116"/>
        <v>2.8092137897655928E-2</v>
      </c>
      <c r="X180" s="3">
        <f t="shared" si="116"/>
        <v>2.7879787786116772E-2</v>
      </c>
      <c r="Y180" s="3">
        <f t="shared" si="116"/>
        <v>2.5842598763464224E-2</v>
      </c>
      <c r="Z180" s="3">
        <f t="shared" si="116"/>
        <v>1.2100502194783879E-2</v>
      </c>
      <c r="AA180" s="3">
        <f t="shared" si="116"/>
        <v>6.1302120214438915E-6</v>
      </c>
      <c r="AB180" s="3">
        <f t="shared" si="116"/>
        <v>6.8264749664994349E-39</v>
      </c>
      <c r="AC180" s="3">
        <f t="shared" si="116"/>
        <v>0</v>
      </c>
      <c r="AD180" s="3">
        <f t="shared" si="116"/>
        <v>0</v>
      </c>
      <c r="AE180" s="3">
        <f t="shared" si="116"/>
        <v>0</v>
      </c>
      <c r="AF180" s="3">
        <f t="shared" si="116"/>
        <v>0</v>
      </c>
      <c r="AG180" s="3"/>
      <c r="AH180" s="3"/>
    </row>
    <row r="181" spans="2:34" x14ac:dyDescent="0.25">
      <c r="B181" s="3">
        <f t="shared" ref="B181:AF181" si="117">$C28*EXP(-B$168/$A28/EXP(-$C$126))</f>
        <v>3.3973946984022944E-2</v>
      </c>
      <c r="C181" s="3">
        <f t="shared" si="117"/>
        <v>3.3973946984022944E-2</v>
      </c>
      <c r="D181" s="3">
        <f t="shared" si="117"/>
        <v>3.3973946984022944E-2</v>
      </c>
      <c r="E181" s="3">
        <f t="shared" si="117"/>
        <v>3.3973946984022944E-2</v>
      </c>
      <c r="F181" s="3">
        <f t="shared" si="117"/>
        <v>3.3973946984022944E-2</v>
      </c>
      <c r="G181" s="3">
        <f t="shared" si="117"/>
        <v>3.3973946984022944E-2</v>
      </c>
      <c r="H181" s="3">
        <f t="shared" si="117"/>
        <v>3.3973946984022944E-2</v>
      </c>
      <c r="I181" s="3">
        <f t="shared" si="117"/>
        <v>3.3973946984022944E-2</v>
      </c>
      <c r="J181" s="3">
        <f t="shared" si="117"/>
        <v>3.3973946984022944E-2</v>
      </c>
      <c r="K181" s="3">
        <f t="shared" si="117"/>
        <v>3.3973946984022937E-2</v>
      </c>
      <c r="L181" s="3">
        <f t="shared" si="117"/>
        <v>3.3973946984022917E-2</v>
      </c>
      <c r="M181" s="3">
        <f t="shared" si="117"/>
        <v>3.3973946984022681E-2</v>
      </c>
      <c r="N181" s="3">
        <f t="shared" si="117"/>
        <v>3.3973946984020363E-2</v>
      </c>
      <c r="O181" s="3">
        <f t="shared" si="117"/>
        <v>3.3973946983997104E-2</v>
      </c>
      <c r="P181" s="3">
        <f t="shared" si="117"/>
        <v>3.3973946983764561E-2</v>
      </c>
      <c r="Q181" s="3">
        <f t="shared" si="117"/>
        <v>3.3973946981439108E-2</v>
      </c>
      <c r="R181" s="3">
        <f t="shared" si="117"/>
        <v>3.3973946958184613E-2</v>
      </c>
      <c r="S181" s="3">
        <f t="shared" si="117"/>
        <v>3.3973946725639664E-2</v>
      </c>
      <c r="T181" s="3">
        <f t="shared" si="117"/>
        <v>3.3973944400190227E-2</v>
      </c>
      <c r="U181" s="3">
        <f t="shared" si="117"/>
        <v>3.3973921145704578E-2</v>
      </c>
      <c r="V181" s="3">
        <f t="shared" si="117"/>
        <v>3.3973688601723596E-2</v>
      </c>
      <c r="W181" s="3">
        <f t="shared" si="117"/>
        <v>3.3971363249456141E-2</v>
      </c>
      <c r="X181" s="3">
        <f t="shared" si="117"/>
        <v>3.3948118478801949E-2</v>
      </c>
      <c r="Y181" s="3">
        <f t="shared" si="117"/>
        <v>3.3716543761835312E-2</v>
      </c>
      <c r="Z181" s="3">
        <f t="shared" si="117"/>
        <v>3.1485924533397602E-2</v>
      </c>
      <c r="AA181" s="3">
        <f t="shared" si="117"/>
        <v>1.5879998576996658E-2</v>
      </c>
      <c r="AB181" s="3">
        <f t="shared" si="117"/>
        <v>1.6911827846254216E-5</v>
      </c>
      <c r="AC181" s="3">
        <f t="shared" si="117"/>
        <v>3.1738869105543625E-35</v>
      </c>
      <c r="AD181" s="3">
        <f t="shared" si="117"/>
        <v>0</v>
      </c>
      <c r="AE181" s="3">
        <f t="shared" si="117"/>
        <v>0</v>
      </c>
      <c r="AF181" s="3">
        <f t="shared" si="117"/>
        <v>0</v>
      </c>
      <c r="AG181" s="3"/>
      <c r="AH181" s="3"/>
    </row>
    <row r="182" spans="2:34" x14ac:dyDescent="0.25">
      <c r="B182" s="3">
        <f t="shared" ref="B182:AF182" si="118">$C29*EXP(-B$168/$A29/EXP(-$C$126))</f>
        <v>3.6313930353248758E-2</v>
      </c>
      <c r="C182" s="3">
        <f t="shared" si="118"/>
        <v>3.6313930353248758E-2</v>
      </c>
      <c r="D182" s="3">
        <f t="shared" si="118"/>
        <v>3.6313930353248758E-2</v>
      </c>
      <c r="E182" s="3">
        <f t="shared" si="118"/>
        <v>3.6313930353248758E-2</v>
      </c>
      <c r="F182" s="3">
        <f t="shared" si="118"/>
        <v>3.6313930353248758E-2</v>
      </c>
      <c r="G182" s="3">
        <f t="shared" si="118"/>
        <v>3.6313930353248758E-2</v>
      </c>
      <c r="H182" s="3">
        <f t="shared" si="118"/>
        <v>3.6313930353248758E-2</v>
      </c>
      <c r="I182" s="3">
        <f t="shared" si="118"/>
        <v>3.6313930353248758E-2</v>
      </c>
      <c r="J182" s="3">
        <f t="shared" si="118"/>
        <v>3.6313930353248758E-2</v>
      </c>
      <c r="K182" s="3">
        <f t="shared" si="118"/>
        <v>3.6313930353248758E-2</v>
      </c>
      <c r="L182" s="3">
        <f t="shared" si="118"/>
        <v>3.6313930353248751E-2</v>
      </c>
      <c r="M182" s="3">
        <f t="shared" si="118"/>
        <v>3.6313930353248737E-2</v>
      </c>
      <c r="N182" s="3">
        <f t="shared" si="118"/>
        <v>3.6313930353248508E-2</v>
      </c>
      <c r="O182" s="3">
        <f t="shared" si="118"/>
        <v>3.6313930353246267E-2</v>
      </c>
      <c r="P182" s="3">
        <f t="shared" si="118"/>
        <v>3.631393035322384E-2</v>
      </c>
      <c r="Q182" s="3">
        <f t="shared" si="118"/>
        <v>3.6313930352999624E-2</v>
      </c>
      <c r="R182" s="3">
        <f t="shared" si="118"/>
        <v>3.631393035075739E-2</v>
      </c>
      <c r="S182" s="3">
        <f t="shared" si="118"/>
        <v>3.6313930328335055E-2</v>
      </c>
      <c r="T182" s="3">
        <f t="shared" si="118"/>
        <v>3.6313930104111748E-2</v>
      </c>
      <c r="U182" s="3">
        <f t="shared" si="118"/>
        <v>3.6313927861878717E-2</v>
      </c>
      <c r="V182" s="3">
        <f t="shared" si="118"/>
        <v>3.6313905439556038E-2</v>
      </c>
      <c r="W182" s="3">
        <f t="shared" si="118"/>
        <v>3.6313681217090686E-2</v>
      </c>
      <c r="X182" s="3">
        <f t="shared" si="118"/>
        <v>3.631143906858196E-2</v>
      </c>
      <c r="Y182" s="3">
        <f t="shared" si="118"/>
        <v>3.6289025196229827E-2</v>
      </c>
      <c r="Z182" s="3">
        <f t="shared" si="118"/>
        <v>3.6065646009888465E-2</v>
      </c>
      <c r="AA182" s="3">
        <f t="shared" si="118"/>
        <v>3.3906100916691009E-2</v>
      </c>
      <c r="AB182" s="3">
        <f t="shared" si="118"/>
        <v>1.8286020245378658E-2</v>
      </c>
      <c r="AC182" s="3">
        <f t="shared" si="118"/>
        <v>3.8065597917203849E-5</v>
      </c>
      <c r="AD182" s="3">
        <f t="shared" si="118"/>
        <v>5.816573925501289E-32</v>
      </c>
      <c r="AE182" s="3">
        <f t="shared" si="118"/>
        <v>4.0365767497371116E-300</v>
      </c>
      <c r="AF182" s="3">
        <f t="shared" si="118"/>
        <v>0</v>
      </c>
      <c r="AG182" s="3"/>
      <c r="AH182" s="3"/>
    </row>
    <row r="183" spans="2:34" x14ac:dyDescent="0.25">
      <c r="B183" s="3">
        <f t="shared" ref="B183:AF183" si="119">$C30*EXP(-B$168/$A30/EXP(-$C$126))</f>
        <v>4.1806327659667623E-2</v>
      </c>
      <c r="C183" s="3">
        <f t="shared" si="119"/>
        <v>4.1806327659667623E-2</v>
      </c>
      <c r="D183" s="3">
        <f t="shared" si="119"/>
        <v>4.1806327659667623E-2</v>
      </c>
      <c r="E183" s="3">
        <f t="shared" si="119"/>
        <v>4.1806327659667623E-2</v>
      </c>
      <c r="F183" s="3">
        <f t="shared" si="119"/>
        <v>4.1806327659667623E-2</v>
      </c>
      <c r="G183" s="3">
        <f t="shared" si="119"/>
        <v>4.1806327659667623E-2</v>
      </c>
      <c r="H183" s="3">
        <f t="shared" si="119"/>
        <v>4.1806327659667623E-2</v>
      </c>
      <c r="I183" s="3">
        <f t="shared" si="119"/>
        <v>4.1806327659667623E-2</v>
      </c>
      <c r="J183" s="3">
        <f t="shared" si="119"/>
        <v>4.1806327659667623E-2</v>
      </c>
      <c r="K183" s="3">
        <f t="shared" si="119"/>
        <v>4.1806327659667623E-2</v>
      </c>
      <c r="L183" s="3">
        <f t="shared" si="119"/>
        <v>4.1806327659667623E-2</v>
      </c>
      <c r="M183" s="3">
        <f t="shared" si="119"/>
        <v>4.1806327659667616E-2</v>
      </c>
      <c r="N183" s="3">
        <f t="shared" si="119"/>
        <v>4.1806327659667596E-2</v>
      </c>
      <c r="O183" s="3">
        <f t="shared" si="119"/>
        <v>4.1806327659667367E-2</v>
      </c>
      <c r="P183" s="3">
        <f t="shared" si="119"/>
        <v>4.1806327659665035E-2</v>
      </c>
      <c r="Q183" s="3">
        <f t="shared" si="119"/>
        <v>4.1806327659641755E-2</v>
      </c>
      <c r="R183" s="3">
        <f t="shared" si="119"/>
        <v>4.1806327659408893E-2</v>
      </c>
      <c r="S183" s="3">
        <f t="shared" si="119"/>
        <v>4.1806327657080283E-2</v>
      </c>
      <c r="T183" s="3">
        <f t="shared" si="119"/>
        <v>4.1806327633794216E-2</v>
      </c>
      <c r="U183" s="3">
        <f t="shared" si="119"/>
        <v>4.1806327400933561E-2</v>
      </c>
      <c r="V183" s="3">
        <f t="shared" si="119"/>
        <v>4.180632507232708E-2</v>
      </c>
      <c r="W183" s="3">
        <f t="shared" si="119"/>
        <v>4.1806301786269394E-2</v>
      </c>
      <c r="X183" s="3">
        <f t="shared" si="119"/>
        <v>4.1806068926405919E-2</v>
      </c>
      <c r="Y183" s="3">
        <f t="shared" si="119"/>
        <v>4.1803740399106212E-2</v>
      </c>
      <c r="Z183" s="3">
        <f t="shared" si="119"/>
        <v>4.1780462258144045E-2</v>
      </c>
      <c r="AA183" s="3">
        <f t="shared" si="119"/>
        <v>4.1548392584360931E-2</v>
      </c>
      <c r="AB183" s="3">
        <f t="shared" si="119"/>
        <v>3.9297424215405781E-2</v>
      </c>
      <c r="AC183" s="3">
        <f t="shared" si="119"/>
        <v>2.25145188633037E-2</v>
      </c>
      <c r="AD183" s="3">
        <f t="shared" si="119"/>
        <v>8.579234219802867E-5</v>
      </c>
      <c r="AE183" s="3">
        <f t="shared" si="119"/>
        <v>5.5374149037909549E-29</v>
      </c>
      <c r="AF183" s="3">
        <f t="shared" si="119"/>
        <v>6.9485225652924207E-271</v>
      </c>
      <c r="AG183" s="3"/>
      <c r="AH183" s="3"/>
    </row>
    <row r="184" spans="2:34" x14ac:dyDescent="0.25">
      <c r="B184" s="3">
        <f t="shared" ref="B184:AF184" si="120">$C31*EXP(-B$168/$A31/EXP(-$C$126))</f>
        <v>4.6977125912982913E-2</v>
      </c>
      <c r="C184" s="3">
        <f t="shared" si="120"/>
        <v>4.6977125912982913E-2</v>
      </c>
      <c r="D184" s="3">
        <f t="shared" si="120"/>
        <v>4.6977125912982913E-2</v>
      </c>
      <c r="E184" s="3">
        <f t="shared" si="120"/>
        <v>4.6977125912982913E-2</v>
      </c>
      <c r="F184" s="3">
        <f t="shared" si="120"/>
        <v>4.6977125912982913E-2</v>
      </c>
      <c r="G184" s="3">
        <f t="shared" si="120"/>
        <v>4.6977125912982913E-2</v>
      </c>
      <c r="H184" s="3">
        <f t="shared" si="120"/>
        <v>4.6977125912982913E-2</v>
      </c>
      <c r="I184" s="3">
        <f t="shared" si="120"/>
        <v>4.6977125912982913E-2</v>
      </c>
      <c r="J184" s="3">
        <f t="shared" si="120"/>
        <v>4.6977125912982913E-2</v>
      </c>
      <c r="K184" s="3">
        <f t="shared" si="120"/>
        <v>4.6977125912982913E-2</v>
      </c>
      <c r="L184" s="3">
        <f t="shared" si="120"/>
        <v>4.6977125912982913E-2</v>
      </c>
      <c r="M184" s="3">
        <f t="shared" si="120"/>
        <v>4.6977125912982913E-2</v>
      </c>
      <c r="N184" s="3">
        <f t="shared" si="120"/>
        <v>4.6977125912982906E-2</v>
      </c>
      <c r="O184" s="3">
        <f t="shared" si="120"/>
        <v>4.6977125912982885E-2</v>
      </c>
      <c r="P184" s="3">
        <f t="shared" si="120"/>
        <v>4.6977125912982649E-2</v>
      </c>
      <c r="Q184" s="3">
        <f t="shared" si="120"/>
        <v>4.697712591298029E-2</v>
      </c>
      <c r="R184" s="3">
        <f t="shared" si="120"/>
        <v>4.6977125912956684E-2</v>
      </c>
      <c r="S184" s="3">
        <f t="shared" si="120"/>
        <v>4.6977125912720644E-2</v>
      </c>
      <c r="T184" s="3">
        <f t="shared" si="120"/>
        <v>4.697712591036024E-2</v>
      </c>
      <c r="U184" s="3">
        <f t="shared" si="120"/>
        <v>4.6977125886756156E-2</v>
      </c>
      <c r="V184" s="3">
        <f t="shared" si="120"/>
        <v>4.697712565071533E-2</v>
      </c>
      <c r="W184" s="3">
        <f t="shared" si="120"/>
        <v>4.6977123290307114E-2</v>
      </c>
      <c r="X184" s="3">
        <f t="shared" si="120"/>
        <v>4.6977099686231497E-2</v>
      </c>
      <c r="Y184" s="3">
        <f t="shared" si="120"/>
        <v>4.6976863646127673E-2</v>
      </c>
      <c r="Z184" s="3">
        <f t="shared" si="120"/>
        <v>4.6974503310318501E-2</v>
      </c>
      <c r="AA184" s="3">
        <f t="shared" si="120"/>
        <v>4.6950906473926544E-2</v>
      </c>
      <c r="AB184" s="3">
        <f t="shared" si="120"/>
        <v>4.6715589069161324E-2</v>
      </c>
      <c r="AC184" s="3">
        <f t="shared" si="120"/>
        <v>4.4426316832736082E-2</v>
      </c>
      <c r="AD184" s="3">
        <f t="shared" si="120"/>
        <v>2.6879742828316636E-2</v>
      </c>
      <c r="AE184" s="3">
        <f t="shared" si="120"/>
        <v>1.7671487468551666E-4</v>
      </c>
      <c r="AF184" s="3">
        <f t="shared" si="120"/>
        <v>2.6653428713698816E-26</v>
      </c>
      <c r="AG184" s="3"/>
      <c r="AH184" s="3"/>
    </row>
    <row r="185" spans="2:34" x14ac:dyDescent="0.25">
      <c r="B185" s="3">
        <f t="shared" ref="B185:AF185" si="121">$C32*EXP(-B$168/$A32/EXP(-$C$126))</f>
        <v>6.4330039712108877E-2</v>
      </c>
      <c r="C185" s="3">
        <f t="shared" si="121"/>
        <v>6.4330039712108877E-2</v>
      </c>
      <c r="D185" s="3">
        <f t="shared" si="121"/>
        <v>6.4330039712108877E-2</v>
      </c>
      <c r="E185" s="3">
        <f t="shared" si="121"/>
        <v>6.4330039712108877E-2</v>
      </c>
      <c r="F185" s="3">
        <f t="shared" si="121"/>
        <v>6.4330039712108877E-2</v>
      </c>
      <c r="G185" s="3">
        <f t="shared" si="121"/>
        <v>6.4330039712108877E-2</v>
      </c>
      <c r="H185" s="3">
        <f t="shared" si="121"/>
        <v>6.4330039712108877E-2</v>
      </c>
      <c r="I185" s="3">
        <f t="shared" si="121"/>
        <v>6.4330039712108877E-2</v>
      </c>
      <c r="J185" s="3">
        <f t="shared" si="121"/>
        <v>6.4330039712108877E-2</v>
      </c>
      <c r="K185" s="3">
        <f t="shared" si="121"/>
        <v>6.4330039712108877E-2</v>
      </c>
      <c r="L185" s="3">
        <f t="shared" si="121"/>
        <v>6.4330039712108877E-2</v>
      </c>
      <c r="M185" s="3">
        <f t="shared" si="121"/>
        <v>6.4330039712108877E-2</v>
      </c>
      <c r="N185" s="3">
        <f t="shared" si="121"/>
        <v>6.4330039712108877E-2</v>
      </c>
      <c r="O185" s="3">
        <f t="shared" si="121"/>
        <v>6.4330039712108877E-2</v>
      </c>
      <c r="P185" s="3">
        <f t="shared" si="121"/>
        <v>6.4330039712108836E-2</v>
      </c>
      <c r="Q185" s="3">
        <f t="shared" si="121"/>
        <v>6.4330039712108558E-2</v>
      </c>
      <c r="R185" s="3">
        <f t="shared" si="121"/>
        <v>6.433003971210563E-2</v>
      </c>
      <c r="S185" s="3">
        <f t="shared" si="121"/>
        <v>6.4330039712076487E-2</v>
      </c>
      <c r="T185" s="3">
        <f t="shared" si="121"/>
        <v>6.43300397117849E-2</v>
      </c>
      <c r="U185" s="3">
        <f t="shared" si="121"/>
        <v>6.433003970886908E-2</v>
      </c>
      <c r="V185" s="3">
        <f t="shared" si="121"/>
        <v>6.4330039679710849E-2</v>
      </c>
      <c r="W185" s="3">
        <f t="shared" si="121"/>
        <v>6.433003938812859E-2</v>
      </c>
      <c r="X185" s="3">
        <f t="shared" si="121"/>
        <v>6.4330036472306062E-2</v>
      </c>
      <c r="Y185" s="3">
        <f t="shared" si="121"/>
        <v>6.4330007314088125E-2</v>
      </c>
      <c r="Z185" s="3">
        <f t="shared" si="121"/>
        <v>6.4329715732635559E-2</v>
      </c>
      <c r="AA185" s="3">
        <f t="shared" si="121"/>
        <v>6.4326799990798031E-2</v>
      </c>
      <c r="AB185" s="3">
        <f t="shared" si="121"/>
        <v>6.4297649840008034E-2</v>
      </c>
      <c r="AC185" s="3">
        <f t="shared" si="121"/>
        <v>6.4006873873303394E-2</v>
      </c>
      <c r="AD185" s="3">
        <f t="shared" si="121"/>
        <v>6.1170466159953071E-2</v>
      </c>
      <c r="AE185" s="3">
        <f t="shared" si="121"/>
        <v>3.887706992983813E-2</v>
      </c>
      <c r="AF185" s="3">
        <f t="shared" si="121"/>
        <v>4.1803330357061607E-4</v>
      </c>
      <c r="AG185" s="3"/>
      <c r="AH185" s="3"/>
    </row>
    <row r="186" spans="2:34" x14ac:dyDescent="0.25">
      <c r="B186" s="3">
        <f t="shared" ref="B186:AF186" si="122">$C33*EXP(-B$168/$A33/EXP(-$C$126))</f>
        <v>7.1283808515689162E-2</v>
      </c>
      <c r="C186" s="3">
        <f t="shared" si="122"/>
        <v>7.1283808515689162E-2</v>
      </c>
      <c r="D186" s="3">
        <f t="shared" si="122"/>
        <v>7.1283808515689162E-2</v>
      </c>
      <c r="E186" s="3">
        <f t="shared" si="122"/>
        <v>7.1283808515689162E-2</v>
      </c>
      <c r="F186" s="3">
        <f t="shared" si="122"/>
        <v>7.1283808515689162E-2</v>
      </c>
      <c r="G186" s="3">
        <f t="shared" si="122"/>
        <v>7.1283808515689162E-2</v>
      </c>
      <c r="H186" s="3">
        <f t="shared" si="122"/>
        <v>7.1283808515689162E-2</v>
      </c>
      <c r="I186" s="3">
        <f t="shared" si="122"/>
        <v>7.1283808515689162E-2</v>
      </c>
      <c r="J186" s="3">
        <f t="shared" si="122"/>
        <v>7.1283808515689162E-2</v>
      </c>
      <c r="K186" s="3">
        <f t="shared" si="122"/>
        <v>7.1283808515689162E-2</v>
      </c>
      <c r="L186" s="3">
        <f t="shared" si="122"/>
        <v>7.1283808515689162E-2</v>
      </c>
      <c r="M186" s="3">
        <f t="shared" si="122"/>
        <v>7.1283808515689162E-2</v>
      </c>
      <c r="N186" s="3">
        <f t="shared" si="122"/>
        <v>7.1283808515689162E-2</v>
      </c>
      <c r="O186" s="3">
        <f t="shared" si="122"/>
        <v>7.1283808515689162E-2</v>
      </c>
      <c r="P186" s="3">
        <f t="shared" si="122"/>
        <v>7.1283808515689162E-2</v>
      </c>
      <c r="Q186" s="3">
        <f t="shared" si="122"/>
        <v>7.1283808515689134E-2</v>
      </c>
      <c r="R186" s="3">
        <f t="shared" si="122"/>
        <v>7.1283808515688843E-2</v>
      </c>
      <c r="S186" s="3">
        <f t="shared" si="122"/>
        <v>7.1283808515685929E-2</v>
      </c>
      <c r="T186" s="3">
        <f t="shared" si="122"/>
        <v>7.1283808515656771E-2</v>
      </c>
      <c r="U186" s="3">
        <f t="shared" si="122"/>
        <v>7.128380851536531E-2</v>
      </c>
      <c r="V186" s="3">
        <f t="shared" si="122"/>
        <v>7.1283808512450669E-2</v>
      </c>
      <c r="W186" s="3">
        <f t="shared" si="122"/>
        <v>7.128380848330429E-2</v>
      </c>
      <c r="X186" s="3">
        <f t="shared" si="122"/>
        <v>7.1283808191840381E-2</v>
      </c>
      <c r="Y186" s="3">
        <f t="shared" si="122"/>
        <v>7.1283805277201517E-2</v>
      </c>
      <c r="Z186" s="3">
        <f t="shared" si="122"/>
        <v>7.1283776130819293E-2</v>
      </c>
      <c r="AA186" s="3">
        <f t="shared" si="122"/>
        <v>7.1283484667652497E-2</v>
      </c>
      <c r="AB186" s="3">
        <f t="shared" si="122"/>
        <v>7.1280570101528717E-2</v>
      </c>
      <c r="AC186" s="3">
        <f t="shared" si="122"/>
        <v>7.1251430993715809E-2</v>
      </c>
      <c r="AD186" s="3">
        <f t="shared" si="122"/>
        <v>7.0960694267720364E-2</v>
      </c>
      <c r="AE186" s="3">
        <f t="shared" si="122"/>
        <v>6.8117783018696337E-2</v>
      </c>
      <c r="AF186" s="3">
        <f t="shared" si="122"/>
        <v>4.5257128402886371E-2</v>
      </c>
      <c r="AG186" s="3"/>
      <c r="AH186" s="3"/>
    </row>
    <row r="187" spans="2:34" x14ac:dyDescent="0.25">
      <c r="B187" s="3">
        <f t="shared" ref="B187:AF187" si="123">$C34*EXP(-B$168/$A34/EXP(-$C$126))</f>
        <v>6.5008577665533668E-2</v>
      </c>
      <c r="C187" s="3">
        <f t="shared" si="123"/>
        <v>6.5008577665533668E-2</v>
      </c>
      <c r="D187" s="3">
        <f t="shared" si="123"/>
        <v>6.5008577665533668E-2</v>
      </c>
      <c r="E187" s="3">
        <f t="shared" si="123"/>
        <v>6.5008577665533668E-2</v>
      </c>
      <c r="F187" s="3">
        <f t="shared" si="123"/>
        <v>6.5008577665533668E-2</v>
      </c>
      <c r="G187" s="3">
        <f t="shared" si="123"/>
        <v>6.5008577665533668E-2</v>
      </c>
      <c r="H187" s="3">
        <f t="shared" si="123"/>
        <v>6.5008577665533668E-2</v>
      </c>
      <c r="I187" s="3">
        <f t="shared" si="123"/>
        <v>6.5008577665533668E-2</v>
      </c>
      <c r="J187" s="3">
        <f t="shared" si="123"/>
        <v>6.5008577665533668E-2</v>
      </c>
      <c r="K187" s="3">
        <f t="shared" si="123"/>
        <v>6.5008577665533668E-2</v>
      </c>
      <c r="L187" s="3">
        <f t="shared" si="123"/>
        <v>6.5008577665533668E-2</v>
      </c>
      <c r="M187" s="3">
        <f t="shared" si="123"/>
        <v>6.5008577665533668E-2</v>
      </c>
      <c r="N187" s="3">
        <f t="shared" si="123"/>
        <v>6.5008577665533668E-2</v>
      </c>
      <c r="O187" s="3">
        <f t="shared" si="123"/>
        <v>6.5008577665533668E-2</v>
      </c>
      <c r="P187" s="3">
        <f t="shared" si="123"/>
        <v>6.5008577665533668E-2</v>
      </c>
      <c r="Q187" s="3">
        <f t="shared" si="123"/>
        <v>6.5008577665533668E-2</v>
      </c>
      <c r="R187" s="3">
        <f t="shared" si="123"/>
        <v>6.500857766553364E-2</v>
      </c>
      <c r="S187" s="3">
        <f t="shared" si="123"/>
        <v>6.5008577665533404E-2</v>
      </c>
      <c r="T187" s="3">
        <f t="shared" si="123"/>
        <v>6.5008577665531003E-2</v>
      </c>
      <c r="U187" s="3">
        <f t="shared" si="123"/>
        <v>6.5008577665507022E-2</v>
      </c>
      <c r="V187" s="3">
        <f t="shared" si="123"/>
        <v>6.5008577665267242E-2</v>
      </c>
      <c r="W187" s="3">
        <f t="shared" si="123"/>
        <v>6.5008577662869452E-2</v>
      </c>
      <c r="X187" s="3">
        <f t="shared" si="123"/>
        <v>6.5008577638891563E-2</v>
      </c>
      <c r="Y187" s="3">
        <f t="shared" si="123"/>
        <v>6.5008577399112574E-2</v>
      </c>
      <c r="Z187" s="3">
        <f t="shared" si="123"/>
        <v>6.5008575001322733E-2</v>
      </c>
      <c r="AA187" s="3">
        <f t="shared" si="123"/>
        <v>6.5008551023429242E-2</v>
      </c>
      <c r="AB187" s="3">
        <f t="shared" si="123"/>
        <v>6.5008311244980785E-2</v>
      </c>
      <c r="AC187" s="3">
        <f t="shared" si="123"/>
        <v>6.5005913509137758E-2</v>
      </c>
      <c r="AD187" s="3">
        <f t="shared" si="123"/>
        <v>6.4981941014201822E-2</v>
      </c>
      <c r="AE187" s="3">
        <f t="shared" si="123"/>
        <v>6.4742701751210399E-2</v>
      </c>
      <c r="AF187" s="3">
        <f t="shared" si="123"/>
        <v>6.2398221422865267E-2</v>
      </c>
      <c r="AG187" s="3"/>
      <c r="AH187" s="3"/>
    </row>
    <row r="188" spans="2:34" x14ac:dyDescent="0.25">
      <c r="B188" s="3">
        <f t="shared" ref="B188:AF188" si="124">$C35*EXP(-B$168/$A35/EXP(-$C$126))</f>
        <v>4.954350168244695E-2</v>
      </c>
      <c r="C188" s="3">
        <f t="shared" si="124"/>
        <v>4.954350168244695E-2</v>
      </c>
      <c r="D188" s="3">
        <f t="shared" si="124"/>
        <v>4.954350168244695E-2</v>
      </c>
      <c r="E188" s="3">
        <f t="shared" si="124"/>
        <v>4.954350168244695E-2</v>
      </c>
      <c r="F188" s="3">
        <f t="shared" si="124"/>
        <v>4.954350168244695E-2</v>
      </c>
      <c r="G188" s="3">
        <f t="shared" si="124"/>
        <v>4.954350168244695E-2</v>
      </c>
      <c r="H188" s="3">
        <f t="shared" si="124"/>
        <v>4.954350168244695E-2</v>
      </c>
      <c r="I188" s="3">
        <f t="shared" si="124"/>
        <v>4.954350168244695E-2</v>
      </c>
      <c r="J188" s="3">
        <f t="shared" si="124"/>
        <v>4.954350168244695E-2</v>
      </c>
      <c r="K188" s="3">
        <f t="shared" si="124"/>
        <v>4.954350168244695E-2</v>
      </c>
      <c r="L188" s="3">
        <f t="shared" si="124"/>
        <v>4.954350168244695E-2</v>
      </c>
      <c r="M188" s="3">
        <f t="shared" si="124"/>
        <v>4.954350168244695E-2</v>
      </c>
      <c r="N188" s="3">
        <f t="shared" si="124"/>
        <v>4.954350168244695E-2</v>
      </c>
      <c r="O188" s="3">
        <f t="shared" si="124"/>
        <v>4.954350168244695E-2</v>
      </c>
      <c r="P188" s="3">
        <f t="shared" si="124"/>
        <v>4.954350168244695E-2</v>
      </c>
      <c r="Q188" s="3">
        <f t="shared" si="124"/>
        <v>4.954350168244695E-2</v>
      </c>
      <c r="R188" s="3">
        <f t="shared" si="124"/>
        <v>4.954350168244695E-2</v>
      </c>
      <c r="S188" s="3">
        <f t="shared" si="124"/>
        <v>4.9543501682446936E-2</v>
      </c>
      <c r="T188" s="3">
        <f t="shared" si="124"/>
        <v>4.9543501682446769E-2</v>
      </c>
      <c r="U188" s="3">
        <f t="shared" si="124"/>
        <v>4.9543501682445118E-2</v>
      </c>
      <c r="V188" s="3">
        <f t="shared" si="124"/>
        <v>4.9543501682428631E-2</v>
      </c>
      <c r="W188" s="3">
        <f t="shared" si="124"/>
        <v>4.9543501682263791E-2</v>
      </c>
      <c r="X188" s="3">
        <f t="shared" si="124"/>
        <v>4.9543501680615352E-2</v>
      </c>
      <c r="Y188" s="3">
        <f t="shared" si="124"/>
        <v>4.9543501664130921E-2</v>
      </c>
      <c r="Z188" s="3">
        <f t="shared" si="124"/>
        <v>4.9543501499286699E-2</v>
      </c>
      <c r="AA188" s="3">
        <f t="shared" si="124"/>
        <v>4.9543499850844427E-2</v>
      </c>
      <c r="AB188" s="3">
        <f t="shared" si="124"/>
        <v>4.9543483366424786E-2</v>
      </c>
      <c r="AC188" s="3">
        <f t="shared" si="124"/>
        <v>4.9543318522529987E-2</v>
      </c>
      <c r="AD188" s="3">
        <f t="shared" si="124"/>
        <v>4.9541670113748007E-2</v>
      </c>
      <c r="AE188" s="3">
        <f t="shared" si="124"/>
        <v>4.9525189042155637E-2</v>
      </c>
      <c r="AF188" s="3">
        <f t="shared" si="124"/>
        <v>4.9360679577982305E-2</v>
      </c>
      <c r="AG188" s="3"/>
      <c r="AH188" s="3"/>
    </row>
    <row r="189" spans="2:34" x14ac:dyDescent="0.25">
      <c r="B189" s="3">
        <f t="shared" ref="B189:AF189" si="125">$C36*EXP(-B$168/$A36/EXP(-$C$126))</f>
        <v>3.0281570029291476E-2</v>
      </c>
      <c r="C189" s="3">
        <f t="shared" si="125"/>
        <v>3.0281570029291476E-2</v>
      </c>
      <c r="D189" s="3">
        <f t="shared" si="125"/>
        <v>3.0281570029291476E-2</v>
      </c>
      <c r="E189" s="3">
        <f t="shared" si="125"/>
        <v>3.0281570029291476E-2</v>
      </c>
      <c r="F189" s="3">
        <f t="shared" si="125"/>
        <v>3.0281570029291476E-2</v>
      </c>
      <c r="G189" s="3">
        <f t="shared" si="125"/>
        <v>3.0281570029291476E-2</v>
      </c>
      <c r="H189" s="3">
        <f t="shared" si="125"/>
        <v>3.0281570029291476E-2</v>
      </c>
      <c r="I189" s="3">
        <f t="shared" si="125"/>
        <v>3.0281570029291476E-2</v>
      </c>
      <c r="J189" s="3">
        <f t="shared" si="125"/>
        <v>3.0281570029291476E-2</v>
      </c>
      <c r="K189" s="3">
        <f t="shared" si="125"/>
        <v>3.0281570029291476E-2</v>
      </c>
      <c r="L189" s="3">
        <f t="shared" si="125"/>
        <v>3.0281570029291476E-2</v>
      </c>
      <c r="M189" s="3">
        <f t="shared" si="125"/>
        <v>3.0281570029291476E-2</v>
      </c>
      <c r="N189" s="3">
        <f t="shared" si="125"/>
        <v>3.0281570029291476E-2</v>
      </c>
      <c r="O189" s="3">
        <f t="shared" si="125"/>
        <v>3.0281570029291476E-2</v>
      </c>
      <c r="P189" s="3">
        <f t="shared" si="125"/>
        <v>3.0281570029291476E-2</v>
      </c>
      <c r="Q189" s="3">
        <f t="shared" si="125"/>
        <v>3.0281570029291476E-2</v>
      </c>
      <c r="R189" s="3">
        <f t="shared" si="125"/>
        <v>3.0281570029291476E-2</v>
      </c>
      <c r="S189" s="3">
        <f t="shared" si="125"/>
        <v>3.0281570029291476E-2</v>
      </c>
      <c r="T189" s="3">
        <f t="shared" si="125"/>
        <v>3.0281570029291466E-2</v>
      </c>
      <c r="U189" s="3">
        <f t="shared" si="125"/>
        <v>3.0281570029291376E-2</v>
      </c>
      <c r="V189" s="3">
        <f t="shared" si="125"/>
        <v>3.0281570029290467E-2</v>
      </c>
      <c r="W189" s="3">
        <f t="shared" si="125"/>
        <v>3.0281570029281377E-2</v>
      </c>
      <c r="X189" s="3">
        <f t="shared" si="125"/>
        <v>3.0281570029190488E-2</v>
      </c>
      <c r="Y189" s="3">
        <f t="shared" si="125"/>
        <v>3.0281570028281597E-2</v>
      </c>
      <c r="Z189" s="3">
        <f t="shared" si="125"/>
        <v>3.0281570019192683E-2</v>
      </c>
      <c r="AA189" s="3">
        <f t="shared" si="125"/>
        <v>3.0281569928303536E-2</v>
      </c>
      <c r="AB189" s="3">
        <f t="shared" si="125"/>
        <v>3.0281569019412074E-2</v>
      </c>
      <c r="AC189" s="3">
        <f t="shared" si="125"/>
        <v>3.0281559930498973E-2</v>
      </c>
      <c r="AD189" s="3">
        <f t="shared" si="125"/>
        <v>3.0281469041517989E-2</v>
      </c>
      <c r="AE189" s="3">
        <f t="shared" si="125"/>
        <v>3.028056016671201E-2</v>
      </c>
      <c r="AF189" s="3">
        <f t="shared" si="125"/>
        <v>3.0271472918871636E-2</v>
      </c>
      <c r="AG189" s="3"/>
      <c r="AH189" s="3"/>
    </row>
    <row r="190" spans="2:34" x14ac:dyDescent="0.25">
      <c r="B190" s="3">
        <f t="shared" ref="B190:AF190" si="126">$C37*EXP(-B$168/$A37/EXP(-$C$126))</f>
        <v>1.5838845962715554E-2</v>
      </c>
      <c r="C190" s="3">
        <f t="shared" si="126"/>
        <v>1.5838845962715554E-2</v>
      </c>
      <c r="D190" s="3">
        <f t="shared" si="126"/>
        <v>1.5838845962715554E-2</v>
      </c>
      <c r="E190" s="3">
        <f t="shared" si="126"/>
        <v>1.5838845962715554E-2</v>
      </c>
      <c r="F190" s="3">
        <f t="shared" si="126"/>
        <v>1.5838845962715554E-2</v>
      </c>
      <c r="G190" s="3">
        <f t="shared" si="126"/>
        <v>1.5838845962715554E-2</v>
      </c>
      <c r="H190" s="3">
        <f t="shared" si="126"/>
        <v>1.5838845962715554E-2</v>
      </c>
      <c r="I190" s="3">
        <f t="shared" si="126"/>
        <v>1.5838845962715554E-2</v>
      </c>
      <c r="J190" s="3">
        <f t="shared" si="126"/>
        <v>1.5838845962715554E-2</v>
      </c>
      <c r="K190" s="3">
        <f t="shared" si="126"/>
        <v>1.5838845962715554E-2</v>
      </c>
      <c r="L190" s="3">
        <f t="shared" si="126"/>
        <v>1.5838845962715554E-2</v>
      </c>
      <c r="M190" s="3">
        <f t="shared" si="126"/>
        <v>1.5838845962715554E-2</v>
      </c>
      <c r="N190" s="3">
        <f t="shared" si="126"/>
        <v>1.5838845962715554E-2</v>
      </c>
      <c r="O190" s="3">
        <f t="shared" si="126"/>
        <v>1.5838845962715554E-2</v>
      </c>
      <c r="P190" s="3">
        <f t="shared" si="126"/>
        <v>1.5838845962715554E-2</v>
      </c>
      <c r="Q190" s="3">
        <f t="shared" si="126"/>
        <v>1.5838845962715554E-2</v>
      </c>
      <c r="R190" s="3">
        <f t="shared" si="126"/>
        <v>1.5838845962715554E-2</v>
      </c>
      <c r="S190" s="3">
        <f t="shared" si="126"/>
        <v>1.5838845962715554E-2</v>
      </c>
      <c r="T190" s="3">
        <f t="shared" si="126"/>
        <v>1.5838845962715554E-2</v>
      </c>
      <c r="U190" s="3">
        <f t="shared" si="126"/>
        <v>1.5838845962715547E-2</v>
      </c>
      <c r="V190" s="3">
        <f t="shared" si="126"/>
        <v>1.5838845962715505E-2</v>
      </c>
      <c r="W190" s="3">
        <f t="shared" si="126"/>
        <v>1.5838845962715078E-2</v>
      </c>
      <c r="X190" s="3">
        <f t="shared" si="126"/>
        <v>1.5838845962710787E-2</v>
      </c>
      <c r="Y190" s="3">
        <f t="shared" si="126"/>
        <v>1.5838845962667904E-2</v>
      </c>
      <c r="Z190" s="3">
        <f t="shared" si="126"/>
        <v>1.5838845962239056E-2</v>
      </c>
      <c r="AA190" s="3">
        <f t="shared" si="126"/>
        <v>1.5838845957950574E-2</v>
      </c>
      <c r="AB190" s="3">
        <f t="shared" si="126"/>
        <v>1.5838845915065736E-2</v>
      </c>
      <c r="AC190" s="3">
        <f t="shared" si="126"/>
        <v>1.5838845486217366E-2</v>
      </c>
      <c r="AD190" s="3">
        <f t="shared" si="126"/>
        <v>1.5838841197734332E-2</v>
      </c>
      <c r="AE190" s="3">
        <f t="shared" si="126"/>
        <v>1.5838798312967823E-2</v>
      </c>
      <c r="AF190" s="3">
        <f t="shared" si="126"/>
        <v>1.5838369471688946E-2</v>
      </c>
      <c r="AG190" s="3"/>
      <c r="AH190" s="3"/>
    </row>
    <row r="191" spans="2:34" x14ac:dyDescent="0.25">
      <c r="B191" s="3">
        <f t="shared" ref="B191:AF191" si="127">$C38*EXP(-B$168/$A38/EXP(-$C$126))</f>
        <v>5.1881409706128322E-3</v>
      </c>
      <c r="C191" s="3">
        <f t="shared" si="127"/>
        <v>5.1881409706128322E-3</v>
      </c>
      <c r="D191" s="3">
        <f t="shared" si="127"/>
        <v>5.1881409706128322E-3</v>
      </c>
      <c r="E191" s="3">
        <f t="shared" si="127"/>
        <v>5.1881409706128322E-3</v>
      </c>
      <c r="F191" s="3">
        <f t="shared" si="127"/>
        <v>5.1881409706128322E-3</v>
      </c>
      <c r="G191" s="3">
        <f t="shared" si="127"/>
        <v>5.1881409706128322E-3</v>
      </c>
      <c r="H191" s="3">
        <f t="shared" si="127"/>
        <v>5.1881409706128322E-3</v>
      </c>
      <c r="I191" s="3">
        <f t="shared" si="127"/>
        <v>5.1881409706128322E-3</v>
      </c>
      <c r="J191" s="3">
        <f t="shared" si="127"/>
        <v>5.1881409706128322E-3</v>
      </c>
      <c r="K191" s="3">
        <f t="shared" si="127"/>
        <v>5.1881409706128322E-3</v>
      </c>
      <c r="L191" s="3">
        <f t="shared" si="127"/>
        <v>5.1881409706128322E-3</v>
      </c>
      <c r="M191" s="3">
        <f t="shared" si="127"/>
        <v>5.1881409706128322E-3</v>
      </c>
      <c r="N191" s="3">
        <f t="shared" si="127"/>
        <v>5.1881409706128322E-3</v>
      </c>
      <c r="O191" s="3">
        <f t="shared" si="127"/>
        <v>5.1881409706128322E-3</v>
      </c>
      <c r="P191" s="3">
        <f t="shared" si="127"/>
        <v>5.1881409706128322E-3</v>
      </c>
      <c r="Q191" s="3">
        <f t="shared" si="127"/>
        <v>5.1881409706128322E-3</v>
      </c>
      <c r="R191" s="3">
        <f t="shared" si="127"/>
        <v>5.1881409706128322E-3</v>
      </c>
      <c r="S191" s="3">
        <f t="shared" si="127"/>
        <v>5.1881409706128322E-3</v>
      </c>
      <c r="T191" s="3">
        <f t="shared" si="127"/>
        <v>5.1881409706128322E-3</v>
      </c>
      <c r="U191" s="3">
        <f t="shared" si="127"/>
        <v>5.1881409706128322E-3</v>
      </c>
      <c r="V191" s="3">
        <f t="shared" si="127"/>
        <v>5.1881409706128314E-3</v>
      </c>
      <c r="W191" s="3">
        <f t="shared" si="127"/>
        <v>5.1881409706128184E-3</v>
      </c>
      <c r="X191" s="3">
        <f t="shared" si="127"/>
        <v>5.1881409706126917E-3</v>
      </c>
      <c r="Y191" s="3">
        <f t="shared" si="127"/>
        <v>5.1881409706114245E-3</v>
      </c>
      <c r="Z191" s="3">
        <f t="shared" si="127"/>
        <v>5.1881409705987524E-3</v>
      </c>
      <c r="AA191" s="3">
        <f t="shared" si="127"/>
        <v>5.1881409704720343E-3</v>
      </c>
      <c r="AB191" s="3">
        <f t="shared" si="127"/>
        <v>5.1881409692048535E-3</v>
      </c>
      <c r="AC191" s="3">
        <f t="shared" si="127"/>
        <v>5.1881409565330454E-3</v>
      </c>
      <c r="AD191" s="3">
        <f t="shared" si="127"/>
        <v>5.1881408298149649E-3</v>
      </c>
      <c r="AE191" s="3">
        <f t="shared" si="127"/>
        <v>5.1881395626343302E-3</v>
      </c>
      <c r="AF191" s="3">
        <f t="shared" si="127"/>
        <v>5.1881268908450023E-3</v>
      </c>
      <c r="AG191" s="3"/>
      <c r="AH191" s="3"/>
    </row>
    <row r="192" spans="2:34" x14ac:dyDescent="0.25">
      <c r="B192" s="3">
        <f t="shared" ref="B192:AF192" si="128">$C39*EXP(-B$168/$A39/EXP(-$C$126))</f>
        <v>3.8617191328215671E-3</v>
      </c>
      <c r="C192" s="3">
        <f t="shared" si="128"/>
        <v>3.8617191328215671E-3</v>
      </c>
      <c r="D192" s="3">
        <f t="shared" si="128"/>
        <v>3.8617191328215671E-3</v>
      </c>
      <c r="E192" s="3">
        <f t="shared" si="128"/>
        <v>3.8617191328215671E-3</v>
      </c>
      <c r="F192" s="3">
        <f t="shared" si="128"/>
        <v>3.8617191328215671E-3</v>
      </c>
      <c r="G192" s="3">
        <f t="shared" si="128"/>
        <v>3.8617191328215671E-3</v>
      </c>
      <c r="H192" s="3">
        <f t="shared" si="128"/>
        <v>3.8617191328215671E-3</v>
      </c>
      <c r="I192" s="3">
        <f t="shared" si="128"/>
        <v>3.8617191328215671E-3</v>
      </c>
      <c r="J192" s="3">
        <f t="shared" si="128"/>
        <v>3.8617191328215671E-3</v>
      </c>
      <c r="K192" s="3">
        <f t="shared" si="128"/>
        <v>3.8617191328215671E-3</v>
      </c>
      <c r="L192" s="3">
        <f t="shared" si="128"/>
        <v>3.8617191328215671E-3</v>
      </c>
      <c r="M192" s="3">
        <f t="shared" si="128"/>
        <v>3.8617191328215671E-3</v>
      </c>
      <c r="N192" s="3">
        <f t="shared" si="128"/>
        <v>3.8617191328215671E-3</v>
      </c>
      <c r="O192" s="3">
        <f t="shared" si="128"/>
        <v>3.8617191328215671E-3</v>
      </c>
      <c r="P192" s="3">
        <f t="shared" si="128"/>
        <v>3.8617191328215671E-3</v>
      </c>
      <c r="Q192" s="3">
        <f t="shared" si="128"/>
        <v>3.8617191328215671E-3</v>
      </c>
      <c r="R192" s="3">
        <f t="shared" si="128"/>
        <v>3.8617191328215671E-3</v>
      </c>
      <c r="S192" s="3">
        <f t="shared" si="128"/>
        <v>3.8617191328215671E-3</v>
      </c>
      <c r="T192" s="3">
        <f t="shared" si="128"/>
        <v>3.8617191328215671E-3</v>
      </c>
      <c r="U192" s="3">
        <f t="shared" si="128"/>
        <v>3.8617191328215671E-3</v>
      </c>
      <c r="V192" s="3">
        <f t="shared" si="128"/>
        <v>3.8617191328215667E-3</v>
      </c>
      <c r="W192" s="3">
        <f t="shared" si="128"/>
        <v>3.8617191328215641E-3</v>
      </c>
      <c r="X192" s="3">
        <f t="shared" si="128"/>
        <v>3.8617191328215381E-3</v>
      </c>
      <c r="Y192" s="3">
        <f t="shared" si="128"/>
        <v>3.8617191328212774E-3</v>
      </c>
      <c r="Z192" s="3">
        <f t="shared" si="128"/>
        <v>3.8617191328186684E-3</v>
      </c>
      <c r="AA192" s="3">
        <f t="shared" si="128"/>
        <v>3.8617191327925821E-3</v>
      </c>
      <c r="AB192" s="3">
        <f t="shared" si="128"/>
        <v>3.8617191325317139E-3</v>
      </c>
      <c r="AC192" s="3">
        <f t="shared" si="128"/>
        <v>3.8617191299230363E-3</v>
      </c>
      <c r="AD192" s="3">
        <f t="shared" si="128"/>
        <v>3.8617191038362634E-3</v>
      </c>
      <c r="AE192" s="3">
        <f t="shared" si="128"/>
        <v>3.8617188429685375E-3</v>
      </c>
      <c r="AF192" s="3">
        <f t="shared" si="128"/>
        <v>3.8617162342922499E-3</v>
      </c>
      <c r="AG192" s="3"/>
      <c r="AH192" s="3"/>
    </row>
    <row r="193" spans="1:34" x14ac:dyDescent="0.25">
      <c r="B193" s="3">
        <f t="shared" ref="B193:AF193" si="129">$C40*EXP(-B$168/$A40/EXP(-$C$126))</f>
        <v>3.0600017424879029E-3</v>
      </c>
      <c r="C193" s="3">
        <f t="shared" si="129"/>
        <v>3.0600017424879029E-3</v>
      </c>
      <c r="D193" s="3">
        <f t="shared" si="129"/>
        <v>3.0600017424879029E-3</v>
      </c>
      <c r="E193" s="3">
        <f t="shared" si="129"/>
        <v>3.0600017424879029E-3</v>
      </c>
      <c r="F193" s="3">
        <f t="shared" si="129"/>
        <v>3.0600017424879029E-3</v>
      </c>
      <c r="G193" s="3">
        <f t="shared" si="129"/>
        <v>3.0600017424879029E-3</v>
      </c>
      <c r="H193" s="3">
        <f t="shared" si="129"/>
        <v>3.0600017424879029E-3</v>
      </c>
      <c r="I193" s="3">
        <f t="shared" si="129"/>
        <v>3.0600017424879029E-3</v>
      </c>
      <c r="J193" s="3">
        <f t="shared" si="129"/>
        <v>3.0600017424879029E-3</v>
      </c>
      <c r="K193" s="3">
        <f t="shared" si="129"/>
        <v>3.0600017424879029E-3</v>
      </c>
      <c r="L193" s="3">
        <f t="shared" si="129"/>
        <v>3.0600017424879029E-3</v>
      </c>
      <c r="M193" s="3">
        <f t="shared" si="129"/>
        <v>3.0600017424879029E-3</v>
      </c>
      <c r="N193" s="3">
        <f t="shared" si="129"/>
        <v>3.0600017424879029E-3</v>
      </c>
      <c r="O193" s="3">
        <f t="shared" si="129"/>
        <v>3.0600017424879029E-3</v>
      </c>
      <c r="P193" s="3">
        <f t="shared" si="129"/>
        <v>3.0600017424879029E-3</v>
      </c>
      <c r="Q193" s="3">
        <f t="shared" si="129"/>
        <v>3.0600017424879029E-3</v>
      </c>
      <c r="R193" s="3">
        <f t="shared" si="129"/>
        <v>3.0600017424879029E-3</v>
      </c>
      <c r="S193" s="3">
        <f t="shared" si="129"/>
        <v>3.0600017424879029E-3</v>
      </c>
      <c r="T193" s="3">
        <f t="shared" si="129"/>
        <v>3.0600017424879029E-3</v>
      </c>
      <c r="U193" s="3">
        <f t="shared" si="129"/>
        <v>3.0600017424879029E-3</v>
      </c>
      <c r="V193" s="3">
        <f t="shared" si="129"/>
        <v>3.0600017424879029E-3</v>
      </c>
      <c r="W193" s="3">
        <f t="shared" si="129"/>
        <v>3.0600017424879025E-3</v>
      </c>
      <c r="X193" s="3">
        <f t="shared" si="129"/>
        <v>3.0600017424879007E-3</v>
      </c>
      <c r="Y193" s="3">
        <f t="shared" si="129"/>
        <v>3.0600017424878799E-3</v>
      </c>
      <c r="Z193" s="3">
        <f t="shared" si="129"/>
        <v>3.060001742487673E-3</v>
      </c>
      <c r="AA193" s="3">
        <f t="shared" si="129"/>
        <v>3.0600017424856061E-3</v>
      </c>
      <c r="AB193" s="3">
        <f t="shared" si="129"/>
        <v>3.0600017424649351E-3</v>
      </c>
      <c r="AC193" s="3">
        <f t="shared" si="129"/>
        <v>3.0600017422582251E-3</v>
      </c>
      <c r="AD193" s="3">
        <f t="shared" si="129"/>
        <v>3.0600017401911255E-3</v>
      </c>
      <c r="AE193" s="3">
        <f t="shared" si="129"/>
        <v>3.060001719520132E-3</v>
      </c>
      <c r="AF193" s="3">
        <f t="shared" si="129"/>
        <v>3.0600015128102011E-3</v>
      </c>
      <c r="AG193" s="3"/>
      <c r="AH193" s="3"/>
    </row>
    <row r="194" spans="1:34" x14ac:dyDescent="0.25">
      <c r="B194" s="3">
        <f t="shared" ref="B194:AF194" si="130">$C41*EXP(-B$168/$A41/EXP(-$C$126))</f>
        <v>1.8593150246318942E-3</v>
      </c>
      <c r="C194" s="3">
        <f t="shared" si="130"/>
        <v>1.8593150246318942E-3</v>
      </c>
      <c r="D194" s="3">
        <f t="shared" si="130"/>
        <v>1.8593150246318942E-3</v>
      </c>
      <c r="E194" s="3">
        <f t="shared" si="130"/>
        <v>1.8593150246318942E-3</v>
      </c>
      <c r="F194" s="3">
        <f t="shared" si="130"/>
        <v>1.8593150246318942E-3</v>
      </c>
      <c r="G194" s="3">
        <f t="shared" si="130"/>
        <v>1.8593150246318942E-3</v>
      </c>
      <c r="H194" s="3">
        <f t="shared" si="130"/>
        <v>1.8593150246318942E-3</v>
      </c>
      <c r="I194" s="3">
        <f t="shared" si="130"/>
        <v>1.8593150246318942E-3</v>
      </c>
      <c r="J194" s="3">
        <f t="shared" si="130"/>
        <v>1.8593150246318942E-3</v>
      </c>
      <c r="K194" s="3">
        <f t="shared" si="130"/>
        <v>1.8593150246318942E-3</v>
      </c>
      <c r="L194" s="3">
        <f t="shared" si="130"/>
        <v>1.8593150246318942E-3</v>
      </c>
      <c r="M194" s="3">
        <f t="shared" si="130"/>
        <v>1.8593150246318942E-3</v>
      </c>
      <c r="N194" s="3">
        <f t="shared" si="130"/>
        <v>1.8593150246318942E-3</v>
      </c>
      <c r="O194" s="3">
        <f t="shared" si="130"/>
        <v>1.8593150246318942E-3</v>
      </c>
      <c r="P194" s="3">
        <f t="shared" si="130"/>
        <v>1.8593150246318942E-3</v>
      </c>
      <c r="Q194" s="3">
        <f t="shared" si="130"/>
        <v>1.8593150246318942E-3</v>
      </c>
      <c r="R194" s="3">
        <f t="shared" si="130"/>
        <v>1.8593150246318942E-3</v>
      </c>
      <c r="S194" s="3">
        <f t="shared" si="130"/>
        <v>1.8593150246318942E-3</v>
      </c>
      <c r="T194" s="3">
        <f t="shared" si="130"/>
        <v>1.8593150246318942E-3</v>
      </c>
      <c r="U194" s="3">
        <f t="shared" si="130"/>
        <v>1.8593150246318942E-3</v>
      </c>
      <c r="V194" s="3">
        <f t="shared" si="130"/>
        <v>1.8593150246318942E-3</v>
      </c>
      <c r="W194" s="3">
        <f t="shared" si="130"/>
        <v>1.8593150246318942E-3</v>
      </c>
      <c r="X194" s="3">
        <f t="shared" si="130"/>
        <v>1.859315024631894E-3</v>
      </c>
      <c r="Y194" s="3">
        <f t="shared" si="130"/>
        <v>1.8593150246318927E-3</v>
      </c>
      <c r="Z194" s="3">
        <f t="shared" si="130"/>
        <v>1.8593150246318801E-3</v>
      </c>
      <c r="AA194" s="3">
        <f t="shared" si="130"/>
        <v>1.8593150246317546E-3</v>
      </c>
      <c r="AB194" s="3">
        <f t="shared" si="130"/>
        <v>1.8593150246304987E-3</v>
      </c>
      <c r="AC194" s="3">
        <f t="shared" si="130"/>
        <v>1.8593150246179386E-3</v>
      </c>
      <c r="AD194" s="3">
        <f t="shared" si="130"/>
        <v>1.8593150244923377E-3</v>
      </c>
      <c r="AE194" s="3">
        <f t="shared" si="130"/>
        <v>1.8593150232363289E-3</v>
      </c>
      <c r="AF194" s="3">
        <f t="shared" si="130"/>
        <v>1.8593150106762416E-3</v>
      </c>
      <c r="AG194" s="3"/>
      <c r="AH194" s="3"/>
    </row>
    <row r="195" spans="1:34" x14ac:dyDescent="0.25">
      <c r="B195" s="3">
        <f t="shared" ref="B195:AF195" si="131">$C42*EXP(-B$168/$A42/EXP(-$C$126))</f>
        <v>1.0289911498978865E-4</v>
      </c>
      <c r="C195" s="3">
        <f t="shared" si="131"/>
        <v>1.0289911498978865E-4</v>
      </c>
      <c r="D195" s="3">
        <f t="shared" si="131"/>
        <v>1.0289911498978865E-4</v>
      </c>
      <c r="E195" s="3">
        <f t="shared" si="131"/>
        <v>1.0289911498978865E-4</v>
      </c>
      <c r="F195" s="3">
        <f t="shared" si="131"/>
        <v>1.0289911498978865E-4</v>
      </c>
      <c r="G195" s="3">
        <f t="shared" si="131"/>
        <v>1.0289911498978865E-4</v>
      </c>
      <c r="H195" s="3">
        <f t="shared" si="131"/>
        <v>1.0289911498978865E-4</v>
      </c>
      <c r="I195" s="3">
        <f t="shared" si="131"/>
        <v>1.0289911498978865E-4</v>
      </c>
      <c r="J195" s="3">
        <f t="shared" si="131"/>
        <v>1.0289911498978865E-4</v>
      </c>
      <c r="K195" s="3">
        <f t="shared" si="131"/>
        <v>1.0289911498978865E-4</v>
      </c>
      <c r="L195" s="3">
        <f t="shared" si="131"/>
        <v>1.0289911498978865E-4</v>
      </c>
      <c r="M195" s="3">
        <f t="shared" si="131"/>
        <v>1.0289911498978865E-4</v>
      </c>
      <c r="N195" s="3">
        <f t="shared" si="131"/>
        <v>1.0289911498978865E-4</v>
      </c>
      <c r="O195" s="3">
        <f t="shared" si="131"/>
        <v>1.0289911498978865E-4</v>
      </c>
      <c r="P195" s="3">
        <f t="shared" si="131"/>
        <v>1.0289911498978865E-4</v>
      </c>
      <c r="Q195" s="3">
        <f t="shared" si="131"/>
        <v>1.0289911498978865E-4</v>
      </c>
      <c r="R195" s="3">
        <f t="shared" si="131"/>
        <v>1.0289911498978865E-4</v>
      </c>
      <c r="S195" s="3">
        <f t="shared" si="131"/>
        <v>1.0289911498978865E-4</v>
      </c>
      <c r="T195" s="3">
        <f t="shared" si="131"/>
        <v>1.0289911498978865E-4</v>
      </c>
      <c r="U195" s="3">
        <f t="shared" si="131"/>
        <v>1.0289911498978865E-4</v>
      </c>
      <c r="V195" s="3">
        <f t="shared" si="131"/>
        <v>1.0289911498978865E-4</v>
      </c>
      <c r="W195" s="3">
        <f t="shared" si="131"/>
        <v>1.0289911498978865E-4</v>
      </c>
      <c r="X195" s="3">
        <f t="shared" si="131"/>
        <v>1.0289911498978865E-4</v>
      </c>
      <c r="Y195" s="3">
        <f t="shared" si="131"/>
        <v>1.0289911498978864E-4</v>
      </c>
      <c r="Z195" s="3">
        <f t="shared" si="131"/>
        <v>1.0289911498978857E-4</v>
      </c>
      <c r="AA195" s="3">
        <f t="shared" si="131"/>
        <v>1.0289911498978788E-4</v>
      </c>
      <c r="AB195" s="3">
        <f t="shared" si="131"/>
        <v>1.0289911498978093E-4</v>
      </c>
      <c r="AC195" s="3">
        <f t="shared" si="131"/>
        <v>1.0289911498971142E-4</v>
      </c>
      <c r="AD195" s="3">
        <f t="shared" si="131"/>
        <v>1.0289911498901632E-4</v>
      </c>
      <c r="AE195" s="3">
        <f t="shared" si="131"/>
        <v>1.0289911498206524E-4</v>
      </c>
      <c r="AF195" s="3">
        <f t="shared" si="131"/>
        <v>1.028991149125546E-4</v>
      </c>
      <c r="AG195" s="3"/>
      <c r="AH195" s="3"/>
    </row>
    <row r="196" spans="1:34" x14ac:dyDescent="0.25">
      <c r="B196" s="3">
        <f t="shared" ref="B196:AF196" si="132">$C43*EXP(-B$168/$A43/EXP(-$C$126))</f>
        <v>3.4301074619822757E-3</v>
      </c>
      <c r="C196" s="3">
        <f t="shared" si="132"/>
        <v>3.4301074619822757E-3</v>
      </c>
      <c r="D196" s="3">
        <f t="shared" si="132"/>
        <v>3.4301074619822757E-3</v>
      </c>
      <c r="E196" s="3">
        <f t="shared" si="132"/>
        <v>3.4301074619822757E-3</v>
      </c>
      <c r="F196" s="3">
        <f t="shared" si="132"/>
        <v>3.4301074619822757E-3</v>
      </c>
      <c r="G196" s="3">
        <f t="shared" si="132"/>
        <v>3.4301074619822757E-3</v>
      </c>
      <c r="H196" s="3">
        <f t="shared" si="132"/>
        <v>3.4301074619822757E-3</v>
      </c>
      <c r="I196" s="3">
        <f t="shared" si="132"/>
        <v>3.4301074619822757E-3</v>
      </c>
      <c r="J196" s="3">
        <f t="shared" si="132"/>
        <v>3.4301074619822757E-3</v>
      </c>
      <c r="K196" s="3">
        <f t="shared" si="132"/>
        <v>3.4301074619822757E-3</v>
      </c>
      <c r="L196" s="3">
        <f t="shared" si="132"/>
        <v>3.4301074619822757E-3</v>
      </c>
      <c r="M196" s="3">
        <f t="shared" si="132"/>
        <v>3.4301074619822757E-3</v>
      </c>
      <c r="N196" s="3">
        <f t="shared" si="132"/>
        <v>3.4301074619822757E-3</v>
      </c>
      <c r="O196" s="3">
        <f t="shared" si="132"/>
        <v>3.4301074619822757E-3</v>
      </c>
      <c r="P196" s="3">
        <f t="shared" si="132"/>
        <v>3.4301074619822757E-3</v>
      </c>
      <c r="Q196" s="3">
        <f t="shared" si="132"/>
        <v>3.4301074619822757E-3</v>
      </c>
      <c r="R196" s="3">
        <f t="shared" si="132"/>
        <v>3.4301074619822757E-3</v>
      </c>
      <c r="S196" s="3">
        <f t="shared" si="132"/>
        <v>3.4301074619822757E-3</v>
      </c>
      <c r="T196" s="3">
        <f t="shared" si="132"/>
        <v>3.4301074619822757E-3</v>
      </c>
      <c r="U196" s="3">
        <f t="shared" si="132"/>
        <v>3.4301074619822757E-3</v>
      </c>
      <c r="V196" s="3">
        <f t="shared" si="132"/>
        <v>3.4301074619822757E-3</v>
      </c>
      <c r="W196" s="3">
        <f t="shared" si="132"/>
        <v>3.4301074619822757E-3</v>
      </c>
      <c r="X196" s="3">
        <f t="shared" si="132"/>
        <v>3.4301074619822757E-3</v>
      </c>
      <c r="Y196" s="3">
        <f t="shared" si="132"/>
        <v>3.4301074619822757E-3</v>
      </c>
      <c r="Z196" s="3">
        <f t="shared" si="132"/>
        <v>3.4301074619822753E-3</v>
      </c>
      <c r="AA196" s="3">
        <f t="shared" si="132"/>
        <v>3.4301074619822731E-3</v>
      </c>
      <c r="AB196" s="3">
        <f t="shared" si="132"/>
        <v>3.4301074619822497E-3</v>
      </c>
      <c r="AC196" s="3">
        <f t="shared" si="132"/>
        <v>3.4301074619820181E-3</v>
      </c>
      <c r="AD196" s="3">
        <f t="shared" si="132"/>
        <v>3.430107461979701E-3</v>
      </c>
      <c r="AE196" s="3">
        <f t="shared" si="132"/>
        <v>3.4301074619565303E-3</v>
      </c>
      <c r="AF196" s="3">
        <f t="shared" si="132"/>
        <v>3.4301074617248185E-3</v>
      </c>
      <c r="AG196" s="3"/>
      <c r="AH196" s="3"/>
    </row>
    <row r="197" spans="1:34" x14ac:dyDescent="0.25">
      <c r="B197" s="3">
        <f t="shared" ref="B197:AF197" si="133">$C44*EXP(-B$168/$A44/EXP(-$C$126))</f>
        <v>1.0099566360327609E-4</v>
      </c>
      <c r="C197" s="3">
        <f t="shared" si="133"/>
        <v>1.0099566360327609E-4</v>
      </c>
      <c r="D197" s="3">
        <f t="shared" si="133"/>
        <v>1.0099566360327609E-4</v>
      </c>
      <c r="E197" s="3">
        <f t="shared" si="133"/>
        <v>1.0099566360327609E-4</v>
      </c>
      <c r="F197" s="3">
        <f t="shared" si="133"/>
        <v>1.0099566360327609E-4</v>
      </c>
      <c r="G197" s="3">
        <f t="shared" si="133"/>
        <v>1.0099566360327609E-4</v>
      </c>
      <c r="H197" s="3">
        <f t="shared" si="133"/>
        <v>1.0099566360327609E-4</v>
      </c>
      <c r="I197" s="3">
        <f t="shared" si="133"/>
        <v>1.0099566360327609E-4</v>
      </c>
      <c r="J197" s="3">
        <f t="shared" si="133"/>
        <v>1.0099566360327609E-4</v>
      </c>
      <c r="K197" s="3">
        <f t="shared" si="133"/>
        <v>1.0099566360327609E-4</v>
      </c>
      <c r="L197" s="3">
        <f t="shared" si="133"/>
        <v>1.0099566360327609E-4</v>
      </c>
      <c r="M197" s="3">
        <f t="shared" si="133"/>
        <v>1.0099566360327609E-4</v>
      </c>
      <c r="N197" s="3">
        <f t="shared" si="133"/>
        <v>1.0099566360327609E-4</v>
      </c>
      <c r="O197" s="3">
        <f t="shared" si="133"/>
        <v>1.0099566360327609E-4</v>
      </c>
      <c r="P197" s="3">
        <f t="shared" si="133"/>
        <v>1.0099566360327609E-4</v>
      </c>
      <c r="Q197" s="3">
        <f t="shared" si="133"/>
        <v>1.0099566360327609E-4</v>
      </c>
      <c r="R197" s="3">
        <f t="shared" si="133"/>
        <v>1.0099566360327609E-4</v>
      </c>
      <c r="S197" s="3">
        <f t="shared" si="133"/>
        <v>1.0099566360327609E-4</v>
      </c>
      <c r="T197" s="3">
        <f t="shared" si="133"/>
        <v>1.0099566360327609E-4</v>
      </c>
      <c r="U197" s="3">
        <f t="shared" si="133"/>
        <v>1.0099566360327609E-4</v>
      </c>
      <c r="V197" s="3">
        <f t="shared" si="133"/>
        <v>1.0099566360327609E-4</v>
      </c>
      <c r="W197" s="3">
        <f t="shared" si="133"/>
        <v>1.0099566360327609E-4</v>
      </c>
      <c r="X197" s="3">
        <f t="shared" si="133"/>
        <v>1.0099566360327609E-4</v>
      </c>
      <c r="Y197" s="3">
        <f t="shared" si="133"/>
        <v>1.0099566360327609E-4</v>
      </c>
      <c r="Z197" s="3">
        <f t="shared" si="133"/>
        <v>1.0099566360327609E-4</v>
      </c>
      <c r="AA197" s="3">
        <f t="shared" si="133"/>
        <v>1.0099566360327608E-4</v>
      </c>
      <c r="AB197" s="3">
        <f t="shared" si="133"/>
        <v>1.0099566360327601E-4</v>
      </c>
      <c r="AC197" s="3">
        <f t="shared" si="133"/>
        <v>1.0099566360327534E-4</v>
      </c>
      <c r="AD197" s="3">
        <f t="shared" si="133"/>
        <v>1.0099566360326852E-4</v>
      </c>
      <c r="AE197" s="3">
        <f t="shared" si="133"/>
        <v>1.0099566360320028E-4</v>
      </c>
      <c r="AF197" s="3">
        <f t="shared" si="133"/>
        <v>1.0099566360251805E-4</v>
      </c>
      <c r="AG197" s="3"/>
      <c r="AH197" s="3"/>
    </row>
    <row r="198" spans="1:34" x14ac:dyDescent="0.25">
      <c r="B198" s="3">
        <f t="shared" ref="B198:AF198" si="134">$C45*EXP(-B$168/$A45/EXP(-$C$126))</f>
        <v>2.8535751866135694E-4</v>
      </c>
      <c r="C198" s="3">
        <f t="shared" si="134"/>
        <v>2.8535751866135694E-4</v>
      </c>
      <c r="D198" s="3">
        <f t="shared" si="134"/>
        <v>2.8535751866135694E-4</v>
      </c>
      <c r="E198" s="3">
        <f t="shared" si="134"/>
        <v>2.8535751866135694E-4</v>
      </c>
      <c r="F198" s="3">
        <f t="shared" si="134"/>
        <v>2.8535751866135694E-4</v>
      </c>
      <c r="G198" s="3">
        <f t="shared" si="134"/>
        <v>2.8535751866135694E-4</v>
      </c>
      <c r="H198" s="3">
        <f t="shared" si="134"/>
        <v>2.8535751866135694E-4</v>
      </c>
      <c r="I198" s="3">
        <f t="shared" si="134"/>
        <v>2.8535751866135694E-4</v>
      </c>
      <c r="J198" s="3">
        <f t="shared" si="134"/>
        <v>2.8535751866135694E-4</v>
      </c>
      <c r="K198" s="3">
        <f t="shared" si="134"/>
        <v>2.8535751866135694E-4</v>
      </c>
      <c r="L198" s="3">
        <f t="shared" si="134"/>
        <v>2.8535751866135694E-4</v>
      </c>
      <c r="M198" s="3">
        <f t="shared" si="134"/>
        <v>2.8535751866135694E-4</v>
      </c>
      <c r="N198" s="3">
        <f t="shared" si="134"/>
        <v>2.8535751866135694E-4</v>
      </c>
      <c r="O198" s="3">
        <f t="shared" si="134"/>
        <v>2.8535751866135694E-4</v>
      </c>
      <c r="P198" s="3">
        <f t="shared" si="134"/>
        <v>2.8535751866135694E-4</v>
      </c>
      <c r="Q198" s="3">
        <f t="shared" si="134"/>
        <v>2.8535751866135694E-4</v>
      </c>
      <c r="R198" s="3">
        <f t="shared" si="134"/>
        <v>2.8535751866135694E-4</v>
      </c>
      <c r="S198" s="3">
        <f t="shared" si="134"/>
        <v>2.8535751866135694E-4</v>
      </c>
      <c r="T198" s="3">
        <f t="shared" si="134"/>
        <v>2.8535751866135694E-4</v>
      </c>
      <c r="U198" s="3">
        <f t="shared" si="134"/>
        <v>2.8535751866135694E-4</v>
      </c>
      <c r="V198" s="3">
        <f t="shared" si="134"/>
        <v>2.8535751866135694E-4</v>
      </c>
      <c r="W198" s="3">
        <f t="shared" si="134"/>
        <v>2.8535751866135694E-4</v>
      </c>
      <c r="X198" s="3">
        <f t="shared" si="134"/>
        <v>2.8535751866135694E-4</v>
      </c>
      <c r="Y198" s="3">
        <f t="shared" si="134"/>
        <v>2.8535751866135694E-4</v>
      </c>
      <c r="Z198" s="3">
        <f t="shared" si="134"/>
        <v>2.8535751866135694E-4</v>
      </c>
      <c r="AA198" s="3">
        <f t="shared" si="134"/>
        <v>2.8535751866135694E-4</v>
      </c>
      <c r="AB198" s="3">
        <f t="shared" si="134"/>
        <v>2.8535751866135689E-4</v>
      </c>
      <c r="AC198" s="3">
        <f t="shared" si="134"/>
        <v>2.8535751866135673E-4</v>
      </c>
      <c r="AD198" s="3">
        <f t="shared" si="134"/>
        <v>2.8535751866135478E-4</v>
      </c>
      <c r="AE198" s="3">
        <f t="shared" si="134"/>
        <v>2.8535751866133553E-4</v>
      </c>
      <c r="AF198" s="3">
        <f t="shared" si="134"/>
        <v>2.8535751866114276E-4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1.5499334140859142E-4</v>
      </c>
      <c r="C201" s="3">
        <f t="shared" si="137"/>
        <v>1.5499334140859142E-4</v>
      </c>
      <c r="D201" s="3">
        <f t="shared" si="137"/>
        <v>1.5499334140859142E-4</v>
      </c>
      <c r="E201" s="3">
        <f t="shared" si="137"/>
        <v>1.5499334140859142E-4</v>
      </c>
      <c r="F201" s="3">
        <f t="shared" si="137"/>
        <v>1.5499334140859142E-4</v>
      </c>
      <c r="G201" s="3">
        <f t="shared" si="137"/>
        <v>1.5499334140859142E-4</v>
      </c>
      <c r="H201" s="3">
        <f t="shared" si="137"/>
        <v>1.5499334140859142E-4</v>
      </c>
      <c r="I201" s="3">
        <f t="shared" si="137"/>
        <v>1.5499334140859142E-4</v>
      </c>
      <c r="J201" s="3">
        <f t="shared" si="137"/>
        <v>1.5499334140859142E-4</v>
      </c>
      <c r="K201" s="3">
        <f t="shared" si="137"/>
        <v>1.5499334140859142E-4</v>
      </c>
      <c r="L201" s="3">
        <f t="shared" si="137"/>
        <v>1.5499334140859142E-4</v>
      </c>
      <c r="M201" s="3">
        <f t="shared" si="137"/>
        <v>1.5499334140859142E-4</v>
      </c>
      <c r="N201" s="3">
        <f t="shared" si="137"/>
        <v>1.5499334140859142E-4</v>
      </c>
      <c r="O201" s="3">
        <f t="shared" si="137"/>
        <v>1.5499334140859142E-4</v>
      </c>
      <c r="P201" s="3">
        <f t="shared" si="137"/>
        <v>1.5499334140859142E-4</v>
      </c>
      <c r="Q201" s="3">
        <f t="shared" si="137"/>
        <v>1.5499334140859142E-4</v>
      </c>
      <c r="R201" s="3">
        <f t="shared" si="137"/>
        <v>1.5499334140859142E-4</v>
      </c>
      <c r="S201" s="3">
        <f t="shared" si="137"/>
        <v>1.5499334140859142E-4</v>
      </c>
      <c r="T201" s="3">
        <f t="shared" si="137"/>
        <v>1.5499334140859142E-4</v>
      </c>
      <c r="U201" s="3">
        <f t="shared" si="137"/>
        <v>1.5499334140859142E-4</v>
      </c>
      <c r="V201" s="3">
        <f t="shared" si="137"/>
        <v>1.5499334140859142E-4</v>
      </c>
      <c r="W201" s="3">
        <f t="shared" si="137"/>
        <v>1.5499334140859142E-4</v>
      </c>
      <c r="X201" s="3">
        <f t="shared" si="137"/>
        <v>1.5499334140859142E-4</v>
      </c>
      <c r="Y201" s="3">
        <f t="shared" si="137"/>
        <v>1.5499334140859142E-4</v>
      </c>
      <c r="Z201" s="3">
        <f t="shared" si="137"/>
        <v>1.5499334140859142E-4</v>
      </c>
      <c r="AA201" s="3">
        <f t="shared" si="137"/>
        <v>1.5499334140859142E-4</v>
      </c>
      <c r="AB201" s="3">
        <f t="shared" si="137"/>
        <v>1.5499334140859142E-4</v>
      </c>
      <c r="AC201" s="3">
        <f t="shared" si="137"/>
        <v>1.5499334140859142E-4</v>
      </c>
      <c r="AD201" s="3">
        <f t="shared" si="137"/>
        <v>1.5499334140859142E-4</v>
      </c>
      <c r="AE201" s="3">
        <f t="shared" si="137"/>
        <v>1.5499334140859139E-4</v>
      </c>
      <c r="AF201" s="3">
        <f t="shared" si="137"/>
        <v>1.5499334140859131E-4</v>
      </c>
      <c r="AG201" s="3"/>
      <c r="AH201" s="3"/>
    </row>
    <row r="202" spans="1:34" x14ac:dyDescent="0.25">
      <c r="A202" s="79">
        <f>AVERAGE(B202:AF202)</f>
        <v>6.6723390847283806E-2</v>
      </c>
      <c r="B202" s="80">
        <f>IF($A$64&lt;=B168,IF($B$64&gt;=B168,ABS((B170-B169)/B169),0),0)</f>
        <v>2.8918390217152175E-3</v>
      </c>
      <c r="C202" s="80">
        <f t="shared" ref="C202:AF202" si="138">IF($A$64&lt;=C168,IF($B$64&gt;=C168,ABS((C170-C169)/C169),0),0)</f>
        <v>2.8998531679790577E-3</v>
      </c>
      <c r="D202" s="80">
        <f t="shared" si="138"/>
        <v>2.8948354739386744E-3</v>
      </c>
      <c r="E202" s="80">
        <f t="shared" si="138"/>
        <v>2.8933158551071015E-3</v>
      </c>
      <c r="F202" s="80">
        <f t="shared" si="138"/>
        <v>2.8925746461777079E-3</v>
      </c>
      <c r="G202" s="80">
        <f t="shared" si="138"/>
        <v>2.8894959687014448E-3</v>
      </c>
      <c r="H202" s="80">
        <f t="shared" si="138"/>
        <v>2.8614642327907964E-3</v>
      </c>
      <c r="I202" s="80">
        <f t="shared" si="138"/>
        <v>2.6329314852804359E-3</v>
      </c>
      <c r="J202" s="80">
        <f t="shared" si="138"/>
        <v>3.0445490438009066E-3</v>
      </c>
      <c r="K202" s="80">
        <f t="shared" si="138"/>
        <v>6.4609099139387435E-2</v>
      </c>
      <c r="L202" s="80">
        <f t="shared" si="138"/>
        <v>0.14159379140751532</v>
      </c>
      <c r="M202" s="80">
        <f t="shared" si="138"/>
        <v>0.12462944074223507</v>
      </c>
      <c r="N202" s="80">
        <f t="shared" si="138"/>
        <v>0.1046280551861315</v>
      </c>
      <c r="O202" s="80">
        <f t="shared" si="138"/>
        <v>8.2558424006042533E-2</v>
      </c>
      <c r="P202" s="80">
        <f t="shared" si="138"/>
        <v>5.7302146515396196E-2</v>
      </c>
      <c r="Q202" s="80">
        <f t="shared" si="138"/>
        <v>3.7710298135899094E-2</v>
      </c>
      <c r="R202" s="80">
        <f t="shared" si="138"/>
        <v>5.5142899141879788E-2</v>
      </c>
      <c r="S202" s="80">
        <f t="shared" si="138"/>
        <v>5.7951804734521745E-2</v>
      </c>
      <c r="T202" s="80">
        <f t="shared" si="138"/>
        <v>6.1664540605481245E-2</v>
      </c>
      <c r="U202" s="80">
        <f t="shared" si="138"/>
        <v>3.7224933328164615E-2</v>
      </c>
      <c r="V202" s="80">
        <f t="shared" si="138"/>
        <v>1.9310900740120384E-2</v>
      </c>
      <c r="W202" s="80">
        <f t="shared" si="138"/>
        <v>7.5102824113335409E-2</v>
      </c>
      <c r="X202" s="80">
        <f t="shared" si="138"/>
        <v>0.11562311199666289</v>
      </c>
      <c r="Y202" s="80">
        <f t="shared" si="138"/>
        <v>0.14660009600295498</v>
      </c>
      <c r="Z202" s="80">
        <f t="shared" si="138"/>
        <v>0.16466030558578901</v>
      </c>
      <c r="AA202" s="80">
        <f t="shared" si="138"/>
        <v>0.17025572994297988</v>
      </c>
      <c r="AB202" s="80">
        <f t="shared" si="138"/>
        <v>0.16192265996239369</v>
      </c>
      <c r="AC202" s="80">
        <f t="shared" si="138"/>
        <v>0.14829915331378099</v>
      </c>
      <c r="AD202" s="80">
        <f t="shared" si="138"/>
        <v>0.11981312581221912</v>
      </c>
      <c r="AE202" s="80">
        <f t="shared" si="138"/>
        <v>6.7098000037936645E-2</v>
      </c>
      <c r="AF202" s="80">
        <f t="shared" si="138"/>
        <v>2.8822916919479545E-2</v>
      </c>
    </row>
    <row r="203" spans="1:34" x14ac:dyDescent="0.25">
      <c r="B203" s="21">
        <f>(B170-B169)^2</f>
        <v>322.3874583588277</v>
      </c>
      <c r="C203" s="21">
        <f t="shared" ref="C203:AF203" si="139">(C170-C169)^2</f>
        <v>324.18200773553855</v>
      </c>
      <c r="D203" s="21">
        <f t="shared" si="139"/>
        <v>323.05783682471628</v>
      </c>
      <c r="E203" s="21">
        <f t="shared" si="139"/>
        <v>322.71768588613025</v>
      </c>
      <c r="F203" s="21">
        <f t="shared" si="139"/>
        <v>322.55104582719446</v>
      </c>
      <c r="G203" s="21">
        <f t="shared" si="139"/>
        <v>321.85449283513725</v>
      </c>
      <c r="H203" s="21">
        <f t="shared" si="139"/>
        <v>315.5406602186099</v>
      </c>
      <c r="I203" s="21">
        <f t="shared" si="139"/>
        <v>266.34176169465229</v>
      </c>
      <c r="J203" s="21">
        <f t="shared" si="139"/>
        <v>347.61735048929694</v>
      </c>
      <c r="K203" s="21">
        <f t="shared" si="139"/>
        <v>147767.35117085441</v>
      </c>
      <c r="L203" s="21">
        <f t="shared" si="139"/>
        <v>681966.75313283107</v>
      </c>
      <c r="M203" s="21">
        <f t="shared" si="139"/>
        <v>507929.90229385404</v>
      </c>
      <c r="N203" s="21">
        <f t="shared" si="139"/>
        <v>342156.83562159154</v>
      </c>
      <c r="O203" s="21">
        <f t="shared" si="139"/>
        <v>202860.32203345888</v>
      </c>
      <c r="P203" s="21">
        <f t="shared" si="139"/>
        <v>92339.928919295591</v>
      </c>
      <c r="Q203" s="21">
        <f t="shared" si="139"/>
        <v>37545.328690609313</v>
      </c>
      <c r="R203" s="21">
        <f t="shared" si="139"/>
        <v>75069.021019746244</v>
      </c>
      <c r="S203" s="21">
        <f t="shared" si="139"/>
        <v>77439.264099938999</v>
      </c>
      <c r="T203" s="21">
        <f t="shared" si="139"/>
        <v>80171.021940850304</v>
      </c>
      <c r="U203" s="21">
        <f t="shared" si="139"/>
        <v>24962.226855883233</v>
      </c>
      <c r="V203" s="21">
        <f t="shared" si="139"/>
        <v>5448.3895466388713</v>
      </c>
      <c r="W203" s="21">
        <f t="shared" si="139"/>
        <v>67542.390988242536</v>
      </c>
      <c r="X203" s="21">
        <f t="shared" si="139"/>
        <v>135321.91724191379</v>
      </c>
      <c r="Y203" s="21">
        <f t="shared" si="139"/>
        <v>186837.90670425363</v>
      </c>
      <c r="Z203" s="21">
        <f t="shared" si="139"/>
        <v>206064.94751138429</v>
      </c>
      <c r="AA203" s="21">
        <f t="shared" si="139"/>
        <v>193595.78664311484</v>
      </c>
      <c r="AB203" s="21">
        <f t="shared" si="139"/>
        <v>153758.48971773367</v>
      </c>
      <c r="AC203" s="21">
        <f t="shared" si="139"/>
        <v>111075.21495044137</v>
      </c>
      <c r="AD203" s="21">
        <f t="shared" si="139"/>
        <v>61265.174561911364</v>
      </c>
      <c r="AE203" s="21">
        <f t="shared" si="139"/>
        <v>15662.495296624664</v>
      </c>
      <c r="AF203" s="21">
        <f t="shared" si="139"/>
        <v>2238.0259518488951</v>
      </c>
      <c r="AG203" s="3"/>
      <c r="AH203" s="3"/>
    </row>
    <row r="204" spans="1:34" x14ac:dyDescent="0.25">
      <c r="A204" s="71">
        <f>SUM(B204:AF204)</f>
        <v>3411884.9451928907</v>
      </c>
      <c r="B204" s="60">
        <f>IF($A$64&lt;=B168,IF($B$64&gt;=B168,ABS(B203),0),0)</f>
        <v>322.3874583588277</v>
      </c>
      <c r="C204" s="60">
        <f t="shared" ref="C204" si="140">IF($A$64&lt;=C168,IF($B$64&gt;=C168,ABS(C203),0),0)</f>
        <v>324.18200773553855</v>
      </c>
      <c r="D204" s="60">
        <f t="shared" ref="D204" si="141">IF($A$64&lt;=D168,IF($B$64&gt;=D168,ABS(D203),0),0)</f>
        <v>323.05783682471628</v>
      </c>
      <c r="E204" s="60">
        <f t="shared" ref="E204" si="142">IF($A$64&lt;=E168,IF($B$64&gt;=E168,ABS(E203),0),0)</f>
        <v>322.71768588613025</v>
      </c>
      <c r="F204" s="60">
        <f t="shared" ref="F204" si="143">IF($A$64&lt;=F168,IF($B$64&gt;=F168,ABS(F203),0),0)</f>
        <v>322.55104582719446</v>
      </c>
      <c r="G204" s="60">
        <f t="shared" ref="G204" si="144">IF($A$64&lt;=G168,IF($B$64&gt;=G168,ABS(G203),0),0)</f>
        <v>321.85449283513725</v>
      </c>
      <c r="H204" s="60">
        <f t="shared" ref="H204" si="145">IF($A$64&lt;=H168,IF($B$64&gt;=H168,ABS(H203),0),0)</f>
        <v>315.5406602186099</v>
      </c>
      <c r="I204" s="60">
        <f t="shared" ref="I204" si="146">IF($A$64&lt;=I168,IF($B$64&gt;=I168,ABS(I203),0),0)</f>
        <v>266.34176169465229</v>
      </c>
      <c r="J204" s="60">
        <f t="shared" ref="J204" si="147">IF($A$64&lt;=J168,IF($B$64&gt;=J168,ABS(J203),0),0)</f>
        <v>347.61735048929694</v>
      </c>
      <c r="K204" s="60">
        <f t="shared" ref="K204" si="148">IF($A$64&lt;=K168,IF($B$64&gt;=K168,ABS(K203),0),0)</f>
        <v>147767.35117085441</v>
      </c>
      <c r="L204" s="60">
        <f t="shared" ref="L204" si="149">IF($A$64&lt;=L168,IF($B$64&gt;=L168,ABS(L203),0),0)</f>
        <v>681966.75313283107</v>
      </c>
      <c r="M204" s="60">
        <f t="shared" ref="M204" si="150">IF($A$64&lt;=M168,IF($B$64&gt;=M168,ABS(M203),0),0)</f>
        <v>507929.90229385404</v>
      </c>
      <c r="N204" s="60">
        <f t="shared" ref="N204" si="151">IF($A$64&lt;=N168,IF($B$64&gt;=N168,ABS(N203),0),0)</f>
        <v>342156.83562159154</v>
      </c>
      <c r="O204" s="60">
        <f t="shared" ref="O204" si="152">IF($A$64&lt;=O168,IF($B$64&gt;=O168,ABS(O203),0),0)</f>
        <v>202860.32203345888</v>
      </c>
      <c r="P204" s="60">
        <f t="shared" ref="P204" si="153">IF($A$64&lt;=P168,IF($B$64&gt;=P168,ABS(P203),0),0)</f>
        <v>92339.928919295591</v>
      </c>
      <c r="Q204" s="60">
        <f t="shared" ref="Q204" si="154">IF($A$64&lt;=Q168,IF($B$64&gt;=Q168,ABS(Q203),0),0)</f>
        <v>37545.328690609313</v>
      </c>
      <c r="R204" s="60">
        <f t="shared" ref="R204" si="155">IF($A$64&lt;=R168,IF($B$64&gt;=R168,ABS(R203),0),0)</f>
        <v>75069.021019746244</v>
      </c>
      <c r="S204" s="60">
        <f t="shared" ref="S204" si="156">IF($A$64&lt;=S168,IF($B$64&gt;=S168,ABS(S203),0),0)</f>
        <v>77439.264099938999</v>
      </c>
      <c r="T204" s="60">
        <f t="shared" ref="T204" si="157">IF($A$64&lt;=T168,IF($B$64&gt;=T168,ABS(T203),0),0)</f>
        <v>80171.021940850304</v>
      </c>
      <c r="U204" s="60">
        <f t="shared" ref="U204" si="158">IF($A$64&lt;=U168,IF($B$64&gt;=U168,ABS(U203),0),0)</f>
        <v>24962.226855883233</v>
      </c>
      <c r="V204" s="60">
        <f t="shared" ref="V204" si="159">IF($A$64&lt;=V168,IF($B$64&gt;=V168,ABS(V203),0),0)</f>
        <v>5448.3895466388713</v>
      </c>
      <c r="W204" s="60">
        <f t="shared" ref="W204" si="160">IF($A$64&lt;=W168,IF($B$64&gt;=W168,ABS(W203),0),0)</f>
        <v>67542.390988242536</v>
      </c>
      <c r="X204" s="60">
        <f t="shared" ref="X204" si="161">IF($A$64&lt;=X168,IF($B$64&gt;=X168,ABS(X203),0),0)</f>
        <v>135321.91724191379</v>
      </c>
      <c r="Y204" s="60">
        <f t="shared" ref="Y204" si="162">IF($A$64&lt;=Y168,IF($B$64&gt;=Y168,ABS(Y203),0),0)</f>
        <v>186837.90670425363</v>
      </c>
      <c r="Z204" s="60">
        <f t="shared" ref="Z204" si="163">IF($A$64&lt;=Z168,IF($B$64&gt;=Z168,ABS(Z203),0),0)</f>
        <v>206064.94751138429</v>
      </c>
      <c r="AA204" s="60">
        <f t="shared" ref="AA204" si="164">IF($A$64&lt;=AA168,IF($B$64&gt;=AA168,ABS(AA203),0),0)</f>
        <v>193595.78664311484</v>
      </c>
      <c r="AB204" s="60">
        <f t="shared" ref="AB204" si="165">IF($A$64&lt;=AB168,IF($B$64&gt;=AB168,ABS(AB203),0),0)</f>
        <v>153758.48971773367</v>
      </c>
      <c r="AC204" s="60">
        <f t="shared" ref="AC204" si="166">IF($A$64&lt;=AC168,IF($B$64&gt;=AC168,ABS(AC203),0),0)</f>
        <v>111075.21495044137</v>
      </c>
      <c r="AD204" s="60">
        <f t="shared" ref="AD204" si="167">IF($A$64&lt;=AD168,IF($B$64&gt;=AD168,ABS(AD203),0),0)</f>
        <v>61265.174561911364</v>
      </c>
      <c r="AE204" s="60">
        <f t="shared" ref="AE204" si="168">IF($A$64&lt;=AE168,IF($B$64&gt;=AE168,ABS(AE203),0),0)</f>
        <v>15662.495296624664</v>
      </c>
      <c r="AF204" s="60">
        <f t="shared" ref="AF204" si="169">IF($A$64&lt;=AF168,IF($B$64&gt;=AF168,ABS(AF203),0),0)</f>
        <v>2238.0259518488951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6190.9488174579055</v>
      </c>
      <c r="C209" s="27">
        <f t="shared" ref="C209:AF209" si="170">($C$17+SUM(C210:C240))*$B$51</f>
        <v>6190.9471745803239</v>
      </c>
      <c r="D209" s="27">
        <f t="shared" si="170"/>
        <v>6190.9307459297688</v>
      </c>
      <c r="E209" s="27">
        <f t="shared" si="170"/>
        <v>6190.7664719491941</v>
      </c>
      <c r="F209" s="27">
        <f t="shared" si="170"/>
        <v>6189.1249839997208</v>
      </c>
      <c r="G209" s="27">
        <f t="shared" si="170"/>
        <v>6172.834650425626</v>
      </c>
      <c r="H209" s="27">
        <f t="shared" si="170"/>
        <v>6021.7701101011908</v>
      </c>
      <c r="I209" s="27">
        <f t="shared" si="170"/>
        <v>5259.8123409210148</v>
      </c>
      <c r="J209" s="27">
        <f t="shared" si="170"/>
        <v>5005.8019634814318</v>
      </c>
      <c r="K209" s="27">
        <f t="shared" si="170"/>
        <v>5005.7893247079501</v>
      </c>
      <c r="L209" s="27">
        <f t="shared" si="170"/>
        <v>5005.6653843899485</v>
      </c>
      <c r="M209" s="27">
        <f t="shared" si="170"/>
        <v>5004.4283094798438</v>
      </c>
      <c r="N209" s="27">
        <f t="shared" si="170"/>
        <v>4992.2873661047606</v>
      </c>
      <c r="O209" s="27">
        <f t="shared" si="170"/>
        <v>4891.1136632770294</v>
      </c>
      <c r="P209" s="27">
        <f t="shared" si="170"/>
        <v>4629.5149559399224</v>
      </c>
      <c r="Q209" s="27">
        <f t="shared" si="170"/>
        <v>4468.1141678456352</v>
      </c>
      <c r="R209" s="27">
        <f t="shared" si="170"/>
        <v>4235.1834370418519</v>
      </c>
      <c r="S209" s="27">
        <f t="shared" si="170"/>
        <v>4018.6112184786498</v>
      </c>
      <c r="T209" s="27">
        <f t="shared" si="170"/>
        <v>3836.5455057820727</v>
      </c>
      <c r="U209" s="27">
        <f t="shared" si="170"/>
        <v>3660.9129885630441</v>
      </c>
      <c r="V209" s="27">
        <f t="shared" si="170"/>
        <v>3490.9206231634093</v>
      </c>
      <c r="W209" s="27">
        <f t="shared" si="170"/>
        <v>3321.7881706041144</v>
      </c>
      <c r="X209" s="27">
        <f t="shared" si="170"/>
        <v>3149.9382154967147</v>
      </c>
      <c r="Y209" s="27">
        <f t="shared" si="170"/>
        <v>2953.6520342444915</v>
      </c>
      <c r="Z209" s="27">
        <f t="shared" si="170"/>
        <v>2738.2026560220465</v>
      </c>
      <c r="AA209" s="27">
        <f t="shared" si="170"/>
        <v>2495.6752114076844</v>
      </c>
      <c r="AB209" s="27">
        <f t="shared" si="170"/>
        <v>2217.1096753173974</v>
      </c>
      <c r="AC209" s="27">
        <f t="shared" si="170"/>
        <v>1868.7107260143766</v>
      </c>
      <c r="AD209" s="27">
        <f t="shared" si="170"/>
        <v>1467.4263375659452</v>
      </c>
      <c r="AE209" s="27">
        <f t="shared" si="170"/>
        <v>1076.0035935649821</v>
      </c>
      <c r="AF209" s="27">
        <f t="shared" si="170"/>
        <v>750.11803727194945</v>
      </c>
      <c r="AG209" s="27"/>
      <c r="AH209" s="27"/>
    </row>
    <row r="210" spans="1:34" x14ac:dyDescent="0.25">
      <c r="B210" s="3">
        <f t="shared" ref="B210:AF210" si="171">$C18*EXP(-B$207/$A18/EXP(-$D$126))</f>
        <v>0.19143199515728521</v>
      </c>
      <c r="C210" s="3">
        <f t="shared" si="171"/>
        <v>0.1914317297896562</v>
      </c>
      <c r="D210" s="3">
        <f t="shared" si="171"/>
        <v>0.19142907613359861</v>
      </c>
      <c r="E210" s="3">
        <f t="shared" si="171"/>
        <v>0.19140254159613457</v>
      </c>
      <c r="F210" s="3">
        <f t="shared" si="171"/>
        <v>0.19113739842898753</v>
      </c>
      <c r="G210" s="3">
        <f t="shared" si="171"/>
        <v>0.1885060841774191</v>
      </c>
      <c r="H210" s="3">
        <f t="shared" si="171"/>
        <v>0.16410521640612691</v>
      </c>
      <c r="I210" s="3">
        <f t="shared" si="171"/>
        <v>4.1029150811986034E-2</v>
      </c>
      <c r="J210" s="3">
        <f t="shared" si="171"/>
        <v>3.9155606062621215E-8</v>
      </c>
      <c r="K210" s="3">
        <f t="shared" si="171"/>
        <v>2.4536249074544493E-68</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5.4135576469362658E-2</v>
      </c>
      <c r="C211" s="3">
        <f t="shared" si="172"/>
        <v>5.413557646934343E-2</v>
      </c>
      <c r="D211" s="3">
        <f t="shared" si="172"/>
        <v>5.4135576469151202E-2</v>
      </c>
      <c r="E211" s="3">
        <f t="shared" si="172"/>
        <v>5.4135576467228913E-2</v>
      </c>
      <c r="F211" s="3">
        <f t="shared" si="172"/>
        <v>5.413557644800604E-2</v>
      </c>
      <c r="G211" s="3">
        <f t="shared" si="172"/>
        <v>5.4135576255777265E-2</v>
      </c>
      <c r="H211" s="3">
        <f t="shared" si="172"/>
        <v>5.4135574333489561E-2</v>
      </c>
      <c r="I211" s="3">
        <f t="shared" si="172"/>
        <v>5.4135555110616351E-2</v>
      </c>
      <c r="J211" s="3">
        <f t="shared" si="172"/>
        <v>5.4135362882259626E-2</v>
      </c>
      <c r="K211" s="3">
        <f t="shared" si="172"/>
        <v>5.4133440636233751E-2</v>
      </c>
      <c r="L211" s="3">
        <f t="shared" si="172"/>
        <v>5.4114221929621072E-2</v>
      </c>
      <c r="M211" s="3">
        <f t="shared" si="172"/>
        <v>5.3922409735404159E-2</v>
      </c>
      <c r="N211" s="3">
        <f t="shared" si="172"/>
        <v>5.2041287111286194E-2</v>
      </c>
      <c r="O211" s="3">
        <f t="shared" si="172"/>
        <v>3.648676840976528E-2</v>
      </c>
      <c r="P211" s="3">
        <f t="shared" si="172"/>
        <v>1.0471505113829895E-3</v>
      </c>
      <c r="Q211" s="3">
        <f t="shared" si="172"/>
        <v>3.9695949965414624E-19</v>
      </c>
      <c r="R211" s="3">
        <f t="shared" si="172"/>
        <v>2.4328599173882001E-173</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2.1015020588822746E-2</v>
      </c>
      <c r="C212" s="3">
        <f t="shared" si="173"/>
        <v>2.1015020588822073E-2</v>
      </c>
      <c r="D212" s="3">
        <f t="shared" si="173"/>
        <v>2.1015020588815343E-2</v>
      </c>
      <c r="E212" s="3">
        <f t="shared" si="173"/>
        <v>2.1015020588748028E-2</v>
      </c>
      <c r="F212" s="3">
        <f t="shared" si="173"/>
        <v>2.1015020588074879E-2</v>
      </c>
      <c r="G212" s="3">
        <f t="shared" si="173"/>
        <v>2.1015020581343375E-2</v>
      </c>
      <c r="H212" s="3">
        <f t="shared" si="173"/>
        <v>2.1015020514028347E-2</v>
      </c>
      <c r="I212" s="3">
        <f t="shared" si="173"/>
        <v>2.1015019840878064E-2</v>
      </c>
      <c r="J212" s="3">
        <f t="shared" si="173"/>
        <v>2.1015013109376427E-2</v>
      </c>
      <c r="K212" s="3">
        <f t="shared" si="173"/>
        <v>2.1014945794478646E-2</v>
      </c>
      <c r="L212" s="3">
        <f t="shared" si="173"/>
        <v>2.1014272657359952E-2</v>
      </c>
      <c r="M212" s="3">
        <f t="shared" si="173"/>
        <v>2.1007542471941067E-2</v>
      </c>
      <c r="N212" s="3">
        <f t="shared" si="173"/>
        <v>2.0940359054147602E-2</v>
      </c>
      <c r="O212" s="3">
        <f t="shared" si="173"/>
        <v>2.0280229341991914E-2</v>
      </c>
      <c r="P212" s="3">
        <f t="shared" si="173"/>
        <v>1.4721777215554139E-2</v>
      </c>
      <c r="Q212" s="3">
        <f t="shared" si="173"/>
        <v>5.9818295563800541E-4</v>
      </c>
      <c r="R212" s="3">
        <f t="shared" si="173"/>
        <v>7.3379029627878212E-18</v>
      </c>
      <c r="S212" s="3">
        <f t="shared" si="173"/>
        <v>5.661757506442177E-157</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4.0498121245543521E-2</v>
      </c>
      <c r="C213" s="3">
        <f t="shared" si="174"/>
        <v>4.0498121245543403E-2</v>
      </c>
      <c r="D213" s="3">
        <f t="shared" si="174"/>
        <v>4.0498121245542237E-2</v>
      </c>
      <c r="E213" s="3">
        <f t="shared" si="174"/>
        <v>4.0498121245530531E-2</v>
      </c>
      <c r="F213" s="3">
        <f t="shared" si="174"/>
        <v>4.0498121245413507E-2</v>
      </c>
      <c r="G213" s="3">
        <f t="shared" si="174"/>
        <v>4.0498121244243304E-2</v>
      </c>
      <c r="H213" s="3">
        <f t="shared" si="174"/>
        <v>4.0498121232541207E-2</v>
      </c>
      <c r="I213" s="3">
        <f t="shared" si="174"/>
        <v>4.0498121115520237E-2</v>
      </c>
      <c r="J213" s="3">
        <f t="shared" si="174"/>
        <v>4.0498119945310572E-2</v>
      </c>
      <c r="K213" s="3">
        <f t="shared" si="174"/>
        <v>4.0498108243215793E-2</v>
      </c>
      <c r="L213" s="3">
        <f t="shared" si="174"/>
        <v>4.0497991222453934E-2</v>
      </c>
      <c r="M213" s="3">
        <f t="shared" si="174"/>
        <v>4.0496821033432676E-2</v>
      </c>
      <c r="N213" s="3">
        <f t="shared" si="174"/>
        <v>4.048512100275186E-2</v>
      </c>
      <c r="O213" s="3">
        <f t="shared" si="174"/>
        <v>4.0368306450464894E-2</v>
      </c>
      <c r="P213" s="3">
        <f t="shared" si="174"/>
        <v>3.9218539309603402E-2</v>
      </c>
      <c r="Q213" s="3">
        <f t="shared" si="174"/>
        <v>2.9376513934295929E-2</v>
      </c>
      <c r="R213" s="3">
        <f t="shared" si="174"/>
        <v>1.6333854709236126E-3</v>
      </c>
      <c r="S213" s="3">
        <f t="shared" si="174"/>
        <v>4.6128889070828838E-16</v>
      </c>
      <c r="T213" s="3">
        <f t="shared" si="174"/>
        <v>1.4887304424743927E-141</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3.8180364153293539E-2</v>
      </c>
      <c r="C214" s="3">
        <f t="shared" si="175"/>
        <v>3.8180364153293525E-2</v>
      </c>
      <c r="D214" s="3">
        <f t="shared" si="175"/>
        <v>3.8180364153293428E-2</v>
      </c>
      <c r="E214" s="3">
        <f t="shared" si="175"/>
        <v>3.8180364153292436E-2</v>
      </c>
      <c r="F214" s="3">
        <f t="shared" si="175"/>
        <v>3.8180364153282478E-2</v>
      </c>
      <c r="G214" s="3">
        <f t="shared" si="175"/>
        <v>3.8180364153182961E-2</v>
      </c>
      <c r="H214" s="3">
        <f t="shared" si="175"/>
        <v>3.818036415218775E-2</v>
      </c>
      <c r="I214" s="3">
        <f t="shared" si="175"/>
        <v>3.8180364142235634E-2</v>
      </c>
      <c r="J214" s="3">
        <f t="shared" si="175"/>
        <v>3.8180364042714465E-2</v>
      </c>
      <c r="K214" s="3">
        <f t="shared" si="175"/>
        <v>3.8180363047502788E-2</v>
      </c>
      <c r="L214" s="3">
        <f t="shared" si="175"/>
        <v>3.8180353095387469E-2</v>
      </c>
      <c r="M214" s="3">
        <f t="shared" si="175"/>
        <v>3.8180253574376918E-2</v>
      </c>
      <c r="N214" s="3">
        <f t="shared" si="175"/>
        <v>3.8179258378538979E-2</v>
      </c>
      <c r="O214" s="3">
        <f t="shared" si="175"/>
        <v>3.8169307846775385E-2</v>
      </c>
      <c r="P214" s="3">
        <f t="shared" si="175"/>
        <v>3.806994505322403E-2</v>
      </c>
      <c r="Q214" s="3">
        <f t="shared" si="175"/>
        <v>3.7090433022765039E-2</v>
      </c>
      <c r="R214" s="3">
        <f t="shared" si="175"/>
        <v>2.8579750970306989E-2</v>
      </c>
      <c r="S214" s="3">
        <f t="shared" si="175"/>
        <v>2.1087437391666291E-3</v>
      </c>
      <c r="T214" s="3">
        <f t="shared" si="175"/>
        <v>1.008503629581639E-14</v>
      </c>
      <c r="U214" s="3">
        <f t="shared" si="175"/>
        <v>6.3126841369079126E-128</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3.033915085060401E-2</v>
      </c>
      <c r="C215" s="3">
        <f t="shared" si="176"/>
        <v>3.033915085060401E-2</v>
      </c>
      <c r="D215" s="3">
        <f t="shared" si="176"/>
        <v>3.0339150850604003E-2</v>
      </c>
      <c r="E215" s="3">
        <f t="shared" si="176"/>
        <v>3.033915085060393E-2</v>
      </c>
      <c r="F215" s="3">
        <f t="shared" si="176"/>
        <v>3.0339150850603219E-2</v>
      </c>
      <c r="G215" s="3">
        <f t="shared" si="176"/>
        <v>3.0339150850596085E-2</v>
      </c>
      <c r="H215" s="3">
        <f t="shared" si="176"/>
        <v>3.0339150850524743E-2</v>
      </c>
      <c r="I215" s="3">
        <f t="shared" si="176"/>
        <v>3.0339150849811355E-2</v>
      </c>
      <c r="J215" s="3">
        <f t="shared" si="176"/>
        <v>3.0339150842677486E-2</v>
      </c>
      <c r="K215" s="3">
        <f t="shared" si="176"/>
        <v>3.0339150771338749E-2</v>
      </c>
      <c r="L215" s="3">
        <f t="shared" si="176"/>
        <v>3.0339150057951389E-2</v>
      </c>
      <c r="M215" s="3">
        <f t="shared" si="176"/>
        <v>3.0339142924078733E-2</v>
      </c>
      <c r="N215" s="3">
        <f t="shared" si="176"/>
        <v>3.0339071585444431E-2</v>
      </c>
      <c r="O215" s="3">
        <f t="shared" si="176"/>
        <v>3.0338358208327261E-2</v>
      </c>
      <c r="P215" s="3">
        <f t="shared" si="176"/>
        <v>3.0331225359659247E-2</v>
      </c>
      <c r="Q215" s="3">
        <f t="shared" si="176"/>
        <v>3.0259989043140943E-2</v>
      </c>
      <c r="R215" s="3">
        <f t="shared" si="176"/>
        <v>2.9556763207135298E-2</v>
      </c>
      <c r="S215" s="3">
        <f t="shared" si="176"/>
        <v>2.3363501467868614E-2</v>
      </c>
      <c r="T215" s="3">
        <f t="shared" si="176"/>
        <v>2.225094778122372E-3</v>
      </c>
      <c r="U215" s="3">
        <f t="shared" si="176"/>
        <v>1.3660114926123479E-13</v>
      </c>
      <c r="V215" s="3">
        <f t="shared" si="176"/>
        <v>1.0387540734718145E-115</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2.9818488774257267E-2</v>
      </c>
      <c r="C216" s="3">
        <f t="shared" si="177"/>
        <v>2.9818488774257267E-2</v>
      </c>
      <c r="D216" s="3">
        <f t="shared" si="177"/>
        <v>2.9818488774257267E-2</v>
      </c>
      <c r="E216" s="3">
        <f t="shared" si="177"/>
        <v>2.981848877425726E-2</v>
      </c>
      <c r="F216" s="3">
        <f t="shared" si="177"/>
        <v>2.9818488774257197E-2</v>
      </c>
      <c r="G216" s="3">
        <f t="shared" si="177"/>
        <v>2.9818488774256566E-2</v>
      </c>
      <c r="H216" s="3">
        <f t="shared" si="177"/>
        <v>2.9818488774250237E-2</v>
      </c>
      <c r="I216" s="3">
        <f t="shared" si="177"/>
        <v>2.9818488774186989E-2</v>
      </c>
      <c r="J216" s="3">
        <f t="shared" si="177"/>
        <v>2.9818488773554499E-2</v>
      </c>
      <c r="K216" s="3">
        <f t="shared" si="177"/>
        <v>2.981848876722959E-2</v>
      </c>
      <c r="L216" s="3">
        <f t="shared" si="177"/>
        <v>2.981848870398051E-2</v>
      </c>
      <c r="M216" s="3">
        <f t="shared" si="177"/>
        <v>2.9818488071489718E-2</v>
      </c>
      <c r="N216" s="3">
        <f t="shared" si="177"/>
        <v>2.9818481746582522E-2</v>
      </c>
      <c r="O216" s="3">
        <f t="shared" si="177"/>
        <v>2.9818418497584341E-2</v>
      </c>
      <c r="P216" s="3">
        <f t="shared" si="177"/>
        <v>2.9817786014981303E-2</v>
      </c>
      <c r="Q216" s="3">
        <f t="shared" si="177"/>
        <v>2.981146192676614E-2</v>
      </c>
      <c r="R216" s="3">
        <f t="shared" si="177"/>
        <v>2.9748294768265359E-2</v>
      </c>
      <c r="S216" s="3">
        <f t="shared" si="177"/>
        <v>2.9123938015331131E-2</v>
      </c>
      <c r="T216" s="3">
        <f t="shared" si="177"/>
        <v>2.3557560614938841E-2</v>
      </c>
      <c r="U216" s="3">
        <f t="shared" si="177"/>
        <v>2.8244410128591565E-3</v>
      </c>
      <c r="V216" s="3">
        <f t="shared" si="177"/>
        <v>1.7336220727401743E-12</v>
      </c>
      <c r="W216" s="3">
        <f t="shared" si="177"/>
        <v>1.3157507161539662E-104</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2.8586713902441586E-2</v>
      </c>
      <c r="C217" s="3">
        <f t="shared" si="178"/>
        <v>2.8586713902441586E-2</v>
      </c>
      <c r="D217" s="3">
        <f t="shared" si="178"/>
        <v>2.8586713902441586E-2</v>
      </c>
      <c r="E217" s="3">
        <f t="shared" si="178"/>
        <v>2.8586713902441586E-2</v>
      </c>
      <c r="F217" s="3">
        <f t="shared" si="178"/>
        <v>2.858671390244158E-2</v>
      </c>
      <c r="G217" s="3">
        <f t="shared" si="178"/>
        <v>2.8586713902441527E-2</v>
      </c>
      <c r="H217" s="3">
        <f t="shared" si="178"/>
        <v>2.8586713902440979E-2</v>
      </c>
      <c r="I217" s="3">
        <f t="shared" si="178"/>
        <v>2.8586713902435508E-2</v>
      </c>
      <c r="J217" s="3">
        <f t="shared" si="178"/>
        <v>2.8586713902380809E-2</v>
      </c>
      <c r="K217" s="3">
        <f t="shared" si="178"/>
        <v>2.8586713901833819E-2</v>
      </c>
      <c r="L217" s="3">
        <f t="shared" si="178"/>
        <v>2.858671389636392E-2</v>
      </c>
      <c r="M217" s="3">
        <f t="shared" si="178"/>
        <v>2.8586713841664918E-2</v>
      </c>
      <c r="N217" s="3">
        <f t="shared" si="178"/>
        <v>2.8586713294674892E-2</v>
      </c>
      <c r="O217" s="3">
        <f t="shared" si="178"/>
        <v>2.8586707824775227E-2</v>
      </c>
      <c r="P217" s="3">
        <f t="shared" si="178"/>
        <v>2.8586653125836151E-2</v>
      </c>
      <c r="Q217" s="3">
        <f t="shared" si="178"/>
        <v>2.8586106142201809E-2</v>
      </c>
      <c r="R217" s="3">
        <f t="shared" si="178"/>
        <v>2.8580636881461501E-2</v>
      </c>
      <c r="S217" s="3">
        <f t="shared" si="178"/>
        <v>2.852600179363662E-2</v>
      </c>
      <c r="T217" s="3">
        <f t="shared" si="178"/>
        <v>2.7985362358468879E-2</v>
      </c>
      <c r="U217" s="3">
        <f t="shared" si="178"/>
        <v>2.3111664724066162E-2</v>
      </c>
      <c r="V217" s="3">
        <f t="shared" si="178"/>
        <v>3.4106265575503279E-3</v>
      </c>
      <c r="W217" s="3">
        <f t="shared" si="178"/>
        <v>1.6705657659805902E-11</v>
      </c>
      <c r="X217" s="3">
        <f t="shared" si="178"/>
        <v>1.3278764133836863E-94</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2.8589469167233993E-2</v>
      </c>
      <c r="C218" s="3">
        <f t="shared" si="179"/>
        <v>2.8589469167233993E-2</v>
      </c>
      <c r="D218" s="3">
        <f t="shared" si="179"/>
        <v>2.8589469167233993E-2</v>
      </c>
      <c r="E218" s="3">
        <f t="shared" si="179"/>
        <v>2.8589469167233993E-2</v>
      </c>
      <c r="F218" s="3">
        <f t="shared" si="179"/>
        <v>2.8589469167233993E-2</v>
      </c>
      <c r="G218" s="3">
        <f t="shared" si="179"/>
        <v>2.8589469167233986E-2</v>
      </c>
      <c r="H218" s="3">
        <f t="shared" si="179"/>
        <v>2.8589469167233938E-2</v>
      </c>
      <c r="I218" s="3">
        <f t="shared" si="179"/>
        <v>2.8589469167233445E-2</v>
      </c>
      <c r="J218" s="3">
        <f t="shared" si="179"/>
        <v>2.8589469167228512E-2</v>
      </c>
      <c r="K218" s="3">
        <f t="shared" si="179"/>
        <v>2.8589469167179162E-2</v>
      </c>
      <c r="L218" s="3">
        <f t="shared" si="179"/>
        <v>2.8589469166685685E-2</v>
      </c>
      <c r="M218" s="3">
        <f t="shared" si="179"/>
        <v>2.8589469161750904E-2</v>
      </c>
      <c r="N218" s="3">
        <f t="shared" si="179"/>
        <v>2.8589469112403097E-2</v>
      </c>
      <c r="O218" s="3">
        <f t="shared" si="179"/>
        <v>2.8589468618925033E-2</v>
      </c>
      <c r="P218" s="3">
        <f t="shared" si="179"/>
        <v>2.8589463684144844E-2</v>
      </c>
      <c r="Q218" s="3">
        <f t="shared" si="179"/>
        <v>2.8589414336389819E-2</v>
      </c>
      <c r="R218" s="3">
        <f t="shared" si="179"/>
        <v>2.8588920863524374E-2</v>
      </c>
      <c r="S218" s="3">
        <f t="shared" si="179"/>
        <v>2.8583986603318009E-2</v>
      </c>
      <c r="T218" s="3">
        <f t="shared" si="179"/>
        <v>2.8534690816162268E-2</v>
      </c>
      <c r="U218" s="3">
        <f t="shared" si="179"/>
        <v>2.8046384674557959E-2</v>
      </c>
      <c r="V218" s="3">
        <f t="shared" si="179"/>
        <v>2.3600110607762764E-2</v>
      </c>
      <c r="W218" s="3">
        <f t="shared" si="179"/>
        <v>4.20035076025715E-3</v>
      </c>
      <c r="X218" s="3">
        <f t="shared" si="179"/>
        <v>1.3396790370690531E-10</v>
      </c>
      <c r="Y218" s="3">
        <f t="shared" si="179"/>
        <v>1.4593275846105908E-85</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2.8115831969051441E-2</v>
      </c>
      <c r="C219" s="3">
        <f t="shared" si="180"/>
        <v>2.8115831969051441E-2</v>
      </c>
      <c r="D219" s="3">
        <f t="shared" si="180"/>
        <v>2.8115831969051441E-2</v>
      </c>
      <c r="E219" s="3">
        <f t="shared" si="180"/>
        <v>2.8115831969051441E-2</v>
      </c>
      <c r="F219" s="3">
        <f t="shared" si="180"/>
        <v>2.8115831969051441E-2</v>
      </c>
      <c r="G219" s="3">
        <f t="shared" si="180"/>
        <v>2.8115831969051441E-2</v>
      </c>
      <c r="H219" s="3">
        <f t="shared" si="180"/>
        <v>2.8115831969051434E-2</v>
      </c>
      <c r="I219" s="3">
        <f t="shared" si="180"/>
        <v>2.8115831969051392E-2</v>
      </c>
      <c r="J219" s="3">
        <f t="shared" si="180"/>
        <v>2.8115831969050955E-2</v>
      </c>
      <c r="K219" s="3">
        <f t="shared" si="180"/>
        <v>2.8115831969046576E-2</v>
      </c>
      <c r="L219" s="3">
        <f t="shared" si="180"/>
        <v>2.8115831969002799E-2</v>
      </c>
      <c r="M219" s="3">
        <f t="shared" si="180"/>
        <v>2.8115831968565014E-2</v>
      </c>
      <c r="N219" s="3">
        <f t="shared" si="180"/>
        <v>2.8115831964187182E-2</v>
      </c>
      <c r="O219" s="3">
        <f t="shared" si="180"/>
        <v>2.811583192040884E-2</v>
      </c>
      <c r="P219" s="3">
        <f t="shared" si="180"/>
        <v>2.8115831482625437E-2</v>
      </c>
      <c r="Q219" s="3">
        <f t="shared" si="180"/>
        <v>2.8115827104791786E-2</v>
      </c>
      <c r="R219" s="3">
        <f t="shared" si="180"/>
        <v>2.8115783326492765E-2</v>
      </c>
      <c r="S219" s="3">
        <f t="shared" si="180"/>
        <v>2.811534554725165E-2</v>
      </c>
      <c r="T219" s="3">
        <f t="shared" si="180"/>
        <v>2.8110968129729377E-2</v>
      </c>
      <c r="U219" s="3">
        <f t="shared" si="180"/>
        <v>2.8067231421804364E-2</v>
      </c>
      <c r="V219" s="3">
        <f t="shared" si="180"/>
        <v>2.763358957641952E-2</v>
      </c>
      <c r="W219" s="3">
        <f t="shared" si="180"/>
        <v>2.3649097829358489E-2</v>
      </c>
      <c r="X219" s="3">
        <f t="shared" si="180"/>
        <v>4.9841066416443898E-3</v>
      </c>
      <c r="Y219" s="3">
        <f t="shared" si="180"/>
        <v>8.6161808957341452E-10</v>
      </c>
      <c r="Z219" s="3">
        <f t="shared" si="180"/>
        <v>2.0539488838186036E-77</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3.3973946984022944E-2</v>
      </c>
      <c r="C220" s="3">
        <f t="shared" si="181"/>
        <v>3.3973946984022944E-2</v>
      </c>
      <c r="D220" s="3">
        <f t="shared" si="181"/>
        <v>3.3973946984022944E-2</v>
      </c>
      <c r="E220" s="3">
        <f t="shared" si="181"/>
        <v>3.3973946984022944E-2</v>
      </c>
      <c r="F220" s="3">
        <f t="shared" si="181"/>
        <v>3.3973946984022944E-2</v>
      </c>
      <c r="G220" s="3">
        <f t="shared" si="181"/>
        <v>3.3973946984022944E-2</v>
      </c>
      <c r="H220" s="3">
        <f t="shared" si="181"/>
        <v>3.3973946984022944E-2</v>
      </c>
      <c r="I220" s="3">
        <f t="shared" si="181"/>
        <v>3.3973946984022937E-2</v>
      </c>
      <c r="J220" s="3">
        <f t="shared" si="181"/>
        <v>3.3973946984022889E-2</v>
      </c>
      <c r="K220" s="3">
        <f t="shared" si="181"/>
        <v>3.397394698402241E-2</v>
      </c>
      <c r="L220" s="3">
        <f t="shared" si="181"/>
        <v>3.3973946984017643E-2</v>
      </c>
      <c r="M220" s="3">
        <f t="shared" si="181"/>
        <v>3.3973946983969924E-2</v>
      </c>
      <c r="N220" s="3">
        <f t="shared" si="181"/>
        <v>3.3973946983492723E-2</v>
      </c>
      <c r="O220" s="3">
        <f t="shared" si="181"/>
        <v>3.3973946978720714E-2</v>
      </c>
      <c r="P220" s="3">
        <f t="shared" si="181"/>
        <v>3.3973946931000656E-2</v>
      </c>
      <c r="Q220" s="3">
        <f t="shared" si="181"/>
        <v>3.3973946453800093E-2</v>
      </c>
      <c r="R220" s="3">
        <f t="shared" si="181"/>
        <v>3.3973941681794809E-2</v>
      </c>
      <c r="S220" s="3">
        <f t="shared" si="181"/>
        <v>3.3973893961778842E-2</v>
      </c>
      <c r="T220" s="3">
        <f t="shared" si="181"/>
        <v>3.3973416765305686E-2</v>
      </c>
      <c r="U220" s="3">
        <f t="shared" si="181"/>
        <v>3.3968645169206571E-2</v>
      </c>
      <c r="V220" s="3">
        <f t="shared" si="181"/>
        <v>3.3920966052305331E-2</v>
      </c>
      <c r="W220" s="3">
        <f t="shared" si="181"/>
        <v>3.3447840215972205E-2</v>
      </c>
      <c r="X220" s="3">
        <f t="shared" si="181"/>
        <v>2.9064760999963961E-2</v>
      </c>
      <c r="Y220" s="3">
        <f t="shared" si="181"/>
        <v>7.1343353299794668E-3</v>
      </c>
      <c r="Z220" s="3">
        <f t="shared" si="181"/>
        <v>5.6652768850523371E-9</v>
      </c>
      <c r="AA220" s="3">
        <f t="shared" si="181"/>
        <v>5.6480347730099736E-70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3.6313930353248758E-2</v>
      </c>
      <c r="C221" s="3">
        <f t="shared" si="182"/>
        <v>3.6313930353248758E-2</v>
      </c>
      <c r="D221" s="3">
        <f t="shared" si="182"/>
        <v>3.6313930353248758E-2</v>
      </c>
      <c r="E221" s="3">
        <f t="shared" si="182"/>
        <v>3.6313930353248758E-2</v>
      </c>
      <c r="F221" s="3">
        <f t="shared" si="182"/>
        <v>3.6313930353248758E-2</v>
      </c>
      <c r="G221" s="3">
        <f t="shared" si="182"/>
        <v>3.6313930353248758E-2</v>
      </c>
      <c r="H221" s="3">
        <f t="shared" si="182"/>
        <v>3.6313930353248758E-2</v>
      </c>
      <c r="I221" s="3">
        <f t="shared" si="182"/>
        <v>3.6313930353248758E-2</v>
      </c>
      <c r="J221" s="3">
        <f t="shared" si="182"/>
        <v>3.6313930353248751E-2</v>
      </c>
      <c r="K221" s="3">
        <f t="shared" si="182"/>
        <v>3.6313930353248702E-2</v>
      </c>
      <c r="L221" s="3">
        <f t="shared" si="182"/>
        <v>3.6313930353248244E-2</v>
      </c>
      <c r="M221" s="3">
        <f t="shared" si="182"/>
        <v>3.6313930353243644E-2</v>
      </c>
      <c r="N221" s="3">
        <f t="shared" si="182"/>
        <v>3.6313930353197632E-2</v>
      </c>
      <c r="O221" s="3">
        <f t="shared" si="182"/>
        <v>3.6313930352737507E-2</v>
      </c>
      <c r="P221" s="3">
        <f t="shared" si="182"/>
        <v>3.6313930348136271E-2</v>
      </c>
      <c r="Q221" s="3">
        <f t="shared" si="182"/>
        <v>3.6313930302123876E-2</v>
      </c>
      <c r="R221" s="3">
        <f t="shared" si="182"/>
        <v>3.6313929841999978E-2</v>
      </c>
      <c r="S221" s="3">
        <f t="shared" si="182"/>
        <v>3.6313925240761297E-2</v>
      </c>
      <c r="T221" s="3">
        <f t="shared" si="182"/>
        <v>3.6313879228406572E-2</v>
      </c>
      <c r="U221" s="3">
        <f t="shared" si="182"/>
        <v>3.6313419108065806E-2</v>
      </c>
      <c r="V221" s="3">
        <f t="shared" si="182"/>
        <v>3.6308818225297246E-2</v>
      </c>
      <c r="W221" s="3">
        <f t="shared" si="182"/>
        <v>3.6262841446488753E-2</v>
      </c>
      <c r="X221" s="3">
        <f t="shared" si="182"/>
        <v>3.5806263571853354E-2</v>
      </c>
      <c r="Y221" s="3">
        <f t="shared" si="182"/>
        <v>3.1545014788155516E-2</v>
      </c>
      <c r="Z221" s="3">
        <f t="shared" si="182"/>
        <v>8.8848079891228303E-3</v>
      </c>
      <c r="AA221" s="3">
        <f t="shared" si="182"/>
        <v>2.7913941222611315E-8</v>
      </c>
      <c r="AB221" s="3">
        <f t="shared" si="182"/>
        <v>2.6154853399756019E-63</v>
      </c>
      <c r="AC221" s="3">
        <f t="shared" si="182"/>
        <v>0</v>
      </c>
      <c r="AD221" s="3">
        <f t="shared" si="182"/>
        <v>0</v>
      </c>
      <c r="AE221" s="3">
        <f t="shared" si="182"/>
        <v>0</v>
      </c>
      <c r="AF221" s="3">
        <f t="shared" si="182"/>
        <v>0</v>
      </c>
      <c r="AG221" s="3"/>
      <c r="AH221" s="3"/>
    </row>
    <row r="222" spans="1:34" x14ac:dyDescent="0.25">
      <c r="B222" s="3">
        <f t="shared" ref="B222:AF222" si="183">$C30*EXP(-B$207/$A30/EXP(-$D$126))</f>
        <v>4.1806327659667623E-2</v>
      </c>
      <c r="C222" s="3">
        <f t="shared" si="183"/>
        <v>4.1806327659667623E-2</v>
      </c>
      <c r="D222" s="3">
        <f t="shared" si="183"/>
        <v>4.1806327659667623E-2</v>
      </c>
      <c r="E222" s="3">
        <f t="shared" si="183"/>
        <v>4.1806327659667623E-2</v>
      </c>
      <c r="F222" s="3">
        <f t="shared" si="183"/>
        <v>4.1806327659667623E-2</v>
      </c>
      <c r="G222" s="3">
        <f t="shared" si="183"/>
        <v>4.1806327659667623E-2</v>
      </c>
      <c r="H222" s="3">
        <f t="shared" si="183"/>
        <v>4.1806327659667623E-2</v>
      </c>
      <c r="I222" s="3">
        <f t="shared" si="183"/>
        <v>4.1806327659667623E-2</v>
      </c>
      <c r="J222" s="3">
        <f t="shared" si="183"/>
        <v>4.1806327659667623E-2</v>
      </c>
      <c r="K222" s="3">
        <f t="shared" si="183"/>
        <v>4.1806327659667616E-2</v>
      </c>
      <c r="L222" s="3">
        <f t="shared" si="183"/>
        <v>4.1806327659667575E-2</v>
      </c>
      <c r="M222" s="3">
        <f t="shared" si="183"/>
        <v>4.1806327659667096E-2</v>
      </c>
      <c r="N222" s="3">
        <f t="shared" si="183"/>
        <v>4.1806327659662315E-2</v>
      </c>
      <c r="O222" s="3">
        <f t="shared" si="183"/>
        <v>4.1806327659614527E-2</v>
      </c>
      <c r="P222" s="3">
        <f t="shared" si="183"/>
        <v>4.180632765913668E-2</v>
      </c>
      <c r="Q222" s="3">
        <f t="shared" si="183"/>
        <v>4.1806327654358197E-2</v>
      </c>
      <c r="R222" s="3">
        <f t="shared" si="183"/>
        <v>4.1806327606573358E-2</v>
      </c>
      <c r="S222" s="3">
        <f t="shared" si="183"/>
        <v>4.1806327128724945E-2</v>
      </c>
      <c r="T222" s="3">
        <f t="shared" si="183"/>
        <v>4.1806322350241121E-2</v>
      </c>
      <c r="U222" s="3">
        <f t="shared" si="183"/>
        <v>4.1806274565432948E-2</v>
      </c>
      <c r="V222" s="3">
        <f t="shared" si="183"/>
        <v>4.1805796720355233E-2</v>
      </c>
      <c r="W222" s="3">
        <f t="shared" si="183"/>
        <v>4.180101856996464E-2</v>
      </c>
      <c r="X222" s="3">
        <f t="shared" si="183"/>
        <v>4.1753267092019437E-2</v>
      </c>
      <c r="Y222" s="3">
        <f t="shared" si="183"/>
        <v>4.1278742249032226E-2</v>
      </c>
      <c r="Z222" s="3">
        <f t="shared" si="183"/>
        <v>3.6820220041575542E-2</v>
      </c>
      <c r="AA222" s="3">
        <f t="shared" si="183"/>
        <v>1.1740473571462708E-2</v>
      </c>
      <c r="AB222" s="3">
        <f t="shared" si="183"/>
        <v>1.275492684595542E-7</v>
      </c>
      <c r="AC222" s="3">
        <f t="shared" si="183"/>
        <v>2.9214707386372418E-57</v>
      </c>
      <c r="AD222" s="3">
        <f t="shared" si="183"/>
        <v>0</v>
      </c>
      <c r="AE222" s="3">
        <f t="shared" si="183"/>
        <v>0</v>
      </c>
      <c r="AF222" s="3">
        <f t="shared" si="183"/>
        <v>0</v>
      </c>
      <c r="AG222" s="3"/>
      <c r="AH222" s="3"/>
    </row>
    <row r="223" spans="1:34" x14ac:dyDescent="0.25">
      <c r="B223" s="3">
        <f t="shared" ref="B223:AF223" si="184">$C31*EXP(-B$207/$A31/EXP(-$D$126))</f>
        <v>4.6977125912982913E-2</v>
      </c>
      <c r="C223" s="3">
        <f t="shared" si="184"/>
        <v>4.6977125912982913E-2</v>
      </c>
      <c r="D223" s="3">
        <f t="shared" si="184"/>
        <v>4.6977125912982913E-2</v>
      </c>
      <c r="E223" s="3">
        <f t="shared" si="184"/>
        <v>4.6977125912982913E-2</v>
      </c>
      <c r="F223" s="3">
        <f t="shared" si="184"/>
        <v>4.6977125912982913E-2</v>
      </c>
      <c r="G223" s="3">
        <f t="shared" si="184"/>
        <v>4.6977125912982913E-2</v>
      </c>
      <c r="H223" s="3">
        <f t="shared" si="184"/>
        <v>4.6977125912982913E-2</v>
      </c>
      <c r="I223" s="3">
        <f t="shared" si="184"/>
        <v>4.6977125912982913E-2</v>
      </c>
      <c r="J223" s="3">
        <f t="shared" si="184"/>
        <v>4.6977125912982913E-2</v>
      </c>
      <c r="K223" s="3">
        <f t="shared" si="184"/>
        <v>4.6977125912982913E-2</v>
      </c>
      <c r="L223" s="3">
        <f t="shared" si="184"/>
        <v>4.6977125912982906E-2</v>
      </c>
      <c r="M223" s="3">
        <f t="shared" si="184"/>
        <v>4.6977125912982858E-2</v>
      </c>
      <c r="N223" s="3">
        <f t="shared" si="184"/>
        <v>4.6977125912982379E-2</v>
      </c>
      <c r="O223" s="3">
        <f t="shared" si="184"/>
        <v>4.6977125912977528E-2</v>
      </c>
      <c r="P223" s="3">
        <f t="shared" si="184"/>
        <v>4.6977125912929095E-2</v>
      </c>
      <c r="Q223" s="3">
        <f t="shared" si="184"/>
        <v>4.6977125912444719E-2</v>
      </c>
      <c r="R223" s="3">
        <f t="shared" si="184"/>
        <v>4.6977125907600975E-2</v>
      </c>
      <c r="S223" s="3">
        <f t="shared" si="184"/>
        <v>4.6977125859163534E-2</v>
      </c>
      <c r="T223" s="3">
        <f t="shared" si="184"/>
        <v>4.697712537478916E-2</v>
      </c>
      <c r="U223" s="3">
        <f t="shared" si="184"/>
        <v>4.6977120531045663E-2</v>
      </c>
      <c r="V223" s="3">
        <f t="shared" si="184"/>
        <v>4.6977072093638182E-2</v>
      </c>
      <c r="W223" s="3">
        <f t="shared" si="184"/>
        <v>4.6976587722310177E-2</v>
      </c>
      <c r="X223" s="3">
        <f t="shared" si="184"/>
        <v>4.6971744283705825E-2</v>
      </c>
      <c r="Y223" s="3">
        <f t="shared" si="184"/>
        <v>4.6923337354751522E-2</v>
      </c>
      <c r="Z223" s="3">
        <f t="shared" si="184"/>
        <v>4.6442003328036524E-2</v>
      </c>
      <c r="AA223" s="3">
        <f t="shared" si="184"/>
        <v>4.1892035863034291E-2</v>
      </c>
      <c r="AB223" s="3">
        <f t="shared" si="184"/>
        <v>1.4939521261047693E-2</v>
      </c>
      <c r="AC223" s="3">
        <f t="shared" si="184"/>
        <v>4.9703711628348152E-7</v>
      </c>
      <c r="AD223" s="3">
        <f t="shared" si="184"/>
        <v>8.2586720992288644E-52</v>
      </c>
      <c r="AE223" s="3">
        <f t="shared" si="184"/>
        <v>0</v>
      </c>
      <c r="AF223" s="3">
        <f t="shared" si="184"/>
        <v>0</v>
      </c>
      <c r="AG223" s="3"/>
      <c r="AH223" s="3"/>
    </row>
    <row r="224" spans="1:34" x14ac:dyDescent="0.25">
      <c r="B224" s="3">
        <f t="shared" ref="B224:AF224" si="185">$C32*EXP(-B$207/$A32/EXP(-$D$126))</f>
        <v>6.4330039712108877E-2</v>
      </c>
      <c r="C224" s="3">
        <f t="shared" si="185"/>
        <v>6.4330039712108877E-2</v>
      </c>
      <c r="D224" s="3">
        <f t="shared" si="185"/>
        <v>6.4330039712108877E-2</v>
      </c>
      <c r="E224" s="3">
        <f t="shared" si="185"/>
        <v>6.4330039712108877E-2</v>
      </c>
      <c r="F224" s="3">
        <f t="shared" si="185"/>
        <v>6.4330039712108877E-2</v>
      </c>
      <c r="G224" s="3">
        <f t="shared" si="185"/>
        <v>6.4330039712108877E-2</v>
      </c>
      <c r="H224" s="3">
        <f t="shared" si="185"/>
        <v>6.4330039712108877E-2</v>
      </c>
      <c r="I224" s="3">
        <f t="shared" si="185"/>
        <v>6.4330039712108877E-2</v>
      </c>
      <c r="J224" s="3">
        <f t="shared" si="185"/>
        <v>6.4330039712108877E-2</v>
      </c>
      <c r="K224" s="3">
        <f t="shared" si="185"/>
        <v>6.4330039712108877E-2</v>
      </c>
      <c r="L224" s="3">
        <f t="shared" si="185"/>
        <v>6.4330039712108877E-2</v>
      </c>
      <c r="M224" s="3">
        <f t="shared" si="185"/>
        <v>6.4330039712108864E-2</v>
      </c>
      <c r="N224" s="3">
        <f t="shared" si="185"/>
        <v>6.4330039712108808E-2</v>
      </c>
      <c r="O224" s="3">
        <f t="shared" si="185"/>
        <v>6.4330039712108211E-2</v>
      </c>
      <c r="P224" s="3">
        <f t="shared" si="185"/>
        <v>6.433003971210223E-2</v>
      </c>
      <c r="Q224" s="3">
        <f t="shared" si="185"/>
        <v>6.4330039712042389E-2</v>
      </c>
      <c r="R224" s="3">
        <f t="shared" si="185"/>
        <v>6.4330039711444048E-2</v>
      </c>
      <c r="S224" s="3">
        <f t="shared" si="185"/>
        <v>6.4330039705460543E-2</v>
      </c>
      <c r="T224" s="3">
        <f t="shared" si="185"/>
        <v>6.4330039645625572E-2</v>
      </c>
      <c r="U224" s="3">
        <f t="shared" si="185"/>
        <v>6.43300390472758E-2</v>
      </c>
      <c r="V224" s="3">
        <f t="shared" si="185"/>
        <v>6.4330033063778394E-2</v>
      </c>
      <c r="W224" s="3">
        <f t="shared" si="185"/>
        <v>6.4329973228834977E-2</v>
      </c>
      <c r="X224" s="3">
        <f t="shared" si="185"/>
        <v>6.432937488246171E-2</v>
      </c>
      <c r="Y224" s="3">
        <f t="shared" si="185"/>
        <v>6.4323391724814424E-2</v>
      </c>
      <c r="Z224" s="3">
        <f t="shared" si="185"/>
        <v>6.4263590746344107E-2</v>
      </c>
      <c r="AA224" s="3">
        <f t="shared" si="185"/>
        <v>6.3668630257860889E-2</v>
      </c>
      <c r="AB224" s="3">
        <f t="shared" si="185"/>
        <v>5.8013716955750465E-2</v>
      </c>
      <c r="AC224" s="3">
        <f t="shared" si="185"/>
        <v>2.2886666533599782E-2</v>
      </c>
      <c r="AD224" s="3">
        <f t="shared" si="185"/>
        <v>2.0897822830947492E-6</v>
      </c>
      <c r="AE224" s="3">
        <f t="shared" si="185"/>
        <v>8.419495209315287E-47</v>
      </c>
      <c r="AF224" s="3">
        <f t="shared" si="185"/>
        <v>0</v>
      </c>
      <c r="AG224" s="3"/>
      <c r="AH224" s="3"/>
    </row>
    <row r="225" spans="2:34" x14ac:dyDescent="0.25">
      <c r="B225" s="3">
        <f t="shared" ref="B225:AF225" si="186">$C33*EXP(-B$207/$A33/EXP(-$D$126))</f>
        <v>7.1283808515689162E-2</v>
      </c>
      <c r="C225" s="3">
        <f t="shared" si="186"/>
        <v>7.1283808515689162E-2</v>
      </c>
      <c r="D225" s="3">
        <f t="shared" si="186"/>
        <v>7.1283808515689162E-2</v>
      </c>
      <c r="E225" s="3">
        <f t="shared" si="186"/>
        <v>7.1283808515689162E-2</v>
      </c>
      <c r="F225" s="3">
        <f t="shared" si="186"/>
        <v>7.1283808515689162E-2</v>
      </c>
      <c r="G225" s="3">
        <f t="shared" si="186"/>
        <v>7.1283808515689162E-2</v>
      </c>
      <c r="H225" s="3">
        <f t="shared" si="186"/>
        <v>7.1283808515689162E-2</v>
      </c>
      <c r="I225" s="3">
        <f t="shared" si="186"/>
        <v>7.1283808515689162E-2</v>
      </c>
      <c r="J225" s="3">
        <f t="shared" si="186"/>
        <v>7.1283808515689162E-2</v>
      </c>
      <c r="K225" s="3">
        <f t="shared" si="186"/>
        <v>7.1283808515689162E-2</v>
      </c>
      <c r="L225" s="3">
        <f t="shared" si="186"/>
        <v>7.1283808515689162E-2</v>
      </c>
      <c r="M225" s="3">
        <f t="shared" si="186"/>
        <v>7.1283808515689162E-2</v>
      </c>
      <c r="N225" s="3">
        <f t="shared" si="186"/>
        <v>7.1283808515689148E-2</v>
      </c>
      <c r="O225" s="3">
        <f t="shared" si="186"/>
        <v>7.1283808515689093E-2</v>
      </c>
      <c r="P225" s="3">
        <f t="shared" si="186"/>
        <v>7.1283808515688496E-2</v>
      </c>
      <c r="Q225" s="3">
        <f t="shared" si="186"/>
        <v>7.1283808515682515E-2</v>
      </c>
      <c r="R225" s="3">
        <f t="shared" si="186"/>
        <v>7.1283808515622701E-2</v>
      </c>
      <c r="S225" s="3">
        <f t="shared" si="186"/>
        <v>7.1283808515024596E-2</v>
      </c>
      <c r="T225" s="3">
        <f t="shared" si="186"/>
        <v>7.1283808509043534E-2</v>
      </c>
      <c r="U225" s="3">
        <f t="shared" si="186"/>
        <v>7.1283808449232836E-2</v>
      </c>
      <c r="V225" s="3">
        <f t="shared" si="186"/>
        <v>7.1283807851125966E-2</v>
      </c>
      <c r="W225" s="3">
        <f t="shared" si="186"/>
        <v>7.1283801870057478E-2</v>
      </c>
      <c r="X225" s="3">
        <f t="shared" si="186"/>
        <v>7.1283742059400163E-2</v>
      </c>
      <c r="Y225" s="3">
        <f t="shared" si="186"/>
        <v>7.1283143955587241E-2</v>
      </c>
      <c r="Z225" s="3">
        <f t="shared" si="186"/>
        <v>7.1277163193461349E-2</v>
      </c>
      <c r="AA225" s="3">
        <f t="shared" si="186"/>
        <v>7.1217383163974413E-2</v>
      </c>
      <c r="AB225" s="3">
        <f t="shared" si="186"/>
        <v>7.0622333499673451E-2</v>
      </c>
      <c r="AC225" s="3">
        <f t="shared" si="186"/>
        <v>6.4938548898495888E-2</v>
      </c>
      <c r="AD225" s="3">
        <f t="shared" si="186"/>
        <v>2.8061297190944898E-2</v>
      </c>
      <c r="AE225" s="3">
        <f t="shared" si="186"/>
        <v>6.3702925712691473E-6</v>
      </c>
      <c r="AF225" s="3">
        <f t="shared" si="186"/>
        <v>2.3156650131498436E-42</v>
      </c>
      <c r="AG225" s="3"/>
      <c r="AH225" s="3"/>
    </row>
    <row r="226" spans="2:34" x14ac:dyDescent="0.25">
      <c r="B226" s="3">
        <f t="shared" ref="B226:AF226" si="187">$C34*EXP(-B$207/$A34/EXP(-$D$126))</f>
        <v>6.5008577665533668E-2</v>
      </c>
      <c r="C226" s="3">
        <f t="shared" si="187"/>
        <v>6.5008577665533668E-2</v>
      </c>
      <c r="D226" s="3">
        <f t="shared" si="187"/>
        <v>6.5008577665533668E-2</v>
      </c>
      <c r="E226" s="3">
        <f t="shared" si="187"/>
        <v>6.5008577665533668E-2</v>
      </c>
      <c r="F226" s="3">
        <f t="shared" si="187"/>
        <v>6.5008577665533668E-2</v>
      </c>
      <c r="G226" s="3">
        <f t="shared" si="187"/>
        <v>6.5008577665533668E-2</v>
      </c>
      <c r="H226" s="3">
        <f t="shared" si="187"/>
        <v>6.5008577665533668E-2</v>
      </c>
      <c r="I226" s="3">
        <f t="shared" si="187"/>
        <v>6.5008577665533668E-2</v>
      </c>
      <c r="J226" s="3">
        <f t="shared" si="187"/>
        <v>6.5008577665533668E-2</v>
      </c>
      <c r="K226" s="3">
        <f t="shared" si="187"/>
        <v>6.5008577665533668E-2</v>
      </c>
      <c r="L226" s="3">
        <f t="shared" si="187"/>
        <v>6.5008577665533668E-2</v>
      </c>
      <c r="M226" s="3">
        <f t="shared" si="187"/>
        <v>6.5008577665533668E-2</v>
      </c>
      <c r="N226" s="3">
        <f t="shared" si="187"/>
        <v>6.5008577665533668E-2</v>
      </c>
      <c r="O226" s="3">
        <f t="shared" si="187"/>
        <v>6.5008577665533654E-2</v>
      </c>
      <c r="P226" s="3">
        <f t="shared" si="187"/>
        <v>6.5008577665533612E-2</v>
      </c>
      <c r="Q226" s="3">
        <f t="shared" si="187"/>
        <v>6.5008577665533113E-2</v>
      </c>
      <c r="R226" s="3">
        <f t="shared" si="187"/>
        <v>6.50085776655282E-2</v>
      </c>
      <c r="S226" s="3">
        <f t="shared" si="187"/>
        <v>6.5008577665478989E-2</v>
      </c>
      <c r="T226" s="3">
        <f t="shared" si="187"/>
        <v>6.5008577664986952E-2</v>
      </c>
      <c r="U226" s="3">
        <f t="shared" si="187"/>
        <v>6.5008577660066499E-2</v>
      </c>
      <c r="V226" s="3">
        <f t="shared" si="187"/>
        <v>6.5008577610861956E-2</v>
      </c>
      <c r="W226" s="3">
        <f t="shared" si="187"/>
        <v>6.500857711881658E-2</v>
      </c>
      <c r="X226" s="3">
        <f t="shared" si="187"/>
        <v>6.5008572198363007E-2</v>
      </c>
      <c r="Y226" s="3">
        <f t="shared" si="187"/>
        <v>6.5008522993847809E-2</v>
      </c>
      <c r="Z226" s="3">
        <f t="shared" si="187"/>
        <v>6.5008030950744131E-2</v>
      </c>
      <c r="AA226" s="3">
        <f t="shared" si="187"/>
        <v>6.5003110724535074E-2</v>
      </c>
      <c r="AB226" s="3">
        <f t="shared" si="187"/>
        <v>6.4953928939486094E-2</v>
      </c>
      <c r="AC226" s="3">
        <f t="shared" si="187"/>
        <v>6.4464153070136823E-2</v>
      </c>
      <c r="AD226" s="3">
        <f t="shared" si="187"/>
        <v>5.9764987851002135E-2</v>
      </c>
      <c r="AE226" s="3">
        <f t="shared" si="187"/>
        <v>2.8037054016352293E-2</v>
      </c>
      <c r="AF226" s="3">
        <f t="shared" si="187"/>
        <v>1.4473974604370542E-5</v>
      </c>
      <c r="AG226" s="3"/>
      <c r="AH226" s="3"/>
    </row>
    <row r="227" spans="2:34" x14ac:dyDescent="0.25">
      <c r="B227" s="3">
        <f t="shared" ref="B227:AF227" si="188">$C35*EXP(-B$207/$A35/EXP(-$D$126))</f>
        <v>4.954350168244695E-2</v>
      </c>
      <c r="C227" s="3">
        <f t="shared" si="188"/>
        <v>4.954350168244695E-2</v>
      </c>
      <c r="D227" s="3">
        <f t="shared" si="188"/>
        <v>4.954350168244695E-2</v>
      </c>
      <c r="E227" s="3">
        <f t="shared" si="188"/>
        <v>4.954350168244695E-2</v>
      </c>
      <c r="F227" s="3">
        <f t="shared" si="188"/>
        <v>4.954350168244695E-2</v>
      </c>
      <c r="G227" s="3">
        <f t="shared" si="188"/>
        <v>4.954350168244695E-2</v>
      </c>
      <c r="H227" s="3">
        <f t="shared" si="188"/>
        <v>4.954350168244695E-2</v>
      </c>
      <c r="I227" s="3">
        <f t="shared" si="188"/>
        <v>4.954350168244695E-2</v>
      </c>
      <c r="J227" s="3">
        <f t="shared" si="188"/>
        <v>4.954350168244695E-2</v>
      </c>
      <c r="K227" s="3">
        <f t="shared" si="188"/>
        <v>4.954350168244695E-2</v>
      </c>
      <c r="L227" s="3">
        <f t="shared" si="188"/>
        <v>4.954350168244695E-2</v>
      </c>
      <c r="M227" s="3">
        <f t="shared" si="188"/>
        <v>4.954350168244695E-2</v>
      </c>
      <c r="N227" s="3">
        <f t="shared" si="188"/>
        <v>4.954350168244695E-2</v>
      </c>
      <c r="O227" s="3">
        <f t="shared" si="188"/>
        <v>4.954350168244695E-2</v>
      </c>
      <c r="P227" s="3">
        <f t="shared" si="188"/>
        <v>4.9543501682446943E-2</v>
      </c>
      <c r="Q227" s="3">
        <f t="shared" si="188"/>
        <v>4.9543501682446908E-2</v>
      </c>
      <c r="R227" s="3">
        <f t="shared" si="188"/>
        <v>4.9543501682446575E-2</v>
      </c>
      <c r="S227" s="3">
        <f t="shared" si="188"/>
        <v>4.9543501682443196E-2</v>
      </c>
      <c r="T227" s="3">
        <f t="shared" si="188"/>
        <v>4.9543501682409369E-2</v>
      </c>
      <c r="U227" s="3">
        <f t="shared" si="188"/>
        <v>4.9543501682071091E-2</v>
      </c>
      <c r="V227" s="3">
        <f t="shared" si="188"/>
        <v>4.9543501678688352E-2</v>
      </c>
      <c r="W227" s="3">
        <f t="shared" si="188"/>
        <v>4.9543501644861022E-2</v>
      </c>
      <c r="X227" s="3">
        <f t="shared" si="188"/>
        <v>4.9543501306587676E-2</v>
      </c>
      <c r="Y227" s="3">
        <f t="shared" si="188"/>
        <v>4.9543497923854325E-2</v>
      </c>
      <c r="Z227" s="3">
        <f t="shared" si="188"/>
        <v>4.9543464096533492E-2</v>
      </c>
      <c r="AA227" s="3">
        <f t="shared" si="188"/>
        <v>4.9543125824595483E-2</v>
      </c>
      <c r="AB227" s="3">
        <f t="shared" si="188"/>
        <v>4.9539743232243409E-2</v>
      </c>
      <c r="AC227" s="3">
        <f t="shared" si="188"/>
        <v>4.9505930008311494E-2</v>
      </c>
      <c r="AD227" s="3">
        <f t="shared" si="188"/>
        <v>4.916906452543969E-2</v>
      </c>
      <c r="AE227" s="3">
        <f t="shared" si="188"/>
        <v>4.5923942757769849E-2</v>
      </c>
      <c r="AF227" s="3">
        <f t="shared" si="188"/>
        <v>2.3201249806971379E-2</v>
      </c>
      <c r="AG227" s="3"/>
      <c r="AH227" s="3"/>
    </row>
    <row r="228" spans="2:34" x14ac:dyDescent="0.25">
      <c r="B228" s="3">
        <f t="shared" ref="B228:AF228" si="189">$C36*EXP(-B$207/$A36/EXP(-$D$126))</f>
        <v>3.0281570029291476E-2</v>
      </c>
      <c r="C228" s="3">
        <f t="shared" si="189"/>
        <v>3.0281570029291476E-2</v>
      </c>
      <c r="D228" s="3">
        <f t="shared" si="189"/>
        <v>3.0281570029291476E-2</v>
      </c>
      <c r="E228" s="3">
        <f t="shared" si="189"/>
        <v>3.0281570029291476E-2</v>
      </c>
      <c r="F228" s="3">
        <f t="shared" si="189"/>
        <v>3.0281570029291476E-2</v>
      </c>
      <c r="G228" s="3">
        <f t="shared" si="189"/>
        <v>3.0281570029291476E-2</v>
      </c>
      <c r="H228" s="3">
        <f t="shared" si="189"/>
        <v>3.0281570029291476E-2</v>
      </c>
      <c r="I228" s="3">
        <f t="shared" si="189"/>
        <v>3.0281570029291476E-2</v>
      </c>
      <c r="J228" s="3">
        <f t="shared" si="189"/>
        <v>3.0281570029291476E-2</v>
      </c>
      <c r="K228" s="3">
        <f t="shared" si="189"/>
        <v>3.0281570029291476E-2</v>
      </c>
      <c r="L228" s="3">
        <f t="shared" si="189"/>
        <v>3.0281570029291476E-2</v>
      </c>
      <c r="M228" s="3">
        <f t="shared" si="189"/>
        <v>3.0281570029291476E-2</v>
      </c>
      <c r="N228" s="3">
        <f t="shared" si="189"/>
        <v>3.0281570029291476E-2</v>
      </c>
      <c r="O228" s="3">
        <f t="shared" si="189"/>
        <v>3.0281570029291476E-2</v>
      </c>
      <c r="P228" s="3">
        <f t="shared" si="189"/>
        <v>3.0281570029291476E-2</v>
      </c>
      <c r="Q228" s="3">
        <f t="shared" si="189"/>
        <v>3.0281570029291473E-2</v>
      </c>
      <c r="R228" s="3">
        <f t="shared" si="189"/>
        <v>3.0281570029291455E-2</v>
      </c>
      <c r="S228" s="3">
        <f t="shared" si="189"/>
        <v>3.0281570029291268E-2</v>
      </c>
      <c r="T228" s="3">
        <f t="shared" si="189"/>
        <v>3.0281570029289405E-2</v>
      </c>
      <c r="U228" s="3">
        <f t="shared" si="189"/>
        <v>3.0281570029270753E-2</v>
      </c>
      <c r="V228" s="3">
        <f t="shared" si="189"/>
        <v>3.0281570029084239E-2</v>
      </c>
      <c r="W228" s="3">
        <f t="shared" si="189"/>
        <v>3.0281570027219127E-2</v>
      </c>
      <c r="X228" s="3">
        <f t="shared" si="189"/>
        <v>3.0281570008567953E-2</v>
      </c>
      <c r="Y228" s="3">
        <f t="shared" si="189"/>
        <v>3.0281569822056265E-2</v>
      </c>
      <c r="Z228" s="3">
        <f t="shared" si="189"/>
        <v>3.0281567956939402E-2</v>
      </c>
      <c r="AA228" s="3">
        <f t="shared" si="189"/>
        <v>3.0281549305777117E-2</v>
      </c>
      <c r="AB228" s="3">
        <f t="shared" si="189"/>
        <v>3.0281362794786108E-2</v>
      </c>
      <c r="AC228" s="3">
        <f t="shared" si="189"/>
        <v>3.0279497748056845E-2</v>
      </c>
      <c r="AD228" s="3">
        <f t="shared" si="189"/>
        <v>3.0260853597409158E-2</v>
      </c>
      <c r="AE228" s="3">
        <f t="shared" si="189"/>
        <v>3.0075042318280572E-2</v>
      </c>
      <c r="AF228" s="3">
        <f t="shared" si="189"/>
        <v>2.8278539378653246E-2</v>
      </c>
      <c r="AG228" s="3"/>
      <c r="AH228" s="3"/>
    </row>
    <row r="229" spans="2:34" x14ac:dyDescent="0.25">
      <c r="B229" s="3">
        <f t="shared" ref="B229:AF229" si="190">$C37*EXP(-B$207/$A37/EXP(-$D$126))</f>
        <v>1.5838845962715554E-2</v>
      </c>
      <c r="C229" s="3">
        <f t="shared" si="190"/>
        <v>1.5838845962715554E-2</v>
      </c>
      <c r="D229" s="3">
        <f t="shared" si="190"/>
        <v>1.5838845962715554E-2</v>
      </c>
      <c r="E229" s="3">
        <f t="shared" si="190"/>
        <v>1.5838845962715554E-2</v>
      </c>
      <c r="F229" s="3">
        <f t="shared" si="190"/>
        <v>1.5838845962715554E-2</v>
      </c>
      <c r="G229" s="3">
        <f t="shared" si="190"/>
        <v>1.5838845962715554E-2</v>
      </c>
      <c r="H229" s="3">
        <f t="shared" si="190"/>
        <v>1.5838845962715554E-2</v>
      </c>
      <c r="I229" s="3">
        <f t="shared" si="190"/>
        <v>1.5838845962715554E-2</v>
      </c>
      <c r="J229" s="3">
        <f t="shared" si="190"/>
        <v>1.5838845962715554E-2</v>
      </c>
      <c r="K229" s="3">
        <f t="shared" si="190"/>
        <v>1.5838845962715554E-2</v>
      </c>
      <c r="L229" s="3">
        <f t="shared" si="190"/>
        <v>1.5838845962715554E-2</v>
      </c>
      <c r="M229" s="3">
        <f t="shared" si="190"/>
        <v>1.5838845962715554E-2</v>
      </c>
      <c r="N229" s="3">
        <f t="shared" si="190"/>
        <v>1.5838845962715554E-2</v>
      </c>
      <c r="O229" s="3">
        <f t="shared" si="190"/>
        <v>1.5838845962715554E-2</v>
      </c>
      <c r="P229" s="3">
        <f t="shared" si="190"/>
        <v>1.5838845962715554E-2</v>
      </c>
      <c r="Q229" s="3">
        <f t="shared" si="190"/>
        <v>1.5838845962715554E-2</v>
      </c>
      <c r="R229" s="3">
        <f t="shared" si="190"/>
        <v>1.583884596271555E-2</v>
      </c>
      <c r="S229" s="3">
        <f t="shared" si="190"/>
        <v>1.5838845962715543E-2</v>
      </c>
      <c r="T229" s="3">
        <f t="shared" si="190"/>
        <v>1.5838845962715457E-2</v>
      </c>
      <c r="U229" s="3">
        <f t="shared" si="190"/>
        <v>1.5838845962714575E-2</v>
      </c>
      <c r="V229" s="3">
        <f t="shared" si="190"/>
        <v>1.5838845962705773E-2</v>
      </c>
      <c r="W229" s="3">
        <f t="shared" si="190"/>
        <v>1.5838845962617771E-2</v>
      </c>
      <c r="X229" s="3">
        <f t="shared" si="190"/>
        <v>1.5838845961737742E-2</v>
      </c>
      <c r="Y229" s="3">
        <f t="shared" si="190"/>
        <v>1.5838845952937435E-2</v>
      </c>
      <c r="Z229" s="3">
        <f t="shared" si="190"/>
        <v>1.5838845864934371E-2</v>
      </c>
      <c r="AA229" s="3">
        <f t="shared" si="190"/>
        <v>1.5838844984903743E-2</v>
      </c>
      <c r="AB229" s="3">
        <f t="shared" si="190"/>
        <v>1.5838836184600153E-2</v>
      </c>
      <c r="AC229" s="3">
        <f t="shared" si="190"/>
        <v>1.5838748181833204E-2</v>
      </c>
      <c r="AD229" s="3">
        <f t="shared" si="190"/>
        <v>1.5837868181055818E-2</v>
      </c>
      <c r="AE229" s="3">
        <f t="shared" si="190"/>
        <v>1.5829070861939909E-2</v>
      </c>
      <c r="AF229" s="3">
        <f t="shared" si="190"/>
        <v>1.5741365984671914E-2</v>
      </c>
      <c r="AG229" s="3"/>
      <c r="AH229" s="3"/>
    </row>
    <row r="230" spans="2:34" x14ac:dyDescent="0.25">
      <c r="B230" s="3">
        <f t="shared" ref="B230:AF230" si="191">$C38*EXP(-B$207/$A38/EXP(-$D$126))</f>
        <v>5.1881409706128322E-3</v>
      </c>
      <c r="C230" s="3">
        <f t="shared" si="191"/>
        <v>5.1881409706128322E-3</v>
      </c>
      <c r="D230" s="3">
        <f t="shared" si="191"/>
        <v>5.1881409706128322E-3</v>
      </c>
      <c r="E230" s="3">
        <f t="shared" si="191"/>
        <v>5.1881409706128322E-3</v>
      </c>
      <c r="F230" s="3">
        <f t="shared" si="191"/>
        <v>5.1881409706128322E-3</v>
      </c>
      <c r="G230" s="3">
        <f t="shared" si="191"/>
        <v>5.1881409706128322E-3</v>
      </c>
      <c r="H230" s="3">
        <f t="shared" si="191"/>
        <v>5.1881409706128322E-3</v>
      </c>
      <c r="I230" s="3">
        <f t="shared" si="191"/>
        <v>5.1881409706128322E-3</v>
      </c>
      <c r="J230" s="3">
        <f t="shared" si="191"/>
        <v>5.1881409706128322E-3</v>
      </c>
      <c r="K230" s="3">
        <f t="shared" si="191"/>
        <v>5.1881409706128322E-3</v>
      </c>
      <c r="L230" s="3">
        <f t="shared" si="191"/>
        <v>5.1881409706128322E-3</v>
      </c>
      <c r="M230" s="3">
        <f t="shared" si="191"/>
        <v>5.1881409706128322E-3</v>
      </c>
      <c r="N230" s="3">
        <f t="shared" si="191"/>
        <v>5.1881409706128322E-3</v>
      </c>
      <c r="O230" s="3">
        <f t="shared" si="191"/>
        <v>5.1881409706128322E-3</v>
      </c>
      <c r="P230" s="3">
        <f t="shared" si="191"/>
        <v>5.1881409706128322E-3</v>
      </c>
      <c r="Q230" s="3">
        <f t="shared" si="191"/>
        <v>5.1881409706128322E-3</v>
      </c>
      <c r="R230" s="3">
        <f t="shared" si="191"/>
        <v>5.1881409706128322E-3</v>
      </c>
      <c r="S230" s="3">
        <f t="shared" si="191"/>
        <v>5.1881409706128314E-3</v>
      </c>
      <c r="T230" s="3">
        <f t="shared" si="191"/>
        <v>5.1881409706128296E-3</v>
      </c>
      <c r="U230" s="3">
        <f t="shared" si="191"/>
        <v>5.1881409706128036E-3</v>
      </c>
      <c r="V230" s="3">
        <f t="shared" si="191"/>
        <v>5.1881409706125434E-3</v>
      </c>
      <c r="W230" s="3">
        <f t="shared" si="191"/>
        <v>5.1881409706099431E-3</v>
      </c>
      <c r="X230" s="3">
        <f t="shared" si="191"/>
        <v>5.1881409705839395E-3</v>
      </c>
      <c r="Y230" s="3">
        <f t="shared" si="191"/>
        <v>5.1881409703239036E-3</v>
      </c>
      <c r="Z230" s="3">
        <f t="shared" si="191"/>
        <v>5.1881409677235488E-3</v>
      </c>
      <c r="AA230" s="3">
        <f t="shared" si="191"/>
        <v>5.1881409417199997E-3</v>
      </c>
      <c r="AB230" s="3">
        <f t="shared" si="191"/>
        <v>5.1881406816845178E-3</v>
      </c>
      <c r="AC230" s="3">
        <f t="shared" si="191"/>
        <v>5.1881380813304104E-3</v>
      </c>
      <c r="AD230" s="3">
        <f t="shared" si="191"/>
        <v>5.1881120778610214E-3</v>
      </c>
      <c r="AE230" s="3">
        <f t="shared" si="191"/>
        <v>5.1878520503352852E-3</v>
      </c>
      <c r="AF230" s="3">
        <f t="shared" si="191"/>
        <v>5.1852524917602319E-3</v>
      </c>
      <c r="AG230" s="3"/>
      <c r="AH230" s="3"/>
    </row>
    <row r="231" spans="2:34" x14ac:dyDescent="0.25">
      <c r="B231" s="3">
        <f t="shared" ref="B231:AF231" si="192">$C39*EXP(-B$207/$A39/EXP(-$D$126))</f>
        <v>3.8617191328215671E-3</v>
      </c>
      <c r="C231" s="3">
        <f t="shared" si="192"/>
        <v>3.8617191328215671E-3</v>
      </c>
      <c r="D231" s="3">
        <f t="shared" si="192"/>
        <v>3.8617191328215671E-3</v>
      </c>
      <c r="E231" s="3">
        <f t="shared" si="192"/>
        <v>3.8617191328215671E-3</v>
      </c>
      <c r="F231" s="3">
        <f t="shared" si="192"/>
        <v>3.8617191328215671E-3</v>
      </c>
      <c r="G231" s="3">
        <f t="shared" si="192"/>
        <v>3.8617191328215671E-3</v>
      </c>
      <c r="H231" s="3">
        <f t="shared" si="192"/>
        <v>3.8617191328215671E-3</v>
      </c>
      <c r="I231" s="3">
        <f t="shared" si="192"/>
        <v>3.8617191328215671E-3</v>
      </c>
      <c r="J231" s="3">
        <f t="shared" si="192"/>
        <v>3.8617191328215671E-3</v>
      </c>
      <c r="K231" s="3">
        <f t="shared" si="192"/>
        <v>3.8617191328215671E-3</v>
      </c>
      <c r="L231" s="3">
        <f t="shared" si="192"/>
        <v>3.8617191328215671E-3</v>
      </c>
      <c r="M231" s="3">
        <f t="shared" si="192"/>
        <v>3.8617191328215671E-3</v>
      </c>
      <c r="N231" s="3">
        <f t="shared" si="192"/>
        <v>3.8617191328215671E-3</v>
      </c>
      <c r="O231" s="3">
        <f t="shared" si="192"/>
        <v>3.8617191328215671E-3</v>
      </c>
      <c r="P231" s="3">
        <f t="shared" si="192"/>
        <v>3.8617191328215671E-3</v>
      </c>
      <c r="Q231" s="3">
        <f t="shared" si="192"/>
        <v>3.8617191328215671E-3</v>
      </c>
      <c r="R231" s="3">
        <f t="shared" si="192"/>
        <v>3.8617191328215671E-3</v>
      </c>
      <c r="S231" s="3">
        <f t="shared" si="192"/>
        <v>3.8617191328215671E-3</v>
      </c>
      <c r="T231" s="3">
        <f t="shared" si="192"/>
        <v>3.8617191328215667E-3</v>
      </c>
      <c r="U231" s="3">
        <f t="shared" si="192"/>
        <v>3.861719132821561E-3</v>
      </c>
      <c r="V231" s="3">
        <f t="shared" si="192"/>
        <v>3.8617191328215077E-3</v>
      </c>
      <c r="W231" s="3">
        <f t="shared" si="192"/>
        <v>3.8617191328209725E-3</v>
      </c>
      <c r="X231" s="3">
        <f t="shared" si="192"/>
        <v>3.8617191328156192E-3</v>
      </c>
      <c r="Y231" s="3">
        <f t="shared" si="192"/>
        <v>3.8617191327620874E-3</v>
      </c>
      <c r="Z231" s="3">
        <f t="shared" si="192"/>
        <v>3.8617191322267656E-3</v>
      </c>
      <c r="AA231" s="3">
        <f t="shared" si="192"/>
        <v>3.8617191268735546E-3</v>
      </c>
      <c r="AB231" s="3">
        <f t="shared" si="192"/>
        <v>3.8617190733414397E-3</v>
      </c>
      <c r="AC231" s="3">
        <f t="shared" si="192"/>
        <v>3.8617185380203341E-3</v>
      </c>
      <c r="AD231" s="3">
        <f t="shared" si="192"/>
        <v>3.8617131848133557E-3</v>
      </c>
      <c r="AE231" s="3">
        <f t="shared" si="192"/>
        <v>3.8616596531517193E-3</v>
      </c>
      <c r="AF231" s="3">
        <f t="shared" si="192"/>
        <v>3.8611243773471783E-3</v>
      </c>
      <c r="AG231" s="3"/>
      <c r="AH231" s="3"/>
    </row>
    <row r="232" spans="2:34" x14ac:dyDescent="0.25">
      <c r="B232" s="3">
        <f t="shared" ref="B232:AF232" si="193">$C40*EXP(-B$207/$A40/EXP(-$D$126))</f>
        <v>3.0600017424879029E-3</v>
      </c>
      <c r="C232" s="3">
        <f t="shared" si="193"/>
        <v>3.0600017424879029E-3</v>
      </c>
      <c r="D232" s="3">
        <f t="shared" si="193"/>
        <v>3.0600017424879029E-3</v>
      </c>
      <c r="E232" s="3">
        <f t="shared" si="193"/>
        <v>3.0600017424879029E-3</v>
      </c>
      <c r="F232" s="3">
        <f t="shared" si="193"/>
        <v>3.0600017424879029E-3</v>
      </c>
      <c r="G232" s="3">
        <f t="shared" si="193"/>
        <v>3.0600017424879029E-3</v>
      </c>
      <c r="H232" s="3">
        <f t="shared" si="193"/>
        <v>3.0600017424879029E-3</v>
      </c>
      <c r="I232" s="3">
        <f t="shared" si="193"/>
        <v>3.0600017424879029E-3</v>
      </c>
      <c r="J232" s="3">
        <f t="shared" si="193"/>
        <v>3.0600017424879029E-3</v>
      </c>
      <c r="K232" s="3">
        <f t="shared" si="193"/>
        <v>3.0600017424879029E-3</v>
      </c>
      <c r="L232" s="3">
        <f t="shared" si="193"/>
        <v>3.0600017424879029E-3</v>
      </c>
      <c r="M232" s="3">
        <f t="shared" si="193"/>
        <v>3.0600017424879029E-3</v>
      </c>
      <c r="N232" s="3">
        <f t="shared" si="193"/>
        <v>3.0600017424879029E-3</v>
      </c>
      <c r="O232" s="3">
        <f t="shared" si="193"/>
        <v>3.0600017424879029E-3</v>
      </c>
      <c r="P232" s="3">
        <f t="shared" si="193"/>
        <v>3.0600017424879029E-3</v>
      </c>
      <c r="Q232" s="3">
        <f t="shared" si="193"/>
        <v>3.0600017424879029E-3</v>
      </c>
      <c r="R232" s="3">
        <f t="shared" si="193"/>
        <v>3.0600017424879029E-3</v>
      </c>
      <c r="S232" s="3">
        <f t="shared" si="193"/>
        <v>3.0600017424879029E-3</v>
      </c>
      <c r="T232" s="3">
        <f t="shared" si="193"/>
        <v>3.0600017424879029E-3</v>
      </c>
      <c r="U232" s="3">
        <f t="shared" si="193"/>
        <v>3.0600017424879025E-3</v>
      </c>
      <c r="V232" s="3">
        <f t="shared" si="193"/>
        <v>3.0600017424878981E-3</v>
      </c>
      <c r="W232" s="3">
        <f t="shared" si="193"/>
        <v>3.0600017424878556E-3</v>
      </c>
      <c r="X232" s="3">
        <f t="shared" si="193"/>
        <v>3.0600017424874315E-3</v>
      </c>
      <c r="Y232" s="3">
        <f t="shared" si="193"/>
        <v>3.0600017424831896E-3</v>
      </c>
      <c r="Z232" s="3">
        <f t="shared" si="193"/>
        <v>3.0600017424407713E-3</v>
      </c>
      <c r="AA232" s="3">
        <f t="shared" si="193"/>
        <v>3.0600017420165859E-3</v>
      </c>
      <c r="AB232" s="3">
        <f t="shared" si="193"/>
        <v>3.0600017377747355E-3</v>
      </c>
      <c r="AC232" s="3">
        <f t="shared" si="193"/>
        <v>3.0600016953562272E-3</v>
      </c>
      <c r="AD232" s="3">
        <f t="shared" si="193"/>
        <v>3.060001271171179E-3</v>
      </c>
      <c r="AE232" s="3">
        <f t="shared" si="193"/>
        <v>3.0599970293239301E-3</v>
      </c>
      <c r="AF232" s="3">
        <f t="shared" si="193"/>
        <v>3.0599546111748487E-3</v>
      </c>
      <c r="AG232" s="3"/>
      <c r="AH232" s="3"/>
    </row>
    <row r="233" spans="2:34" x14ac:dyDescent="0.25">
      <c r="B233" s="3">
        <f t="shared" ref="B233:AF233" si="194">$C41*EXP(-B$207/$A41/EXP(-$D$126))</f>
        <v>1.8593150246318942E-3</v>
      </c>
      <c r="C233" s="3">
        <f t="shared" si="194"/>
        <v>1.8593150246318942E-3</v>
      </c>
      <c r="D233" s="3">
        <f t="shared" si="194"/>
        <v>1.8593150246318942E-3</v>
      </c>
      <c r="E233" s="3">
        <f t="shared" si="194"/>
        <v>1.8593150246318942E-3</v>
      </c>
      <c r="F233" s="3">
        <f t="shared" si="194"/>
        <v>1.8593150246318942E-3</v>
      </c>
      <c r="G233" s="3">
        <f t="shared" si="194"/>
        <v>1.8593150246318942E-3</v>
      </c>
      <c r="H233" s="3">
        <f t="shared" si="194"/>
        <v>1.8593150246318942E-3</v>
      </c>
      <c r="I233" s="3">
        <f t="shared" si="194"/>
        <v>1.8593150246318942E-3</v>
      </c>
      <c r="J233" s="3">
        <f t="shared" si="194"/>
        <v>1.8593150246318942E-3</v>
      </c>
      <c r="K233" s="3">
        <f t="shared" si="194"/>
        <v>1.8593150246318942E-3</v>
      </c>
      <c r="L233" s="3">
        <f t="shared" si="194"/>
        <v>1.8593150246318942E-3</v>
      </c>
      <c r="M233" s="3">
        <f t="shared" si="194"/>
        <v>1.8593150246318942E-3</v>
      </c>
      <c r="N233" s="3">
        <f t="shared" si="194"/>
        <v>1.8593150246318942E-3</v>
      </c>
      <c r="O233" s="3">
        <f t="shared" si="194"/>
        <v>1.8593150246318942E-3</v>
      </c>
      <c r="P233" s="3">
        <f t="shared" si="194"/>
        <v>1.8593150246318942E-3</v>
      </c>
      <c r="Q233" s="3">
        <f t="shared" si="194"/>
        <v>1.8593150246318942E-3</v>
      </c>
      <c r="R233" s="3">
        <f t="shared" si="194"/>
        <v>1.8593150246318942E-3</v>
      </c>
      <c r="S233" s="3">
        <f t="shared" si="194"/>
        <v>1.8593150246318942E-3</v>
      </c>
      <c r="T233" s="3">
        <f t="shared" si="194"/>
        <v>1.8593150246318942E-3</v>
      </c>
      <c r="U233" s="3">
        <f t="shared" si="194"/>
        <v>1.8593150246318942E-3</v>
      </c>
      <c r="V233" s="3">
        <f t="shared" si="194"/>
        <v>1.859315024631894E-3</v>
      </c>
      <c r="W233" s="3">
        <f t="shared" si="194"/>
        <v>1.8593150246318914E-3</v>
      </c>
      <c r="X233" s="3">
        <f t="shared" si="194"/>
        <v>1.8593150246318656E-3</v>
      </c>
      <c r="Y233" s="3">
        <f t="shared" si="194"/>
        <v>1.859315024631608E-3</v>
      </c>
      <c r="Z233" s="3">
        <f t="shared" si="194"/>
        <v>1.8593150246290304E-3</v>
      </c>
      <c r="AA233" s="3">
        <f t="shared" si="194"/>
        <v>1.8593150246032561E-3</v>
      </c>
      <c r="AB233" s="3">
        <f t="shared" si="194"/>
        <v>1.8593150243455133E-3</v>
      </c>
      <c r="AC233" s="3">
        <f t="shared" si="194"/>
        <v>1.8593150217680844E-3</v>
      </c>
      <c r="AD233" s="3">
        <f t="shared" si="194"/>
        <v>1.8593149959937954E-3</v>
      </c>
      <c r="AE233" s="3">
        <f t="shared" si="194"/>
        <v>1.8593147382509247E-3</v>
      </c>
      <c r="AF233" s="3">
        <f t="shared" si="194"/>
        <v>1.8593121608241824E-3</v>
      </c>
      <c r="AG233" s="3"/>
      <c r="AH233" s="3"/>
    </row>
    <row r="234" spans="2:34" x14ac:dyDescent="0.25">
      <c r="B234" s="3">
        <f t="shared" ref="B234:AF234" si="195">$C42*EXP(-B$207/$A42/EXP(-$D$126))</f>
        <v>1.0289911498978865E-4</v>
      </c>
      <c r="C234" s="3">
        <f t="shared" si="195"/>
        <v>1.0289911498978865E-4</v>
      </c>
      <c r="D234" s="3">
        <f t="shared" si="195"/>
        <v>1.0289911498978865E-4</v>
      </c>
      <c r="E234" s="3">
        <f t="shared" si="195"/>
        <v>1.0289911498978865E-4</v>
      </c>
      <c r="F234" s="3">
        <f t="shared" si="195"/>
        <v>1.0289911498978865E-4</v>
      </c>
      <c r="G234" s="3">
        <f t="shared" si="195"/>
        <v>1.0289911498978865E-4</v>
      </c>
      <c r="H234" s="3">
        <f t="shared" si="195"/>
        <v>1.0289911498978865E-4</v>
      </c>
      <c r="I234" s="3">
        <f t="shared" si="195"/>
        <v>1.0289911498978865E-4</v>
      </c>
      <c r="J234" s="3">
        <f t="shared" si="195"/>
        <v>1.0289911498978865E-4</v>
      </c>
      <c r="K234" s="3">
        <f t="shared" si="195"/>
        <v>1.0289911498978865E-4</v>
      </c>
      <c r="L234" s="3">
        <f t="shared" si="195"/>
        <v>1.0289911498978865E-4</v>
      </c>
      <c r="M234" s="3">
        <f t="shared" si="195"/>
        <v>1.0289911498978865E-4</v>
      </c>
      <c r="N234" s="3">
        <f t="shared" si="195"/>
        <v>1.0289911498978865E-4</v>
      </c>
      <c r="O234" s="3">
        <f t="shared" si="195"/>
        <v>1.0289911498978865E-4</v>
      </c>
      <c r="P234" s="3">
        <f t="shared" si="195"/>
        <v>1.0289911498978865E-4</v>
      </c>
      <c r="Q234" s="3">
        <f t="shared" si="195"/>
        <v>1.0289911498978865E-4</v>
      </c>
      <c r="R234" s="3">
        <f t="shared" si="195"/>
        <v>1.0289911498978865E-4</v>
      </c>
      <c r="S234" s="3">
        <f t="shared" si="195"/>
        <v>1.0289911498978865E-4</v>
      </c>
      <c r="T234" s="3">
        <f t="shared" si="195"/>
        <v>1.0289911498978865E-4</v>
      </c>
      <c r="U234" s="3">
        <f t="shared" si="195"/>
        <v>1.0289911498978865E-4</v>
      </c>
      <c r="V234" s="3">
        <f t="shared" si="195"/>
        <v>1.0289911498978865E-4</v>
      </c>
      <c r="W234" s="3">
        <f t="shared" si="195"/>
        <v>1.0289911498978864E-4</v>
      </c>
      <c r="X234" s="3">
        <f t="shared" si="195"/>
        <v>1.0289911498978849E-4</v>
      </c>
      <c r="Y234" s="3">
        <f t="shared" si="195"/>
        <v>1.0289911498978707E-4</v>
      </c>
      <c r="Z234" s="3">
        <f t="shared" si="195"/>
        <v>1.0289911498977281E-4</v>
      </c>
      <c r="AA234" s="3">
        <f t="shared" si="195"/>
        <v>1.0289911498963017E-4</v>
      </c>
      <c r="AB234" s="3">
        <f t="shared" si="195"/>
        <v>1.0289911498820375E-4</v>
      </c>
      <c r="AC234" s="3">
        <f t="shared" si="195"/>
        <v>1.0289911497393961E-4</v>
      </c>
      <c r="AD234" s="3">
        <f t="shared" si="195"/>
        <v>1.028991148312983E-4</v>
      </c>
      <c r="AE234" s="3">
        <f t="shared" si="195"/>
        <v>1.0289911340488507E-4</v>
      </c>
      <c r="AF234" s="3">
        <f t="shared" si="195"/>
        <v>1.0289909914075396E-4</v>
      </c>
      <c r="AG234" s="3"/>
      <c r="AH234" s="3"/>
    </row>
    <row r="235" spans="2:34" x14ac:dyDescent="0.25">
      <c r="B235" s="3">
        <f t="shared" ref="B235:AF235" si="196">$C43*EXP(-B$207/$A43/EXP(-$D$126))</f>
        <v>3.4301074619822757E-3</v>
      </c>
      <c r="C235" s="3">
        <f t="shared" si="196"/>
        <v>3.4301074619822757E-3</v>
      </c>
      <c r="D235" s="3">
        <f t="shared" si="196"/>
        <v>3.4301074619822757E-3</v>
      </c>
      <c r="E235" s="3">
        <f t="shared" si="196"/>
        <v>3.4301074619822757E-3</v>
      </c>
      <c r="F235" s="3">
        <f t="shared" si="196"/>
        <v>3.4301074619822757E-3</v>
      </c>
      <c r="G235" s="3">
        <f t="shared" si="196"/>
        <v>3.4301074619822757E-3</v>
      </c>
      <c r="H235" s="3">
        <f t="shared" si="196"/>
        <v>3.4301074619822757E-3</v>
      </c>
      <c r="I235" s="3">
        <f t="shared" si="196"/>
        <v>3.4301074619822757E-3</v>
      </c>
      <c r="J235" s="3">
        <f t="shared" si="196"/>
        <v>3.4301074619822757E-3</v>
      </c>
      <c r="K235" s="3">
        <f t="shared" si="196"/>
        <v>3.4301074619822757E-3</v>
      </c>
      <c r="L235" s="3">
        <f t="shared" si="196"/>
        <v>3.4301074619822757E-3</v>
      </c>
      <c r="M235" s="3">
        <f t="shared" si="196"/>
        <v>3.4301074619822757E-3</v>
      </c>
      <c r="N235" s="3">
        <f t="shared" si="196"/>
        <v>3.4301074619822757E-3</v>
      </c>
      <c r="O235" s="3">
        <f t="shared" si="196"/>
        <v>3.4301074619822757E-3</v>
      </c>
      <c r="P235" s="3">
        <f t="shared" si="196"/>
        <v>3.4301074619822757E-3</v>
      </c>
      <c r="Q235" s="3">
        <f t="shared" si="196"/>
        <v>3.4301074619822757E-3</v>
      </c>
      <c r="R235" s="3">
        <f t="shared" si="196"/>
        <v>3.4301074619822757E-3</v>
      </c>
      <c r="S235" s="3">
        <f t="shared" si="196"/>
        <v>3.4301074619822757E-3</v>
      </c>
      <c r="T235" s="3">
        <f t="shared" si="196"/>
        <v>3.4301074619822757E-3</v>
      </c>
      <c r="U235" s="3">
        <f t="shared" si="196"/>
        <v>3.4301074619822757E-3</v>
      </c>
      <c r="V235" s="3">
        <f t="shared" si="196"/>
        <v>3.4301074619822757E-3</v>
      </c>
      <c r="W235" s="3">
        <f t="shared" si="196"/>
        <v>3.4301074619822757E-3</v>
      </c>
      <c r="X235" s="3">
        <f t="shared" si="196"/>
        <v>3.4301074619822753E-3</v>
      </c>
      <c r="Y235" s="3">
        <f t="shared" si="196"/>
        <v>3.4301074619822705E-3</v>
      </c>
      <c r="Z235" s="3">
        <f t="shared" si="196"/>
        <v>3.4301074619822228E-3</v>
      </c>
      <c r="AA235" s="3">
        <f t="shared" si="196"/>
        <v>3.4301074619817475E-3</v>
      </c>
      <c r="AB235" s="3">
        <f t="shared" si="196"/>
        <v>3.4301074619769926E-3</v>
      </c>
      <c r="AC235" s="3">
        <f t="shared" si="196"/>
        <v>3.4301074619294439E-3</v>
      </c>
      <c r="AD235" s="3">
        <f t="shared" si="196"/>
        <v>3.4301074614539536E-3</v>
      </c>
      <c r="AE235" s="3">
        <f t="shared" si="196"/>
        <v>3.4301074566990531E-3</v>
      </c>
      <c r="AF235" s="3">
        <f t="shared" si="196"/>
        <v>3.4301074091500467E-3</v>
      </c>
      <c r="AG235" s="3"/>
      <c r="AH235" s="3"/>
    </row>
    <row r="236" spans="2:34" x14ac:dyDescent="0.25">
      <c r="B236" s="3">
        <f t="shared" ref="B236:AF236" si="197">$C44*EXP(-B$207/$A44/EXP(-$D$126))</f>
        <v>1.0099566360327609E-4</v>
      </c>
      <c r="C236" s="3">
        <f t="shared" si="197"/>
        <v>1.0099566360327609E-4</v>
      </c>
      <c r="D236" s="3">
        <f t="shared" si="197"/>
        <v>1.0099566360327609E-4</v>
      </c>
      <c r="E236" s="3">
        <f t="shared" si="197"/>
        <v>1.0099566360327609E-4</v>
      </c>
      <c r="F236" s="3">
        <f t="shared" si="197"/>
        <v>1.0099566360327609E-4</v>
      </c>
      <c r="G236" s="3">
        <f t="shared" si="197"/>
        <v>1.0099566360327609E-4</v>
      </c>
      <c r="H236" s="3">
        <f t="shared" si="197"/>
        <v>1.0099566360327609E-4</v>
      </c>
      <c r="I236" s="3">
        <f t="shared" si="197"/>
        <v>1.0099566360327609E-4</v>
      </c>
      <c r="J236" s="3">
        <f t="shared" si="197"/>
        <v>1.0099566360327609E-4</v>
      </c>
      <c r="K236" s="3">
        <f t="shared" si="197"/>
        <v>1.0099566360327609E-4</v>
      </c>
      <c r="L236" s="3">
        <f t="shared" si="197"/>
        <v>1.0099566360327609E-4</v>
      </c>
      <c r="M236" s="3">
        <f t="shared" si="197"/>
        <v>1.0099566360327609E-4</v>
      </c>
      <c r="N236" s="3">
        <f t="shared" si="197"/>
        <v>1.0099566360327609E-4</v>
      </c>
      <c r="O236" s="3">
        <f t="shared" si="197"/>
        <v>1.0099566360327609E-4</v>
      </c>
      <c r="P236" s="3">
        <f t="shared" si="197"/>
        <v>1.0099566360327609E-4</v>
      </c>
      <c r="Q236" s="3">
        <f t="shared" si="197"/>
        <v>1.0099566360327609E-4</v>
      </c>
      <c r="R236" s="3">
        <f t="shared" si="197"/>
        <v>1.0099566360327609E-4</v>
      </c>
      <c r="S236" s="3">
        <f t="shared" si="197"/>
        <v>1.0099566360327609E-4</v>
      </c>
      <c r="T236" s="3">
        <f t="shared" si="197"/>
        <v>1.0099566360327609E-4</v>
      </c>
      <c r="U236" s="3">
        <f t="shared" si="197"/>
        <v>1.0099566360327609E-4</v>
      </c>
      <c r="V236" s="3">
        <f t="shared" si="197"/>
        <v>1.0099566360327609E-4</v>
      </c>
      <c r="W236" s="3">
        <f t="shared" si="197"/>
        <v>1.0099566360327609E-4</v>
      </c>
      <c r="X236" s="3">
        <f t="shared" si="197"/>
        <v>1.0099566360327609E-4</v>
      </c>
      <c r="Y236" s="3">
        <f t="shared" si="197"/>
        <v>1.0099566360327608E-4</v>
      </c>
      <c r="Z236" s="3">
        <f t="shared" si="197"/>
        <v>1.0099566360327593E-4</v>
      </c>
      <c r="AA236" s="3">
        <f t="shared" si="197"/>
        <v>1.0099566360327454E-4</v>
      </c>
      <c r="AB236" s="3">
        <f t="shared" si="197"/>
        <v>1.0099566360326054E-4</v>
      </c>
      <c r="AC236" s="3">
        <f t="shared" si="197"/>
        <v>1.0099566360312054E-4</v>
      </c>
      <c r="AD236" s="3">
        <f t="shared" si="197"/>
        <v>1.0099566360172051E-4</v>
      </c>
      <c r="AE236" s="3">
        <f t="shared" si="197"/>
        <v>1.0099566358772023E-4</v>
      </c>
      <c r="AF236" s="3">
        <f t="shared" si="197"/>
        <v>1.0099566344771753E-4</v>
      </c>
      <c r="AG236" s="3"/>
      <c r="AH236" s="3"/>
    </row>
    <row r="237" spans="2:34" x14ac:dyDescent="0.25">
      <c r="B237" s="3">
        <f t="shared" ref="B237:AF237" si="198">$C45*EXP(-B$207/$A45/EXP(-$D$126))</f>
        <v>2.8535751866135694E-4</v>
      </c>
      <c r="C237" s="3">
        <f t="shared" si="198"/>
        <v>2.8535751866135694E-4</v>
      </c>
      <c r="D237" s="3">
        <f t="shared" si="198"/>
        <v>2.8535751866135694E-4</v>
      </c>
      <c r="E237" s="3">
        <f t="shared" si="198"/>
        <v>2.8535751866135694E-4</v>
      </c>
      <c r="F237" s="3">
        <f t="shared" si="198"/>
        <v>2.8535751866135694E-4</v>
      </c>
      <c r="G237" s="3">
        <f t="shared" si="198"/>
        <v>2.8535751866135694E-4</v>
      </c>
      <c r="H237" s="3">
        <f t="shared" si="198"/>
        <v>2.8535751866135694E-4</v>
      </c>
      <c r="I237" s="3">
        <f t="shared" si="198"/>
        <v>2.8535751866135694E-4</v>
      </c>
      <c r="J237" s="3">
        <f t="shared" si="198"/>
        <v>2.8535751866135694E-4</v>
      </c>
      <c r="K237" s="3">
        <f t="shared" si="198"/>
        <v>2.8535751866135694E-4</v>
      </c>
      <c r="L237" s="3">
        <f t="shared" si="198"/>
        <v>2.8535751866135694E-4</v>
      </c>
      <c r="M237" s="3">
        <f t="shared" si="198"/>
        <v>2.8535751866135694E-4</v>
      </c>
      <c r="N237" s="3">
        <f t="shared" si="198"/>
        <v>2.8535751866135694E-4</v>
      </c>
      <c r="O237" s="3">
        <f t="shared" si="198"/>
        <v>2.8535751866135694E-4</v>
      </c>
      <c r="P237" s="3">
        <f t="shared" si="198"/>
        <v>2.8535751866135694E-4</v>
      </c>
      <c r="Q237" s="3">
        <f t="shared" si="198"/>
        <v>2.8535751866135694E-4</v>
      </c>
      <c r="R237" s="3">
        <f t="shared" si="198"/>
        <v>2.8535751866135694E-4</v>
      </c>
      <c r="S237" s="3">
        <f t="shared" si="198"/>
        <v>2.8535751866135694E-4</v>
      </c>
      <c r="T237" s="3">
        <f t="shared" si="198"/>
        <v>2.8535751866135694E-4</v>
      </c>
      <c r="U237" s="3">
        <f t="shared" si="198"/>
        <v>2.8535751866135694E-4</v>
      </c>
      <c r="V237" s="3">
        <f t="shared" si="198"/>
        <v>2.8535751866135694E-4</v>
      </c>
      <c r="W237" s="3">
        <f t="shared" si="198"/>
        <v>2.8535751866135694E-4</v>
      </c>
      <c r="X237" s="3">
        <f t="shared" si="198"/>
        <v>2.8535751866135694E-4</v>
      </c>
      <c r="Y237" s="3">
        <f t="shared" si="198"/>
        <v>2.8535751866135694E-4</v>
      </c>
      <c r="Z237" s="3">
        <f t="shared" si="198"/>
        <v>2.8535751866135689E-4</v>
      </c>
      <c r="AA237" s="3">
        <f t="shared" si="198"/>
        <v>2.8535751866135651E-4</v>
      </c>
      <c r="AB237" s="3">
        <f t="shared" si="198"/>
        <v>2.8535751866135255E-4</v>
      </c>
      <c r="AC237" s="3">
        <f t="shared" si="198"/>
        <v>2.8535751866131298E-4</v>
      </c>
      <c r="AD237" s="3">
        <f t="shared" si="198"/>
        <v>2.8535751866091741E-4</v>
      </c>
      <c r="AE237" s="3">
        <f t="shared" si="198"/>
        <v>2.8535751865696175E-4</v>
      </c>
      <c r="AF237" s="3">
        <f t="shared" si="198"/>
        <v>2.8535751861740474E-4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1.5499334140859142E-4</v>
      </c>
      <c r="C240" s="3">
        <f t="shared" si="201"/>
        <v>1.5499334140859142E-4</v>
      </c>
      <c r="D240" s="3">
        <f t="shared" si="201"/>
        <v>1.5499334140859142E-4</v>
      </c>
      <c r="E240" s="3">
        <f t="shared" si="201"/>
        <v>1.5499334140859142E-4</v>
      </c>
      <c r="F240" s="3">
        <f t="shared" si="201"/>
        <v>1.5499334140859142E-4</v>
      </c>
      <c r="G240" s="3">
        <f t="shared" si="201"/>
        <v>1.5499334140859142E-4</v>
      </c>
      <c r="H240" s="3">
        <f t="shared" si="201"/>
        <v>1.5499334140859142E-4</v>
      </c>
      <c r="I240" s="3">
        <f t="shared" si="201"/>
        <v>1.5499334140859142E-4</v>
      </c>
      <c r="J240" s="3">
        <f t="shared" si="201"/>
        <v>1.5499334140859142E-4</v>
      </c>
      <c r="K240" s="3">
        <f t="shared" si="201"/>
        <v>1.5499334140859142E-4</v>
      </c>
      <c r="L240" s="3">
        <f t="shared" si="201"/>
        <v>1.5499334140859142E-4</v>
      </c>
      <c r="M240" s="3">
        <f t="shared" si="201"/>
        <v>1.5499334140859142E-4</v>
      </c>
      <c r="N240" s="3">
        <f t="shared" si="201"/>
        <v>1.5499334140859142E-4</v>
      </c>
      <c r="O240" s="3">
        <f t="shared" si="201"/>
        <v>1.5499334140859142E-4</v>
      </c>
      <c r="P240" s="3">
        <f t="shared" si="201"/>
        <v>1.5499334140859142E-4</v>
      </c>
      <c r="Q240" s="3">
        <f t="shared" si="201"/>
        <v>1.5499334140859142E-4</v>
      </c>
      <c r="R240" s="3">
        <f t="shared" si="201"/>
        <v>1.5499334140859142E-4</v>
      </c>
      <c r="S240" s="3">
        <f t="shared" si="201"/>
        <v>1.5499334140859142E-4</v>
      </c>
      <c r="T240" s="3">
        <f t="shared" si="201"/>
        <v>1.5499334140859142E-4</v>
      </c>
      <c r="U240" s="3">
        <f t="shared" si="201"/>
        <v>1.5499334140859142E-4</v>
      </c>
      <c r="V240" s="3">
        <f t="shared" si="201"/>
        <v>1.5499334140859142E-4</v>
      </c>
      <c r="W240" s="3">
        <f t="shared" si="201"/>
        <v>1.5499334140859142E-4</v>
      </c>
      <c r="X240" s="3">
        <f t="shared" si="201"/>
        <v>1.5499334140859142E-4</v>
      </c>
      <c r="Y240" s="3">
        <f t="shared" si="201"/>
        <v>1.5499334140859142E-4</v>
      </c>
      <c r="Z240" s="3">
        <f t="shared" si="201"/>
        <v>1.5499334140859142E-4</v>
      </c>
      <c r="AA240" s="3">
        <f t="shared" si="201"/>
        <v>1.5499334140859142E-4</v>
      </c>
      <c r="AB240" s="3">
        <f t="shared" si="201"/>
        <v>1.5499334140859142E-4</v>
      </c>
      <c r="AC240" s="3">
        <f t="shared" si="201"/>
        <v>1.5499334140859139E-4</v>
      </c>
      <c r="AD240" s="3">
        <f t="shared" si="201"/>
        <v>1.5499334140859117E-4</v>
      </c>
      <c r="AE240" s="3">
        <f t="shared" si="201"/>
        <v>1.5499334140858903E-4</v>
      </c>
      <c r="AF240" s="3">
        <f t="shared" si="201"/>
        <v>1.5499334140856754E-4</v>
      </c>
      <c r="AG240" s="3"/>
      <c r="AH240" s="3"/>
    </row>
    <row r="241" spans="1:34" x14ac:dyDescent="0.25">
      <c r="A241" s="79">
        <f>AVERAGE(B241:AF241)</f>
        <v>6.8831882118967985E-2</v>
      </c>
      <c r="B241" s="80">
        <f>IF($A$64&lt;=B207,IF($B$64&gt;=B207,ABS((B209-B208)/B208),0),0)</f>
        <v>1.6093903620534763E-7</v>
      </c>
      <c r="C241" s="80">
        <f t="shared" ref="C241:AF241" si="202">IF($A$64&lt;=C207,IF($B$64&gt;=C207,ABS((C209-C208)/C208),0),0)</f>
        <v>7.0701286557285904E-6</v>
      </c>
      <c r="D241" s="80">
        <f t="shared" si="202"/>
        <v>4.7948500837077578E-6</v>
      </c>
      <c r="E241" s="80">
        <f t="shared" si="202"/>
        <v>7.5150906807594547E-5</v>
      </c>
      <c r="F241" s="80">
        <f t="shared" si="202"/>
        <v>7.4027265714739069E-4</v>
      </c>
      <c r="G241" s="80">
        <f t="shared" si="202"/>
        <v>6.1740832911446851E-3</v>
      </c>
      <c r="H241" s="80">
        <f t="shared" si="202"/>
        <v>1.0340345112679785E-2</v>
      </c>
      <c r="I241" s="80">
        <f t="shared" si="202"/>
        <v>9.8964645967015138E-2</v>
      </c>
      <c r="J241" s="80">
        <f t="shared" si="202"/>
        <v>0.12583856515952876</v>
      </c>
      <c r="K241" s="80">
        <f t="shared" si="202"/>
        <v>0.10617310037904246</v>
      </c>
      <c r="L241" s="80">
        <f t="shared" si="202"/>
        <v>8.46744224321722E-2</v>
      </c>
      <c r="M241" s="80">
        <f t="shared" si="202"/>
        <v>5.9263299751385889E-2</v>
      </c>
      <c r="N241" s="80">
        <f t="shared" si="202"/>
        <v>3.2092267327005299E-2</v>
      </c>
      <c r="O241" s="80">
        <f t="shared" si="202"/>
        <v>1.9507511112624158E-2</v>
      </c>
      <c r="P241" s="80">
        <f t="shared" si="202"/>
        <v>4.0749157593965461E-2</v>
      </c>
      <c r="Q241" s="80">
        <f t="shared" si="202"/>
        <v>4.0610559948976749E-2</v>
      </c>
      <c r="R241" s="80">
        <f t="shared" si="202"/>
        <v>4.7803102823675073E-2</v>
      </c>
      <c r="S241" s="80">
        <f t="shared" si="202"/>
        <v>4.0820238411139853E-2</v>
      </c>
      <c r="T241" s="80">
        <f t="shared" si="202"/>
        <v>8.6157266521264333E-3</v>
      </c>
      <c r="U241" s="80">
        <f t="shared" si="202"/>
        <v>3.8477087720797158E-2</v>
      </c>
      <c r="V241" s="80">
        <f t="shared" si="202"/>
        <v>9.1002700646289444E-2</v>
      </c>
      <c r="W241" s="80">
        <f t="shared" si="202"/>
        <v>0.13177920327310297</v>
      </c>
      <c r="X241" s="80">
        <f t="shared" si="202"/>
        <v>0.16224510512856855</v>
      </c>
      <c r="Y241" s="80">
        <f t="shared" si="202"/>
        <v>0.17385705004691906</v>
      </c>
      <c r="Z241" s="80">
        <f t="shared" si="202"/>
        <v>0.17989332387021664</v>
      </c>
      <c r="AA241" s="80">
        <f t="shared" si="202"/>
        <v>0.1728233845544164</v>
      </c>
      <c r="AB241" s="80">
        <f t="shared" si="202"/>
        <v>0.15336805928286742</v>
      </c>
      <c r="AC241" s="80">
        <f t="shared" si="202"/>
        <v>9.9735995300785515E-2</v>
      </c>
      <c r="AD241" s="80">
        <f t="shared" si="202"/>
        <v>1.7328015246798553E-2</v>
      </c>
      <c r="AE241" s="80">
        <f t="shared" si="202"/>
        <v>6.6515449610605668E-2</v>
      </c>
      <c r="AF241" s="80">
        <f t="shared" si="202"/>
        <v>0.12430849556242766</v>
      </c>
    </row>
    <row r="242" spans="1:34" x14ac:dyDescent="0.25">
      <c r="B242" s="21">
        <f>(B209-B208)^2</f>
        <v>9.9274356299749108E-7</v>
      </c>
      <c r="C242" s="21">
        <f t="shared" ref="C242:AF242" si="203">(C209-C208)^2</f>
        <v>1.9159094134026653E-3</v>
      </c>
      <c r="D242" s="21">
        <f t="shared" si="203"/>
        <v>8.811661249268388E-4</v>
      </c>
      <c r="E242" s="21">
        <f t="shared" si="203"/>
        <v>0.21641732349424719</v>
      </c>
      <c r="F242" s="21">
        <f t="shared" si="203"/>
        <v>20.960380785146285</v>
      </c>
      <c r="G242" s="21">
        <f t="shared" si="203"/>
        <v>1434.7228074820493</v>
      </c>
      <c r="H242" s="21">
        <f t="shared" si="203"/>
        <v>3798.2453904721833</v>
      </c>
      <c r="I242" s="21">
        <f t="shared" si="203"/>
        <v>333746.70492119598</v>
      </c>
      <c r="J242" s="21">
        <f t="shared" si="203"/>
        <v>519267.99797065574</v>
      </c>
      <c r="K242" s="21">
        <f t="shared" si="203"/>
        <v>353563.39330521954</v>
      </c>
      <c r="L242" s="21">
        <f t="shared" si="203"/>
        <v>214425.74068452211</v>
      </c>
      <c r="M242" s="21">
        <f t="shared" si="203"/>
        <v>99390.397677309491</v>
      </c>
      <c r="N242" s="21">
        <f t="shared" si="203"/>
        <v>27398.83114968082</v>
      </c>
      <c r="O242" s="21">
        <f t="shared" si="203"/>
        <v>9469.5795035247811</v>
      </c>
      <c r="P242" s="21">
        <f t="shared" si="203"/>
        <v>38676.206860536229</v>
      </c>
      <c r="Q242" s="21">
        <f t="shared" si="203"/>
        <v>35771.455435534903</v>
      </c>
      <c r="R242" s="21">
        <f t="shared" si="203"/>
        <v>45206.730746593646</v>
      </c>
      <c r="S242" s="21">
        <f t="shared" si="203"/>
        <v>29248.462732779546</v>
      </c>
      <c r="T242" s="21">
        <f t="shared" si="203"/>
        <v>1111.6817617225784</v>
      </c>
      <c r="U242" s="21">
        <f t="shared" si="203"/>
        <v>18398.794239839452</v>
      </c>
      <c r="V242" s="21">
        <f t="shared" si="203"/>
        <v>84788.481666413456</v>
      </c>
      <c r="W242" s="21">
        <f t="shared" si="203"/>
        <v>149594.01019928657</v>
      </c>
      <c r="X242" s="21">
        <f t="shared" si="203"/>
        <v>193353.40546392067</v>
      </c>
      <c r="Y242" s="21">
        <f t="shared" si="203"/>
        <v>191369.5555319805</v>
      </c>
      <c r="Z242" s="21">
        <f t="shared" si="203"/>
        <v>174291.32830316829</v>
      </c>
      <c r="AA242" s="21">
        <f t="shared" si="203"/>
        <v>135243.34681449473</v>
      </c>
      <c r="AB242" s="21">
        <f t="shared" si="203"/>
        <v>86917.726546333957</v>
      </c>
      <c r="AC242" s="21">
        <f t="shared" si="203"/>
        <v>28721.765264417038</v>
      </c>
      <c r="AD242" s="21">
        <f t="shared" si="203"/>
        <v>624.72409043637015</v>
      </c>
      <c r="AE242" s="21">
        <f t="shared" si="203"/>
        <v>5878.3878429431252</v>
      </c>
      <c r="AF242" s="21">
        <f t="shared" si="203"/>
        <v>11338.577303277665</v>
      </c>
      <c r="AG242" s="3"/>
      <c r="AH242" s="3"/>
    </row>
    <row r="243" spans="1:34" x14ac:dyDescent="0.25">
      <c r="A243" s="71">
        <f>SUM(B243:AF243)</f>
        <v>2793051.4338099188</v>
      </c>
      <c r="B243" s="60">
        <f>IF($A$64&lt;=B207,IF($B$64&gt;=B207,ABS(B242),0),0)</f>
        <v>9.9274356299749108E-7</v>
      </c>
      <c r="C243" s="60">
        <f t="shared" ref="C243" si="204">IF($A$64&lt;=C207,IF($B$64&gt;=C207,ABS(C242),0),0)</f>
        <v>1.9159094134026653E-3</v>
      </c>
      <c r="D243" s="60">
        <f t="shared" ref="D243" si="205">IF($A$64&lt;=D207,IF($B$64&gt;=D207,ABS(D242),0),0)</f>
        <v>8.811661249268388E-4</v>
      </c>
      <c r="E243" s="60">
        <f t="shared" ref="E243" si="206">IF($A$64&lt;=E207,IF($B$64&gt;=E207,ABS(E242),0),0)</f>
        <v>0.21641732349424719</v>
      </c>
      <c r="F243" s="60">
        <f t="shared" ref="F243" si="207">IF($A$64&lt;=F207,IF($B$64&gt;=F207,ABS(F242),0),0)</f>
        <v>20.960380785146285</v>
      </c>
      <c r="G243" s="60">
        <f t="shared" ref="G243" si="208">IF($A$64&lt;=G207,IF($B$64&gt;=G207,ABS(G242),0),0)</f>
        <v>1434.7228074820493</v>
      </c>
      <c r="H243" s="60">
        <f t="shared" ref="H243" si="209">IF($A$64&lt;=H207,IF($B$64&gt;=H207,ABS(H242),0),0)</f>
        <v>3798.2453904721833</v>
      </c>
      <c r="I243" s="60">
        <f t="shared" ref="I243" si="210">IF($A$64&lt;=I207,IF($B$64&gt;=I207,ABS(I242),0),0)</f>
        <v>333746.70492119598</v>
      </c>
      <c r="J243" s="60">
        <f t="shared" ref="J243" si="211">IF($A$64&lt;=J207,IF($B$64&gt;=J207,ABS(J242),0),0)</f>
        <v>519267.99797065574</v>
      </c>
      <c r="K243" s="60">
        <f t="shared" ref="K243" si="212">IF($A$64&lt;=K207,IF($B$64&gt;=K207,ABS(K242),0),0)</f>
        <v>353563.39330521954</v>
      </c>
      <c r="L243" s="60">
        <f t="shared" ref="L243" si="213">IF($A$64&lt;=L207,IF($B$64&gt;=L207,ABS(L242),0),0)</f>
        <v>214425.74068452211</v>
      </c>
      <c r="M243" s="60">
        <f t="shared" ref="M243" si="214">IF($A$64&lt;=M207,IF($B$64&gt;=M207,ABS(M242),0),0)</f>
        <v>99390.397677309491</v>
      </c>
      <c r="N243" s="60">
        <f t="shared" ref="N243" si="215">IF($A$64&lt;=N207,IF($B$64&gt;=N207,ABS(N242),0),0)</f>
        <v>27398.83114968082</v>
      </c>
      <c r="O243" s="60">
        <f t="shared" ref="O243" si="216">IF($A$64&lt;=O207,IF($B$64&gt;=O207,ABS(O242),0),0)</f>
        <v>9469.5795035247811</v>
      </c>
      <c r="P243" s="60">
        <f t="shared" ref="P243" si="217">IF($A$64&lt;=P207,IF($B$64&gt;=P207,ABS(P242),0),0)</f>
        <v>38676.206860536229</v>
      </c>
      <c r="Q243" s="60">
        <f t="shared" ref="Q243" si="218">IF($A$64&lt;=Q207,IF($B$64&gt;=Q207,ABS(Q242),0),0)</f>
        <v>35771.455435534903</v>
      </c>
      <c r="R243" s="60">
        <f t="shared" ref="R243" si="219">IF($A$64&lt;=R207,IF($B$64&gt;=R207,ABS(R242),0),0)</f>
        <v>45206.730746593646</v>
      </c>
      <c r="S243" s="60">
        <f t="shared" ref="S243" si="220">IF($A$64&lt;=S207,IF($B$64&gt;=S207,ABS(S242),0),0)</f>
        <v>29248.462732779546</v>
      </c>
      <c r="T243" s="60">
        <f t="shared" ref="T243" si="221">IF($A$64&lt;=T207,IF($B$64&gt;=T207,ABS(T242),0),0)</f>
        <v>1111.6817617225784</v>
      </c>
      <c r="U243" s="60">
        <f t="shared" ref="U243" si="222">IF($A$64&lt;=U207,IF($B$64&gt;=U207,ABS(U242),0),0)</f>
        <v>18398.794239839452</v>
      </c>
      <c r="V243" s="60">
        <f t="shared" ref="V243" si="223">IF($A$64&lt;=V207,IF($B$64&gt;=V207,ABS(V242),0),0)</f>
        <v>84788.481666413456</v>
      </c>
      <c r="W243" s="60">
        <f t="shared" ref="W243" si="224">IF($A$64&lt;=W207,IF($B$64&gt;=W207,ABS(W242),0),0)</f>
        <v>149594.01019928657</v>
      </c>
      <c r="X243" s="60">
        <f t="shared" ref="X243" si="225">IF($A$64&lt;=X207,IF($B$64&gt;=X207,ABS(X242),0),0)</f>
        <v>193353.40546392067</v>
      </c>
      <c r="Y243" s="60">
        <f t="shared" ref="Y243" si="226">IF($A$64&lt;=Y207,IF($B$64&gt;=Y207,ABS(Y242),0),0)</f>
        <v>191369.5555319805</v>
      </c>
      <c r="Z243" s="60">
        <f t="shared" ref="Z243" si="227">IF($A$64&lt;=Z207,IF($B$64&gt;=Z207,ABS(Z242),0),0)</f>
        <v>174291.32830316829</v>
      </c>
      <c r="AA243" s="60">
        <f t="shared" ref="AA243" si="228">IF($A$64&lt;=AA207,IF($B$64&gt;=AA207,ABS(AA242),0),0)</f>
        <v>135243.34681449473</v>
      </c>
      <c r="AB243" s="60">
        <f t="shared" ref="AB243" si="229">IF($A$64&lt;=AB207,IF($B$64&gt;=AB207,ABS(AB242),0),0)</f>
        <v>86917.726546333957</v>
      </c>
      <c r="AC243" s="60">
        <f t="shared" ref="AC243" si="230">IF($A$64&lt;=AC207,IF($B$64&gt;=AC207,ABS(AC242),0),0)</f>
        <v>28721.765264417038</v>
      </c>
      <c r="AD243" s="60">
        <f t="shared" ref="AD243" si="231">IF($A$64&lt;=AD207,IF($B$64&gt;=AD207,ABS(AD242),0),0)</f>
        <v>624.72409043637015</v>
      </c>
      <c r="AE243" s="60">
        <f t="shared" ref="AE243" si="232">IF($A$64&lt;=AE207,IF($B$64&gt;=AE207,ABS(AE242),0),0)</f>
        <v>5878.3878429431252</v>
      </c>
      <c r="AF243" s="60">
        <f t="shared" ref="AF243" si="233">IF($A$64&lt;=AF207,IF($B$64&gt;=AF207,ABS(AF242),0),0)</f>
        <v>11338.577303277665</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6190.9350754764218</v>
      </c>
      <c r="C248" s="27">
        <f t="shared" ref="C248:AF248" si="234">($C$17+SUM(C249:C279))*$B$51</f>
        <v>6190.8097621260767</v>
      </c>
      <c r="D248" s="27">
        <f t="shared" si="234"/>
        <v>6189.5573571616787</v>
      </c>
      <c r="E248" s="27">
        <f t="shared" si="234"/>
        <v>6177.1058771853686</v>
      </c>
      <c r="F248" s="27">
        <f t="shared" si="234"/>
        <v>6059.5719680990924</v>
      </c>
      <c r="G248" s="27">
        <f t="shared" si="234"/>
        <v>5371.8251013023837</v>
      </c>
      <c r="H248" s="27">
        <f t="shared" si="234"/>
        <v>5005.8114045560787</v>
      </c>
      <c r="I248" s="27">
        <f t="shared" si="234"/>
        <v>5005.7925915758151</v>
      </c>
      <c r="J248" s="27">
        <f t="shared" si="234"/>
        <v>5005.6980432230639</v>
      </c>
      <c r="K248" s="27">
        <f t="shared" si="234"/>
        <v>5004.7539149563072</v>
      </c>
      <c r="L248" s="27">
        <f t="shared" si="234"/>
        <v>4995.4468138283482</v>
      </c>
      <c r="M248" s="27">
        <f t="shared" si="234"/>
        <v>4914.5449071235025</v>
      </c>
      <c r="N248" s="27">
        <f t="shared" si="234"/>
        <v>4649.6169822383144</v>
      </c>
      <c r="O248" s="27">
        <f t="shared" si="234"/>
        <v>4489.1253945645722</v>
      </c>
      <c r="P248" s="27">
        <f t="shared" si="234"/>
        <v>4260.5582615023841</v>
      </c>
      <c r="Q248" s="27">
        <f t="shared" si="234"/>
        <v>4041.8600726738259</v>
      </c>
      <c r="R248" s="27">
        <f t="shared" si="234"/>
        <v>3857.7184103683771</v>
      </c>
      <c r="S248" s="27">
        <f t="shared" si="234"/>
        <v>3682.2803696988026</v>
      </c>
      <c r="T248" s="27">
        <f t="shared" si="234"/>
        <v>3512.3564441378353</v>
      </c>
      <c r="U248" s="27">
        <f t="shared" si="234"/>
        <v>3343.7509856101619</v>
      </c>
      <c r="V248" s="27">
        <f t="shared" si="234"/>
        <v>3173.2068290068773</v>
      </c>
      <c r="W248" s="27">
        <f t="shared" si="234"/>
        <v>2980.9308099015611</v>
      </c>
      <c r="X248" s="27">
        <f t="shared" si="234"/>
        <v>2767.8714612309263</v>
      </c>
      <c r="Y248" s="27">
        <f t="shared" si="234"/>
        <v>2529.4470156471029</v>
      </c>
      <c r="Z248" s="27">
        <f t="shared" si="234"/>
        <v>2255.9698101785175</v>
      </c>
      <c r="AA248" s="27">
        <f t="shared" si="234"/>
        <v>1917.9567132402422</v>
      </c>
      <c r="AB248" s="27">
        <f t="shared" si="234"/>
        <v>1518.5909859666713</v>
      </c>
      <c r="AC248" s="27">
        <f t="shared" si="234"/>
        <v>1120.1214558134754</v>
      </c>
      <c r="AD248" s="27">
        <f t="shared" si="234"/>
        <v>782.01722950033115</v>
      </c>
      <c r="AE248" s="27">
        <f t="shared" si="234"/>
        <v>539.43688079941376</v>
      </c>
      <c r="AF248" s="27">
        <f t="shared" si="234"/>
        <v>394.49157223067442</v>
      </c>
      <c r="AG248" s="27"/>
      <c r="AH248" s="27"/>
    </row>
    <row r="249" spans="1:34" x14ac:dyDescent="0.25">
      <c r="B249" s="3">
        <f t="shared" ref="B249:AF249" si="235">$C18*EXP(-B$246/$A18/EXP(-$E$126))</f>
        <v>0.1914297754684382</v>
      </c>
      <c r="C249" s="3">
        <f t="shared" si="235"/>
        <v>0.19140953409011507</v>
      </c>
      <c r="D249" s="3">
        <f t="shared" si="235"/>
        <v>0.1912072379849728</v>
      </c>
      <c r="E249" s="3">
        <f t="shared" si="235"/>
        <v>0.18919599883073715</v>
      </c>
      <c r="F249" s="3">
        <f t="shared" si="235"/>
        <v>0.17021120350615371</v>
      </c>
      <c r="G249" s="3">
        <f t="shared" si="235"/>
        <v>5.9122132632964917E-2</v>
      </c>
      <c r="H249" s="3">
        <f t="shared" si="235"/>
        <v>1.5113657651462522E-6</v>
      </c>
      <c r="I249" s="3">
        <f t="shared" si="235"/>
        <v>1.8012105080568421E-52</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5.4135576469201863E-2</v>
      </c>
      <c r="C250" s="3">
        <f t="shared" si="236"/>
        <v>5.4135576467735508E-2</v>
      </c>
      <c r="D250" s="3">
        <f t="shared" si="236"/>
        <v>5.4135576453071987E-2</v>
      </c>
      <c r="E250" s="3">
        <f t="shared" si="236"/>
        <v>5.413557630643679E-2</v>
      </c>
      <c r="F250" s="3">
        <f t="shared" si="236"/>
        <v>5.4135574840084834E-2</v>
      </c>
      <c r="G250" s="3">
        <f t="shared" si="236"/>
        <v>5.4135560176567447E-2</v>
      </c>
      <c r="H250" s="3">
        <f t="shared" si="236"/>
        <v>5.4135413541612061E-2</v>
      </c>
      <c r="I250" s="3">
        <f t="shared" si="236"/>
        <v>5.4133947213903098E-2</v>
      </c>
      <c r="J250" s="3">
        <f t="shared" si="236"/>
        <v>5.411928612109209E-2</v>
      </c>
      <c r="K250" s="3">
        <f t="shared" si="236"/>
        <v>5.3972893402087253E-2</v>
      </c>
      <c r="L250" s="3">
        <f t="shared" si="236"/>
        <v>5.2530570007428209E-2</v>
      </c>
      <c r="M250" s="3">
        <f t="shared" si="236"/>
        <v>4.0066023501176981E-2</v>
      </c>
      <c r="N250" s="3">
        <f t="shared" si="236"/>
        <v>2.6694237635439197E-3</v>
      </c>
      <c r="O250" s="3">
        <f t="shared" si="236"/>
        <v>4.6007679681906856E-15</v>
      </c>
      <c r="P250" s="3">
        <f t="shared" si="236"/>
        <v>1.0640411336650728E-132</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2.1015020588817119E-2</v>
      </c>
      <c r="C251" s="3">
        <f t="shared" si="237"/>
        <v>2.1015020588765768E-2</v>
      </c>
      <c r="D251" s="3">
        <f t="shared" si="237"/>
        <v>2.1015020588252279E-2</v>
      </c>
      <c r="E251" s="3">
        <f t="shared" si="237"/>
        <v>2.101502058311738E-2</v>
      </c>
      <c r="F251" s="3">
        <f t="shared" si="237"/>
        <v>2.1015020531768392E-2</v>
      </c>
      <c r="G251" s="3">
        <f t="shared" si="237"/>
        <v>2.1015020018278537E-2</v>
      </c>
      <c r="H251" s="3">
        <f t="shared" si="237"/>
        <v>2.1015014883380666E-2</v>
      </c>
      <c r="I251" s="3">
        <f t="shared" si="237"/>
        <v>2.1014963534470941E-2</v>
      </c>
      <c r="J251" s="3">
        <f t="shared" si="237"/>
        <v>2.1014450052274404E-2</v>
      </c>
      <c r="K251" s="3">
        <f t="shared" si="237"/>
        <v>2.1009315920315252E-2</v>
      </c>
      <c r="L251" s="3">
        <f t="shared" si="237"/>
        <v>2.0958043539003116E-2</v>
      </c>
      <c r="M251" s="3">
        <f t="shared" si="237"/>
        <v>2.0452151633800767E-2</v>
      </c>
      <c r="N251" s="3">
        <f t="shared" si="237"/>
        <v>1.6018493197257667E-2</v>
      </c>
      <c r="O251" s="3">
        <f t="shared" si="237"/>
        <v>1.3913879339308892E-3</v>
      </c>
      <c r="P251" s="3">
        <f t="shared" si="237"/>
        <v>3.4018405219130104E-14</v>
      </c>
      <c r="Q251" s="3">
        <f t="shared" si="237"/>
        <v>2.5963971400459662E-120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4.0498121245542543E-2</v>
      </c>
      <c r="C252" s="3">
        <f t="shared" si="238"/>
        <v>4.0498121245533619E-2</v>
      </c>
      <c r="D252" s="3">
        <f t="shared" si="238"/>
        <v>4.049812124544435E-2</v>
      </c>
      <c r="E252" s="3">
        <f t="shared" si="238"/>
        <v>4.0498121244551696E-2</v>
      </c>
      <c r="F252" s="3">
        <f t="shared" si="238"/>
        <v>4.0498121235625149E-2</v>
      </c>
      <c r="G252" s="3">
        <f t="shared" si="238"/>
        <v>4.0498121146359672E-2</v>
      </c>
      <c r="H252" s="3">
        <f t="shared" si="238"/>
        <v>4.0498120253704931E-2</v>
      </c>
      <c r="I252" s="3">
        <f t="shared" si="238"/>
        <v>4.0498111327158588E-2</v>
      </c>
      <c r="J252" s="3">
        <f t="shared" si="238"/>
        <v>4.0498022061803349E-2</v>
      </c>
      <c r="K252" s="3">
        <f t="shared" si="238"/>
        <v>4.0497129419072554E-2</v>
      </c>
      <c r="L252" s="3">
        <f t="shared" si="238"/>
        <v>4.048820407383498E-2</v>
      </c>
      <c r="M252" s="3">
        <f t="shared" si="238"/>
        <v>4.0399058740300003E-2</v>
      </c>
      <c r="N252" s="3">
        <f t="shared" si="238"/>
        <v>3.9518329630217584E-2</v>
      </c>
      <c r="O252" s="3">
        <f t="shared" si="238"/>
        <v>3.1700923061146212E-2</v>
      </c>
      <c r="P252" s="3">
        <f t="shared" si="238"/>
        <v>3.4978823227528513E-3</v>
      </c>
      <c r="Q252" s="3">
        <f t="shared" si="238"/>
        <v>9.3570308282946614E-13</v>
      </c>
      <c r="R252" s="3">
        <f t="shared" si="238"/>
        <v>1.7557663324675353E-108</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3.8180364153293456E-2</v>
      </c>
      <c r="C253" s="3">
        <f t="shared" si="239"/>
        <v>3.8180364153292692E-2</v>
      </c>
      <c r="D253" s="3">
        <f t="shared" si="239"/>
        <v>3.8180364153285101E-2</v>
      </c>
      <c r="E253" s="3">
        <f t="shared" si="239"/>
        <v>3.8180364153209183E-2</v>
      </c>
      <c r="F253" s="3">
        <f t="shared" si="239"/>
        <v>3.8180364152450026E-2</v>
      </c>
      <c r="G253" s="3">
        <f t="shared" si="239"/>
        <v>3.8180364144858391E-2</v>
      </c>
      <c r="H253" s="3">
        <f t="shared" si="239"/>
        <v>3.8180364068942041E-2</v>
      </c>
      <c r="I253" s="3">
        <f t="shared" si="239"/>
        <v>3.818036330977858E-2</v>
      </c>
      <c r="J253" s="3">
        <f t="shared" si="239"/>
        <v>3.8180355718144779E-2</v>
      </c>
      <c r="K253" s="3">
        <f t="shared" si="239"/>
        <v>3.8180279801889795E-2</v>
      </c>
      <c r="L253" s="3">
        <f t="shared" si="239"/>
        <v>3.817952064764206E-2</v>
      </c>
      <c r="M253" s="3">
        <f t="shared" si="239"/>
        <v>3.8171929935316942E-2</v>
      </c>
      <c r="N253" s="3">
        <f t="shared" si="239"/>
        <v>3.8096105766245766E-2</v>
      </c>
      <c r="O253" s="3">
        <f t="shared" si="239"/>
        <v>3.7346098787909343E-2</v>
      </c>
      <c r="P253" s="3">
        <f t="shared" si="239"/>
        <v>3.0612008160192907E-2</v>
      </c>
      <c r="Q253" s="3">
        <f t="shared" si="239"/>
        <v>4.1913855131503449E-3</v>
      </c>
      <c r="R253" s="3">
        <f t="shared" si="239"/>
        <v>9.7054456884939701E-12</v>
      </c>
      <c r="S253" s="3">
        <f t="shared" si="239"/>
        <v>4.3012455867921443E-98</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3.0339150850604003E-2</v>
      </c>
      <c r="C254" s="3">
        <f t="shared" si="240"/>
        <v>3.0339150850603951E-2</v>
      </c>
      <c r="D254" s="3">
        <f t="shared" si="240"/>
        <v>3.0339150850603402E-2</v>
      </c>
      <c r="E254" s="3">
        <f t="shared" si="240"/>
        <v>3.0339150850597962E-2</v>
      </c>
      <c r="F254" s="3">
        <f t="shared" si="240"/>
        <v>3.0339150850543544E-2</v>
      </c>
      <c r="G254" s="3">
        <f t="shared" si="240"/>
        <v>3.0339150849999361E-2</v>
      </c>
      <c r="H254" s="3">
        <f t="shared" si="240"/>
        <v>3.0339150844557527E-2</v>
      </c>
      <c r="I254" s="3">
        <f t="shared" si="240"/>
        <v>3.0339150790139192E-2</v>
      </c>
      <c r="J254" s="3">
        <f t="shared" si="240"/>
        <v>3.0339150245955848E-2</v>
      </c>
      <c r="K254" s="3">
        <f t="shared" si="240"/>
        <v>3.0339144804122951E-2</v>
      </c>
      <c r="L254" s="3">
        <f t="shared" si="240"/>
        <v>3.0339090385847634E-2</v>
      </c>
      <c r="M254" s="3">
        <f t="shared" si="240"/>
        <v>3.0338546208462897E-2</v>
      </c>
      <c r="N254" s="3">
        <f t="shared" si="240"/>
        <v>3.0333104971422015E-2</v>
      </c>
      <c r="O254" s="3">
        <f t="shared" si="240"/>
        <v>3.027874624605191E-2</v>
      </c>
      <c r="P254" s="3">
        <f t="shared" si="240"/>
        <v>2.9740488064496303E-2</v>
      </c>
      <c r="Q254" s="3">
        <f t="shared" si="240"/>
        <v>2.4857080654124071E-2</v>
      </c>
      <c r="R254" s="3">
        <f t="shared" si="240"/>
        <v>4.1349515264584675E-3</v>
      </c>
      <c r="S254" s="3">
        <f t="shared" si="240"/>
        <v>6.7092416646736018E-11</v>
      </c>
      <c r="T254" s="3">
        <f t="shared" si="240"/>
        <v>8.4860104249675538E-89</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2.9818488774257267E-2</v>
      </c>
      <c r="C255" s="3">
        <f t="shared" si="241"/>
        <v>2.981848877425726E-2</v>
      </c>
      <c r="D255" s="3">
        <f t="shared" si="241"/>
        <v>2.9818488774257215E-2</v>
      </c>
      <c r="E255" s="3">
        <f t="shared" si="241"/>
        <v>2.9818488774256729E-2</v>
      </c>
      <c r="F255" s="3">
        <f t="shared" si="241"/>
        <v>2.9818488774251906E-2</v>
      </c>
      <c r="G255" s="3">
        <f t="shared" si="241"/>
        <v>2.981848877420366E-2</v>
      </c>
      <c r="H255" s="3">
        <f t="shared" si="241"/>
        <v>2.9818488773721185E-2</v>
      </c>
      <c r="I255" s="3">
        <f t="shared" si="241"/>
        <v>2.9818488768896444E-2</v>
      </c>
      <c r="J255" s="3">
        <f t="shared" si="241"/>
        <v>2.9818488720649027E-2</v>
      </c>
      <c r="K255" s="3">
        <f t="shared" si="241"/>
        <v>2.9818488238174883E-2</v>
      </c>
      <c r="L255" s="3">
        <f t="shared" si="241"/>
        <v>2.9818483413433874E-2</v>
      </c>
      <c r="M255" s="3">
        <f t="shared" si="241"/>
        <v>2.981843516606672E-2</v>
      </c>
      <c r="N255" s="3">
        <f t="shared" si="241"/>
        <v>2.9817952696688788E-2</v>
      </c>
      <c r="O255" s="3">
        <f t="shared" si="241"/>
        <v>2.981312843224445E-2</v>
      </c>
      <c r="P255" s="3">
        <f t="shared" si="241"/>
        <v>2.9764928695606482E-2</v>
      </c>
      <c r="Q255" s="3">
        <f t="shared" si="241"/>
        <v>2.9287196532796295E-2</v>
      </c>
      <c r="R255" s="3">
        <f t="shared" si="241"/>
        <v>2.4911928700922063E-2</v>
      </c>
      <c r="S255" s="3">
        <f t="shared" si="241"/>
        <v>4.9397259916188702E-3</v>
      </c>
      <c r="T255" s="3">
        <f t="shared" si="241"/>
        <v>4.6414954362755809E-10</v>
      </c>
      <c r="U255" s="3">
        <f t="shared" si="241"/>
        <v>2.4900531334275119E-80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2.8586713902441586E-2</v>
      </c>
      <c r="C256" s="3">
        <f t="shared" si="242"/>
        <v>2.8586713902441586E-2</v>
      </c>
      <c r="D256" s="3">
        <f t="shared" si="242"/>
        <v>2.8586713902441583E-2</v>
      </c>
      <c r="E256" s="3">
        <f t="shared" si="242"/>
        <v>2.8586713902441538E-2</v>
      </c>
      <c r="F256" s="3">
        <f t="shared" si="242"/>
        <v>2.8586713902441122E-2</v>
      </c>
      <c r="G256" s="3">
        <f t="shared" si="242"/>
        <v>2.8586713902436951E-2</v>
      </c>
      <c r="H256" s="3">
        <f t="shared" si="242"/>
        <v>2.8586713902395224E-2</v>
      </c>
      <c r="I256" s="3">
        <f t="shared" si="242"/>
        <v>2.8586713901977971E-2</v>
      </c>
      <c r="J256" s="3">
        <f t="shared" si="242"/>
        <v>2.8586713897805444E-2</v>
      </c>
      <c r="K256" s="3">
        <f t="shared" si="242"/>
        <v>2.8586713856080168E-2</v>
      </c>
      <c r="L256" s="3">
        <f t="shared" si="242"/>
        <v>2.8586713438827384E-2</v>
      </c>
      <c r="M256" s="3">
        <f t="shared" si="242"/>
        <v>2.8586709266299894E-2</v>
      </c>
      <c r="N256" s="3">
        <f t="shared" si="242"/>
        <v>2.8586667541058496E-2</v>
      </c>
      <c r="O256" s="3">
        <f t="shared" si="242"/>
        <v>2.858625029199412E-2</v>
      </c>
      <c r="P256" s="3">
        <f t="shared" si="242"/>
        <v>2.8582078136293345E-2</v>
      </c>
      <c r="Q256" s="3">
        <f t="shared" si="242"/>
        <v>2.8540390055502338E-2</v>
      </c>
      <c r="R256" s="3">
        <f t="shared" si="242"/>
        <v>2.8126838860688601E-2</v>
      </c>
      <c r="S256" s="3">
        <f t="shared" si="242"/>
        <v>2.4306987289500117E-2</v>
      </c>
      <c r="T256" s="3">
        <f t="shared" si="242"/>
        <v>5.6472006867212517E-3</v>
      </c>
      <c r="U256" s="3">
        <f t="shared" si="242"/>
        <v>2.587343557202385E-9</v>
      </c>
      <c r="V256" s="3">
        <f t="shared" si="242"/>
        <v>1.0545395704178353E-72</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2.8589469167233993E-2</v>
      </c>
      <c r="C257" s="3">
        <f t="shared" si="243"/>
        <v>2.8589469167233993E-2</v>
      </c>
      <c r="D257" s="3">
        <f t="shared" si="243"/>
        <v>2.8589469167233993E-2</v>
      </c>
      <c r="E257" s="3">
        <f t="shared" si="243"/>
        <v>2.858946916723399E-2</v>
      </c>
      <c r="F257" s="3">
        <f t="shared" si="243"/>
        <v>2.8589469167233952E-2</v>
      </c>
      <c r="G257" s="3">
        <f t="shared" si="243"/>
        <v>2.8589469167233574E-2</v>
      </c>
      <c r="H257" s="3">
        <f t="shared" si="243"/>
        <v>2.8589469167229809E-2</v>
      </c>
      <c r="I257" s="3">
        <f t="shared" si="243"/>
        <v>2.8589469167192169E-2</v>
      </c>
      <c r="J257" s="3">
        <f t="shared" si="243"/>
        <v>2.8589469166815734E-2</v>
      </c>
      <c r="K257" s="3">
        <f t="shared" si="243"/>
        <v>2.8589469163051405E-2</v>
      </c>
      <c r="L257" s="3">
        <f t="shared" si="243"/>
        <v>2.8589469125408103E-2</v>
      </c>
      <c r="M257" s="3">
        <f t="shared" si="243"/>
        <v>2.8589468748975104E-2</v>
      </c>
      <c r="N257" s="3">
        <f t="shared" si="243"/>
        <v>2.8589464984645374E-2</v>
      </c>
      <c r="O257" s="3">
        <f t="shared" si="243"/>
        <v>2.8589427341375328E-2</v>
      </c>
      <c r="P257" s="3">
        <f t="shared" si="243"/>
        <v>2.85890509114009E-2</v>
      </c>
      <c r="Q257" s="3">
        <f t="shared" si="243"/>
        <v>2.8585286884245706E-2</v>
      </c>
      <c r="R257" s="3">
        <f t="shared" si="243"/>
        <v>2.854767385832797E-2</v>
      </c>
      <c r="S257" s="3">
        <f t="shared" si="243"/>
        <v>2.8174254935847975E-2</v>
      </c>
      <c r="T257" s="3">
        <f t="shared" si="243"/>
        <v>2.4698442931317729E-2</v>
      </c>
      <c r="U257" s="3">
        <f t="shared" si="243"/>
        <v>6.6197398562442391E-3</v>
      </c>
      <c r="V257" s="3">
        <f t="shared" si="243"/>
        <v>1.2663518891142862E-8</v>
      </c>
      <c r="W257" s="3">
        <f t="shared" si="243"/>
        <v>8.3116873852549402E-66</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2.8115831969051441E-2</v>
      </c>
      <c r="C258" s="3">
        <f t="shared" si="244"/>
        <v>2.8115831969051441E-2</v>
      </c>
      <c r="D258" s="3">
        <f t="shared" si="244"/>
        <v>2.8115831969051441E-2</v>
      </c>
      <c r="E258" s="3">
        <f t="shared" si="244"/>
        <v>2.8115831969051441E-2</v>
      </c>
      <c r="F258" s="3">
        <f t="shared" si="244"/>
        <v>2.8115831969051437E-2</v>
      </c>
      <c r="G258" s="3">
        <f t="shared" si="244"/>
        <v>2.8115831969051402E-2</v>
      </c>
      <c r="H258" s="3">
        <f t="shared" si="244"/>
        <v>2.8115831969051069E-2</v>
      </c>
      <c r="I258" s="3">
        <f t="shared" si="244"/>
        <v>2.8115831969047728E-2</v>
      </c>
      <c r="J258" s="3">
        <f t="shared" si="244"/>
        <v>2.8115831969014335E-2</v>
      </c>
      <c r="K258" s="3">
        <f t="shared" si="244"/>
        <v>2.8115831968680387E-2</v>
      </c>
      <c r="L258" s="3">
        <f t="shared" si="244"/>
        <v>2.8115831965340905E-2</v>
      </c>
      <c r="M258" s="3">
        <f t="shared" si="244"/>
        <v>2.8115831931946084E-2</v>
      </c>
      <c r="N258" s="3">
        <f t="shared" si="244"/>
        <v>2.8115831597997867E-2</v>
      </c>
      <c r="O258" s="3">
        <f t="shared" si="244"/>
        <v>2.8115828258515923E-2</v>
      </c>
      <c r="P258" s="3">
        <f t="shared" si="244"/>
        <v>2.8115794863718305E-2</v>
      </c>
      <c r="Q258" s="3">
        <f t="shared" si="244"/>
        <v>2.8115460917923701E-2</v>
      </c>
      <c r="R258" s="3">
        <f t="shared" si="244"/>
        <v>2.8112121678124442E-2</v>
      </c>
      <c r="S258" s="3">
        <f t="shared" si="244"/>
        <v>2.8078751085225923E-2</v>
      </c>
      <c r="T258" s="3">
        <f t="shared" si="244"/>
        <v>2.7747216113319848E-2</v>
      </c>
      <c r="U258" s="3">
        <f t="shared" si="244"/>
        <v>2.4639716986115869E-2</v>
      </c>
      <c r="V258" s="3">
        <f t="shared" si="244"/>
        <v>7.5127458885586714E-3</v>
      </c>
      <c r="W258" s="3">
        <f t="shared" si="244"/>
        <v>5.2170925688789713E-8</v>
      </c>
      <c r="X258" s="3">
        <f t="shared" si="244"/>
        <v>1.3605890585199259E-59</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3.3973946984022944E-2</v>
      </c>
      <c r="C259" s="3">
        <f t="shared" si="245"/>
        <v>3.3973946984022944E-2</v>
      </c>
      <c r="D259" s="3">
        <f t="shared" si="245"/>
        <v>3.3973946984022944E-2</v>
      </c>
      <c r="E259" s="3">
        <f t="shared" si="245"/>
        <v>3.3973946984022944E-2</v>
      </c>
      <c r="F259" s="3">
        <f t="shared" si="245"/>
        <v>3.3973946984022944E-2</v>
      </c>
      <c r="G259" s="3">
        <f t="shared" si="245"/>
        <v>3.3973946984022937E-2</v>
      </c>
      <c r="H259" s="3">
        <f t="shared" si="245"/>
        <v>3.3973946984022903E-2</v>
      </c>
      <c r="I259" s="3">
        <f t="shared" si="245"/>
        <v>3.3973946984022542E-2</v>
      </c>
      <c r="J259" s="3">
        <f t="shared" si="245"/>
        <v>3.3973946984018899E-2</v>
      </c>
      <c r="K259" s="3">
        <f t="shared" si="245"/>
        <v>3.3973946983982498E-2</v>
      </c>
      <c r="L259" s="3">
        <f t="shared" si="245"/>
        <v>3.3973946983618483E-2</v>
      </c>
      <c r="M259" s="3">
        <f t="shared" si="245"/>
        <v>3.3973946979978319E-2</v>
      </c>
      <c r="N259" s="3">
        <f t="shared" si="245"/>
        <v>3.3973946943576694E-2</v>
      </c>
      <c r="O259" s="3">
        <f t="shared" si="245"/>
        <v>3.3973946579560432E-2</v>
      </c>
      <c r="P259" s="3">
        <f t="shared" si="245"/>
        <v>3.3973942939398032E-2</v>
      </c>
      <c r="Q259" s="3">
        <f t="shared" si="245"/>
        <v>3.3973906537795508E-2</v>
      </c>
      <c r="R259" s="3">
        <f t="shared" si="245"/>
        <v>3.3973542523915393E-2</v>
      </c>
      <c r="S259" s="3">
        <f t="shared" si="245"/>
        <v>3.3969902599620051E-2</v>
      </c>
      <c r="T259" s="3">
        <f t="shared" si="245"/>
        <v>3.3933524798749747E-2</v>
      </c>
      <c r="U259" s="3">
        <f t="shared" si="245"/>
        <v>3.3571882522179373E-2</v>
      </c>
      <c r="V259" s="3">
        <f t="shared" si="245"/>
        <v>3.0160803317012996E-2</v>
      </c>
      <c r="W259" s="3">
        <f t="shared" si="245"/>
        <v>1.0330349212909458E-2</v>
      </c>
      <c r="X259" s="3">
        <f t="shared" si="245"/>
        <v>2.2952816590175319E-7</v>
      </c>
      <c r="Y259" s="3">
        <f t="shared" si="245"/>
        <v>6.7304766363152774E-54</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3.6313930353248758E-2</v>
      </c>
      <c r="C260" s="3">
        <f t="shared" si="246"/>
        <v>3.6313930353248758E-2</v>
      </c>
      <c r="D260" s="3">
        <f t="shared" si="246"/>
        <v>3.6313930353248758E-2</v>
      </c>
      <c r="E260" s="3">
        <f t="shared" si="246"/>
        <v>3.6313930353248758E-2</v>
      </c>
      <c r="F260" s="3">
        <f t="shared" si="246"/>
        <v>3.6313930353248758E-2</v>
      </c>
      <c r="G260" s="3">
        <f t="shared" si="246"/>
        <v>3.6313930353248758E-2</v>
      </c>
      <c r="H260" s="3">
        <f t="shared" si="246"/>
        <v>3.6313930353248751E-2</v>
      </c>
      <c r="I260" s="3">
        <f t="shared" si="246"/>
        <v>3.6313930353248716E-2</v>
      </c>
      <c r="J260" s="3">
        <f t="shared" si="246"/>
        <v>3.6313930353248369E-2</v>
      </c>
      <c r="K260" s="3">
        <f t="shared" si="246"/>
        <v>3.6313930353244858E-2</v>
      </c>
      <c r="L260" s="3">
        <f t="shared" si="246"/>
        <v>3.6313930353209761E-2</v>
      </c>
      <c r="M260" s="3">
        <f t="shared" si="246"/>
        <v>3.6313930352858764E-2</v>
      </c>
      <c r="N260" s="3">
        <f t="shared" si="246"/>
        <v>3.631393034934887E-2</v>
      </c>
      <c r="O260" s="3">
        <f t="shared" si="246"/>
        <v>3.6313930314249877E-2</v>
      </c>
      <c r="P260" s="3">
        <f t="shared" si="246"/>
        <v>3.6313929963259974E-2</v>
      </c>
      <c r="Q260" s="3">
        <f t="shared" si="246"/>
        <v>3.6313926453361095E-2</v>
      </c>
      <c r="R260" s="3">
        <f t="shared" si="246"/>
        <v>3.6313891354390969E-2</v>
      </c>
      <c r="S260" s="3">
        <f t="shared" si="246"/>
        <v>3.6313540366555569E-2</v>
      </c>
      <c r="T260" s="3">
        <f t="shared" si="246"/>
        <v>3.6310030674780003E-2</v>
      </c>
      <c r="U260" s="3">
        <f t="shared" si="246"/>
        <v>3.6274952408196705E-2</v>
      </c>
      <c r="V260" s="3">
        <f t="shared" si="246"/>
        <v>3.592602820675965E-2</v>
      </c>
      <c r="W260" s="3">
        <f t="shared" si="246"/>
        <v>3.2616154724439975E-2</v>
      </c>
      <c r="X260" s="3">
        <f t="shared" si="246"/>
        <v>1.2407042783268646E-2</v>
      </c>
      <c r="Y260" s="3">
        <f t="shared" si="246"/>
        <v>7.8708836284882218E-7</v>
      </c>
      <c r="Z260" s="3">
        <f t="shared" si="246"/>
        <v>8.309513677080509E-49</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4.1806327659667623E-2</v>
      </c>
      <c r="C261" s="3">
        <f t="shared" si="247"/>
        <v>4.1806327659667623E-2</v>
      </c>
      <c r="D261" s="3">
        <f t="shared" si="247"/>
        <v>4.1806327659667623E-2</v>
      </c>
      <c r="E261" s="3">
        <f t="shared" si="247"/>
        <v>4.1806327659667623E-2</v>
      </c>
      <c r="F261" s="3">
        <f t="shared" si="247"/>
        <v>4.1806327659667623E-2</v>
      </c>
      <c r="G261" s="3">
        <f t="shared" si="247"/>
        <v>4.1806327659667623E-2</v>
      </c>
      <c r="H261" s="3">
        <f t="shared" si="247"/>
        <v>4.1806327659667623E-2</v>
      </c>
      <c r="I261" s="3">
        <f t="shared" si="247"/>
        <v>4.1806327659667616E-2</v>
      </c>
      <c r="J261" s="3">
        <f t="shared" si="247"/>
        <v>4.1806327659667582E-2</v>
      </c>
      <c r="K261" s="3">
        <f t="shared" si="247"/>
        <v>4.1806327659667221E-2</v>
      </c>
      <c r="L261" s="3">
        <f t="shared" si="247"/>
        <v>4.1806327659663571E-2</v>
      </c>
      <c r="M261" s="3">
        <f t="shared" si="247"/>
        <v>4.1806327659627121E-2</v>
      </c>
      <c r="N261" s="3">
        <f t="shared" si="247"/>
        <v>4.1806327659262614E-2</v>
      </c>
      <c r="O261" s="3">
        <f t="shared" si="247"/>
        <v>4.1806327655617509E-2</v>
      </c>
      <c r="P261" s="3">
        <f t="shared" si="247"/>
        <v>4.1806327619166465E-2</v>
      </c>
      <c r="Q261" s="3">
        <f t="shared" si="247"/>
        <v>4.1806327254656016E-2</v>
      </c>
      <c r="R261" s="3">
        <f t="shared" si="247"/>
        <v>4.1806323609551693E-2</v>
      </c>
      <c r="S261" s="3">
        <f t="shared" si="247"/>
        <v>4.1806287158526009E-2</v>
      </c>
      <c r="T261" s="3">
        <f t="shared" si="247"/>
        <v>4.1805922650017112E-2</v>
      </c>
      <c r="U261" s="3">
        <f t="shared" si="247"/>
        <v>4.180227773972154E-2</v>
      </c>
      <c r="V261" s="3">
        <f t="shared" si="247"/>
        <v>4.1765846110469962E-2</v>
      </c>
      <c r="W261" s="3">
        <f t="shared" si="247"/>
        <v>4.1403271564400157E-2</v>
      </c>
      <c r="X261" s="3">
        <f t="shared" si="247"/>
        <v>3.7946210455508174E-2</v>
      </c>
      <c r="Y261" s="3">
        <f t="shared" si="247"/>
        <v>1.5867405850195134E-2</v>
      </c>
      <c r="Z261" s="3">
        <f t="shared" si="247"/>
        <v>2.5934693542405377E-6</v>
      </c>
      <c r="AA261" s="3">
        <f t="shared" si="247"/>
        <v>3.5288485897192383E-44</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4.6977125912982913E-2</v>
      </c>
      <c r="C262" s="3">
        <f t="shared" si="248"/>
        <v>4.6977125912982913E-2</v>
      </c>
      <c r="D262" s="3">
        <f t="shared" si="248"/>
        <v>4.6977125912982913E-2</v>
      </c>
      <c r="E262" s="3">
        <f t="shared" si="248"/>
        <v>4.6977125912982913E-2</v>
      </c>
      <c r="F262" s="3">
        <f t="shared" si="248"/>
        <v>4.6977125912982913E-2</v>
      </c>
      <c r="G262" s="3">
        <f t="shared" si="248"/>
        <v>4.6977125912982913E-2</v>
      </c>
      <c r="H262" s="3">
        <f t="shared" si="248"/>
        <v>4.6977125912982913E-2</v>
      </c>
      <c r="I262" s="3">
        <f t="shared" si="248"/>
        <v>4.6977125912982913E-2</v>
      </c>
      <c r="J262" s="3">
        <f t="shared" si="248"/>
        <v>4.6977125912982906E-2</v>
      </c>
      <c r="K262" s="3">
        <f t="shared" si="248"/>
        <v>4.6977125912982871E-2</v>
      </c>
      <c r="L262" s="3">
        <f t="shared" si="248"/>
        <v>4.6977125912982504E-2</v>
      </c>
      <c r="M262" s="3">
        <f t="shared" si="248"/>
        <v>4.6977125912978805E-2</v>
      </c>
      <c r="N262" s="3">
        <f t="shared" si="248"/>
        <v>4.6977125912941856E-2</v>
      </c>
      <c r="O262" s="3">
        <f t="shared" si="248"/>
        <v>4.6977125912572366E-2</v>
      </c>
      <c r="P262" s="3">
        <f t="shared" si="248"/>
        <v>4.6977125908877482E-2</v>
      </c>
      <c r="Q262" s="3">
        <f t="shared" si="248"/>
        <v>4.6977125871928628E-2</v>
      </c>
      <c r="R262" s="3">
        <f t="shared" si="248"/>
        <v>4.697712550244007E-2</v>
      </c>
      <c r="S262" s="3">
        <f t="shared" si="248"/>
        <v>4.6977121807554631E-2</v>
      </c>
      <c r="T262" s="3">
        <f t="shared" si="248"/>
        <v>4.6977084858716212E-2</v>
      </c>
      <c r="U262" s="3">
        <f t="shared" si="248"/>
        <v>4.6976715371930398E-2</v>
      </c>
      <c r="V262" s="3">
        <f t="shared" si="248"/>
        <v>4.6973020663904484E-2</v>
      </c>
      <c r="W262" s="3">
        <f t="shared" si="248"/>
        <v>4.6936089562212104E-2</v>
      </c>
      <c r="X262" s="3">
        <f t="shared" si="248"/>
        <v>4.6568371761722738E-2</v>
      </c>
      <c r="Y262" s="3">
        <f t="shared" si="248"/>
        <v>4.3045974826524641E-2</v>
      </c>
      <c r="Z262" s="3">
        <f t="shared" si="248"/>
        <v>1.9604126122316188E-2</v>
      </c>
      <c r="AA262" s="3">
        <f t="shared" si="248"/>
        <v>7.5248334642035664E-6</v>
      </c>
      <c r="AB262" s="3">
        <f t="shared" si="248"/>
        <v>5.2238529360443246E-40</v>
      </c>
      <c r="AC262" s="3">
        <f t="shared" si="248"/>
        <v>0</v>
      </c>
      <c r="AD262" s="3">
        <f t="shared" si="248"/>
        <v>0</v>
      </c>
      <c r="AE262" s="3">
        <f t="shared" si="248"/>
        <v>0</v>
      </c>
      <c r="AF262" s="3">
        <f t="shared" si="248"/>
        <v>0</v>
      </c>
      <c r="AG262" s="3"/>
      <c r="AH262" s="3"/>
    </row>
    <row r="263" spans="2:34" x14ac:dyDescent="0.25">
      <c r="B263" s="3">
        <f t="shared" ref="B263:AF263" si="249">$C32*EXP(-B$246/$A32/EXP(-$E$126))</f>
        <v>6.4330039712108877E-2</v>
      </c>
      <c r="C263" s="3">
        <f t="shared" si="249"/>
        <v>6.4330039712108877E-2</v>
      </c>
      <c r="D263" s="3">
        <f t="shared" si="249"/>
        <v>6.4330039712108877E-2</v>
      </c>
      <c r="E263" s="3">
        <f t="shared" si="249"/>
        <v>6.4330039712108877E-2</v>
      </c>
      <c r="F263" s="3">
        <f t="shared" si="249"/>
        <v>6.4330039712108877E-2</v>
      </c>
      <c r="G263" s="3">
        <f t="shared" si="249"/>
        <v>6.4330039712108877E-2</v>
      </c>
      <c r="H263" s="3">
        <f t="shared" si="249"/>
        <v>6.4330039712108877E-2</v>
      </c>
      <c r="I263" s="3">
        <f t="shared" si="249"/>
        <v>6.4330039712108877E-2</v>
      </c>
      <c r="J263" s="3">
        <f t="shared" si="249"/>
        <v>6.4330039712108877E-2</v>
      </c>
      <c r="K263" s="3">
        <f t="shared" si="249"/>
        <v>6.4330039712108864E-2</v>
      </c>
      <c r="L263" s="3">
        <f t="shared" si="249"/>
        <v>6.4330039712108822E-2</v>
      </c>
      <c r="M263" s="3">
        <f t="shared" si="249"/>
        <v>6.4330039712108364E-2</v>
      </c>
      <c r="N263" s="3">
        <f t="shared" si="249"/>
        <v>6.4330039712103812E-2</v>
      </c>
      <c r="O263" s="3">
        <f t="shared" si="249"/>
        <v>6.4330039712058168E-2</v>
      </c>
      <c r="P263" s="3">
        <f t="shared" si="249"/>
        <v>6.4330039711601728E-2</v>
      </c>
      <c r="Q263" s="3">
        <f t="shared" si="249"/>
        <v>6.433003970703742E-2</v>
      </c>
      <c r="R263" s="3">
        <f t="shared" si="249"/>
        <v>6.4330039661394348E-2</v>
      </c>
      <c r="S263" s="3">
        <f t="shared" si="249"/>
        <v>6.4330039204963524E-2</v>
      </c>
      <c r="T263" s="3">
        <f t="shared" si="249"/>
        <v>6.4330034640655481E-2</v>
      </c>
      <c r="U263" s="3">
        <f t="shared" si="249"/>
        <v>6.4329988997592832E-2</v>
      </c>
      <c r="V263" s="3">
        <f t="shared" si="249"/>
        <v>6.4329532568747599E-2</v>
      </c>
      <c r="W263" s="3">
        <f t="shared" si="249"/>
        <v>6.4324968458404352E-2</v>
      </c>
      <c r="X263" s="3">
        <f t="shared" si="249"/>
        <v>6.4279345161208049E-2</v>
      </c>
      <c r="Y263" s="3">
        <f t="shared" si="249"/>
        <v>6.3824888147224729E-2</v>
      </c>
      <c r="Z263" s="3">
        <f t="shared" si="249"/>
        <v>5.9453338718663616E-2</v>
      </c>
      <c r="AA263" s="3">
        <f t="shared" si="249"/>
        <v>2.9244089709505205E-2</v>
      </c>
      <c r="AB263" s="3">
        <f t="shared" si="249"/>
        <v>2.4246926686685386E-5</v>
      </c>
      <c r="AC263" s="3">
        <f t="shared" si="249"/>
        <v>3.7225678117507718E-36</v>
      </c>
      <c r="AD263" s="3">
        <f t="shared" si="249"/>
        <v>0</v>
      </c>
      <c r="AE263" s="3">
        <f t="shared" si="249"/>
        <v>0</v>
      </c>
      <c r="AF263" s="3">
        <f t="shared" si="249"/>
        <v>0</v>
      </c>
      <c r="AG263" s="3"/>
      <c r="AH263" s="3"/>
    </row>
    <row r="264" spans="2:34" x14ac:dyDescent="0.25">
      <c r="B264" s="3">
        <f t="shared" ref="B264:AF264" si="250">$C33*EXP(-B$246/$A33/EXP(-$E$126))</f>
        <v>7.1283808515689162E-2</v>
      </c>
      <c r="C264" s="3">
        <f t="shared" si="250"/>
        <v>7.1283808515689162E-2</v>
      </c>
      <c r="D264" s="3">
        <f t="shared" si="250"/>
        <v>7.1283808515689162E-2</v>
      </c>
      <c r="E264" s="3">
        <f t="shared" si="250"/>
        <v>7.1283808515689162E-2</v>
      </c>
      <c r="F264" s="3">
        <f t="shared" si="250"/>
        <v>7.1283808515689162E-2</v>
      </c>
      <c r="G264" s="3">
        <f t="shared" si="250"/>
        <v>7.1283808515689162E-2</v>
      </c>
      <c r="H264" s="3">
        <f t="shared" si="250"/>
        <v>7.1283808515689162E-2</v>
      </c>
      <c r="I264" s="3">
        <f t="shared" si="250"/>
        <v>7.1283808515689162E-2</v>
      </c>
      <c r="J264" s="3">
        <f t="shared" si="250"/>
        <v>7.1283808515689162E-2</v>
      </c>
      <c r="K264" s="3">
        <f t="shared" si="250"/>
        <v>7.1283808515689162E-2</v>
      </c>
      <c r="L264" s="3">
        <f t="shared" si="250"/>
        <v>7.1283808515689148E-2</v>
      </c>
      <c r="M264" s="3">
        <f t="shared" si="250"/>
        <v>7.128380851568912E-2</v>
      </c>
      <c r="N264" s="3">
        <f t="shared" si="250"/>
        <v>7.1283808515688662E-2</v>
      </c>
      <c r="O264" s="3">
        <f t="shared" si="250"/>
        <v>7.1283808515684083E-2</v>
      </c>
      <c r="P264" s="3">
        <f t="shared" si="250"/>
        <v>7.1283808515638467E-2</v>
      </c>
      <c r="Q264" s="3">
        <f t="shared" si="250"/>
        <v>7.128380851518222E-2</v>
      </c>
      <c r="R264" s="3">
        <f t="shared" si="250"/>
        <v>7.1283808510619773E-2</v>
      </c>
      <c r="S264" s="3">
        <f t="shared" si="250"/>
        <v>7.1283808464995213E-2</v>
      </c>
      <c r="T264" s="3">
        <f t="shared" si="250"/>
        <v>7.1283808008749672E-2</v>
      </c>
      <c r="U264" s="3">
        <f t="shared" si="250"/>
        <v>7.1283803446294453E-2</v>
      </c>
      <c r="V264" s="3">
        <f t="shared" si="250"/>
        <v>7.1283757821758262E-2</v>
      </c>
      <c r="W264" s="3">
        <f t="shared" si="250"/>
        <v>7.1283301578002417E-2</v>
      </c>
      <c r="X264" s="3">
        <f t="shared" si="250"/>
        <v>7.1278739301048527E-2</v>
      </c>
      <c r="Y264" s="3">
        <f t="shared" si="250"/>
        <v>7.1233132588153988E-2</v>
      </c>
      <c r="Z264" s="3">
        <f t="shared" si="250"/>
        <v>7.0778667327695471E-2</v>
      </c>
      <c r="AA264" s="3">
        <f t="shared" si="250"/>
        <v>6.6390472175369419E-2</v>
      </c>
      <c r="AB264" s="3">
        <f t="shared" si="250"/>
        <v>3.5005760711657972E-2</v>
      </c>
      <c r="AC264" s="3">
        <f t="shared" si="250"/>
        <v>5.8140283265445926E-5</v>
      </c>
      <c r="AD264" s="3">
        <f t="shared" si="250"/>
        <v>9.2865281474276369E-33</v>
      </c>
      <c r="AE264" s="3">
        <f t="shared" si="250"/>
        <v>0</v>
      </c>
      <c r="AF264" s="3">
        <f t="shared" si="250"/>
        <v>0</v>
      </c>
      <c r="AG264" s="3"/>
      <c r="AH264" s="3"/>
    </row>
    <row r="265" spans="2:34" x14ac:dyDescent="0.25">
      <c r="B265" s="3">
        <f t="shared" ref="B265:AF265" si="251">$C34*EXP(-B$246/$A34/EXP(-$E$126))</f>
        <v>6.5008577665533668E-2</v>
      </c>
      <c r="C265" s="3">
        <f t="shared" si="251"/>
        <v>6.5008577665533668E-2</v>
      </c>
      <c r="D265" s="3">
        <f t="shared" si="251"/>
        <v>6.5008577665533668E-2</v>
      </c>
      <c r="E265" s="3">
        <f t="shared" si="251"/>
        <v>6.5008577665533668E-2</v>
      </c>
      <c r="F265" s="3">
        <f t="shared" si="251"/>
        <v>6.5008577665533668E-2</v>
      </c>
      <c r="G265" s="3">
        <f t="shared" si="251"/>
        <v>6.5008577665533668E-2</v>
      </c>
      <c r="H265" s="3">
        <f t="shared" si="251"/>
        <v>6.5008577665533668E-2</v>
      </c>
      <c r="I265" s="3">
        <f t="shared" si="251"/>
        <v>6.5008577665533668E-2</v>
      </c>
      <c r="J265" s="3">
        <f t="shared" si="251"/>
        <v>6.5008577665533668E-2</v>
      </c>
      <c r="K265" s="3">
        <f t="shared" si="251"/>
        <v>6.5008577665533668E-2</v>
      </c>
      <c r="L265" s="3">
        <f t="shared" si="251"/>
        <v>6.5008577665533668E-2</v>
      </c>
      <c r="M265" s="3">
        <f t="shared" si="251"/>
        <v>6.5008577665533654E-2</v>
      </c>
      <c r="N265" s="3">
        <f t="shared" si="251"/>
        <v>6.5008577665533626E-2</v>
      </c>
      <c r="O265" s="3">
        <f t="shared" si="251"/>
        <v>6.5008577665533251E-2</v>
      </c>
      <c r="P265" s="3">
        <f t="shared" si="251"/>
        <v>6.5008577665529491E-2</v>
      </c>
      <c r="Q265" s="3">
        <f t="shared" si="251"/>
        <v>6.5008577665491965E-2</v>
      </c>
      <c r="R265" s="3">
        <f t="shared" si="251"/>
        <v>6.5008577665116626E-2</v>
      </c>
      <c r="S265" s="3">
        <f t="shared" si="251"/>
        <v>6.5008577661363226E-2</v>
      </c>
      <c r="T265" s="3">
        <f t="shared" si="251"/>
        <v>6.5008577623829208E-2</v>
      </c>
      <c r="U265" s="3">
        <f t="shared" si="251"/>
        <v>6.5008577248489088E-2</v>
      </c>
      <c r="V265" s="3">
        <f t="shared" si="251"/>
        <v>6.5008573495087985E-2</v>
      </c>
      <c r="W265" s="3">
        <f t="shared" si="251"/>
        <v>6.5008535961088881E-2</v>
      </c>
      <c r="X265" s="3">
        <f t="shared" si="251"/>
        <v>6.5008160622289701E-2</v>
      </c>
      <c r="Y265" s="3">
        <f t="shared" si="251"/>
        <v>6.5004407353485769E-2</v>
      </c>
      <c r="Z265" s="3">
        <f t="shared" si="251"/>
        <v>6.4966886581677805E-2</v>
      </c>
      <c r="AA265" s="3">
        <f t="shared" si="251"/>
        <v>6.4592867945040155E-2</v>
      </c>
      <c r="AB265" s="3">
        <f t="shared" si="251"/>
        <v>6.0969088278073721E-2</v>
      </c>
      <c r="AC265" s="3">
        <f t="shared" si="251"/>
        <v>3.4226384883877088E-2</v>
      </c>
      <c r="AD265" s="3">
        <f t="shared" si="251"/>
        <v>1.063835113185725E-4</v>
      </c>
      <c r="AE265" s="3">
        <f t="shared" si="251"/>
        <v>8.953796698271762E-30</v>
      </c>
      <c r="AF265" s="3">
        <f t="shared" si="251"/>
        <v>1.5971154649958491E-280</v>
      </c>
      <c r="AG265" s="3"/>
      <c r="AH265" s="3"/>
    </row>
    <row r="266" spans="2:34" x14ac:dyDescent="0.25">
      <c r="B266" s="3">
        <f t="shared" ref="B266:AF266" si="252">$C35*EXP(-B$246/$A35/EXP(-$E$126))</f>
        <v>4.954350168244695E-2</v>
      </c>
      <c r="C266" s="3">
        <f t="shared" si="252"/>
        <v>4.954350168244695E-2</v>
      </c>
      <c r="D266" s="3">
        <f t="shared" si="252"/>
        <v>4.954350168244695E-2</v>
      </c>
      <c r="E266" s="3">
        <f t="shared" si="252"/>
        <v>4.954350168244695E-2</v>
      </c>
      <c r="F266" s="3">
        <f t="shared" si="252"/>
        <v>4.954350168244695E-2</v>
      </c>
      <c r="G266" s="3">
        <f t="shared" si="252"/>
        <v>4.954350168244695E-2</v>
      </c>
      <c r="H266" s="3">
        <f t="shared" si="252"/>
        <v>4.954350168244695E-2</v>
      </c>
      <c r="I266" s="3">
        <f t="shared" si="252"/>
        <v>4.954350168244695E-2</v>
      </c>
      <c r="J266" s="3">
        <f t="shared" si="252"/>
        <v>4.954350168244695E-2</v>
      </c>
      <c r="K266" s="3">
        <f t="shared" si="252"/>
        <v>4.954350168244695E-2</v>
      </c>
      <c r="L266" s="3">
        <f t="shared" si="252"/>
        <v>4.954350168244695E-2</v>
      </c>
      <c r="M266" s="3">
        <f t="shared" si="252"/>
        <v>4.954350168244695E-2</v>
      </c>
      <c r="N266" s="3">
        <f t="shared" si="252"/>
        <v>4.9543501682446943E-2</v>
      </c>
      <c r="O266" s="3">
        <f t="shared" si="252"/>
        <v>4.9543501682446922E-2</v>
      </c>
      <c r="P266" s="3">
        <f t="shared" si="252"/>
        <v>4.9543501682446665E-2</v>
      </c>
      <c r="Q266" s="3">
        <f t="shared" si="252"/>
        <v>4.9543501682444084E-2</v>
      </c>
      <c r="R266" s="3">
        <f t="shared" si="252"/>
        <v>4.9543501682418278E-2</v>
      </c>
      <c r="S266" s="3">
        <f t="shared" si="252"/>
        <v>4.9543501682160242E-2</v>
      </c>
      <c r="T266" s="3">
        <f t="shared" si="252"/>
        <v>4.9543501679579834E-2</v>
      </c>
      <c r="U266" s="3">
        <f t="shared" si="252"/>
        <v>4.9543501653775801E-2</v>
      </c>
      <c r="V266" s="3">
        <f t="shared" si="252"/>
        <v>4.9543501395735455E-2</v>
      </c>
      <c r="W266" s="3">
        <f t="shared" si="252"/>
        <v>4.9543498815332057E-2</v>
      </c>
      <c r="X266" s="3">
        <f t="shared" si="252"/>
        <v>4.9543473011305517E-2</v>
      </c>
      <c r="Y266" s="3">
        <f t="shared" si="252"/>
        <v>4.954321497177927E-2</v>
      </c>
      <c r="Z266" s="3">
        <f t="shared" si="252"/>
        <v>4.954063465043345E-2</v>
      </c>
      <c r="AA266" s="3">
        <f t="shared" si="252"/>
        <v>4.9514838827209973E-2</v>
      </c>
      <c r="AB266" s="3">
        <f t="shared" si="252"/>
        <v>4.925761819627384E-2</v>
      </c>
      <c r="AC266" s="3">
        <f t="shared" si="252"/>
        <v>4.6757770176161471E-2</v>
      </c>
      <c r="AD266" s="3">
        <f t="shared" si="252"/>
        <v>2.7775227865372586E-2</v>
      </c>
      <c r="AE266" s="3">
        <f t="shared" si="252"/>
        <v>1.5194835966880491E-4</v>
      </c>
      <c r="AF266" s="3">
        <f t="shared" si="252"/>
        <v>3.6482103544602908E-27</v>
      </c>
      <c r="AG266" s="3"/>
      <c r="AH266" s="3"/>
    </row>
    <row r="267" spans="2:34" x14ac:dyDescent="0.25">
      <c r="B267" s="3">
        <f t="shared" ref="B267:AF267" si="253">$C36*EXP(-B$246/$A36/EXP(-$E$126))</f>
        <v>3.0281570029291476E-2</v>
      </c>
      <c r="C267" s="3">
        <f t="shared" si="253"/>
        <v>3.0281570029291476E-2</v>
      </c>
      <c r="D267" s="3">
        <f t="shared" si="253"/>
        <v>3.0281570029291476E-2</v>
      </c>
      <c r="E267" s="3">
        <f t="shared" si="253"/>
        <v>3.0281570029291476E-2</v>
      </c>
      <c r="F267" s="3">
        <f t="shared" si="253"/>
        <v>3.0281570029291476E-2</v>
      </c>
      <c r="G267" s="3">
        <f t="shared" si="253"/>
        <v>3.0281570029291476E-2</v>
      </c>
      <c r="H267" s="3">
        <f t="shared" si="253"/>
        <v>3.0281570029291476E-2</v>
      </c>
      <c r="I267" s="3">
        <f t="shared" si="253"/>
        <v>3.0281570029291476E-2</v>
      </c>
      <c r="J267" s="3">
        <f t="shared" si="253"/>
        <v>3.0281570029291476E-2</v>
      </c>
      <c r="K267" s="3">
        <f t="shared" si="253"/>
        <v>3.0281570029291476E-2</v>
      </c>
      <c r="L267" s="3">
        <f t="shared" si="253"/>
        <v>3.0281570029291476E-2</v>
      </c>
      <c r="M267" s="3">
        <f t="shared" si="253"/>
        <v>3.0281570029291476E-2</v>
      </c>
      <c r="N267" s="3">
        <f t="shared" si="253"/>
        <v>3.0281570029291476E-2</v>
      </c>
      <c r="O267" s="3">
        <f t="shared" si="253"/>
        <v>3.0281570029291476E-2</v>
      </c>
      <c r="P267" s="3">
        <f t="shared" si="253"/>
        <v>3.0281570029291459E-2</v>
      </c>
      <c r="Q267" s="3">
        <f t="shared" si="253"/>
        <v>3.0281570029291317E-2</v>
      </c>
      <c r="R267" s="3">
        <f t="shared" si="253"/>
        <v>3.0281570029289898E-2</v>
      </c>
      <c r="S267" s="3">
        <f t="shared" si="253"/>
        <v>3.0281570029275669E-2</v>
      </c>
      <c r="T267" s="3">
        <f t="shared" si="253"/>
        <v>3.0281570029133394E-2</v>
      </c>
      <c r="U267" s="3">
        <f t="shared" si="253"/>
        <v>3.0281570027710654E-2</v>
      </c>
      <c r="V267" s="3">
        <f t="shared" si="253"/>
        <v>3.028157001348324E-2</v>
      </c>
      <c r="W267" s="3">
        <f t="shared" si="253"/>
        <v>3.0281569871209123E-2</v>
      </c>
      <c r="X267" s="3">
        <f t="shared" si="253"/>
        <v>3.0281568448467997E-2</v>
      </c>
      <c r="Y267" s="3">
        <f t="shared" si="253"/>
        <v>3.0281554221060381E-2</v>
      </c>
      <c r="Z267" s="3">
        <f t="shared" si="253"/>
        <v>3.0281411947351899E-2</v>
      </c>
      <c r="AA267" s="3">
        <f t="shared" si="253"/>
        <v>3.0279989247031489E-2</v>
      </c>
      <c r="AB267" s="3">
        <f t="shared" si="253"/>
        <v>3.0265765919630264E-2</v>
      </c>
      <c r="AC267" s="3">
        <f t="shared" si="253"/>
        <v>3.0123899587708832E-2</v>
      </c>
      <c r="AD267" s="3">
        <f t="shared" si="253"/>
        <v>2.8741300523493243E-2</v>
      </c>
      <c r="AE267" s="3">
        <f t="shared" si="253"/>
        <v>1.796630054630614E-2</v>
      </c>
      <c r="AF267" s="3">
        <f t="shared" si="253"/>
        <v>1.6367453174274073E-4</v>
      </c>
      <c r="AG267" s="3"/>
      <c r="AH267" s="3"/>
    </row>
    <row r="268" spans="2:34" x14ac:dyDescent="0.25">
      <c r="B268" s="3">
        <f t="shared" ref="B268:AF268" si="254">$C37*EXP(-B$246/$A37/EXP(-$E$126))</f>
        <v>1.5838845962715554E-2</v>
      </c>
      <c r="C268" s="3">
        <f t="shared" si="254"/>
        <v>1.5838845962715554E-2</v>
      </c>
      <c r="D268" s="3">
        <f t="shared" si="254"/>
        <v>1.5838845962715554E-2</v>
      </c>
      <c r="E268" s="3">
        <f t="shared" si="254"/>
        <v>1.5838845962715554E-2</v>
      </c>
      <c r="F268" s="3">
        <f t="shared" si="254"/>
        <v>1.5838845962715554E-2</v>
      </c>
      <c r="G268" s="3">
        <f t="shared" si="254"/>
        <v>1.5838845962715554E-2</v>
      </c>
      <c r="H268" s="3">
        <f t="shared" si="254"/>
        <v>1.5838845962715554E-2</v>
      </c>
      <c r="I268" s="3">
        <f t="shared" si="254"/>
        <v>1.5838845962715554E-2</v>
      </c>
      <c r="J268" s="3">
        <f t="shared" si="254"/>
        <v>1.5838845962715554E-2</v>
      </c>
      <c r="K268" s="3">
        <f t="shared" si="254"/>
        <v>1.5838845962715554E-2</v>
      </c>
      <c r="L268" s="3">
        <f t="shared" si="254"/>
        <v>1.5838845962715554E-2</v>
      </c>
      <c r="M268" s="3">
        <f t="shared" si="254"/>
        <v>1.5838845962715554E-2</v>
      </c>
      <c r="N268" s="3">
        <f t="shared" si="254"/>
        <v>1.5838845962715554E-2</v>
      </c>
      <c r="O268" s="3">
        <f t="shared" si="254"/>
        <v>1.5838845962715554E-2</v>
      </c>
      <c r="P268" s="3">
        <f t="shared" si="254"/>
        <v>1.5838845962715554E-2</v>
      </c>
      <c r="Q268" s="3">
        <f t="shared" si="254"/>
        <v>1.5838845962715547E-2</v>
      </c>
      <c r="R268" s="3">
        <f t="shared" si="254"/>
        <v>1.5838845962715481E-2</v>
      </c>
      <c r="S268" s="3">
        <f t="shared" si="254"/>
        <v>1.5838845962714808E-2</v>
      </c>
      <c r="T268" s="3">
        <f t="shared" si="254"/>
        <v>1.5838845962708095E-2</v>
      </c>
      <c r="U268" s="3">
        <f t="shared" si="254"/>
        <v>1.5838845962640964E-2</v>
      </c>
      <c r="V268" s="3">
        <f t="shared" si="254"/>
        <v>1.5838845961969664E-2</v>
      </c>
      <c r="W268" s="3">
        <f t="shared" si="254"/>
        <v>1.5838845955256649E-2</v>
      </c>
      <c r="X268" s="3">
        <f t="shared" si="254"/>
        <v>1.5838845888126497E-2</v>
      </c>
      <c r="Y268" s="3">
        <f t="shared" si="254"/>
        <v>1.5838845216824982E-2</v>
      </c>
      <c r="Z268" s="3">
        <f t="shared" si="254"/>
        <v>1.5838838503811431E-2</v>
      </c>
      <c r="AA268" s="3">
        <f t="shared" si="254"/>
        <v>1.5838771373832397E-2</v>
      </c>
      <c r="AB268" s="3">
        <f t="shared" si="254"/>
        <v>1.5838100089690343E-2</v>
      </c>
      <c r="AC268" s="3">
        <f t="shared" si="254"/>
        <v>1.5831388812853345E-2</v>
      </c>
      <c r="AD268" s="3">
        <f t="shared" si="254"/>
        <v>1.5764432257760523E-2</v>
      </c>
      <c r="AE268" s="3">
        <f t="shared" si="254"/>
        <v>1.5110245816466668E-2</v>
      </c>
      <c r="AF268" s="3">
        <f t="shared" si="254"/>
        <v>9.8901636801177646E-3</v>
      </c>
      <c r="AG268" s="3"/>
      <c r="AH268" s="3"/>
    </row>
    <row r="269" spans="2:34" x14ac:dyDescent="0.25">
      <c r="B269" s="3">
        <f t="shared" ref="B269:AF269" si="255">$C38*EXP(-B$246/$A38/EXP(-$E$126))</f>
        <v>5.1881409706128322E-3</v>
      </c>
      <c r="C269" s="3">
        <f t="shared" si="255"/>
        <v>5.1881409706128322E-3</v>
      </c>
      <c r="D269" s="3">
        <f t="shared" si="255"/>
        <v>5.1881409706128322E-3</v>
      </c>
      <c r="E269" s="3">
        <f t="shared" si="255"/>
        <v>5.1881409706128322E-3</v>
      </c>
      <c r="F269" s="3">
        <f t="shared" si="255"/>
        <v>5.1881409706128322E-3</v>
      </c>
      <c r="G269" s="3">
        <f t="shared" si="255"/>
        <v>5.1881409706128322E-3</v>
      </c>
      <c r="H269" s="3">
        <f t="shared" si="255"/>
        <v>5.1881409706128322E-3</v>
      </c>
      <c r="I269" s="3">
        <f t="shared" si="255"/>
        <v>5.1881409706128322E-3</v>
      </c>
      <c r="J269" s="3">
        <f t="shared" si="255"/>
        <v>5.1881409706128322E-3</v>
      </c>
      <c r="K269" s="3">
        <f t="shared" si="255"/>
        <v>5.1881409706128322E-3</v>
      </c>
      <c r="L269" s="3">
        <f t="shared" si="255"/>
        <v>5.1881409706128322E-3</v>
      </c>
      <c r="M269" s="3">
        <f t="shared" si="255"/>
        <v>5.1881409706128322E-3</v>
      </c>
      <c r="N269" s="3">
        <f t="shared" si="255"/>
        <v>5.1881409706128322E-3</v>
      </c>
      <c r="O269" s="3">
        <f t="shared" si="255"/>
        <v>5.1881409706128322E-3</v>
      </c>
      <c r="P269" s="3">
        <f t="shared" si="255"/>
        <v>5.1881409706128322E-3</v>
      </c>
      <c r="Q269" s="3">
        <f t="shared" si="255"/>
        <v>5.1881409706128322E-3</v>
      </c>
      <c r="R269" s="3">
        <f t="shared" si="255"/>
        <v>5.1881409706128296E-3</v>
      </c>
      <c r="S269" s="3">
        <f t="shared" si="255"/>
        <v>5.1881409706128105E-3</v>
      </c>
      <c r="T269" s="3">
        <f t="shared" si="255"/>
        <v>5.1881409706126119E-3</v>
      </c>
      <c r="U269" s="3">
        <f t="shared" si="255"/>
        <v>5.1881409706106283E-3</v>
      </c>
      <c r="V269" s="3">
        <f t="shared" si="255"/>
        <v>5.1881409705907926E-3</v>
      </c>
      <c r="W269" s="3">
        <f t="shared" si="255"/>
        <v>5.188140970392433E-3</v>
      </c>
      <c r="X269" s="3">
        <f t="shared" si="255"/>
        <v>5.18814096840884E-3</v>
      </c>
      <c r="Y269" s="3">
        <f t="shared" si="255"/>
        <v>5.1881409485729155E-3</v>
      </c>
      <c r="Z269" s="3">
        <f t="shared" si="255"/>
        <v>5.1881407502136689E-3</v>
      </c>
      <c r="AA269" s="3">
        <f t="shared" si="255"/>
        <v>5.1881387666216196E-3</v>
      </c>
      <c r="AB269" s="3">
        <f t="shared" si="255"/>
        <v>5.1881189307428433E-3</v>
      </c>
      <c r="AC269" s="3">
        <f t="shared" si="255"/>
        <v>5.1879205761261593E-3</v>
      </c>
      <c r="AD269" s="3">
        <f t="shared" si="255"/>
        <v>5.1859374470087953E-3</v>
      </c>
      <c r="AE269" s="3">
        <f t="shared" si="255"/>
        <v>5.1661478018461514E-3</v>
      </c>
      <c r="AF269" s="3">
        <f t="shared" si="255"/>
        <v>4.9723576353292529E-3</v>
      </c>
      <c r="AG269" s="3"/>
      <c r="AH269" s="3"/>
    </row>
    <row r="270" spans="2:34" x14ac:dyDescent="0.25">
      <c r="B270" s="3">
        <f t="shared" ref="B270:AF270" si="256">$C39*EXP(-B$246/$A39/EXP(-$E$126))</f>
        <v>3.8617191328215671E-3</v>
      </c>
      <c r="C270" s="3">
        <f t="shared" si="256"/>
        <v>3.8617191328215671E-3</v>
      </c>
      <c r="D270" s="3">
        <f t="shared" si="256"/>
        <v>3.8617191328215671E-3</v>
      </c>
      <c r="E270" s="3">
        <f t="shared" si="256"/>
        <v>3.8617191328215671E-3</v>
      </c>
      <c r="F270" s="3">
        <f t="shared" si="256"/>
        <v>3.8617191328215671E-3</v>
      </c>
      <c r="G270" s="3">
        <f t="shared" si="256"/>
        <v>3.8617191328215671E-3</v>
      </c>
      <c r="H270" s="3">
        <f t="shared" si="256"/>
        <v>3.8617191328215671E-3</v>
      </c>
      <c r="I270" s="3">
        <f t="shared" si="256"/>
        <v>3.8617191328215671E-3</v>
      </c>
      <c r="J270" s="3">
        <f t="shared" si="256"/>
        <v>3.8617191328215671E-3</v>
      </c>
      <c r="K270" s="3">
        <f t="shared" si="256"/>
        <v>3.8617191328215671E-3</v>
      </c>
      <c r="L270" s="3">
        <f t="shared" si="256"/>
        <v>3.8617191328215671E-3</v>
      </c>
      <c r="M270" s="3">
        <f t="shared" si="256"/>
        <v>3.8617191328215671E-3</v>
      </c>
      <c r="N270" s="3">
        <f t="shared" si="256"/>
        <v>3.8617191328215671E-3</v>
      </c>
      <c r="O270" s="3">
        <f t="shared" si="256"/>
        <v>3.8617191328215671E-3</v>
      </c>
      <c r="P270" s="3">
        <f t="shared" si="256"/>
        <v>3.8617191328215671E-3</v>
      </c>
      <c r="Q270" s="3">
        <f t="shared" si="256"/>
        <v>3.8617191328215671E-3</v>
      </c>
      <c r="R270" s="3">
        <f t="shared" si="256"/>
        <v>3.8617191328215667E-3</v>
      </c>
      <c r="S270" s="3">
        <f t="shared" si="256"/>
        <v>3.8617191328215623E-3</v>
      </c>
      <c r="T270" s="3">
        <f t="shared" si="256"/>
        <v>3.8617191328215216E-3</v>
      </c>
      <c r="U270" s="3">
        <f t="shared" si="256"/>
        <v>3.8617191328211135E-3</v>
      </c>
      <c r="V270" s="3">
        <f t="shared" si="256"/>
        <v>3.8617191328170299E-3</v>
      </c>
      <c r="W270" s="3">
        <f t="shared" si="256"/>
        <v>3.8617191327761946E-3</v>
      </c>
      <c r="X270" s="3">
        <f t="shared" si="256"/>
        <v>3.8617191323678428E-3</v>
      </c>
      <c r="Y270" s="3">
        <f t="shared" si="256"/>
        <v>3.8617191282843272E-3</v>
      </c>
      <c r="Z270" s="3">
        <f t="shared" si="256"/>
        <v>3.8617190874491699E-3</v>
      </c>
      <c r="AA270" s="3">
        <f t="shared" si="256"/>
        <v>3.8617186790976185E-3</v>
      </c>
      <c r="AB270" s="3">
        <f t="shared" si="256"/>
        <v>3.8617145955844811E-3</v>
      </c>
      <c r="AC270" s="3">
        <f t="shared" si="256"/>
        <v>3.8616737606905981E-3</v>
      </c>
      <c r="AD270" s="3">
        <f t="shared" si="256"/>
        <v>3.8612654355000197E-3</v>
      </c>
      <c r="AE270" s="3">
        <f t="shared" si="256"/>
        <v>3.8571845574902836E-3</v>
      </c>
      <c r="AF270" s="3">
        <f t="shared" si="256"/>
        <v>3.8166122408306636E-3</v>
      </c>
      <c r="AG270" s="3"/>
      <c r="AH270" s="3"/>
    </row>
    <row r="271" spans="2:34" x14ac:dyDescent="0.25">
      <c r="B271" s="3">
        <f t="shared" ref="B271:AF271" si="257">$C40*EXP(-B$246/$A40/EXP(-$E$126))</f>
        <v>3.0600017424879029E-3</v>
      </c>
      <c r="C271" s="3">
        <f t="shared" si="257"/>
        <v>3.0600017424879029E-3</v>
      </c>
      <c r="D271" s="3">
        <f t="shared" si="257"/>
        <v>3.0600017424879029E-3</v>
      </c>
      <c r="E271" s="3">
        <f t="shared" si="257"/>
        <v>3.0600017424879029E-3</v>
      </c>
      <c r="F271" s="3">
        <f t="shared" si="257"/>
        <v>3.0600017424879029E-3</v>
      </c>
      <c r="G271" s="3">
        <f t="shared" si="257"/>
        <v>3.0600017424879029E-3</v>
      </c>
      <c r="H271" s="3">
        <f t="shared" si="257"/>
        <v>3.0600017424879029E-3</v>
      </c>
      <c r="I271" s="3">
        <f t="shared" si="257"/>
        <v>3.0600017424879029E-3</v>
      </c>
      <c r="J271" s="3">
        <f t="shared" si="257"/>
        <v>3.0600017424879029E-3</v>
      </c>
      <c r="K271" s="3">
        <f t="shared" si="257"/>
        <v>3.0600017424879029E-3</v>
      </c>
      <c r="L271" s="3">
        <f t="shared" si="257"/>
        <v>3.0600017424879029E-3</v>
      </c>
      <c r="M271" s="3">
        <f t="shared" si="257"/>
        <v>3.0600017424879029E-3</v>
      </c>
      <c r="N271" s="3">
        <f t="shared" si="257"/>
        <v>3.0600017424879029E-3</v>
      </c>
      <c r="O271" s="3">
        <f t="shared" si="257"/>
        <v>3.0600017424879029E-3</v>
      </c>
      <c r="P271" s="3">
        <f t="shared" si="257"/>
        <v>3.0600017424879029E-3</v>
      </c>
      <c r="Q271" s="3">
        <f t="shared" si="257"/>
        <v>3.0600017424879029E-3</v>
      </c>
      <c r="R271" s="3">
        <f t="shared" si="257"/>
        <v>3.0600017424879029E-3</v>
      </c>
      <c r="S271" s="3">
        <f t="shared" si="257"/>
        <v>3.0600017424879025E-3</v>
      </c>
      <c r="T271" s="3">
        <f t="shared" si="257"/>
        <v>3.060001742487899E-3</v>
      </c>
      <c r="U271" s="3">
        <f t="shared" si="257"/>
        <v>3.0600017424878669E-3</v>
      </c>
      <c r="V271" s="3">
        <f t="shared" si="257"/>
        <v>3.0600017424875434E-3</v>
      </c>
      <c r="W271" s="3">
        <f t="shared" si="257"/>
        <v>3.0600017424843077E-3</v>
      </c>
      <c r="X271" s="3">
        <f t="shared" si="257"/>
        <v>3.0600017424519503E-3</v>
      </c>
      <c r="Y271" s="3">
        <f t="shared" si="257"/>
        <v>3.0600017421283749E-3</v>
      </c>
      <c r="Z271" s="3">
        <f t="shared" si="257"/>
        <v>3.0600017388926226E-3</v>
      </c>
      <c r="AA271" s="3">
        <f t="shared" si="257"/>
        <v>3.0600017065351031E-3</v>
      </c>
      <c r="AB271" s="3">
        <f t="shared" si="257"/>
        <v>3.0600013829599243E-3</v>
      </c>
      <c r="AC271" s="3">
        <f t="shared" si="257"/>
        <v>3.0599981472100198E-3</v>
      </c>
      <c r="AD271" s="3">
        <f t="shared" si="257"/>
        <v>3.0599657898991595E-3</v>
      </c>
      <c r="AE271" s="3">
        <f t="shared" si="257"/>
        <v>3.0596422356085192E-3</v>
      </c>
      <c r="AF271" s="3">
        <f t="shared" si="257"/>
        <v>3.0564085737622864E-3</v>
      </c>
      <c r="AG271" s="3"/>
      <c r="AH271" s="3"/>
    </row>
    <row r="272" spans="2:34" x14ac:dyDescent="0.25">
      <c r="B272" s="3">
        <f t="shared" ref="B272:AF272" si="258">$C41*EXP(-B$246/$A41/EXP(-$E$126))</f>
        <v>1.8593150246318942E-3</v>
      </c>
      <c r="C272" s="3">
        <f t="shared" si="258"/>
        <v>1.8593150246318942E-3</v>
      </c>
      <c r="D272" s="3">
        <f t="shared" si="258"/>
        <v>1.8593150246318942E-3</v>
      </c>
      <c r="E272" s="3">
        <f t="shared" si="258"/>
        <v>1.8593150246318942E-3</v>
      </c>
      <c r="F272" s="3">
        <f t="shared" si="258"/>
        <v>1.8593150246318942E-3</v>
      </c>
      <c r="G272" s="3">
        <f t="shared" si="258"/>
        <v>1.8593150246318942E-3</v>
      </c>
      <c r="H272" s="3">
        <f t="shared" si="258"/>
        <v>1.8593150246318942E-3</v>
      </c>
      <c r="I272" s="3">
        <f t="shared" si="258"/>
        <v>1.8593150246318942E-3</v>
      </c>
      <c r="J272" s="3">
        <f t="shared" si="258"/>
        <v>1.8593150246318942E-3</v>
      </c>
      <c r="K272" s="3">
        <f t="shared" si="258"/>
        <v>1.8593150246318942E-3</v>
      </c>
      <c r="L272" s="3">
        <f t="shared" si="258"/>
        <v>1.8593150246318942E-3</v>
      </c>
      <c r="M272" s="3">
        <f t="shared" si="258"/>
        <v>1.8593150246318942E-3</v>
      </c>
      <c r="N272" s="3">
        <f t="shared" si="258"/>
        <v>1.8593150246318942E-3</v>
      </c>
      <c r="O272" s="3">
        <f t="shared" si="258"/>
        <v>1.8593150246318942E-3</v>
      </c>
      <c r="P272" s="3">
        <f t="shared" si="258"/>
        <v>1.8593150246318942E-3</v>
      </c>
      <c r="Q272" s="3">
        <f t="shared" si="258"/>
        <v>1.8593150246318942E-3</v>
      </c>
      <c r="R272" s="3">
        <f t="shared" si="258"/>
        <v>1.8593150246318942E-3</v>
      </c>
      <c r="S272" s="3">
        <f t="shared" si="258"/>
        <v>1.8593150246318942E-3</v>
      </c>
      <c r="T272" s="3">
        <f t="shared" si="258"/>
        <v>1.859315024631894E-3</v>
      </c>
      <c r="U272" s="3">
        <f t="shared" si="258"/>
        <v>1.8593150246318921E-3</v>
      </c>
      <c r="V272" s="3">
        <f t="shared" si="258"/>
        <v>1.8593150246318723E-3</v>
      </c>
      <c r="W272" s="3">
        <f t="shared" si="258"/>
        <v>1.8593150246316759E-3</v>
      </c>
      <c r="X272" s="3">
        <f t="shared" si="258"/>
        <v>1.8593150246297096E-3</v>
      </c>
      <c r="Y272" s="3">
        <f t="shared" si="258"/>
        <v>1.8593150246100486E-3</v>
      </c>
      <c r="Z272" s="3">
        <f t="shared" si="258"/>
        <v>1.8593150244134381E-3</v>
      </c>
      <c r="AA272" s="3">
        <f t="shared" si="258"/>
        <v>1.859315022447334E-3</v>
      </c>
      <c r="AB272" s="3">
        <f t="shared" si="258"/>
        <v>1.8593150027862921E-3</v>
      </c>
      <c r="AC272" s="3">
        <f t="shared" si="258"/>
        <v>1.859314806175884E-3</v>
      </c>
      <c r="AD272" s="3">
        <f t="shared" si="258"/>
        <v>1.8593128400729467E-3</v>
      </c>
      <c r="AE272" s="3">
        <f t="shared" si="258"/>
        <v>1.8592931791579204E-3</v>
      </c>
      <c r="AF272" s="3">
        <f t="shared" si="258"/>
        <v>1.8590965814418085E-3</v>
      </c>
      <c r="AG272" s="3"/>
      <c r="AH272" s="3"/>
    </row>
    <row r="273" spans="1:34" x14ac:dyDescent="0.25">
      <c r="B273" s="3">
        <f t="shared" ref="B273:AF273" si="259">$C42*EXP(-B$246/$A42/EXP(-$E$126))</f>
        <v>1.0289911498978865E-4</v>
      </c>
      <c r="C273" s="3">
        <f t="shared" si="259"/>
        <v>1.0289911498978865E-4</v>
      </c>
      <c r="D273" s="3">
        <f t="shared" si="259"/>
        <v>1.0289911498978865E-4</v>
      </c>
      <c r="E273" s="3">
        <f t="shared" si="259"/>
        <v>1.0289911498978865E-4</v>
      </c>
      <c r="F273" s="3">
        <f t="shared" si="259"/>
        <v>1.0289911498978865E-4</v>
      </c>
      <c r="G273" s="3">
        <f t="shared" si="259"/>
        <v>1.0289911498978865E-4</v>
      </c>
      <c r="H273" s="3">
        <f t="shared" si="259"/>
        <v>1.0289911498978865E-4</v>
      </c>
      <c r="I273" s="3">
        <f t="shared" si="259"/>
        <v>1.0289911498978865E-4</v>
      </c>
      <c r="J273" s="3">
        <f t="shared" si="259"/>
        <v>1.0289911498978865E-4</v>
      </c>
      <c r="K273" s="3">
        <f t="shared" si="259"/>
        <v>1.0289911498978865E-4</v>
      </c>
      <c r="L273" s="3">
        <f t="shared" si="259"/>
        <v>1.0289911498978865E-4</v>
      </c>
      <c r="M273" s="3">
        <f t="shared" si="259"/>
        <v>1.0289911498978865E-4</v>
      </c>
      <c r="N273" s="3">
        <f t="shared" si="259"/>
        <v>1.0289911498978865E-4</v>
      </c>
      <c r="O273" s="3">
        <f t="shared" si="259"/>
        <v>1.0289911498978865E-4</v>
      </c>
      <c r="P273" s="3">
        <f t="shared" si="259"/>
        <v>1.0289911498978865E-4</v>
      </c>
      <c r="Q273" s="3">
        <f t="shared" si="259"/>
        <v>1.0289911498978865E-4</v>
      </c>
      <c r="R273" s="3">
        <f t="shared" si="259"/>
        <v>1.0289911498978865E-4</v>
      </c>
      <c r="S273" s="3">
        <f t="shared" si="259"/>
        <v>1.0289911498978865E-4</v>
      </c>
      <c r="T273" s="3">
        <f t="shared" si="259"/>
        <v>1.0289911498978865E-4</v>
      </c>
      <c r="U273" s="3">
        <f t="shared" si="259"/>
        <v>1.0289911498978864E-4</v>
      </c>
      <c r="V273" s="3">
        <f t="shared" si="259"/>
        <v>1.0289911498978853E-4</v>
      </c>
      <c r="W273" s="3">
        <f t="shared" si="259"/>
        <v>1.0289911498978745E-4</v>
      </c>
      <c r="X273" s="3">
        <f t="shared" si="259"/>
        <v>1.0289911498977656E-4</v>
      </c>
      <c r="Y273" s="3">
        <f t="shared" si="259"/>
        <v>1.0289911498966775E-4</v>
      </c>
      <c r="Z273" s="3">
        <f t="shared" si="259"/>
        <v>1.0289911498857966E-4</v>
      </c>
      <c r="AA273" s="3">
        <f t="shared" si="259"/>
        <v>1.0289911497769875E-4</v>
      </c>
      <c r="AB273" s="3">
        <f t="shared" si="259"/>
        <v>1.0289911486888965E-4</v>
      </c>
      <c r="AC273" s="3">
        <f t="shared" si="259"/>
        <v>1.0289911378079874E-4</v>
      </c>
      <c r="AD273" s="3">
        <f t="shared" si="259"/>
        <v>1.0289910289989004E-4</v>
      </c>
      <c r="AE273" s="3">
        <f t="shared" si="259"/>
        <v>1.0289899409086654E-4</v>
      </c>
      <c r="AF273" s="3">
        <f t="shared" si="259"/>
        <v>1.0289790600695968E-4</v>
      </c>
      <c r="AG273" s="3"/>
      <c r="AH273" s="3"/>
    </row>
    <row r="274" spans="1:34" x14ac:dyDescent="0.25">
      <c r="B274" s="3">
        <f t="shared" ref="B274:AF274" si="260">$C43*EXP(-B$246/$A43/EXP(-$E$126))</f>
        <v>3.4301074619822757E-3</v>
      </c>
      <c r="C274" s="3">
        <f t="shared" si="260"/>
        <v>3.4301074619822757E-3</v>
      </c>
      <c r="D274" s="3">
        <f t="shared" si="260"/>
        <v>3.4301074619822757E-3</v>
      </c>
      <c r="E274" s="3">
        <f t="shared" si="260"/>
        <v>3.4301074619822757E-3</v>
      </c>
      <c r="F274" s="3">
        <f t="shared" si="260"/>
        <v>3.4301074619822757E-3</v>
      </c>
      <c r="G274" s="3">
        <f t="shared" si="260"/>
        <v>3.4301074619822757E-3</v>
      </c>
      <c r="H274" s="3">
        <f t="shared" si="260"/>
        <v>3.4301074619822757E-3</v>
      </c>
      <c r="I274" s="3">
        <f t="shared" si="260"/>
        <v>3.4301074619822757E-3</v>
      </c>
      <c r="J274" s="3">
        <f t="shared" si="260"/>
        <v>3.4301074619822757E-3</v>
      </c>
      <c r="K274" s="3">
        <f t="shared" si="260"/>
        <v>3.4301074619822757E-3</v>
      </c>
      <c r="L274" s="3">
        <f t="shared" si="260"/>
        <v>3.4301074619822757E-3</v>
      </c>
      <c r="M274" s="3">
        <f t="shared" si="260"/>
        <v>3.4301074619822757E-3</v>
      </c>
      <c r="N274" s="3">
        <f t="shared" si="260"/>
        <v>3.4301074619822757E-3</v>
      </c>
      <c r="O274" s="3">
        <f t="shared" si="260"/>
        <v>3.4301074619822757E-3</v>
      </c>
      <c r="P274" s="3">
        <f t="shared" si="260"/>
        <v>3.4301074619822757E-3</v>
      </c>
      <c r="Q274" s="3">
        <f t="shared" si="260"/>
        <v>3.4301074619822757E-3</v>
      </c>
      <c r="R274" s="3">
        <f t="shared" si="260"/>
        <v>3.4301074619822757E-3</v>
      </c>
      <c r="S274" s="3">
        <f t="shared" si="260"/>
        <v>3.4301074619822757E-3</v>
      </c>
      <c r="T274" s="3">
        <f t="shared" si="260"/>
        <v>3.4301074619822757E-3</v>
      </c>
      <c r="U274" s="3">
        <f t="shared" si="260"/>
        <v>3.4301074619822757E-3</v>
      </c>
      <c r="V274" s="3">
        <f t="shared" si="260"/>
        <v>3.4301074619822753E-3</v>
      </c>
      <c r="W274" s="3">
        <f t="shared" si="260"/>
        <v>3.4301074619822714E-3</v>
      </c>
      <c r="X274" s="3">
        <f t="shared" si="260"/>
        <v>3.4301074619822354E-3</v>
      </c>
      <c r="Y274" s="3">
        <f t="shared" si="260"/>
        <v>3.4301074619818728E-3</v>
      </c>
      <c r="Z274" s="3">
        <f t="shared" si="260"/>
        <v>3.4301074619782455E-3</v>
      </c>
      <c r="AA274" s="3">
        <f t="shared" si="260"/>
        <v>3.4301074619419746E-3</v>
      </c>
      <c r="AB274" s="3">
        <f t="shared" si="260"/>
        <v>3.430107461579263E-3</v>
      </c>
      <c r="AC274" s="3">
        <f t="shared" si="260"/>
        <v>3.4301074579521484E-3</v>
      </c>
      <c r="AD274" s="3">
        <f t="shared" si="260"/>
        <v>3.4301074216810026E-3</v>
      </c>
      <c r="AE274" s="3">
        <f t="shared" si="260"/>
        <v>3.4301070589695636E-3</v>
      </c>
      <c r="AF274" s="3">
        <f t="shared" si="260"/>
        <v>3.4301034318572846E-3</v>
      </c>
      <c r="AG274" s="3"/>
      <c r="AH274" s="3"/>
    </row>
    <row r="275" spans="1:34" x14ac:dyDescent="0.25">
      <c r="B275" s="3">
        <f t="shared" ref="B275:AF275" si="261">$C44*EXP(-B$246/$A44/EXP(-$E$126))</f>
        <v>1.0099566360327609E-4</v>
      </c>
      <c r="C275" s="3">
        <f t="shared" si="261"/>
        <v>1.0099566360327609E-4</v>
      </c>
      <c r="D275" s="3">
        <f t="shared" si="261"/>
        <v>1.0099566360327609E-4</v>
      </c>
      <c r="E275" s="3">
        <f t="shared" si="261"/>
        <v>1.0099566360327609E-4</v>
      </c>
      <c r="F275" s="3">
        <f t="shared" si="261"/>
        <v>1.0099566360327609E-4</v>
      </c>
      <c r="G275" s="3">
        <f t="shared" si="261"/>
        <v>1.0099566360327609E-4</v>
      </c>
      <c r="H275" s="3">
        <f t="shared" si="261"/>
        <v>1.0099566360327609E-4</v>
      </c>
      <c r="I275" s="3">
        <f t="shared" si="261"/>
        <v>1.0099566360327609E-4</v>
      </c>
      <c r="J275" s="3">
        <f t="shared" si="261"/>
        <v>1.0099566360327609E-4</v>
      </c>
      <c r="K275" s="3">
        <f t="shared" si="261"/>
        <v>1.0099566360327609E-4</v>
      </c>
      <c r="L275" s="3">
        <f t="shared" si="261"/>
        <v>1.0099566360327609E-4</v>
      </c>
      <c r="M275" s="3">
        <f t="shared" si="261"/>
        <v>1.0099566360327609E-4</v>
      </c>
      <c r="N275" s="3">
        <f t="shared" si="261"/>
        <v>1.0099566360327609E-4</v>
      </c>
      <c r="O275" s="3">
        <f t="shared" si="261"/>
        <v>1.0099566360327609E-4</v>
      </c>
      <c r="P275" s="3">
        <f t="shared" si="261"/>
        <v>1.0099566360327609E-4</v>
      </c>
      <c r="Q275" s="3">
        <f t="shared" si="261"/>
        <v>1.0099566360327609E-4</v>
      </c>
      <c r="R275" s="3">
        <f t="shared" si="261"/>
        <v>1.0099566360327609E-4</v>
      </c>
      <c r="S275" s="3">
        <f t="shared" si="261"/>
        <v>1.0099566360327609E-4</v>
      </c>
      <c r="T275" s="3">
        <f t="shared" si="261"/>
        <v>1.0099566360327609E-4</v>
      </c>
      <c r="U275" s="3">
        <f t="shared" si="261"/>
        <v>1.0099566360327609E-4</v>
      </c>
      <c r="V275" s="3">
        <f t="shared" si="261"/>
        <v>1.0099566360327609E-4</v>
      </c>
      <c r="W275" s="3">
        <f t="shared" si="261"/>
        <v>1.0099566360327608E-4</v>
      </c>
      <c r="X275" s="3">
        <f t="shared" si="261"/>
        <v>1.0099566360327597E-4</v>
      </c>
      <c r="Y275" s="3">
        <f t="shared" si="261"/>
        <v>1.009956636032749E-4</v>
      </c>
      <c r="Z275" s="3">
        <f t="shared" si="261"/>
        <v>1.0099566360326424E-4</v>
      </c>
      <c r="AA275" s="3">
        <f t="shared" si="261"/>
        <v>1.0099566360315743E-4</v>
      </c>
      <c r="AB275" s="3">
        <f t="shared" si="261"/>
        <v>1.0099566360208948E-4</v>
      </c>
      <c r="AC275" s="3">
        <f t="shared" si="261"/>
        <v>1.0099566359140983E-4</v>
      </c>
      <c r="AD275" s="3">
        <f t="shared" si="261"/>
        <v>1.0099566348461351E-4</v>
      </c>
      <c r="AE275" s="3">
        <f t="shared" si="261"/>
        <v>1.0099566241665035E-4</v>
      </c>
      <c r="AF275" s="3">
        <f t="shared" si="261"/>
        <v>1.009956517370192E-4</v>
      </c>
      <c r="AG275" s="3"/>
      <c r="AH275" s="3"/>
    </row>
    <row r="276" spans="1:34" x14ac:dyDescent="0.25">
      <c r="B276" s="3">
        <f t="shared" ref="B276:AF276" si="262">$C45*EXP(-B$246/$A45/EXP(-$E$126))</f>
        <v>2.8535751866135694E-4</v>
      </c>
      <c r="C276" s="3">
        <f t="shared" si="262"/>
        <v>2.8535751866135694E-4</v>
      </c>
      <c r="D276" s="3">
        <f t="shared" si="262"/>
        <v>2.8535751866135694E-4</v>
      </c>
      <c r="E276" s="3">
        <f t="shared" si="262"/>
        <v>2.8535751866135694E-4</v>
      </c>
      <c r="F276" s="3">
        <f t="shared" si="262"/>
        <v>2.8535751866135694E-4</v>
      </c>
      <c r="G276" s="3">
        <f t="shared" si="262"/>
        <v>2.8535751866135694E-4</v>
      </c>
      <c r="H276" s="3">
        <f t="shared" si="262"/>
        <v>2.8535751866135694E-4</v>
      </c>
      <c r="I276" s="3">
        <f t="shared" si="262"/>
        <v>2.8535751866135694E-4</v>
      </c>
      <c r="J276" s="3">
        <f t="shared" si="262"/>
        <v>2.8535751866135694E-4</v>
      </c>
      <c r="K276" s="3">
        <f t="shared" si="262"/>
        <v>2.8535751866135694E-4</v>
      </c>
      <c r="L276" s="3">
        <f t="shared" si="262"/>
        <v>2.8535751866135694E-4</v>
      </c>
      <c r="M276" s="3">
        <f t="shared" si="262"/>
        <v>2.8535751866135694E-4</v>
      </c>
      <c r="N276" s="3">
        <f t="shared" si="262"/>
        <v>2.8535751866135694E-4</v>
      </c>
      <c r="O276" s="3">
        <f t="shared" si="262"/>
        <v>2.8535751866135694E-4</v>
      </c>
      <c r="P276" s="3">
        <f t="shared" si="262"/>
        <v>2.8535751866135694E-4</v>
      </c>
      <c r="Q276" s="3">
        <f t="shared" si="262"/>
        <v>2.8535751866135694E-4</v>
      </c>
      <c r="R276" s="3">
        <f t="shared" si="262"/>
        <v>2.8535751866135694E-4</v>
      </c>
      <c r="S276" s="3">
        <f t="shared" si="262"/>
        <v>2.8535751866135694E-4</v>
      </c>
      <c r="T276" s="3">
        <f t="shared" si="262"/>
        <v>2.8535751866135694E-4</v>
      </c>
      <c r="U276" s="3">
        <f t="shared" si="262"/>
        <v>2.8535751866135694E-4</v>
      </c>
      <c r="V276" s="3">
        <f t="shared" si="262"/>
        <v>2.8535751866135694E-4</v>
      </c>
      <c r="W276" s="3">
        <f t="shared" si="262"/>
        <v>2.8535751866135694E-4</v>
      </c>
      <c r="X276" s="3">
        <f t="shared" si="262"/>
        <v>2.8535751866135689E-4</v>
      </c>
      <c r="Y276" s="3">
        <f t="shared" si="262"/>
        <v>2.8535751866135662E-4</v>
      </c>
      <c r="Z276" s="3">
        <f t="shared" si="262"/>
        <v>2.8535751866135358E-4</v>
      </c>
      <c r="AA276" s="3">
        <f t="shared" si="262"/>
        <v>2.8535751866132344E-4</v>
      </c>
      <c r="AB276" s="3">
        <f t="shared" si="262"/>
        <v>2.8535751866102166E-4</v>
      </c>
      <c r="AC276" s="3">
        <f t="shared" si="262"/>
        <v>2.8535751865800421E-4</v>
      </c>
      <c r="AD276" s="3">
        <f t="shared" si="262"/>
        <v>2.8535751862782951E-4</v>
      </c>
      <c r="AE276" s="3">
        <f t="shared" si="262"/>
        <v>2.8535751832608255E-4</v>
      </c>
      <c r="AF276" s="3">
        <f t="shared" si="262"/>
        <v>2.8535751530861319E-4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1.5499334140859142E-4</v>
      </c>
      <c r="C279" s="3">
        <f t="shared" si="265"/>
        <v>1.5499334140859142E-4</v>
      </c>
      <c r="D279" s="3">
        <f t="shared" si="265"/>
        <v>1.5499334140859142E-4</v>
      </c>
      <c r="E279" s="3">
        <f t="shared" si="265"/>
        <v>1.5499334140859142E-4</v>
      </c>
      <c r="F279" s="3">
        <f t="shared" si="265"/>
        <v>1.5499334140859142E-4</v>
      </c>
      <c r="G279" s="3">
        <f t="shared" si="265"/>
        <v>1.5499334140859142E-4</v>
      </c>
      <c r="H279" s="3">
        <f t="shared" si="265"/>
        <v>1.5499334140859142E-4</v>
      </c>
      <c r="I279" s="3">
        <f t="shared" si="265"/>
        <v>1.5499334140859142E-4</v>
      </c>
      <c r="J279" s="3">
        <f t="shared" si="265"/>
        <v>1.5499334140859142E-4</v>
      </c>
      <c r="K279" s="3">
        <f t="shared" si="265"/>
        <v>1.5499334140859142E-4</v>
      </c>
      <c r="L279" s="3">
        <f t="shared" si="265"/>
        <v>1.5499334140859142E-4</v>
      </c>
      <c r="M279" s="3">
        <f t="shared" si="265"/>
        <v>1.5499334140859142E-4</v>
      </c>
      <c r="N279" s="3">
        <f t="shared" si="265"/>
        <v>1.5499334140859142E-4</v>
      </c>
      <c r="O279" s="3">
        <f t="shared" si="265"/>
        <v>1.5499334140859142E-4</v>
      </c>
      <c r="P279" s="3">
        <f t="shared" si="265"/>
        <v>1.5499334140859142E-4</v>
      </c>
      <c r="Q279" s="3">
        <f t="shared" si="265"/>
        <v>1.5499334140859142E-4</v>
      </c>
      <c r="R279" s="3">
        <f t="shared" si="265"/>
        <v>1.5499334140859142E-4</v>
      </c>
      <c r="S279" s="3">
        <f t="shared" si="265"/>
        <v>1.5499334140859142E-4</v>
      </c>
      <c r="T279" s="3">
        <f t="shared" si="265"/>
        <v>1.5499334140859142E-4</v>
      </c>
      <c r="U279" s="3">
        <f t="shared" si="265"/>
        <v>1.5499334140859142E-4</v>
      </c>
      <c r="V279" s="3">
        <f t="shared" si="265"/>
        <v>1.5499334140859142E-4</v>
      </c>
      <c r="W279" s="3">
        <f t="shared" si="265"/>
        <v>1.5499334140859142E-4</v>
      </c>
      <c r="X279" s="3">
        <f t="shared" si="265"/>
        <v>1.5499334140859142E-4</v>
      </c>
      <c r="Y279" s="3">
        <f t="shared" si="265"/>
        <v>1.5499334140859142E-4</v>
      </c>
      <c r="Z279" s="3">
        <f t="shared" si="265"/>
        <v>1.5499334140859142E-4</v>
      </c>
      <c r="AA279" s="3">
        <f t="shared" si="265"/>
        <v>1.5499334140859139E-4</v>
      </c>
      <c r="AB279" s="3">
        <f t="shared" si="265"/>
        <v>1.5499334140859123E-4</v>
      </c>
      <c r="AC279" s="3">
        <f t="shared" si="265"/>
        <v>1.549933414085896E-4</v>
      </c>
      <c r="AD279" s="3">
        <f t="shared" si="265"/>
        <v>1.549933414085732E-4</v>
      </c>
      <c r="AE279" s="3">
        <f t="shared" si="265"/>
        <v>1.549933414084093E-4</v>
      </c>
      <c r="AF279" s="3">
        <f t="shared" si="265"/>
        <v>1.5499334140677037E-4</v>
      </c>
      <c r="AG279" s="3"/>
      <c r="AH279" s="3"/>
    </row>
    <row r="280" spans="1:34" x14ac:dyDescent="0.25">
      <c r="A280" s="79">
        <f>AVERAGE(B280:AF280)</f>
        <v>4.7082089742147268E-2</v>
      </c>
      <c r="B280" s="80">
        <f>IF($D$61&lt;=B246,IF($E$61&gt;=B246,ABS((B248-B247)/B247),0),0)</f>
        <v>2.9934269547069129E-3</v>
      </c>
      <c r="C280" s="80">
        <f t="shared" ref="C280:AF280" si="266">IF($D$61&lt;=C246,IF($E$61&gt;=C246,ABS((C248-C247)/C247),0),0)</f>
        <v>3.1421977215080584E-3</v>
      </c>
      <c r="D280" s="80">
        <f t="shared" si="266"/>
        <v>4.6510064594394943E-3</v>
      </c>
      <c r="E280" s="80">
        <f t="shared" si="266"/>
        <v>1.5946390451886179E-2</v>
      </c>
      <c r="F280" s="80">
        <f t="shared" si="266"/>
        <v>2.5399757358862848E-2</v>
      </c>
      <c r="G280" s="80">
        <f t="shared" si="266"/>
        <v>7.2840392228536707E-2</v>
      </c>
      <c r="H280" s="80">
        <f t="shared" si="266"/>
        <v>0.11873118434200096</v>
      </c>
      <c r="I280" s="80">
        <f t="shared" si="266"/>
        <v>9.8589287621850208E-2</v>
      </c>
      <c r="J280" s="80">
        <f t="shared" si="266"/>
        <v>7.6166907387904506E-2</v>
      </c>
      <c r="K280" s="80">
        <f t="shared" si="266"/>
        <v>4.970038953749234E-2</v>
      </c>
      <c r="L280" s="80">
        <f t="shared" si="266"/>
        <v>2.1005498569180457E-2</v>
      </c>
      <c r="M280" s="80">
        <f t="shared" si="266"/>
        <v>4.1792734472805458E-3</v>
      </c>
      <c r="N280" s="80">
        <f t="shared" si="266"/>
        <v>2.6036733389330522E-2</v>
      </c>
      <c r="O280" s="80">
        <f t="shared" si="266"/>
        <v>2.3709139185459738E-2</v>
      </c>
      <c r="P280" s="80">
        <f t="shared" si="266"/>
        <v>2.8145942065131699E-2</v>
      </c>
      <c r="Q280" s="80">
        <f t="shared" si="266"/>
        <v>2.6740927401774313E-2</v>
      </c>
      <c r="R280" s="80">
        <f t="shared" si="266"/>
        <v>2.0231822434913258E-2</v>
      </c>
      <c r="S280" s="80">
        <f t="shared" si="266"/>
        <v>1.48562711933901E-3</v>
      </c>
      <c r="T280" s="80">
        <f t="shared" si="266"/>
        <v>4.4678551460647822E-2</v>
      </c>
      <c r="U280" s="80">
        <f t="shared" si="266"/>
        <v>9.565577027892927E-2</v>
      </c>
      <c r="V280" s="80">
        <f t="shared" si="266"/>
        <v>0.14068866991813114</v>
      </c>
      <c r="W280" s="80">
        <f t="shared" si="266"/>
        <v>0.16990993717292482</v>
      </c>
      <c r="X280" s="80">
        <f t="shared" si="266"/>
        <v>0.19063764699880573</v>
      </c>
      <c r="Y280" s="80">
        <f t="shared" si="266"/>
        <v>0.1982783025005288</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341.39224798204646</v>
      </c>
      <c r="C281" s="21">
        <f t="shared" ref="C281:AF281" si="267">(C248-C247)^2</f>
        <v>376.04250492045816</v>
      </c>
      <c r="D281" s="21">
        <f t="shared" si="267"/>
        <v>821.0746079711837</v>
      </c>
      <c r="E281" s="21">
        <f t="shared" si="267"/>
        <v>9400.5506717292083</v>
      </c>
      <c r="F281" s="21">
        <f t="shared" si="267"/>
        <v>22529.76235427643</v>
      </c>
      <c r="G281" s="21">
        <f t="shared" si="267"/>
        <v>178106.29674331102</v>
      </c>
      <c r="H281" s="21">
        <f t="shared" si="267"/>
        <v>454843.25780048291</v>
      </c>
      <c r="I281" s="21">
        <f t="shared" si="267"/>
        <v>299750.37125719438</v>
      </c>
      <c r="J281" s="21">
        <f t="shared" si="267"/>
        <v>170323.63259212184</v>
      </c>
      <c r="K281" s="21">
        <f t="shared" si="267"/>
        <v>68511.572972358364</v>
      </c>
      <c r="L281" s="21">
        <f t="shared" si="267"/>
        <v>11488.257511806467</v>
      </c>
      <c r="M281" s="21">
        <f t="shared" si="267"/>
        <v>425.40821139404352</v>
      </c>
      <c r="N281" s="21">
        <f t="shared" si="267"/>
        <v>15449.776261785806</v>
      </c>
      <c r="O281" s="21">
        <f t="shared" si="267"/>
        <v>11884.929178419668</v>
      </c>
      <c r="P281" s="21">
        <f t="shared" si="267"/>
        <v>15225.181935645911</v>
      </c>
      <c r="Q281" s="21">
        <f t="shared" si="267"/>
        <v>12332.711068264645</v>
      </c>
      <c r="R281" s="21">
        <f t="shared" si="267"/>
        <v>6345.7710269449462</v>
      </c>
      <c r="S281" s="21">
        <f t="shared" si="267"/>
        <v>30.015439125493884</v>
      </c>
      <c r="T281" s="21">
        <f t="shared" si="267"/>
        <v>22564.721514729026</v>
      </c>
      <c r="U281" s="21">
        <f t="shared" si="267"/>
        <v>85220.08061780133</v>
      </c>
      <c r="V281" s="21">
        <f t="shared" si="267"/>
        <v>153172.48294374277</v>
      </c>
      <c r="W281" s="21">
        <f t="shared" si="267"/>
        <v>187428.87154142777</v>
      </c>
      <c r="X281" s="21">
        <f t="shared" si="267"/>
        <v>196403.83001580284</v>
      </c>
      <c r="Y281" s="21">
        <f t="shared" si="267"/>
        <v>175180.66339096936</v>
      </c>
      <c r="Z281" s="21">
        <f t="shared" si="267"/>
        <v>134591.49286413353</v>
      </c>
      <c r="AA281" s="21">
        <f t="shared" si="267"/>
        <v>71202.270153049103</v>
      </c>
      <c r="AB281" s="21">
        <f t="shared" si="267"/>
        <v>19085.28451209479</v>
      </c>
      <c r="AC281" s="21">
        <f t="shared" si="267"/>
        <v>1492.2148779838776</v>
      </c>
      <c r="AD281" s="21">
        <f t="shared" si="267"/>
        <v>59.877536869014335</v>
      </c>
      <c r="AE281" s="21">
        <f t="shared" si="267"/>
        <v>295.30431738170842</v>
      </c>
      <c r="AF281" s="21">
        <f t="shared" si="267"/>
        <v>76.101296266432854</v>
      </c>
      <c r="AG281" s="3"/>
      <c r="AH281" s="3"/>
    </row>
    <row r="282" spans="1:34" s="3" customFormat="1" x14ac:dyDescent="0.25">
      <c r="A282" s="71">
        <f>SUM(B282:AF282)</f>
        <v>2098156.6544102076</v>
      </c>
      <c r="B282" s="21">
        <f>IF($D$61&lt;=B246,IF($E$61&gt;=B246,ABS(B281),0),0)</f>
        <v>341.39224798204646</v>
      </c>
      <c r="C282" s="21">
        <f t="shared" ref="C282:AF282" si="268">IF($D$61&lt;=C246,IF($E$61&gt;=C246,ABS(C281),0),0)</f>
        <v>376.04250492045816</v>
      </c>
      <c r="D282" s="21">
        <f t="shared" si="268"/>
        <v>821.0746079711837</v>
      </c>
      <c r="E282" s="21">
        <f t="shared" si="268"/>
        <v>9400.5506717292083</v>
      </c>
      <c r="F282" s="21">
        <f t="shared" si="268"/>
        <v>22529.76235427643</v>
      </c>
      <c r="G282" s="21">
        <f t="shared" si="268"/>
        <v>178106.29674331102</v>
      </c>
      <c r="H282" s="21">
        <f t="shared" si="268"/>
        <v>454843.25780048291</v>
      </c>
      <c r="I282" s="21">
        <f t="shared" si="268"/>
        <v>299750.37125719438</v>
      </c>
      <c r="J282" s="21">
        <f t="shared" si="268"/>
        <v>170323.63259212184</v>
      </c>
      <c r="K282" s="21">
        <f t="shared" si="268"/>
        <v>68511.572972358364</v>
      </c>
      <c r="L282" s="21">
        <f t="shared" si="268"/>
        <v>11488.257511806467</v>
      </c>
      <c r="M282" s="21">
        <f t="shared" si="268"/>
        <v>425.40821139404352</v>
      </c>
      <c r="N282" s="21">
        <f t="shared" si="268"/>
        <v>15449.776261785806</v>
      </c>
      <c r="O282" s="21">
        <f t="shared" si="268"/>
        <v>11884.929178419668</v>
      </c>
      <c r="P282" s="21">
        <f t="shared" si="268"/>
        <v>15225.181935645911</v>
      </c>
      <c r="Q282" s="21">
        <f t="shared" si="268"/>
        <v>12332.711068264645</v>
      </c>
      <c r="R282" s="21">
        <f t="shared" si="268"/>
        <v>6345.7710269449462</v>
      </c>
      <c r="S282" s="21">
        <f t="shared" si="268"/>
        <v>30.015439125493884</v>
      </c>
      <c r="T282" s="21">
        <f t="shared" si="268"/>
        <v>22564.721514729026</v>
      </c>
      <c r="U282" s="21">
        <f t="shared" si="268"/>
        <v>85220.08061780133</v>
      </c>
      <c r="V282" s="21">
        <f t="shared" si="268"/>
        <v>153172.48294374277</v>
      </c>
      <c r="W282" s="21">
        <f t="shared" si="268"/>
        <v>187428.87154142777</v>
      </c>
      <c r="X282" s="21">
        <f t="shared" si="268"/>
        <v>196403.83001580284</v>
      </c>
      <c r="Y282" s="21">
        <f t="shared" si="268"/>
        <v>175180.66339096936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6175.9216886234099</v>
      </c>
      <c r="C287" s="27">
        <f t="shared" ref="C287:AF287" si="269">($C$17+SUM(C288:C318))*$B$51</f>
        <v>6048.9666898098112</v>
      </c>
      <c r="D287" s="27">
        <f t="shared" si="269"/>
        <v>5336.6124174772212</v>
      </c>
      <c r="E287" s="27">
        <f t="shared" si="269"/>
        <v>5005.8053600803369</v>
      </c>
      <c r="F287" s="27">
        <f t="shared" si="269"/>
        <v>5005.7916870357667</v>
      </c>
      <c r="G287" s="27">
        <f t="shared" si="269"/>
        <v>5005.689000283458</v>
      </c>
      <c r="H287" s="27">
        <f t="shared" si="269"/>
        <v>5004.6637312660578</v>
      </c>
      <c r="I287" s="27">
        <f t="shared" si="269"/>
        <v>4994.5691703473331</v>
      </c>
      <c r="J287" s="27">
        <f t="shared" si="269"/>
        <v>4907.8472993465302</v>
      </c>
      <c r="K287" s="27">
        <f t="shared" si="269"/>
        <v>4642.9900121047813</v>
      </c>
      <c r="L287" s="27">
        <f t="shared" si="269"/>
        <v>4482.76064563198</v>
      </c>
      <c r="M287" s="27">
        <f t="shared" si="269"/>
        <v>4252.5241190262495</v>
      </c>
      <c r="N287" s="27">
        <f t="shared" si="269"/>
        <v>4034.4401840063656</v>
      </c>
      <c r="O287" s="27">
        <f t="shared" si="269"/>
        <v>3851.0461539074759</v>
      </c>
      <c r="P287" s="27">
        <f t="shared" si="269"/>
        <v>3675.566999636068</v>
      </c>
      <c r="Q287" s="27">
        <f t="shared" si="269"/>
        <v>3505.6678057246936</v>
      </c>
      <c r="R287" s="27">
        <f t="shared" si="269"/>
        <v>3336.9416164279082</v>
      </c>
      <c r="S287" s="27">
        <f t="shared" si="269"/>
        <v>3166.0778437261415</v>
      </c>
      <c r="T287" s="27">
        <f t="shared" si="269"/>
        <v>2972.6035510197253</v>
      </c>
      <c r="U287" s="27">
        <f t="shared" si="269"/>
        <v>2758.8892507211585</v>
      </c>
      <c r="V287" s="27">
        <f t="shared" si="269"/>
        <v>2519.2883447459085</v>
      </c>
      <c r="W287" s="27">
        <f t="shared" si="269"/>
        <v>2244.3827077814417</v>
      </c>
      <c r="X287" s="27">
        <f t="shared" si="269"/>
        <v>1903.3062741477402</v>
      </c>
      <c r="Y287" s="27">
        <f t="shared" si="269"/>
        <v>1503.4068668635468</v>
      </c>
      <c r="Z287" s="27">
        <f t="shared" si="269"/>
        <v>1107.0445948219285</v>
      </c>
      <c r="AA287" s="27">
        <f t="shared" si="269"/>
        <v>772.54164493944131</v>
      </c>
      <c r="AB287" s="27">
        <f t="shared" si="269"/>
        <v>533.78664560939171</v>
      </c>
      <c r="AC287" s="27">
        <f t="shared" si="269"/>
        <v>391.55369057360303</v>
      </c>
      <c r="AD287" s="27">
        <f t="shared" si="269"/>
        <v>319.48618373982316</v>
      </c>
      <c r="AE287" s="27">
        <f t="shared" si="269"/>
        <v>282.43305949433017</v>
      </c>
      <c r="AF287" s="27">
        <f t="shared" si="269"/>
        <v>262.78972604546692</v>
      </c>
      <c r="AG287" s="27"/>
      <c r="AH287" s="27"/>
    </row>
    <row r="288" spans="1:34" x14ac:dyDescent="0.25">
      <c r="B288" s="3">
        <f t="shared" ref="B288:AF288" si="270">$C18*EXP(-B$285/$A18/EXP(-$F$126))</f>
        <v>0.18900472145605654</v>
      </c>
      <c r="C288" s="3">
        <f t="shared" si="270"/>
        <v>0.16849817414914978</v>
      </c>
      <c r="D288" s="3">
        <f t="shared" si="270"/>
        <v>5.3434365736566403E-2</v>
      </c>
      <c r="E288" s="3">
        <f t="shared" si="270"/>
        <v>5.4963610542801718E-7</v>
      </c>
      <c r="F288" s="3">
        <f t="shared" si="270"/>
        <v>7.2882154622774681E-57</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5.4135576292410073E-2</v>
      </c>
      <c r="C289" s="3">
        <f t="shared" si="271"/>
        <v>5.4135574699817689E-2</v>
      </c>
      <c r="D289" s="3">
        <f t="shared" si="271"/>
        <v>5.4135558773896433E-2</v>
      </c>
      <c r="E289" s="3">
        <f t="shared" si="271"/>
        <v>5.4135399514941514E-2</v>
      </c>
      <c r="F289" s="3">
        <f t="shared" si="271"/>
        <v>5.4133806951160504E-2</v>
      </c>
      <c r="G289" s="3">
        <f t="shared" si="271"/>
        <v>5.4117883889889216E-2</v>
      </c>
      <c r="H289" s="3">
        <f t="shared" si="271"/>
        <v>5.3958910650822429E-2</v>
      </c>
      <c r="I289" s="3">
        <f t="shared" si="271"/>
        <v>5.2394637667502027E-2</v>
      </c>
      <c r="J289" s="3">
        <f t="shared" si="271"/>
        <v>3.9041232687032364E-2</v>
      </c>
      <c r="K289" s="3">
        <f t="shared" si="271"/>
        <v>2.0601095916775594E-3</v>
      </c>
      <c r="L289" s="3">
        <f t="shared" si="271"/>
        <v>3.4479292802930431E-16</v>
      </c>
      <c r="M289" s="3">
        <f t="shared" si="271"/>
        <v>5.9461875500536892E-144</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2.1015020582626189E-2</v>
      </c>
      <c r="C290" s="3">
        <f t="shared" si="272"/>
        <v>2.1015020526856491E-2</v>
      </c>
      <c r="D290" s="3">
        <f t="shared" si="272"/>
        <v>2.101501996915953E-2</v>
      </c>
      <c r="E290" s="3">
        <f t="shared" si="272"/>
        <v>2.1015014392190702E-2</v>
      </c>
      <c r="F290" s="3">
        <f t="shared" si="272"/>
        <v>2.1014958622583853E-2</v>
      </c>
      <c r="G290" s="3">
        <f t="shared" si="272"/>
        <v>2.1014400934655359E-2</v>
      </c>
      <c r="H290" s="3">
        <f t="shared" si="272"/>
        <v>2.1008824869291062E-2</v>
      </c>
      <c r="I290" s="3">
        <f t="shared" si="272"/>
        <v>2.0953145527849638E-2</v>
      </c>
      <c r="J290" s="3">
        <f t="shared" si="272"/>
        <v>2.040440405619097E-2</v>
      </c>
      <c r="K290" s="3">
        <f t="shared" si="272"/>
        <v>1.5648430008136108E-2</v>
      </c>
      <c r="L290" s="3">
        <f t="shared" si="272"/>
        <v>1.1013854598655622E-3</v>
      </c>
      <c r="M290" s="3">
        <f t="shared" si="272"/>
        <v>3.2856780708765354E-15</v>
      </c>
      <c r="N290" s="3">
        <f t="shared" si="272"/>
        <v>1.8343479292109747E-130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4.0498121244466306E-2</v>
      </c>
      <c r="C291" s="3">
        <f t="shared" si="273"/>
        <v>4.0498121234771256E-2</v>
      </c>
      <c r="D291" s="3">
        <f t="shared" si="273"/>
        <v>4.0498121137820788E-2</v>
      </c>
      <c r="E291" s="3">
        <f t="shared" si="273"/>
        <v>4.0498120168316061E-2</v>
      </c>
      <c r="F291" s="3">
        <f t="shared" si="273"/>
        <v>4.0498110473270128E-2</v>
      </c>
      <c r="G291" s="3">
        <f t="shared" si="273"/>
        <v>4.0498013522938442E-2</v>
      </c>
      <c r="H291" s="3">
        <f t="shared" si="273"/>
        <v>4.0497044032386589E-2</v>
      </c>
      <c r="I291" s="3">
        <f t="shared" si="273"/>
        <v>4.0487350403262644E-2</v>
      </c>
      <c r="J291" s="3">
        <f t="shared" si="273"/>
        <v>4.0390541638492372E-2</v>
      </c>
      <c r="K291" s="3">
        <f t="shared" si="273"/>
        <v>3.9435094399354227E-2</v>
      </c>
      <c r="L291" s="3">
        <f t="shared" si="273"/>
        <v>3.1039517480123409E-2</v>
      </c>
      <c r="M291" s="3">
        <f t="shared" si="273"/>
        <v>2.8329292432078238E-3</v>
      </c>
      <c r="N291" s="3">
        <f t="shared" si="273"/>
        <v>1.1361701848989481E-13</v>
      </c>
      <c r="O291" s="3">
        <f t="shared" si="273"/>
        <v>1.2232634456476143E-117</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3.8180364153201925E-2</v>
      </c>
      <c r="C292" s="3">
        <f t="shared" si="274"/>
        <v>3.8180364152377404E-2</v>
      </c>
      <c r="D292" s="3">
        <f t="shared" si="274"/>
        <v>3.8180364144132194E-2</v>
      </c>
      <c r="E292" s="3">
        <f t="shared" si="274"/>
        <v>3.81803640616801E-2</v>
      </c>
      <c r="F292" s="3">
        <f t="shared" si="274"/>
        <v>3.8180363237159121E-2</v>
      </c>
      <c r="G292" s="3">
        <f t="shared" si="274"/>
        <v>3.8180354991950313E-2</v>
      </c>
      <c r="H292" s="3">
        <f t="shared" si="274"/>
        <v>3.8180272539960224E-2</v>
      </c>
      <c r="I292" s="3">
        <f t="shared" si="274"/>
        <v>3.8179448029852479E-2</v>
      </c>
      <c r="J292" s="3">
        <f t="shared" si="274"/>
        <v>3.817120390801132E-2</v>
      </c>
      <c r="K292" s="3">
        <f t="shared" si="274"/>
        <v>3.8088860535029426E-2</v>
      </c>
      <c r="L292" s="3">
        <f t="shared" si="274"/>
        <v>3.7275133616261252E-2</v>
      </c>
      <c r="M292" s="3">
        <f t="shared" si="274"/>
        <v>3.0035266703903732E-2</v>
      </c>
      <c r="N292" s="3">
        <f t="shared" si="274"/>
        <v>3.465407657662776E-3</v>
      </c>
      <c r="O292" s="3">
        <f t="shared" si="274"/>
        <v>1.4487141803772847E-12</v>
      </c>
      <c r="P292" s="3">
        <f t="shared" si="274"/>
        <v>2.3619272404096313E-106</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3.0339150850597442E-2</v>
      </c>
      <c r="C293" s="3">
        <f t="shared" si="275"/>
        <v>3.033915085053834E-2</v>
      </c>
      <c r="D293" s="3">
        <f t="shared" si="275"/>
        <v>3.0339150849947309E-2</v>
      </c>
      <c r="E293" s="3">
        <f t="shared" si="275"/>
        <v>3.0339150844036978E-2</v>
      </c>
      <c r="F293" s="3">
        <f t="shared" si="275"/>
        <v>3.0339150784933686E-2</v>
      </c>
      <c r="G293" s="3">
        <f t="shared" si="275"/>
        <v>3.0339150193900787E-2</v>
      </c>
      <c r="H293" s="3">
        <f t="shared" si="275"/>
        <v>3.0339144283572424E-2</v>
      </c>
      <c r="I293" s="3">
        <f t="shared" si="275"/>
        <v>3.033908518035212E-2</v>
      </c>
      <c r="J293" s="3">
        <f t="shared" si="275"/>
        <v>3.0338494154481664E-2</v>
      </c>
      <c r="K293" s="3">
        <f t="shared" si="275"/>
        <v>3.0332584528987142E-2</v>
      </c>
      <c r="L293" s="3">
        <f t="shared" si="275"/>
        <v>3.0273551549430962E-2</v>
      </c>
      <c r="M293" s="3">
        <f t="shared" si="275"/>
        <v>2.9689503921068047E-2</v>
      </c>
      <c r="N293" s="3">
        <f t="shared" si="275"/>
        <v>2.4434227811064059E-2</v>
      </c>
      <c r="O293" s="3">
        <f t="shared" si="275"/>
        <v>3.4830154003923377E-3</v>
      </c>
      <c r="P293" s="3">
        <f t="shared" si="275"/>
        <v>1.2064884125887947E-11</v>
      </c>
      <c r="Q293" s="3">
        <f t="shared" si="275"/>
        <v>3.0005492524554842E-96</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2.9818488774256684E-2</v>
      </c>
      <c r="C294" s="3">
        <f t="shared" si="276"/>
        <v>2.9818488774251445E-2</v>
      </c>
      <c r="D294" s="3">
        <f t="shared" si="276"/>
        <v>2.9818488774199046E-2</v>
      </c>
      <c r="E294" s="3">
        <f t="shared" si="276"/>
        <v>2.9818488773675031E-2</v>
      </c>
      <c r="F294" s="3">
        <f t="shared" si="276"/>
        <v>2.981848876843492E-2</v>
      </c>
      <c r="G294" s="3">
        <f t="shared" si="276"/>
        <v>2.9818488716033816E-2</v>
      </c>
      <c r="H294" s="3">
        <f t="shared" si="276"/>
        <v>2.9818488192022752E-2</v>
      </c>
      <c r="I294" s="3">
        <f t="shared" si="276"/>
        <v>2.9818482951912629E-2</v>
      </c>
      <c r="J294" s="3">
        <f t="shared" si="276"/>
        <v>2.9818430550862071E-2</v>
      </c>
      <c r="K294" s="3">
        <f t="shared" si="276"/>
        <v>2.9817906545421182E-2</v>
      </c>
      <c r="L294" s="3">
        <f t="shared" si="276"/>
        <v>2.9812666997450669E-2</v>
      </c>
      <c r="M294" s="3">
        <f t="shared" si="276"/>
        <v>2.9760322128668991E-2</v>
      </c>
      <c r="N294" s="3">
        <f t="shared" si="276"/>
        <v>2.9241901779368779E-2</v>
      </c>
      <c r="O294" s="3">
        <f t="shared" si="276"/>
        <v>2.4529318188638117E-2</v>
      </c>
      <c r="P294" s="3">
        <f t="shared" si="276"/>
        <v>4.231400224883824E-3</v>
      </c>
      <c r="Q294" s="3">
        <f t="shared" si="276"/>
        <v>9.8734830417800476E-11</v>
      </c>
      <c r="R294" s="3">
        <f t="shared" si="276"/>
        <v>4.7242533793188393E-87</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2.8586713902441534E-2</v>
      </c>
      <c r="C295" s="3">
        <f t="shared" si="277"/>
        <v>2.8586713902441083E-2</v>
      </c>
      <c r="D295" s="3">
        <f t="shared" si="277"/>
        <v>2.8586713902436549E-2</v>
      </c>
      <c r="E295" s="3">
        <f t="shared" si="277"/>
        <v>2.8586713902391234E-2</v>
      </c>
      <c r="F295" s="3">
        <f t="shared" si="277"/>
        <v>2.8586713901938059E-2</v>
      </c>
      <c r="G295" s="3">
        <f t="shared" si="277"/>
        <v>2.8586713897406312E-2</v>
      </c>
      <c r="H295" s="3">
        <f t="shared" si="277"/>
        <v>2.8586713852088844E-2</v>
      </c>
      <c r="I295" s="3">
        <f t="shared" si="277"/>
        <v>2.8586713398914144E-2</v>
      </c>
      <c r="J295" s="3">
        <f t="shared" si="277"/>
        <v>2.8586708867167569E-2</v>
      </c>
      <c r="K295" s="3">
        <f t="shared" si="277"/>
        <v>2.8586663549741327E-2</v>
      </c>
      <c r="L295" s="3">
        <f t="shared" si="277"/>
        <v>2.8586210379430082E-2</v>
      </c>
      <c r="M295" s="3">
        <f t="shared" si="277"/>
        <v>2.8581679071412572E-2</v>
      </c>
      <c r="N295" s="3">
        <f t="shared" si="277"/>
        <v>2.8536405477566893E-2</v>
      </c>
      <c r="O295" s="3">
        <f t="shared" si="277"/>
        <v>2.8087595109329642E-2</v>
      </c>
      <c r="P295" s="3">
        <f t="shared" si="277"/>
        <v>2.3969967381540353E-2</v>
      </c>
      <c r="Q295" s="3">
        <f t="shared" si="277"/>
        <v>4.9112983039203218E-3</v>
      </c>
      <c r="R295" s="3">
        <f t="shared" si="277"/>
        <v>6.4044968329332688E-10</v>
      </c>
      <c r="S295" s="3">
        <f t="shared" si="277"/>
        <v>9.1069307687423498E-79</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2.858946916723399E-2</v>
      </c>
      <c r="C296" s="3">
        <f t="shared" si="278"/>
        <v>2.8589469167233948E-2</v>
      </c>
      <c r="D296" s="3">
        <f t="shared" si="278"/>
        <v>2.8589469167233539E-2</v>
      </c>
      <c r="E296" s="3">
        <f t="shared" si="278"/>
        <v>2.8589469167229452E-2</v>
      </c>
      <c r="F296" s="3">
        <f t="shared" si="278"/>
        <v>2.8589469167188564E-2</v>
      </c>
      <c r="G296" s="3">
        <f t="shared" si="278"/>
        <v>2.8589469166779728E-2</v>
      </c>
      <c r="H296" s="3">
        <f t="shared" si="278"/>
        <v>2.8589469162691322E-2</v>
      </c>
      <c r="I296" s="3">
        <f t="shared" si="278"/>
        <v>2.8589469121807251E-2</v>
      </c>
      <c r="J296" s="3">
        <f t="shared" si="278"/>
        <v>2.8589468712966574E-2</v>
      </c>
      <c r="K296" s="3">
        <f t="shared" si="278"/>
        <v>2.8589464624560103E-2</v>
      </c>
      <c r="L296" s="3">
        <f t="shared" si="278"/>
        <v>2.8589423740527576E-2</v>
      </c>
      <c r="M296" s="3">
        <f t="shared" si="278"/>
        <v>2.8589014903417885E-2</v>
      </c>
      <c r="N296" s="3">
        <f t="shared" si="278"/>
        <v>2.8584926853864139E-2</v>
      </c>
      <c r="O296" s="3">
        <f t="shared" si="278"/>
        <v>2.8544078495635852E-2</v>
      </c>
      <c r="P296" s="3">
        <f t="shared" si="278"/>
        <v>2.8138791704798674E-2</v>
      </c>
      <c r="Q296" s="3">
        <f t="shared" si="278"/>
        <v>2.4389316031009835E-2</v>
      </c>
      <c r="R296" s="3">
        <f t="shared" si="278"/>
        <v>5.836350788239456E-3</v>
      </c>
      <c r="S296" s="3">
        <f t="shared" si="278"/>
        <v>3.5938425247259208E-9</v>
      </c>
      <c r="T296" s="3">
        <f t="shared" si="278"/>
        <v>2.8166676579265643E-71</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2.8115831969051441E-2</v>
      </c>
      <c r="C297" s="3">
        <f t="shared" si="279"/>
        <v>2.8115831969051437E-2</v>
      </c>
      <c r="D297" s="3">
        <f t="shared" si="279"/>
        <v>2.8115831969051399E-2</v>
      </c>
      <c r="E297" s="3">
        <f t="shared" si="279"/>
        <v>2.8115831969051038E-2</v>
      </c>
      <c r="F297" s="3">
        <f t="shared" si="279"/>
        <v>2.8115831969047409E-2</v>
      </c>
      <c r="G297" s="3">
        <f t="shared" si="279"/>
        <v>2.8115831969011143E-2</v>
      </c>
      <c r="H297" s="3">
        <f t="shared" si="279"/>
        <v>2.811583196864844E-2</v>
      </c>
      <c r="I297" s="3">
        <f t="shared" si="279"/>
        <v>2.8115831965021459E-2</v>
      </c>
      <c r="J297" s="3">
        <f t="shared" si="279"/>
        <v>2.8115831928751629E-2</v>
      </c>
      <c r="K297" s="3">
        <f t="shared" si="279"/>
        <v>2.8115831566053313E-2</v>
      </c>
      <c r="L297" s="3">
        <f t="shared" si="279"/>
        <v>2.8115827939070404E-2</v>
      </c>
      <c r="M297" s="3">
        <f t="shared" si="279"/>
        <v>2.8115791669267073E-2</v>
      </c>
      <c r="N297" s="3">
        <f t="shared" si="279"/>
        <v>2.8115428973807109E-2</v>
      </c>
      <c r="O297" s="3">
        <f t="shared" si="279"/>
        <v>2.8111802276531171E-2</v>
      </c>
      <c r="P297" s="3">
        <f t="shared" si="279"/>
        <v>2.8075561023864836E-2</v>
      </c>
      <c r="Q297" s="3">
        <f t="shared" si="279"/>
        <v>2.7715708272413694E-2</v>
      </c>
      <c r="R297" s="3">
        <f t="shared" si="279"/>
        <v>2.4361350596970206E-2</v>
      </c>
      <c r="S297" s="3">
        <f t="shared" si="279"/>
        <v>6.7058705802150054E-3</v>
      </c>
      <c r="T297" s="3">
        <f t="shared" si="279"/>
        <v>1.6749167389819988E-8</v>
      </c>
      <c r="U297" s="3">
        <f t="shared" si="279"/>
        <v>1.582609530296657E-64</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3.3973946984022944E-2</v>
      </c>
      <c r="C298" s="3">
        <f t="shared" si="280"/>
        <v>3.3973946984022944E-2</v>
      </c>
      <c r="D298" s="3">
        <f t="shared" si="280"/>
        <v>3.3973946984022937E-2</v>
      </c>
      <c r="E298" s="3">
        <f t="shared" si="280"/>
        <v>3.3973946984022896E-2</v>
      </c>
      <c r="F298" s="3">
        <f t="shared" si="280"/>
        <v>3.3973946984022507E-2</v>
      </c>
      <c r="G298" s="3">
        <f t="shared" si="280"/>
        <v>3.3973946984018552E-2</v>
      </c>
      <c r="H298" s="3">
        <f t="shared" si="280"/>
        <v>3.3973946983979014E-2</v>
      </c>
      <c r="I298" s="3">
        <f t="shared" si="280"/>
        <v>3.3973946983583664E-2</v>
      </c>
      <c r="J298" s="3">
        <f t="shared" si="280"/>
        <v>3.3973946979630111E-2</v>
      </c>
      <c r="K298" s="3">
        <f t="shared" si="280"/>
        <v>3.3973946940094611E-2</v>
      </c>
      <c r="L298" s="3">
        <f t="shared" si="280"/>
        <v>3.3973946544739647E-2</v>
      </c>
      <c r="M298" s="3">
        <f t="shared" si="280"/>
        <v>3.3973942591190257E-2</v>
      </c>
      <c r="N298" s="3">
        <f t="shared" si="280"/>
        <v>3.3973903055721656E-2</v>
      </c>
      <c r="O298" s="3">
        <f t="shared" si="280"/>
        <v>3.3973507703566025E-2</v>
      </c>
      <c r="P298" s="3">
        <f t="shared" si="280"/>
        <v>3.3969554435038699E-2</v>
      </c>
      <c r="Q298" s="3">
        <f t="shared" si="280"/>
        <v>3.3930047041774623E-2</v>
      </c>
      <c r="R298" s="3">
        <f t="shared" si="280"/>
        <v>3.3537491453910342E-2</v>
      </c>
      <c r="S298" s="3">
        <f t="shared" si="280"/>
        <v>2.9853256158186663E-2</v>
      </c>
      <c r="T298" s="3">
        <f t="shared" si="280"/>
        <v>9.3240164718072279E-3</v>
      </c>
      <c r="U298" s="3">
        <f t="shared" si="280"/>
        <v>8.2359988648552138E-8</v>
      </c>
      <c r="V298" s="3">
        <f t="shared" si="280"/>
        <v>2.3814898684359251E-58</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3.6313930353248758E-2</v>
      </c>
      <c r="C299" s="3">
        <f t="shared" si="281"/>
        <v>3.6313930353248758E-2</v>
      </c>
      <c r="D299" s="3">
        <f t="shared" si="281"/>
        <v>3.6313930353248758E-2</v>
      </c>
      <c r="E299" s="3">
        <f t="shared" si="281"/>
        <v>3.6313930353248751E-2</v>
      </c>
      <c r="F299" s="3">
        <f t="shared" si="281"/>
        <v>3.6313930353248716E-2</v>
      </c>
      <c r="G299" s="3">
        <f t="shared" si="281"/>
        <v>3.6313930353248335E-2</v>
      </c>
      <c r="H299" s="3">
        <f t="shared" si="281"/>
        <v>3.6313930353244518E-2</v>
      </c>
      <c r="I299" s="3">
        <f t="shared" si="281"/>
        <v>3.6313930353206403E-2</v>
      </c>
      <c r="J299" s="3">
        <f t="shared" si="281"/>
        <v>3.6313930352825194E-2</v>
      </c>
      <c r="K299" s="3">
        <f t="shared" si="281"/>
        <v>3.6313930349013125E-2</v>
      </c>
      <c r="L299" s="3">
        <f t="shared" si="281"/>
        <v>3.631393031089241E-2</v>
      </c>
      <c r="M299" s="3">
        <f t="shared" si="281"/>
        <v>3.6313929929685254E-2</v>
      </c>
      <c r="N299" s="3">
        <f t="shared" si="281"/>
        <v>3.6313926117613964E-2</v>
      </c>
      <c r="O299" s="3">
        <f t="shared" si="281"/>
        <v>3.631388799692304E-2</v>
      </c>
      <c r="P299" s="3">
        <f t="shared" si="281"/>
        <v>3.6313506792214741E-2</v>
      </c>
      <c r="Q299" s="3">
        <f t="shared" si="281"/>
        <v>3.6309694965217978E-2</v>
      </c>
      <c r="R299" s="3">
        <f t="shared" si="281"/>
        <v>3.6271598695322482E-2</v>
      </c>
      <c r="S299" s="3">
        <f t="shared" si="281"/>
        <v>3.5892827482495455E-2</v>
      </c>
      <c r="T299" s="3">
        <f t="shared" si="281"/>
        <v>3.2315985796737987E-2</v>
      </c>
      <c r="U299" s="3">
        <f t="shared" si="281"/>
        <v>1.1311358813453362E-2</v>
      </c>
      <c r="V299" s="3">
        <f t="shared" si="281"/>
        <v>3.1223996106109163E-7</v>
      </c>
      <c r="W299" s="3">
        <f t="shared" si="281"/>
        <v>8.0209449266258558E-53</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4.1806327659667623E-2</v>
      </c>
      <c r="C300" s="3">
        <f t="shared" si="282"/>
        <v>4.1806327659667623E-2</v>
      </c>
      <c r="D300" s="3">
        <f t="shared" si="282"/>
        <v>4.1806327659667623E-2</v>
      </c>
      <c r="E300" s="3">
        <f t="shared" si="282"/>
        <v>4.1806327659667623E-2</v>
      </c>
      <c r="F300" s="3">
        <f t="shared" si="282"/>
        <v>4.1806327659667616E-2</v>
      </c>
      <c r="G300" s="3">
        <f t="shared" si="282"/>
        <v>4.1806327659667582E-2</v>
      </c>
      <c r="H300" s="3">
        <f t="shared" si="282"/>
        <v>4.1806327659667179E-2</v>
      </c>
      <c r="I300" s="3">
        <f t="shared" si="282"/>
        <v>4.1806327659663224E-2</v>
      </c>
      <c r="J300" s="3">
        <f t="shared" si="282"/>
        <v>4.1806327659623638E-2</v>
      </c>
      <c r="K300" s="3">
        <f t="shared" si="282"/>
        <v>4.1806327659227746E-2</v>
      </c>
      <c r="L300" s="3">
        <f t="shared" si="282"/>
        <v>4.180632765526883E-2</v>
      </c>
      <c r="M300" s="3">
        <f t="shared" si="282"/>
        <v>4.1806327615679657E-2</v>
      </c>
      <c r="N300" s="3">
        <f t="shared" si="282"/>
        <v>4.1806327219787956E-2</v>
      </c>
      <c r="O300" s="3">
        <f t="shared" si="282"/>
        <v>4.1806323260871185E-2</v>
      </c>
      <c r="P300" s="3">
        <f t="shared" si="282"/>
        <v>4.18062836717241E-2</v>
      </c>
      <c r="Q300" s="3">
        <f t="shared" si="282"/>
        <v>4.1805887782315088E-2</v>
      </c>
      <c r="R300" s="3">
        <f t="shared" si="282"/>
        <v>4.1801929094409808E-2</v>
      </c>
      <c r="S300" s="3">
        <f t="shared" si="282"/>
        <v>4.1762362826610229E-2</v>
      </c>
      <c r="T300" s="3">
        <f t="shared" si="282"/>
        <v>4.1368754070483467E-2</v>
      </c>
      <c r="U300" s="3">
        <f t="shared" si="282"/>
        <v>3.7631040889165357E-2</v>
      </c>
      <c r="V300" s="3">
        <f t="shared" si="282"/>
        <v>1.4597689843903219E-2</v>
      </c>
      <c r="W300" s="3">
        <f t="shared" si="282"/>
        <v>1.1263234844259127E-6</v>
      </c>
      <c r="X300" s="3">
        <f t="shared" si="282"/>
        <v>8.4227365006746743E-48</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4.6977125912982913E-2</v>
      </c>
      <c r="C301" s="3">
        <f t="shared" si="283"/>
        <v>4.6977125912982913E-2</v>
      </c>
      <c r="D301" s="3">
        <f t="shared" si="283"/>
        <v>4.6977125912982913E-2</v>
      </c>
      <c r="E301" s="3">
        <f t="shared" si="283"/>
        <v>4.6977125912982913E-2</v>
      </c>
      <c r="F301" s="3">
        <f t="shared" si="283"/>
        <v>4.6977125912982913E-2</v>
      </c>
      <c r="G301" s="3">
        <f t="shared" si="283"/>
        <v>4.6977125912982906E-2</v>
      </c>
      <c r="H301" s="3">
        <f t="shared" si="283"/>
        <v>4.6977125912982864E-2</v>
      </c>
      <c r="I301" s="3">
        <f t="shared" si="283"/>
        <v>4.6977125912982469E-2</v>
      </c>
      <c r="J301" s="3">
        <f t="shared" si="283"/>
        <v>4.6977125912978451E-2</v>
      </c>
      <c r="K301" s="3">
        <f t="shared" si="283"/>
        <v>4.6977125912938324E-2</v>
      </c>
      <c r="L301" s="3">
        <f t="shared" si="283"/>
        <v>4.6977125912537027E-2</v>
      </c>
      <c r="M301" s="3">
        <f t="shared" si="283"/>
        <v>4.6977125908524042E-2</v>
      </c>
      <c r="N301" s="3">
        <f t="shared" si="283"/>
        <v>4.6977125868394205E-2</v>
      </c>
      <c r="O301" s="3">
        <f t="shared" si="283"/>
        <v>4.6977125467095822E-2</v>
      </c>
      <c r="P301" s="3">
        <f t="shared" si="283"/>
        <v>4.6977121454112196E-2</v>
      </c>
      <c r="Q301" s="3">
        <f t="shared" si="283"/>
        <v>4.6977081324294775E-2</v>
      </c>
      <c r="R301" s="3">
        <f t="shared" si="283"/>
        <v>4.6976680028006028E-2</v>
      </c>
      <c r="S301" s="3">
        <f t="shared" si="283"/>
        <v>4.6972667253655183E-2</v>
      </c>
      <c r="T301" s="3">
        <f t="shared" si="283"/>
        <v>4.6932558357855293E-2</v>
      </c>
      <c r="U301" s="3">
        <f t="shared" si="283"/>
        <v>4.6533348227115308E-2</v>
      </c>
      <c r="V301" s="3">
        <f t="shared" si="283"/>
        <v>4.2723324504346051E-2</v>
      </c>
      <c r="W301" s="3">
        <f t="shared" si="283"/>
        <v>1.8183287797302754E-2</v>
      </c>
      <c r="X301" s="3">
        <f t="shared" si="283"/>
        <v>3.546060494661226E-6</v>
      </c>
      <c r="Y301" s="3">
        <f t="shared" si="283"/>
        <v>2.8215218425797932E-43</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6.4330039712108877E-2</v>
      </c>
      <c r="C302" s="3">
        <f t="shared" si="284"/>
        <v>6.4330039712108877E-2</v>
      </c>
      <c r="D302" s="3">
        <f t="shared" si="284"/>
        <v>6.4330039712108877E-2</v>
      </c>
      <c r="E302" s="3">
        <f t="shared" si="284"/>
        <v>6.4330039712108877E-2</v>
      </c>
      <c r="F302" s="3">
        <f t="shared" si="284"/>
        <v>6.4330039712108877E-2</v>
      </c>
      <c r="G302" s="3">
        <f t="shared" si="284"/>
        <v>6.4330039712108877E-2</v>
      </c>
      <c r="H302" s="3">
        <f t="shared" si="284"/>
        <v>6.4330039712108864E-2</v>
      </c>
      <c r="I302" s="3">
        <f t="shared" si="284"/>
        <v>6.4330039712108822E-2</v>
      </c>
      <c r="J302" s="3">
        <f t="shared" si="284"/>
        <v>6.4330039712108322E-2</v>
      </c>
      <c r="K302" s="3">
        <f t="shared" si="284"/>
        <v>6.4330039712103368E-2</v>
      </c>
      <c r="L302" s="3">
        <f t="shared" si="284"/>
        <v>6.4330039712053796E-2</v>
      </c>
      <c r="M302" s="3">
        <f t="shared" si="284"/>
        <v>6.4330039711558068E-2</v>
      </c>
      <c r="N302" s="3">
        <f t="shared" si="284"/>
        <v>6.4330039706600811E-2</v>
      </c>
      <c r="O302" s="3">
        <f t="shared" si="284"/>
        <v>6.4330039657028257E-2</v>
      </c>
      <c r="P302" s="3">
        <f t="shared" si="284"/>
        <v>6.4330039161302616E-2</v>
      </c>
      <c r="Q302" s="3">
        <f t="shared" si="284"/>
        <v>6.4330034204046496E-2</v>
      </c>
      <c r="R302" s="3">
        <f t="shared" si="284"/>
        <v>6.4329984631506312E-2</v>
      </c>
      <c r="S302" s="3">
        <f t="shared" si="284"/>
        <v>6.4329488908205432E-2</v>
      </c>
      <c r="T302" s="3">
        <f t="shared" si="284"/>
        <v>6.4324531885292649E-2</v>
      </c>
      <c r="U302" s="3">
        <f t="shared" si="284"/>
        <v>6.4274982659779822E-2</v>
      </c>
      <c r="V302" s="3">
        <f t="shared" si="284"/>
        <v>6.3781584789903478E-2</v>
      </c>
      <c r="W302" s="3">
        <f t="shared" si="284"/>
        <v>5.9051194179070565E-2</v>
      </c>
      <c r="X302" s="3">
        <f t="shared" si="284"/>
        <v>2.7325144754660958E-2</v>
      </c>
      <c r="Y302" s="3">
        <f t="shared" si="284"/>
        <v>1.2299864794105103E-5</v>
      </c>
      <c r="Z302" s="3">
        <f t="shared" si="284"/>
        <v>4.2002873221270393E-39</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7.1283808515689162E-2</v>
      </c>
      <c r="C303" s="3">
        <f t="shared" si="285"/>
        <v>7.1283808515689162E-2</v>
      </c>
      <c r="D303" s="3">
        <f t="shared" si="285"/>
        <v>7.1283808515689162E-2</v>
      </c>
      <c r="E303" s="3">
        <f t="shared" si="285"/>
        <v>7.1283808515689162E-2</v>
      </c>
      <c r="F303" s="3">
        <f t="shared" si="285"/>
        <v>7.1283808515689162E-2</v>
      </c>
      <c r="G303" s="3">
        <f t="shared" si="285"/>
        <v>7.1283808515689162E-2</v>
      </c>
      <c r="H303" s="3">
        <f t="shared" si="285"/>
        <v>7.1283808515689162E-2</v>
      </c>
      <c r="I303" s="3">
        <f t="shared" si="285"/>
        <v>7.1283808515689148E-2</v>
      </c>
      <c r="J303" s="3">
        <f t="shared" si="285"/>
        <v>7.1283808515689107E-2</v>
      </c>
      <c r="K303" s="3">
        <f t="shared" si="285"/>
        <v>7.1283808515688607E-2</v>
      </c>
      <c r="L303" s="3">
        <f t="shared" si="285"/>
        <v>7.1283808515683653E-2</v>
      </c>
      <c r="M303" s="3">
        <f t="shared" si="285"/>
        <v>7.1283808515634109E-2</v>
      </c>
      <c r="N303" s="3">
        <f t="shared" si="285"/>
        <v>7.1283808515138575E-2</v>
      </c>
      <c r="O303" s="3">
        <f t="shared" si="285"/>
        <v>7.128380851018333E-2</v>
      </c>
      <c r="P303" s="3">
        <f t="shared" si="285"/>
        <v>7.1283808460630899E-2</v>
      </c>
      <c r="Q303" s="3">
        <f t="shared" si="285"/>
        <v>7.1283807965106499E-2</v>
      </c>
      <c r="R303" s="3">
        <f t="shared" si="285"/>
        <v>7.1283803009862701E-2</v>
      </c>
      <c r="S303" s="3">
        <f t="shared" si="285"/>
        <v>7.1283753457443755E-2</v>
      </c>
      <c r="T303" s="3">
        <f t="shared" si="285"/>
        <v>7.1283257935148697E-2</v>
      </c>
      <c r="U303" s="3">
        <f t="shared" si="285"/>
        <v>7.1278302901645996E-2</v>
      </c>
      <c r="V303" s="3">
        <f t="shared" si="285"/>
        <v>7.1228771506523014E-2</v>
      </c>
      <c r="W303" s="3">
        <f t="shared" si="285"/>
        <v>7.0735346683354516E-2</v>
      </c>
      <c r="X303" s="3">
        <f t="shared" si="285"/>
        <v>6.5985241392190419E-2</v>
      </c>
      <c r="Y303" s="3">
        <f t="shared" si="285"/>
        <v>3.2926839277113144E-2</v>
      </c>
      <c r="Z303" s="3">
        <f t="shared" si="285"/>
        <v>3.1519722378723843E-5</v>
      </c>
      <c r="AA303" s="3">
        <f t="shared" si="285"/>
        <v>2.0366001998222399E-35</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6.5008577665533668E-2</v>
      </c>
      <c r="C304" s="3">
        <f t="shared" si="286"/>
        <v>6.5008577665533668E-2</v>
      </c>
      <c r="D304" s="3">
        <f t="shared" si="286"/>
        <v>6.5008577665533668E-2</v>
      </c>
      <c r="E304" s="3">
        <f t="shared" si="286"/>
        <v>6.5008577665533668E-2</v>
      </c>
      <c r="F304" s="3">
        <f t="shared" si="286"/>
        <v>6.5008577665533668E-2</v>
      </c>
      <c r="G304" s="3">
        <f t="shared" si="286"/>
        <v>6.5008577665533668E-2</v>
      </c>
      <c r="H304" s="3">
        <f t="shared" si="286"/>
        <v>6.5008577665533668E-2</v>
      </c>
      <c r="I304" s="3">
        <f t="shared" si="286"/>
        <v>6.5008577665533668E-2</v>
      </c>
      <c r="J304" s="3">
        <f t="shared" si="286"/>
        <v>6.5008577665533654E-2</v>
      </c>
      <c r="K304" s="3">
        <f t="shared" si="286"/>
        <v>6.5008577665533626E-2</v>
      </c>
      <c r="L304" s="3">
        <f t="shared" si="286"/>
        <v>6.500857766553321E-2</v>
      </c>
      <c r="M304" s="3">
        <f t="shared" si="286"/>
        <v>6.500857766552913E-2</v>
      </c>
      <c r="N304" s="3">
        <f t="shared" si="286"/>
        <v>6.5008577665488371E-2</v>
      </c>
      <c r="O304" s="3">
        <f t="shared" si="286"/>
        <v>6.5008577665080725E-2</v>
      </c>
      <c r="P304" s="3">
        <f t="shared" si="286"/>
        <v>6.500857766100418E-2</v>
      </c>
      <c r="Q304" s="3">
        <f t="shared" si="286"/>
        <v>6.5008577620238817E-2</v>
      </c>
      <c r="R304" s="3">
        <f t="shared" si="286"/>
        <v>6.50085772125851E-2</v>
      </c>
      <c r="S304" s="3">
        <f t="shared" si="286"/>
        <v>6.5008573136048103E-2</v>
      </c>
      <c r="T304" s="3">
        <f t="shared" si="286"/>
        <v>6.5008532370692221E-2</v>
      </c>
      <c r="U304" s="3">
        <f t="shared" si="286"/>
        <v>6.5008124718539312E-2</v>
      </c>
      <c r="V304" s="3">
        <f t="shared" si="286"/>
        <v>6.5004048337603204E-2</v>
      </c>
      <c r="W304" s="3">
        <f t="shared" si="286"/>
        <v>6.4963298584278753E-2</v>
      </c>
      <c r="X304" s="3">
        <f t="shared" si="286"/>
        <v>6.4557203398898255E-2</v>
      </c>
      <c r="Y304" s="3">
        <f t="shared" si="286"/>
        <v>6.0633286482017622E-2</v>
      </c>
      <c r="Z304" s="3">
        <f t="shared" si="286"/>
        <v>3.2387327317112358E-2</v>
      </c>
      <c r="AA304" s="3">
        <f t="shared" si="286"/>
        <v>6.1237172106609072E-5</v>
      </c>
      <c r="AB304" s="3">
        <f t="shared" si="286"/>
        <v>3.5761464301403099E-32</v>
      </c>
      <c r="AC304" s="3">
        <f t="shared" si="286"/>
        <v>1.6497455113200937E-304</v>
      </c>
      <c r="AD304" s="3">
        <f t="shared" si="286"/>
        <v>0</v>
      </c>
      <c r="AE304" s="3">
        <f t="shared" si="286"/>
        <v>0</v>
      </c>
      <c r="AF304" s="3">
        <f t="shared" si="286"/>
        <v>0</v>
      </c>
      <c r="AG304" s="3"/>
      <c r="AH304" s="3"/>
    </row>
    <row r="305" spans="1:34" x14ac:dyDescent="0.25">
      <c r="B305" s="3">
        <f t="shared" ref="B305:AF305" si="287">$C35*EXP(-B$285/$A35/EXP(-$F$126))</f>
        <v>4.954350168244695E-2</v>
      </c>
      <c r="C305" s="3">
        <f t="shared" si="287"/>
        <v>4.954350168244695E-2</v>
      </c>
      <c r="D305" s="3">
        <f t="shared" si="287"/>
        <v>4.954350168244695E-2</v>
      </c>
      <c r="E305" s="3">
        <f t="shared" si="287"/>
        <v>4.954350168244695E-2</v>
      </c>
      <c r="F305" s="3">
        <f t="shared" si="287"/>
        <v>4.954350168244695E-2</v>
      </c>
      <c r="G305" s="3">
        <f t="shared" si="287"/>
        <v>4.954350168244695E-2</v>
      </c>
      <c r="H305" s="3">
        <f t="shared" si="287"/>
        <v>4.954350168244695E-2</v>
      </c>
      <c r="I305" s="3">
        <f t="shared" si="287"/>
        <v>4.954350168244695E-2</v>
      </c>
      <c r="J305" s="3">
        <f t="shared" si="287"/>
        <v>4.954350168244695E-2</v>
      </c>
      <c r="K305" s="3">
        <f t="shared" si="287"/>
        <v>4.9543501682446943E-2</v>
      </c>
      <c r="L305" s="3">
        <f t="shared" si="287"/>
        <v>4.9543501682446915E-2</v>
      </c>
      <c r="M305" s="3">
        <f t="shared" si="287"/>
        <v>4.9543501682446638E-2</v>
      </c>
      <c r="N305" s="3">
        <f t="shared" si="287"/>
        <v>4.9543501682443834E-2</v>
      </c>
      <c r="O305" s="3">
        <f t="shared" si="287"/>
        <v>4.9543501682415815E-2</v>
      </c>
      <c r="P305" s="3">
        <f t="shared" si="287"/>
        <v>4.9543501682135553E-2</v>
      </c>
      <c r="Q305" s="3">
        <f t="shared" si="287"/>
        <v>4.9543501679333003E-2</v>
      </c>
      <c r="R305" s="3">
        <f t="shared" si="287"/>
        <v>4.9543501651307463E-2</v>
      </c>
      <c r="S305" s="3">
        <f t="shared" si="287"/>
        <v>4.9543501371052033E-2</v>
      </c>
      <c r="T305" s="3">
        <f t="shared" si="287"/>
        <v>4.9543498568497865E-2</v>
      </c>
      <c r="U305" s="3">
        <f t="shared" si="287"/>
        <v>4.9543470542964929E-2</v>
      </c>
      <c r="V305" s="3">
        <f t="shared" si="287"/>
        <v>4.9543190288507434E-2</v>
      </c>
      <c r="W305" s="3">
        <f t="shared" si="287"/>
        <v>4.9540387831123994E-2</v>
      </c>
      <c r="X305" s="3">
        <f t="shared" si="287"/>
        <v>4.9512371974610933E-2</v>
      </c>
      <c r="Y305" s="3">
        <f t="shared" si="287"/>
        <v>4.9233083319842073E-2</v>
      </c>
      <c r="Z305" s="3">
        <f t="shared" si="287"/>
        <v>4.6525394308009158E-2</v>
      </c>
      <c r="AA305" s="3">
        <f t="shared" si="287"/>
        <v>2.642532491015518E-2</v>
      </c>
      <c r="AB305" s="3">
        <f t="shared" si="287"/>
        <v>9.2325797793383542E-5</v>
      </c>
      <c r="AC305" s="3">
        <f t="shared" si="287"/>
        <v>2.5023635291433816E-29</v>
      </c>
      <c r="AD305" s="3">
        <f t="shared" si="287"/>
        <v>5.3533264577945759E-275</v>
      </c>
      <c r="AE305" s="3">
        <f t="shared" si="287"/>
        <v>0</v>
      </c>
      <c r="AF305" s="3">
        <f t="shared" si="287"/>
        <v>0</v>
      </c>
      <c r="AG305" s="3"/>
      <c r="AH305" s="3"/>
    </row>
    <row r="306" spans="1:34" x14ac:dyDescent="0.25">
      <c r="B306" s="3">
        <f t="shared" ref="B306:AF306" si="288">$C36*EXP(-B$285/$A36/EXP(-$F$126))</f>
        <v>3.0281570029291476E-2</v>
      </c>
      <c r="C306" s="3">
        <f t="shared" si="288"/>
        <v>3.0281570029291476E-2</v>
      </c>
      <c r="D306" s="3">
        <f t="shared" si="288"/>
        <v>3.0281570029291476E-2</v>
      </c>
      <c r="E306" s="3">
        <f t="shared" si="288"/>
        <v>3.0281570029291476E-2</v>
      </c>
      <c r="F306" s="3">
        <f t="shared" si="288"/>
        <v>3.0281570029291476E-2</v>
      </c>
      <c r="G306" s="3">
        <f t="shared" si="288"/>
        <v>3.0281570029291476E-2</v>
      </c>
      <c r="H306" s="3">
        <f t="shared" si="288"/>
        <v>3.0281570029291476E-2</v>
      </c>
      <c r="I306" s="3">
        <f t="shared" si="288"/>
        <v>3.0281570029291476E-2</v>
      </c>
      <c r="J306" s="3">
        <f t="shared" si="288"/>
        <v>3.0281570029291476E-2</v>
      </c>
      <c r="K306" s="3">
        <f t="shared" si="288"/>
        <v>3.0281570029291476E-2</v>
      </c>
      <c r="L306" s="3">
        <f t="shared" si="288"/>
        <v>3.0281570029291473E-2</v>
      </c>
      <c r="M306" s="3">
        <f t="shared" si="288"/>
        <v>3.0281570029291459E-2</v>
      </c>
      <c r="N306" s="3">
        <f t="shared" si="288"/>
        <v>3.0281570029291306E-2</v>
      </c>
      <c r="O306" s="3">
        <f t="shared" si="288"/>
        <v>3.0281570029289759E-2</v>
      </c>
      <c r="P306" s="3">
        <f t="shared" si="288"/>
        <v>3.0281570029274306E-2</v>
      </c>
      <c r="Q306" s="3">
        <f t="shared" si="288"/>
        <v>3.0281570029119787E-2</v>
      </c>
      <c r="R306" s="3">
        <f t="shared" si="288"/>
        <v>3.0281570027574554E-2</v>
      </c>
      <c r="S306" s="3">
        <f t="shared" si="288"/>
        <v>3.0281570012122287E-2</v>
      </c>
      <c r="T306" s="3">
        <f t="shared" si="288"/>
        <v>3.0281569857599579E-2</v>
      </c>
      <c r="U306" s="3">
        <f t="shared" si="288"/>
        <v>3.0281568312372546E-2</v>
      </c>
      <c r="V306" s="3">
        <f t="shared" si="288"/>
        <v>3.0281552860106552E-2</v>
      </c>
      <c r="W306" s="3">
        <f t="shared" si="288"/>
        <v>3.0281398337880301E-2</v>
      </c>
      <c r="X306" s="3">
        <f t="shared" si="288"/>
        <v>3.0279853158984824E-2</v>
      </c>
      <c r="Y306" s="3">
        <f t="shared" si="288"/>
        <v>3.0264405705915699E-2</v>
      </c>
      <c r="Z306" s="3">
        <f t="shared" si="288"/>
        <v>3.011036394626258E-2</v>
      </c>
      <c r="AA306" s="3">
        <f t="shared" si="288"/>
        <v>2.8612417389200999E-2</v>
      </c>
      <c r="AB306" s="3">
        <f t="shared" si="288"/>
        <v>1.7176711470612092E-2</v>
      </c>
      <c r="AC306" s="3">
        <f t="shared" si="288"/>
        <v>1.0442264953398904E-4</v>
      </c>
      <c r="AD306" s="3">
        <f t="shared" si="288"/>
        <v>7.2001507149200273E-27</v>
      </c>
      <c r="AE306" s="3">
        <f t="shared" si="288"/>
        <v>1.7490828256097356E-248</v>
      </c>
      <c r="AF306" s="3">
        <f t="shared" si="288"/>
        <v>0</v>
      </c>
      <c r="AG306" s="3"/>
      <c r="AH306" s="3"/>
    </row>
    <row r="307" spans="1:34" x14ac:dyDescent="0.25">
      <c r="B307" s="3">
        <f t="shared" ref="B307:AF307" si="289">$C37*EXP(-B$285/$A37/EXP(-$F$126))</f>
        <v>1.5838845962715554E-2</v>
      </c>
      <c r="C307" s="3">
        <f t="shared" si="289"/>
        <v>1.5838845962715554E-2</v>
      </c>
      <c r="D307" s="3">
        <f t="shared" si="289"/>
        <v>1.5838845962715554E-2</v>
      </c>
      <c r="E307" s="3">
        <f t="shared" si="289"/>
        <v>1.5838845962715554E-2</v>
      </c>
      <c r="F307" s="3">
        <f t="shared" si="289"/>
        <v>1.5838845962715554E-2</v>
      </c>
      <c r="G307" s="3">
        <f t="shared" si="289"/>
        <v>1.5838845962715554E-2</v>
      </c>
      <c r="H307" s="3">
        <f t="shared" si="289"/>
        <v>1.5838845962715554E-2</v>
      </c>
      <c r="I307" s="3">
        <f t="shared" si="289"/>
        <v>1.5838845962715554E-2</v>
      </c>
      <c r="J307" s="3">
        <f t="shared" si="289"/>
        <v>1.5838845962715554E-2</v>
      </c>
      <c r="K307" s="3">
        <f t="shared" si="289"/>
        <v>1.5838845962715554E-2</v>
      </c>
      <c r="L307" s="3">
        <f t="shared" si="289"/>
        <v>1.5838845962715554E-2</v>
      </c>
      <c r="M307" s="3">
        <f t="shared" si="289"/>
        <v>1.5838845962715554E-2</v>
      </c>
      <c r="N307" s="3">
        <f t="shared" si="289"/>
        <v>1.5838845962715543E-2</v>
      </c>
      <c r="O307" s="3">
        <f t="shared" si="289"/>
        <v>1.5838845962715474E-2</v>
      </c>
      <c r="P307" s="3">
        <f t="shared" si="289"/>
        <v>1.5838845962714742E-2</v>
      </c>
      <c r="Q307" s="3">
        <f t="shared" si="289"/>
        <v>1.5838845962707453E-2</v>
      </c>
      <c r="R307" s="3">
        <f t="shared" si="289"/>
        <v>1.5838845962634542E-2</v>
      </c>
      <c r="S307" s="3">
        <f t="shared" si="289"/>
        <v>1.5838845961905448E-2</v>
      </c>
      <c r="T307" s="3">
        <f t="shared" si="289"/>
        <v>1.5838845954614499E-2</v>
      </c>
      <c r="U307" s="3">
        <f t="shared" si="289"/>
        <v>1.5838845881705012E-2</v>
      </c>
      <c r="V307" s="3">
        <f t="shared" si="289"/>
        <v>1.5838845152610154E-2</v>
      </c>
      <c r="W307" s="3">
        <f t="shared" si="289"/>
        <v>1.5838837861663405E-2</v>
      </c>
      <c r="X307" s="3">
        <f t="shared" si="289"/>
        <v>1.5838764952380513E-2</v>
      </c>
      <c r="Y307" s="3">
        <f t="shared" si="289"/>
        <v>1.583803587801022E-2</v>
      </c>
      <c r="Z307" s="3">
        <f t="shared" si="289"/>
        <v>1.5830746979854097E-2</v>
      </c>
      <c r="AA307" s="3">
        <f t="shared" si="289"/>
        <v>1.5758042239030198E-2</v>
      </c>
      <c r="AB307" s="3">
        <f t="shared" si="289"/>
        <v>1.5049108934450823E-2</v>
      </c>
      <c r="AC307" s="3">
        <f t="shared" si="289"/>
        <v>9.4972100231658276E-3</v>
      </c>
      <c r="AD307" s="3">
        <f t="shared" si="289"/>
        <v>9.51587229590723E-5</v>
      </c>
      <c r="AE307" s="3">
        <f t="shared" si="289"/>
        <v>9.7045239129683186E-25</v>
      </c>
      <c r="AF307" s="3">
        <f t="shared" si="289"/>
        <v>1.1809473295916669E-224</v>
      </c>
      <c r="AG307" s="3"/>
      <c r="AH307" s="3"/>
    </row>
    <row r="308" spans="1:34" x14ac:dyDescent="0.25">
      <c r="B308" s="3">
        <f t="shared" ref="B308:AF308" si="290">$C38*EXP(-B$285/$A38/EXP(-$F$126))</f>
        <v>5.1881409706128322E-3</v>
      </c>
      <c r="C308" s="3">
        <f t="shared" si="290"/>
        <v>5.1881409706128322E-3</v>
      </c>
      <c r="D308" s="3">
        <f t="shared" si="290"/>
        <v>5.1881409706128322E-3</v>
      </c>
      <c r="E308" s="3">
        <f t="shared" si="290"/>
        <v>5.1881409706128322E-3</v>
      </c>
      <c r="F308" s="3">
        <f t="shared" si="290"/>
        <v>5.1881409706128322E-3</v>
      </c>
      <c r="G308" s="3">
        <f t="shared" si="290"/>
        <v>5.1881409706128322E-3</v>
      </c>
      <c r="H308" s="3">
        <f t="shared" si="290"/>
        <v>5.1881409706128322E-3</v>
      </c>
      <c r="I308" s="3">
        <f t="shared" si="290"/>
        <v>5.1881409706128322E-3</v>
      </c>
      <c r="J308" s="3">
        <f t="shared" si="290"/>
        <v>5.1881409706128322E-3</v>
      </c>
      <c r="K308" s="3">
        <f t="shared" si="290"/>
        <v>5.1881409706128322E-3</v>
      </c>
      <c r="L308" s="3">
        <f t="shared" si="290"/>
        <v>5.1881409706128322E-3</v>
      </c>
      <c r="M308" s="3">
        <f t="shared" si="290"/>
        <v>5.1881409706128322E-3</v>
      </c>
      <c r="N308" s="3">
        <f t="shared" si="290"/>
        <v>5.1881409706128322E-3</v>
      </c>
      <c r="O308" s="3">
        <f t="shared" si="290"/>
        <v>5.1881409706128296E-3</v>
      </c>
      <c r="P308" s="3">
        <f t="shared" si="290"/>
        <v>5.1881409706128079E-3</v>
      </c>
      <c r="Q308" s="3">
        <f t="shared" si="290"/>
        <v>5.1881409706125928E-3</v>
      </c>
      <c r="R308" s="3">
        <f t="shared" si="290"/>
        <v>5.1881409706104383E-3</v>
      </c>
      <c r="S308" s="3">
        <f t="shared" si="290"/>
        <v>5.1881409705888948E-3</v>
      </c>
      <c r="T308" s="3">
        <f t="shared" si="290"/>
        <v>5.1881409703734586E-3</v>
      </c>
      <c r="U308" s="3">
        <f t="shared" si="290"/>
        <v>5.188140968219096E-3</v>
      </c>
      <c r="V308" s="3">
        <f t="shared" si="290"/>
        <v>5.1881409466754663E-3</v>
      </c>
      <c r="W308" s="3">
        <f t="shared" si="290"/>
        <v>5.1881407312391768E-3</v>
      </c>
      <c r="X308" s="3">
        <f t="shared" si="290"/>
        <v>5.1881385768767696E-3</v>
      </c>
      <c r="Y308" s="3">
        <f t="shared" si="290"/>
        <v>5.1881170333019097E-3</v>
      </c>
      <c r="Z308" s="3">
        <f t="shared" si="290"/>
        <v>5.1879016024734886E-3</v>
      </c>
      <c r="AA308" s="3">
        <f t="shared" si="290"/>
        <v>5.1857477861319843E-3</v>
      </c>
      <c r="AB308" s="3">
        <f t="shared" si="290"/>
        <v>5.1642587414888804E-3</v>
      </c>
      <c r="AC308" s="3">
        <f t="shared" si="290"/>
        <v>4.9542055362805058E-3</v>
      </c>
      <c r="AD308" s="3">
        <f t="shared" si="290"/>
        <v>3.270651645074881E-3</v>
      </c>
      <c r="AE308" s="3">
        <f t="shared" si="290"/>
        <v>5.14324235122483E-5</v>
      </c>
      <c r="AF308" s="3">
        <f t="shared" si="290"/>
        <v>4.7562423561685411E-23</v>
      </c>
      <c r="AG308" s="3"/>
      <c r="AH308" s="3"/>
    </row>
    <row r="309" spans="1:34" x14ac:dyDescent="0.25">
      <c r="B309" s="3">
        <f t="shared" ref="B309:AF309" si="291">$C39*EXP(-B$285/$A39/EXP(-$F$126))</f>
        <v>3.8617191328215671E-3</v>
      </c>
      <c r="C309" s="3">
        <f t="shared" si="291"/>
        <v>3.8617191328215671E-3</v>
      </c>
      <c r="D309" s="3">
        <f t="shared" si="291"/>
        <v>3.8617191328215671E-3</v>
      </c>
      <c r="E309" s="3">
        <f t="shared" si="291"/>
        <v>3.8617191328215671E-3</v>
      </c>
      <c r="F309" s="3">
        <f t="shared" si="291"/>
        <v>3.8617191328215671E-3</v>
      </c>
      <c r="G309" s="3">
        <f t="shared" si="291"/>
        <v>3.8617191328215671E-3</v>
      </c>
      <c r="H309" s="3">
        <f t="shared" si="291"/>
        <v>3.8617191328215671E-3</v>
      </c>
      <c r="I309" s="3">
        <f t="shared" si="291"/>
        <v>3.8617191328215671E-3</v>
      </c>
      <c r="J309" s="3">
        <f t="shared" si="291"/>
        <v>3.8617191328215671E-3</v>
      </c>
      <c r="K309" s="3">
        <f t="shared" si="291"/>
        <v>3.8617191328215671E-3</v>
      </c>
      <c r="L309" s="3">
        <f t="shared" si="291"/>
        <v>3.8617191328215671E-3</v>
      </c>
      <c r="M309" s="3">
        <f t="shared" si="291"/>
        <v>3.8617191328215671E-3</v>
      </c>
      <c r="N309" s="3">
        <f t="shared" si="291"/>
        <v>3.8617191328215671E-3</v>
      </c>
      <c r="O309" s="3">
        <f t="shared" si="291"/>
        <v>3.8617191328215667E-3</v>
      </c>
      <c r="P309" s="3">
        <f t="shared" si="291"/>
        <v>3.8617191328215623E-3</v>
      </c>
      <c r="Q309" s="3">
        <f t="shared" si="291"/>
        <v>3.8617191328215177E-3</v>
      </c>
      <c r="R309" s="3">
        <f t="shared" si="291"/>
        <v>3.8617191328210745E-3</v>
      </c>
      <c r="S309" s="3">
        <f t="shared" si="291"/>
        <v>3.8617191328166392E-3</v>
      </c>
      <c r="T309" s="3">
        <f t="shared" si="291"/>
        <v>3.8617191327722884E-3</v>
      </c>
      <c r="U309" s="3">
        <f t="shared" si="291"/>
        <v>3.8617191323287812E-3</v>
      </c>
      <c r="V309" s="3">
        <f t="shared" si="291"/>
        <v>3.8617191278937095E-3</v>
      </c>
      <c r="W309" s="3">
        <f t="shared" si="291"/>
        <v>3.8617190835429924E-3</v>
      </c>
      <c r="X309" s="3">
        <f t="shared" si="291"/>
        <v>3.8617186400358491E-3</v>
      </c>
      <c r="Y309" s="3">
        <f t="shared" si="291"/>
        <v>3.861714204967216E-3</v>
      </c>
      <c r="Z309" s="3">
        <f t="shared" si="291"/>
        <v>3.8616698545610294E-3</v>
      </c>
      <c r="AA309" s="3">
        <f t="shared" si="291"/>
        <v>3.8612263785123705E-3</v>
      </c>
      <c r="AB309" s="3">
        <f t="shared" si="291"/>
        <v>3.8567944181562728E-3</v>
      </c>
      <c r="AC309" s="3">
        <f t="shared" si="291"/>
        <v>3.8127536414199383E-3</v>
      </c>
      <c r="AD309" s="3">
        <f t="shared" si="291"/>
        <v>3.3990792510924074E-3</v>
      </c>
      <c r="AE309" s="3">
        <f t="shared" si="291"/>
        <v>1.0779205459500961E-3</v>
      </c>
      <c r="AF309" s="3">
        <f t="shared" si="291"/>
        <v>1.1087696890756105E-8</v>
      </c>
      <c r="AG309" s="3"/>
      <c r="AH309" s="3"/>
    </row>
    <row r="310" spans="1:34" x14ac:dyDescent="0.25">
      <c r="B310" s="3">
        <f t="shared" ref="B310:AF310" si="292">$C40*EXP(-B$285/$A40/EXP(-$F$126))</f>
        <v>3.0600017424879029E-3</v>
      </c>
      <c r="C310" s="3">
        <f t="shared" si="292"/>
        <v>3.0600017424879029E-3</v>
      </c>
      <c r="D310" s="3">
        <f t="shared" si="292"/>
        <v>3.0600017424879029E-3</v>
      </c>
      <c r="E310" s="3">
        <f t="shared" si="292"/>
        <v>3.0600017424879029E-3</v>
      </c>
      <c r="F310" s="3">
        <f t="shared" si="292"/>
        <v>3.0600017424879029E-3</v>
      </c>
      <c r="G310" s="3">
        <f t="shared" si="292"/>
        <v>3.0600017424879029E-3</v>
      </c>
      <c r="H310" s="3">
        <f t="shared" si="292"/>
        <v>3.0600017424879029E-3</v>
      </c>
      <c r="I310" s="3">
        <f t="shared" si="292"/>
        <v>3.0600017424879029E-3</v>
      </c>
      <c r="J310" s="3">
        <f t="shared" si="292"/>
        <v>3.0600017424879029E-3</v>
      </c>
      <c r="K310" s="3">
        <f t="shared" si="292"/>
        <v>3.0600017424879029E-3</v>
      </c>
      <c r="L310" s="3">
        <f t="shared" si="292"/>
        <v>3.0600017424879029E-3</v>
      </c>
      <c r="M310" s="3">
        <f t="shared" si="292"/>
        <v>3.0600017424879029E-3</v>
      </c>
      <c r="N310" s="3">
        <f t="shared" si="292"/>
        <v>3.0600017424879029E-3</v>
      </c>
      <c r="O310" s="3">
        <f t="shared" si="292"/>
        <v>3.0600017424879029E-3</v>
      </c>
      <c r="P310" s="3">
        <f t="shared" si="292"/>
        <v>3.0600017424879025E-3</v>
      </c>
      <c r="Q310" s="3">
        <f t="shared" si="292"/>
        <v>3.060001742487899E-3</v>
      </c>
      <c r="R310" s="3">
        <f t="shared" si="292"/>
        <v>3.0600017424878639E-3</v>
      </c>
      <c r="S310" s="3">
        <f t="shared" si="292"/>
        <v>3.0600017424875126E-3</v>
      </c>
      <c r="T310" s="3">
        <f t="shared" si="292"/>
        <v>3.060001742483998E-3</v>
      </c>
      <c r="U310" s="3">
        <f t="shared" si="292"/>
        <v>3.0600017424488547E-3</v>
      </c>
      <c r="V310" s="3">
        <f t="shared" si="292"/>
        <v>3.0600017420974223E-3</v>
      </c>
      <c r="W310" s="3">
        <f t="shared" si="292"/>
        <v>3.0600017385830998E-3</v>
      </c>
      <c r="X310" s="3">
        <f t="shared" si="292"/>
        <v>3.0600017034398729E-3</v>
      </c>
      <c r="Y310" s="3">
        <f t="shared" si="292"/>
        <v>3.0600013520076259E-3</v>
      </c>
      <c r="Z310" s="3">
        <f t="shared" si="292"/>
        <v>3.059997837687377E-3</v>
      </c>
      <c r="AA310" s="3">
        <f t="shared" si="292"/>
        <v>3.0599626947068691E-3</v>
      </c>
      <c r="AB310" s="3">
        <f t="shared" si="292"/>
        <v>3.0596112870992795E-3</v>
      </c>
      <c r="AC310" s="3">
        <f t="shared" si="292"/>
        <v>3.056099429829021E-3</v>
      </c>
      <c r="AD310" s="3">
        <f t="shared" si="292"/>
        <v>3.0212017977334317E-3</v>
      </c>
      <c r="AE310" s="3">
        <f t="shared" si="292"/>
        <v>2.6934088351468505E-3</v>
      </c>
      <c r="AF310" s="3">
        <f t="shared" si="292"/>
        <v>8.5413740239073264E-4</v>
      </c>
      <c r="AG310" s="3"/>
      <c r="AH310" s="3"/>
    </row>
    <row r="311" spans="1:34" x14ac:dyDescent="0.25">
      <c r="B311" s="3">
        <f t="shared" ref="B311:AF311" si="293">$C41*EXP(-B$285/$A41/EXP(-$F$126))</f>
        <v>1.8593150246318942E-3</v>
      </c>
      <c r="C311" s="3">
        <f t="shared" si="293"/>
        <v>1.8593150246318942E-3</v>
      </c>
      <c r="D311" s="3">
        <f t="shared" si="293"/>
        <v>1.8593150246318942E-3</v>
      </c>
      <c r="E311" s="3">
        <f t="shared" si="293"/>
        <v>1.8593150246318942E-3</v>
      </c>
      <c r="F311" s="3">
        <f t="shared" si="293"/>
        <v>1.8593150246318942E-3</v>
      </c>
      <c r="G311" s="3">
        <f t="shared" si="293"/>
        <v>1.8593150246318942E-3</v>
      </c>
      <c r="H311" s="3">
        <f t="shared" si="293"/>
        <v>1.8593150246318942E-3</v>
      </c>
      <c r="I311" s="3">
        <f t="shared" si="293"/>
        <v>1.8593150246318942E-3</v>
      </c>
      <c r="J311" s="3">
        <f t="shared" si="293"/>
        <v>1.8593150246318942E-3</v>
      </c>
      <c r="K311" s="3">
        <f t="shared" si="293"/>
        <v>1.8593150246318942E-3</v>
      </c>
      <c r="L311" s="3">
        <f t="shared" si="293"/>
        <v>1.8593150246318942E-3</v>
      </c>
      <c r="M311" s="3">
        <f t="shared" si="293"/>
        <v>1.8593150246318942E-3</v>
      </c>
      <c r="N311" s="3">
        <f t="shared" si="293"/>
        <v>1.8593150246318942E-3</v>
      </c>
      <c r="O311" s="3">
        <f t="shared" si="293"/>
        <v>1.8593150246318942E-3</v>
      </c>
      <c r="P311" s="3">
        <f t="shared" si="293"/>
        <v>1.8593150246318942E-3</v>
      </c>
      <c r="Q311" s="3">
        <f t="shared" si="293"/>
        <v>1.859315024631894E-3</v>
      </c>
      <c r="R311" s="3">
        <f t="shared" si="293"/>
        <v>1.8593150246318921E-3</v>
      </c>
      <c r="S311" s="3">
        <f t="shared" si="293"/>
        <v>1.8593150246318706E-3</v>
      </c>
      <c r="T311" s="3">
        <f t="shared" si="293"/>
        <v>1.859315024631657E-3</v>
      </c>
      <c r="U311" s="3">
        <f t="shared" si="293"/>
        <v>1.8593150246295216E-3</v>
      </c>
      <c r="V311" s="3">
        <f t="shared" si="293"/>
        <v>1.859315024608168E-3</v>
      </c>
      <c r="W311" s="3">
        <f t="shared" si="293"/>
        <v>1.8593150243946309E-3</v>
      </c>
      <c r="X311" s="3">
        <f t="shared" si="293"/>
        <v>1.859315022259262E-3</v>
      </c>
      <c r="Y311" s="3">
        <f t="shared" si="293"/>
        <v>1.8593150009055715E-3</v>
      </c>
      <c r="Z311" s="3">
        <f t="shared" si="293"/>
        <v>1.859314787368681E-3</v>
      </c>
      <c r="AA311" s="3">
        <f t="shared" si="293"/>
        <v>1.8593126520011257E-3</v>
      </c>
      <c r="AB311" s="3">
        <f t="shared" si="293"/>
        <v>1.8592912984604524E-3</v>
      </c>
      <c r="AC311" s="3">
        <f t="shared" si="293"/>
        <v>1.8590777765413341E-3</v>
      </c>
      <c r="AD311" s="3">
        <f t="shared" si="293"/>
        <v>1.8569439055384875E-3</v>
      </c>
      <c r="AE311" s="3">
        <f t="shared" si="293"/>
        <v>1.8357394432081328E-3</v>
      </c>
      <c r="AF311" s="3">
        <f t="shared" si="293"/>
        <v>1.6365662297280949E-3</v>
      </c>
      <c r="AG311" s="3"/>
      <c r="AH311" s="3"/>
    </row>
    <row r="312" spans="1:34" x14ac:dyDescent="0.25">
      <c r="B312" s="3">
        <f t="shared" ref="B312:AF312" si="294">$C42*EXP(-B$285/$A42/EXP(-$F$126))</f>
        <v>1.0289911498978865E-4</v>
      </c>
      <c r="C312" s="3">
        <f t="shared" si="294"/>
        <v>1.0289911498978865E-4</v>
      </c>
      <c r="D312" s="3">
        <f t="shared" si="294"/>
        <v>1.0289911498978865E-4</v>
      </c>
      <c r="E312" s="3">
        <f t="shared" si="294"/>
        <v>1.0289911498978865E-4</v>
      </c>
      <c r="F312" s="3">
        <f t="shared" si="294"/>
        <v>1.0289911498978865E-4</v>
      </c>
      <c r="G312" s="3">
        <f t="shared" si="294"/>
        <v>1.0289911498978865E-4</v>
      </c>
      <c r="H312" s="3">
        <f t="shared" si="294"/>
        <v>1.0289911498978865E-4</v>
      </c>
      <c r="I312" s="3">
        <f t="shared" si="294"/>
        <v>1.0289911498978865E-4</v>
      </c>
      <c r="J312" s="3">
        <f t="shared" si="294"/>
        <v>1.0289911498978865E-4</v>
      </c>
      <c r="K312" s="3">
        <f t="shared" si="294"/>
        <v>1.0289911498978865E-4</v>
      </c>
      <c r="L312" s="3">
        <f t="shared" si="294"/>
        <v>1.0289911498978865E-4</v>
      </c>
      <c r="M312" s="3">
        <f t="shared" si="294"/>
        <v>1.0289911498978865E-4</v>
      </c>
      <c r="N312" s="3">
        <f t="shared" si="294"/>
        <v>1.0289911498978865E-4</v>
      </c>
      <c r="O312" s="3">
        <f t="shared" si="294"/>
        <v>1.0289911498978865E-4</v>
      </c>
      <c r="P312" s="3">
        <f t="shared" si="294"/>
        <v>1.0289911498978865E-4</v>
      </c>
      <c r="Q312" s="3">
        <f t="shared" si="294"/>
        <v>1.0289911498978865E-4</v>
      </c>
      <c r="R312" s="3">
        <f t="shared" si="294"/>
        <v>1.0289911498978864E-4</v>
      </c>
      <c r="S312" s="3">
        <f t="shared" si="294"/>
        <v>1.0289911498978853E-4</v>
      </c>
      <c r="T312" s="3">
        <f t="shared" si="294"/>
        <v>1.0289911498978734E-4</v>
      </c>
      <c r="U312" s="3">
        <f t="shared" si="294"/>
        <v>1.0289911498977552E-4</v>
      </c>
      <c r="V312" s="3">
        <f t="shared" si="294"/>
        <v>1.0289911498965734E-4</v>
      </c>
      <c r="W312" s="3">
        <f t="shared" si="294"/>
        <v>1.0289911498847557E-4</v>
      </c>
      <c r="X312" s="3">
        <f t="shared" si="294"/>
        <v>1.0289911497665791E-4</v>
      </c>
      <c r="Y312" s="3">
        <f t="shared" si="294"/>
        <v>1.0289911485848128E-4</v>
      </c>
      <c r="Z312" s="3">
        <f t="shared" si="294"/>
        <v>1.0289911367671498E-4</v>
      </c>
      <c r="AA312" s="3">
        <f t="shared" si="294"/>
        <v>1.0289910185905269E-4</v>
      </c>
      <c r="AB312" s="3">
        <f t="shared" si="294"/>
        <v>1.0289898368250449E-4</v>
      </c>
      <c r="AC312" s="3">
        <f t="shared" si="294"/>
        <v>1.0289780192448713E-4</v>
      </c>
      <c r="AD312" s="3">
        <f t="shared" si="294"/>
        <v>1.0288598509075151E-4</v>
      </c>
      <c r="AE312" s="3">
        <f t="shared" si="294"/>
        <v>1.0276789136548903E-4</v>
      </c>
      <c r="AF312" s="3">
        <f t="shared" si="294"/>
        <v>1.0159438371416469E-4</v>
      </c>
      <c r="AG312" s="3"/>
      <c r="AH312" s="3"/>
    </row>
    <row r="313" spans="1:34" x14ac:dyDescent="0.25">
      <c r="B313" s="3">
        <f t="shared" ref="B313:AF313" si="295">$C43*EXP(-B$285/$A43/EXP(-$F$126))</f>
        <v>3.4301074619822757E-3</v>
      </c>
      <c r="C313" s="3">
        <f t="shared" si="295"/>
        <v>3.4301074619822757E-3</v>
      </c>
      <c r="D313" s="3">
        <f t="shared" si="295"/>
        <v>3.4301074619822757E-3</v>
      </c>
      <c r="E313" s="3">
        <f t="shared" si="295"/>
        <v>3.4301074619822757E-3</v>
      </c>
      <c r="F313" s="3">
        <f t="shared" si="295"/>
        <v>3.4301074619822757E-3</v>
      </c>
      <c r="G313" s="3">
        <f t="shared" si="295"/>
        <v>3.4301074619822757E-3</v>
      </c>
      <c r="H313" s="3">
        <f t="shared" si="295"/>
        <v>3.4301074619822757E-3</v>
      </c>
      <c r="I313" s="3">
        <f t="shared" si="295"/>
        <v>3.4301074619822757E-3</v>
      </c>
      <c r="J313" s="3">
        <f t="shared" si="295"/>
        <v>3.4301074619822757E-3</v>
      </c>
      <c r="K313" s="3">
        <f t="shared" si="295"/>
        <v>3.4301074619822757E-3</v>
      </c>
      <c r="L313" s="3">
        <f t="shared" si="295"/>
        <v>3.4301074619822757E-3</v>
      </c>
      <c r="M313" s="3">
        <f t="shared" si="295"/>
        <v>3.4301074619822757E-3</v>
      </c>
      <c r="N313" s="3">
        <f t="shared" si="295"/>
        <v>3.4301074619822757E-3</v>
      </c>
      <c r="O313" s="3">
        <f t="shared" si="295"/>
        <v>3.4301074619822757E-3</v>
      </c>
      <c r="P313" s="3">
        <f t="shared" si="295"/>
        <v>3.4301074619822757E-3</v>
      </c>
      <c r="Q313" s="3">
        <f t="shared" si="295"/>
        <v>3.4301074619822757E-3</v>
      </c>
      <c r="R313" s="3">
        <f t="shared" si="295"/>
        <v>3.4301074619822757E-3</v>
      </c>
      <c r="S313" s="3">
        <f t="shared" si="295"/>
        <v>3.4301074619822753E-3</v>
      </c>
      <c r="T313" s="3">
        <f t="shared" si="295"/>
        <v>3.4301074619822714E-3</v>
      </c>
      <c r="U313" s="3">
        <f t="shared" si="295"/>
        <v>3.4301074619822319E-3</v>
      </c>
      <c r="V313" s="3">
        <f t="shared" si="295"/>
        <v>3.4301074619818381E-3</v>
      </c>
      <c r="W313" s="3">
        <f t="shared" si="295"/>
        <v>3.4301074619778986E-3</v>
      </c>
      <c r="X313" s="3">
        <f t="shared" si="295"/>
        <v>3.4301074619385048E-3</v>
      </c>
      <c r="Y313" s="3">
        <f t="shared" si="295"/>
        <v>3.4301074615445668E-3</v>
      </c>
      <c r="Z313" s="3">
        <f t="shared" si="295"/>
        <v>3.4301074576051885E-3</v>
      </c>
      <c r="AA313" s="3">
        <f t="shared" si="295"/>
        <v>3.4301074182114056E-3</v>
      </c>
      <c r="AB313" s="3">
        <f t="shared" si="295"/>
        <v>3.4301070242735996E-3</v>
      </c>
      <c r="AC313" s="3">
        <f t="shared" si="295"/>
        <v>3.430103084898029E-3</v>
      </c>
      <c r="AD313" s="3">
        <f t="shared" si="295"/>
        <v>3.4300636913911558E-3</v>
      </c>
      <c r="AE313" s="3">
        <f t="shared" si="295"/>
        <v>3.4296697812046827E-3</v>
      </c>
      <c r="AF313" s="3">
        <f t="shared" si="295"/>
        <v>3.4257331665090529E-3</v>
      </c>
      <c r="AG313" s="3"/>
      <c r="AH313" s="3"/>
    </row>
    <row r="314" spans="1:34" x14ac:dyDescent="0.25">
      <c r="B314" s="3">
        <f t="shared" ref="B314:AF314" si="296">$C44*EXP(-B$285/$A44/EXP(-$F$126))</f>
        <v>1.0099566360327609E-4</v>
      </c>
      <c r="C314" s="3">
        <f t="shared" si="296"/>
        <v>1.0099566360327609E-4</v>
      </c>
      <c r="D314" s="3">
        <f t="shared" si="296"/>
        <v>1.0099566360327609E-4</v>
      </c>
      <c r="E314" s="3">
        <f t="shared" si="296"/>
        <v>1.0099566360327609E-4</v>
      </c>
      <c r="F314" s="3">
        <f t="shared" si="296"/>
        <v>1.0099566360327609E-4</v>
      </c>
      <c r="G314" s="3">
        <f t="shared" si="296"/>
        <v>1.0099566360327609E-4</v>
      </c>
      <c r="H314" s="3">
        <f t="shared" si="296"/>
        <v>1.0099566360327609E-4</v>
      </c>
      <c r="I314" s="3">
        <f t="shared" si="296"/>
        <v>1.0099566360327609E-4</v>
      </c>
      <c r="J314" s="3">
        <f t="shared" si="296"/>
        <v>1.0099566360327609E-4</v>
      </c>
      <c r="K314" s="3">
        <f t="shared" si="296"/>
        <v>1.0099566360327609E-4</v>
      </c>
      <c r="L314" s="3">
        <f t="shared" si="296"/>
        <v>1.0099566360327609E-4</v>
      </c>
      <c r="M314" s="3">
        <f t="shared" si="296"/>
        <v>1.0099566360327609E-4</v>
      </c>
      <c r="N314" s="3">
        <f t="shared" si="296"/>
        <v>1.0099566360327609E-4</v>
      </c>
      <c r="O314" s="3">
        <f t="shared" si="296"/>
        <v>1.0099566360327609E-4</v>
      </c>
      <c r="P314" s="3">
        <f t="shared" si="296"/>
        <v>1.0099566360327609E-4</v>
      </c>
      <c r="Q314" s="3">
        <f t="shared" si="296"/>
        <v>1.0099566360327609E-4</v>
      </c>
      <c r="R314" s="3">
        <f t="shared" si="296"/>
        <v>1.0099566360327609E-4</v>
      </c>
      <c r="S314" s="3">
        <f t="shared" si="296"/>
        <v>1.0099566360327609E-4</v>
      </c>
      <c r="T314" s="3">
        <f t="shared" si="296"/>
        <v>1.0099566360327608E-4</v>
      </c>
      <c r="U314" s="3">
        <f t="shared" si="296"/>
        <v>1.0099566360327597E-4</v>
      </c>
      <c r="V314" s="3">
        <f t="shared" si="296"/>
        <v>1.0099566360327481E-4</v>
      </c>
      <c r="W314" s="3">
        <f t="shared" si="296"/>
        <v>1.0099566360326321E-4</v>
      </c>
      <c r="X314" s="3">
        <f t="shared" si="296"/>
        <v>1.0099566360314721E-4</v>
      </c>
      <c r="Y314" s="3">
        <f t="shared" si="296"/>
        <v>1.009956636019873E-4</v>
      </c>
      <c r="Z314" s="3">
        <f t="shared" si="296"/>
        <v>1.0099566359038825E-4</v>
      </c>
      <c r="AA314" s="3">
        <f t="shared" si="296"/>
        <v>1.0099566347439769E-4</v>
      </c>
      <c r="AB314" s="3">
        <f t="shared" si="296"/>
        <v>1.0099566231449195E-4</v>
      </c>
      <c r="AC314" s="3">
        <f t="shared" si="296"/>
        <v>1.0099565071543549E-4</v>
      </c>
      <c r="AD314" s="3">
        <f t="shared" si="296"/>
        <v>1.0099553472494414E-4</v>
      </c>
      <c r="AE314" s="3">
        <f t="shared" si="296"/>
        <v>1.0099437482735713E-4</v>
      </c>
      <c r="AF314" s="3">
        <f t="shared" si="296"/>
        <v>1.0098277658411726E-4</v>
      </c>
      <c r="AG314" s="3"/>
      <c r="AH314" s="3"/>
    </row>
    <row r="315" spans="1:34" x14ac:dyDescent="0.25">
      <c r="B315" s="3">
        <f t="shared" ref="B315:AF315" si="297">$C45*EXP(-B$285/$A45/EXP(-$F$126))</f>
        <v>2.8535751866135694E-4</v>
      </c>
      <c r="C315" s="3">
        <f t="shared" si="297"/>
        <v>2.8535751866135694E-4</v>
      </c>
      <c r="D315" s="3">
        <f t="shared" si="297"/>
        <v>2.8535751866135694E-4</v>
      </c>
      <c r="E315" s="3">
        <f t="shared" si="297"/>
        <v>2.8535751866135694E-4</v>
      </c>
      <c r="F315" s="3">
        <f t="shared" si="297"/>
        <v>2.8535751866135694E-4</v>
      </c>
      <c r="G315" s="3">
        <f t="shared" si="297"/>
        <v>2.8535751866135694E-4</v>
      </c>
      <c r="H315" s="3">
        <f t="shared" si="297"/>
        <v>2.8535751866135694E-4</v>
      </c>
      <c r="I315" s="3">
        <f t="shared" si="297"/>
        <v>2.8535751866135694E-4</v>
      </c>
      <c r="J315" s="3">
        <f t="shared" si="297"/>
        <v>2.8535751866135694E-4</v>
      </c>
      <c r="K315" s="3">
        <f t="shared" si="297"/>
        <v>2.8535751866135694E-4</v>
      </c>
      <c r="L315" s="3">
        <f t="shared" si="297"/>
        <v>2.8535751866135694E-4</v>
      </c>
      <c r="M315" s="3">
        <f t="shared" si="297"/>
        <v>2.8535751866135694E-4</v>
      </c>
      <c r="N315" s="3">
        <f t="shared" si="297"/>
        <v>2.8535751866135694E-4</v>
      </c>
      <c r="O315" s="3">
        <f t="shared" si="297"/>
        <v>2.8535751866135694E-4</v>
      </c>
      <c r="P315" s="3">
        <f t="shared" si="297"/>
        <v>2.8535751866135694E-4</v>
      </c>
      <c r="Q315" s="3">
        <f t="shared" si="297"/>
        <v>2.8535751866135694E-4</v>
      </c>
      <c r="R315" s="3">
        <f t="shared" si="297"/>
        <v>2.8535751866135694E-4</v>
      </c>
      <c r="S315" s="3">
        <f t="shared" si="297"/>
        <v>2.8535751866135694E-4</v>
      </c>
      <c r="T315" s="3">
        <f t="shared" si="297"/>
        <v>2.8535751866135694E-4</v>
      </c>
      <c r="U315" s="3">
        <f t="shared" si="297"/>
        <v>2.8535751866135689E-4</v>
      </c>
      <c r="V315" s="3">
        <f t="shared" si="297"/>
        <v>2.8535751866135662E-4</v>
      </c>
      <c r="W315" s="3">
        <f t="shared" si="297"/>
        <v>2.8535751866135331E-4</v>
      </c>
      <c r="X315" s="3">
        <f t="shared" si="297"/>
        <v>2.8535751866132057E-4</v>
      </c>
      <c r="Y315" s="3">
        <f t="shared" si="297"/>
        <v>2.8535751866099282E-4</v>
      </c>
      <c r="Z315" s="3">
        <f t="shared" si="297"/>
        <v>2.8535751865771554E-4</v>
      </c>
      <c r="AA315" s="3">
        <f t="shared" si="297"/>
        <v>2.8535751862494304E-4</v>
      </c>
      <c r="AB315" s="3">
        <f t="shared" si="297"/>
        <v>2.8535751829721832E-4</v>
      </c>
      <c r="AC315" s="3">
        <f t="shared" si="297"/>
        <v>2.8535751501997049E-4</v>
      </c>
      <c r="AD315" s="3">
        <f t="shared" si="297"/>
        <v>2.8535748224749441E-4</v>
      </c>
      <c r="AE315" s="3">
        <f t="shared" si="297"/>
        <v>2.8535715452294048E-4</v>
      </c>
      <c r="AF315" s="3">
        <f t="shared" si="297"/>
        <v>2.8535387729810207E-4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1.5499334140859142E-4</v>
      </c>
      <c r="C318" s="3">
        <f t="shared" si="300"/>
        <v>1.5499334140859142E-4</v>
      </c>
      <c r="D318" s="3">
        <f t="shared" si="300"/>
        <v>1.5499334140859142E-4</v>
      </c>
      <c r="E318" s="3">
        <f t="shared" si="300"/>
        <v>1.5499334140859142E-4</v>
      </c>
      <c r="F318" s="3">
        <f t="shared" si="300"/>
        <v>1.5499334140859142E-4</v>
      </c>
      <c r="G318" s="3">
        <f t="shared" si="300"/>
        <v>1.5499334140859142E-4</v>
      </c>
      <c r="H318" s="3">
        <f t="shared" si="300"/>
        <v>1.5499334140859142E-4</v>
      </c>
      <c r="I318" s="3">
        <f t="shared" si="300"/>
        <v>1.5499334140859142E-4</v>
      </c>
      <c r="J318" s="3">
        <f t="shared" si="300"/>
        <v>1.5499334140859142E-4</v>
      </c>
      <c r="K318" s="3">
        <f t="shared" si="300"/>
        <v>1.5499334140859142E-4</v>
      </c>
      <c r="L318" s="3">
        <f t="shared" si="300"/>
        <v>1.5499334140859142E-4</v>
      </c>
      <c r="M318" s="3">
        <f t="shared" si="300"/>
        <v>1.5499334140859142E-4</v>
      </c>
      <c r="N318" s="3">
        <f t="shared" si="300"/>
        <v>1.5499334140859142E-4</v>
      </c>
      <c r="O318" s="3">
        <f t="shared" si="300"/>
        <v>1.5499334140859142E-4</v>
      </c>
      <c r="P318" s="3">
        <f t="shared" si="300"/>
        <v>1.5499334140859142E-4</v>
      </c>
      <c r="Q318" s="3">
        <f t="shared" si="300"/>
        <v>1.5499334140859142E-4</v>
      </c>
      <c r="R318" s="3">
        <f t="shared" si="300"/>
        <v>1.5499334140859142E-4</v>
      </c>
      <c r="S318" s="3">
        <f t="shared" si="300"/>
        <v>1.5499334140859142E-4</v>
      </c>
      <c r="T318" s="3">
        <f t="shared" si="300"/>
        <v>1.5499334140859142E-4</v>
      </c>
      <c r="U318" s="3">
        <f t="shared" si="300"/>
        <v>1.5499334140859142E-4</v>
      </c>
      <c r="V318" s="3">
        <f t="shared" si="300"/>
        <v>1.5499334140859142E-4</v>
      </c>
      <c r="W318" s="3">
        <f t="shared" si="300"/>
        <v>1.5499334140859142E-4</v>
      </c>
      <c r="X318" s="3">
        <f t="shared" si="300"/>
        <v>1.5499334140859139E-4</v>
      </c>
      <c r="Y318" s="3">
        <f t="shared" si="300"/>
        <v>1.5499334140859123E-4</v>
      </c>
      <c r="Z318" s="3">
        <f t="shared" si="300"/>
        <v>1.5499334140858944E-4</v>
      </c>
      <c r="AA318" s="3">
        <f t="shared" si="300"/>
        <v>1.5499334140857166E-4</v>
      </c>
      <c r="AB318" s="3">
        <f t="shared" si="300"/>
        <v>1.5499334140839363E-4</v>
      </c>
      <c r="AC318" s="3">
        <f t="shared" si="300"/>
        <v>1.5499334140661359E-4</v>
      </c>
      <c r="AD318" s="3">
        <f t="shared" si="300"/>
        <v>1.5499334138881305E-4</v>
      </c>
      <c r="AE318" s="3">
        <f t="shared" si="300"/>
        <v>1.5499334121080771E-4</v>
      </c>
      <c r="AF318" s="3">
        <f t="shared" si="300"/>
        <v>1.5499333943075442E-4</v>
      </c>
      <c r="AG318" s="3"/>
      <c r="AH318" s="3"/>
    </row>
    <row r="319" spans="1:34" x14ac:dyDescent="0.25">
      <c r="A319" s="79">
        <f>AVERAGE(B319:AF319)</f>
        <v>4.71931659112549E-2</v>
      </c>
      <c r="B319" s="80">
        <f>IF($A$64&lt;=B285,IF($B$64&gt;=B285,ABS((B287-B286)/B286),0),0)</f>
        <v>1.4487405626423212E-2</v>
      </c>
      <c r="C319" s="80">
        <f t="shared" ref="C319:AF319" si="301">IF($A$64&lt;=C285,IF($B$64&gt;=C285,ABS((C287-C286)/C286),0),0)</f>
        <v>2.8175864516128631E-2</v>
      </c>
      <c r="D319" s="80">
        <f t="shared" si="301"/>
        <v>7.4567126550507956E-2</v>
      </c>
      <c r="E319" s="80">
        <f t="shared" si="301"/>
        <v>0.11436828460951363</v>
      </c>
      <c r="F319" s="80">
        <f t="shared" si="301"/>
        <v>9.4087782087746444E-2</v>
      </c>
      <c r="G319" s="80">
        <f t="shared" si="301"/>
        <v>7.1354582324625729E-2</v>
      </c>
      <c r="H319" s="80">
        <f t="shared" si="301"/>
        <v>4.4609504953991803E-2</v>
      </c>
      <c r="I319" s="80">
        <f t="shared" si="301"/>
        <v>1.5781201613726849E-2</v>
      </c>
      <c r="J319" s="80">
        <f t="shared" si="301"/>
        <v>1.446022143714664E-4</v>
      </c>
      <c r="K319" s="80">
        <f t="shared" si="301"/>
        <v>2.2113580961457734E-2</v>
      </c>
      <c r="L319" s="80">
        <f t="shared" si="301"/>
        <v>1.9223099822858063E-2</v>
      </c>
      <c r="M319" s="80">
        <f t="shared" si="301"/>
        <v>2.3667871840465881E-2</v>
      </c>
      <c r="N319" s="80">
        <f t="shared" si="301"/>
        <v>2.2759593798514614E-2</v>
      </c>
      <c r="O319" s="80">
        <f t="shared" si="301"/>
        <v>2.0363067246818214E-2</v>
      </c>
      <c r="P319" s="80">
        <f t="shared" si="301"/>
        <v>2.1427522633652024E-2</v>
      </c>
      <c r="Q319" s="80">
        <f t="shared" si="301"/>
        <v>1.8819792056874542E-2</v>
      </c>
      <c r="R319" s="80">
        <f t="shared" si="301"/>
        <v>5.7365075942033507E-3</v>
      </c>
      <c r="S319" s="80">
        <f t="shared" si="301"/>
        <v>3.2551664559522346E-2</v>
      </c>
      <c r="T319" s="80">
        <f t="shared" si="301"/>
        <v>7.7450426664401925E-2</v>
      </c>
      <c r="U319" s="80">
        <f t="shared" si="301"/>
        <v>0.11910323936246618</v>
      </c>
      <c r="V319" s="80">
        <f t="shared" si="301"/>
        <v>0.14661755323213485</v>
      </c>
      <c r="W319" s="80">
        <f t="shared" si="301"/>
        <v>0.15857538824275499</v>
      </c>
      <c r="X319" s="80">
        <f t="shared" si="301"/>
        <v>0.13814747123850774</v>
      </c>
      <c r="Y319" s="80">
        <f t="shared" si="301"/>
        <v>8.5842791581572042E-2</v>
      </c>
      <c r="Z319" s="80">
        <f t="shared" si="301"/>
        <v>2.9401060616787326E-2</v>
      </c>
      <c r="AA319" s="80">
        <f t="shared" si="301"/>
        <v>1.031023052961148E-2</v>
      </c>
      <c r="AB319" s="80">
        <f t="shared" si="301"/>
        <v>2.7230828489378332E-2</v>
      </c>
      <c r="AC319" s="80">
        <f t="shared" si="301"/>
        <v>1.800880621853904E-2</v>
      </c>
      <c r="AD319" s="80">
        <f t="shared" si="301"/>
        <v>3.7541930141726781E-3</v>
      </c>
      <c r="AE319" s="80">
        <f t="shared" si="301"/>
        <v>2.5213538430638458E-3</v>
      </c>
      <c r="AF319" s="80">
        <f t="shared" si="301"/>
        <v>1.7857452041088898E-3</v>
      </c>
    </row>
    <row r="320" spans="1:34" x14ac:dyDescent="0.25">
      <c r="B320" s="21">
        <f>(B287-B286)^2</f>
        <v>7778.4216412279638</v>
      </c>
      <c r="C320" s="21">
        <f t="shared" ref="C320:AF320" si="302">(C287-C286)^2</f>
        <v>27477.807493368728</v>
      </c>
      <c r="D320" s="21">
        <f t="shared" si="302"/>
        <v>184899.73784764722</v>
      </c>
      <c r="E320" s="21">
        <f t="shared" si="302"/>
        <v>417881.17878770141</v>
      </c>
      <c r="F320" s="21">
        <f t="shared" si="302"/>
        <v>270296.096467747</v>
      </c>
      <c r="G320" s="21">
        <f t="shared" si="302"/>
        <v>147935.23431435096</v>
      </c>
      <c r="H320" s="21">
        <f t="shared" si="302"/>
        <v>54606.303573923491</v>
      </c>
      <c r="I320" s="21">
        <f t="shared" si="302"/>
        <v>6413.4673656513996</v>
      </c>
      <c r="J320" s="21">
        <f t="shared" si="302"/>
        <v>0.50379932325768928</v>
      </c>
      <c r="K320" s="21">
        <f t="shared" si="302"/>
        <v>11023.939496145147</v>
      </c>
      <c r="L320" s="21">
        <f t="shared" si="302"/>
        <v>7719.6477972469129</v>
      </c>
      <c r="M320" s="21">
        <f t="shared" si="302"/>
        <v>10627.150403684387</v>
      </c>
      <c r="N320" s="21">
        <f t="shared" si="302"/>
        <v>8828.6183668077574</v>
      </c>
      <c r="O320" s="21">
        <f t="shared" si="302"/>
        <v>6407.8677275638192</v>
      </c>
      <c r="P320" s="21">
        <f t="shared" si="302"/>
        <v>6477.488020028949</v>
      </c>
      <c r="Q320" s="21">
        <f t="shared" si="302"/>
        <v>4521.4070101833095</v>
      </c>
      <c r="R320" s="21">
        <f t="shared" si="302"/>
        <v>370.67165391992535</v>
      </c>
      <c r="S320" s="21">
        <f t="shared" si="302"/>
        <v>9962.4464016128604</v>
      </c>
      <c r="T320" s="21">
        <f t="shared" si="302"/>
        <v>45659.065515698137</v>
      </c>
      <c r="U320" s="21">
        <f t="shared" si="302"/>
        <v>86213.519672751543</v>
      </c>
      <c r="V320" s="21">
        <f t="shared" si="302"/>
        <v>103774.46863659674</v>
      </c>
      <c r="W320" s="21">
        <f t="shared" si="302"/>
        <v>94366.271855720974</v>
      </c>
      <c r="X320" s="21">
        <f t="shared" si="302"/>
        <v>53371.101018211353</v>
      </c>
      <c r="Y320" s="21">
        <f t="shared" si="302"/>
        <v>14126.247743122898</v>
      </c>
      <c r="Z320" s="21">
        <f t="shared" si="302"/>
        <v>999.73985054408899</v>
      </c>
      <c r="AA320" s="21">
        <f t="shared" si="302"/>
        <v>64.771266624149959</v>
      </c>
      <c r="AB320" s="21">
        <f t="shared" si="302"/>
        <v>223.27367503399685</v>
      </c>
      <c r="AC320" s="21">
        <f t="shared" si="302"/>
        <v>51.562896682033667</v>
      </c>
      <c r="AD320" s="21">
        <f t="shared" si="302"/>
        <v>1.4494536919944601</v>
      </c>
      <c r="AE320" s="21">
        <f t="shared" si="302"/>
        <v>0.50455834535505983</v>
      </c>
      <c r="AF320" s="21">
        <f t="shared" si="302"/>
        <v>0.21943507827600048</v>
      </c>
      <c r="AG320" s="3"/>
      <c r="AH320" s="3"/>
    </row>
    <row r="321" spans="1:34" x14ac:dyDescent="0.25">
      <c r="A321" s="71">
        <f>SUM(B321:AF321)</f>
        <v>1582080.1837462357</v>
      </c>
      <c r="B321" s="60">
        <f>IF($A$64&lt;=B285,IF($B$64&gt;=B285,ABS(B320),0),0)</f>
        <v>7778.4216412279638</v>
      </c>
      <c r="C321" s="60">
        <f t="shared" ref="C321" si="303">IF($A$64&lt;=C285,IF($B$64&gt;=C285,ABS(C320),0),0)</f>
        <v>27477.807493368728</v>
      </c>
      <c r="D321" s="60">
        <f t="shared" ref="D321" si="304">IF($A$64&lt;=D285,IF($B$64&gt;=D285,ABS(D320),0),0)</f>
        <v>184899.73784764722</v>
      </c>
      <c r="E321" s="60">
        <f t="shared" ref="E321" si="305">IF($A$64&lt;=E285,IF($B$64&gt;=E285,ABS(E320),0),0)</f>
        <v>417881.17878770141</v>
      </c>
      <c r="F321" s="60">
        <f t="shared" ref="F321" si="306">IF($A$64&lt;=F285,IF($B$64&gt;=F285,ABS(F320),0),0)</f>
        <v>270296.096467747</v>
      </c>
      <c r="G321" s="60">
        <f t="shared" ref="G321" si="307">IF($A$64&lt;=G285,IF($B$64&gt;=G285,ABS(G320),0),0)</f>
        <v>147935.23431435096</v>
      </c>
      <c r="H321" s="60">
        <f t="shared" ref="H321" si="308">IF($A$64&lt;=H285,IF($B$64&gt;=H285,ABS(H320),0),0)</f>
        <v>54606.303573923491</v>
      </c>
      <c r="I321" s="60">
        <f t="shared" ref="I321" si="309">IF($A$64&lt;=I285,IF($B$64&gt;=I285,ABS(I320),0),0)</f>
        <v>6413.4673656513996</v>
      </c>
      <c r="J321" s="60">
        <f t="shared" ref="J321" si="310">IF($A$64&lt;=J285,IF($B$64&gt;=J285,ABS(J320),0),0)</f>
        <v>0.50379932325768928</v>
      </c>
      <c r="K321" s="60">
        <f t="shared" ref="K321" si="311">IF($A$64&lt;=K285,IF($B$64&gt;=K285,ABS(K320),0),0)</f>
        <v>11023.939496145147</v>
      </c>
      <c r="L321" s="60">
        <f t="shared" ref="L321" si="312">IF($A$64&lt;=L285,IF($B$64&gt;=L285,ABS(L320),0),0)</f>
        <v>7719.6477972469129</v>
      </c>
      <c r="M321" s="60">
        <f t="shared" ref="M321" si="313">IF($A$64&lt;=M285,IF($B$64&gt;=M285,ABS(M320),0),0)</f>
        <v>10627.150403684387</v>
      </c>
      <c r="N321" s="60">
        <f t="shared" ref="N321" si="314">IF($A$64&lt;=N285,IF($B$64&gt;=N285,ABS(N320),0),0)</f>
        <v>8828.6183668077574</v>
      </c>
      <c r="O321" s="60">
        <f t="shared" ref="O321" si="315">IF($A$64&lt;=O285,IF($B$64&gt;=O285,ABS(O320),0),0)</f>
        <v>6407.8677275638192</v>
      </c>
      <c r="P321" s="60">
        <f t="shared" ref="P321" si="316">IF($A$64&lt;=P285,IF($B$64&gt;=P285,ABS(P320),0),0)</f>
        <v>6477.488020028949</v>
      </c>
      <c r="Q321" s="60">
        <f t="shared" ref="Q321" si="317">IF($A$64&lt;=Q285,IF($B$64&gt;=Q285,ABS(Q320),0),0)</f>
        <v>4521.4070101833095</v>
      </c>
      <c r="R321" s="60">
        <f t="shared" ref="R321" si="318">IF($A$64&lt;=R285,IF($B$64&gt;=R285,ABS(R320),0),0)</f>
        <v>370.67165391992535</v>
      </c>
      <c r="S321" s="60">
        <f t="shared" ref="S321" si="319">IF($A$64&lt;=S285,IF($B$64&gt;=S285,ABS(S320),0),0)</f>
        <v>9962.4464016128604</v>
      </c>
      <c r="T321" s="60">
        <f t="shared" ref="T321" si="320">IF($A$64&lt;=T285,IF($B$64&gt;=T285,ABS(T320),0),0)</f>
        <v>45659.065515698137</v>
      </c>
      <c r="U321" s="60">
        <f t="shared" ref="U321" si="321">IF($A$64&lt;=U285,IF($B$64&gt;=U285,ABS(U320),0),0)</f>
        <v>86213.519672751543</v>
      </c>
      <c r="V321" s="60">
        <f t="shared" ref="V321" si="322">IF($A$64&lt;=V285,IF($B$64&gt;=V285,ABS(V320),0),0)</f>
        <v>103774.46863659674</v>
      </c>
      <c r="W321" s="60">
        <f t="shared" ref="W321" si="323">IF($A$64&lt;=W285,IF($B$64&gt;=W285,ABS(W320),0),0)</f>
        <v>94366.271855720974</v>
      </c>
      <c r="X321" s="60">
        <f t="shared" ref="X321" si="324">IF($A$64&lt;=X285,IF($B$64&gt;=X285,ABS(X320),0),0)</f>
        <v>53371.101018211353</v>
      </c>
      <c r="Y321" s="60">
        <f t="shared" ref="Y321" si="325">IF($A$64&lt;=Y285,IF($B$64&gt;=Y285,ABS(Y320),0),0)</f>
        <v>14126.247743122898</v>
      </c>
      <c r="Z321" s="60">
        <f t="shared" ref="Z321" si="326">IF($A$64&lt;=Z285,IF($B$64&gt;=Z285,ABS(Z320),0),0)</f>
        <v>999.73985054408899</v>
      </c>
      <c r="AA321" s="60">
        <f t="shared" ref="AA321" si="327">IF($A$64&lt;=AA285,IF($B$64&gt;=AA285,ABS(AA320),0),0)</f>
        <v>64.771266624149959</v>
      </c>
      <c r="AB321" s="60">
        <f t="shared" ref="AB321" si="328">IF($A$64&lt;=AB285,IF($B$64&gt;=AB285,ABS(AB320),0),0)</f>
        <v>223.27367503399685</v>
      </c>
      <c r="AC321" s="60">
        <f t="shared" ref="AC321" si="329">IF($A$64&lt;=AC285,IF($B$64&gt;=AC285,ABS(AC320),0),0)</f>
        <v>51.562896682033667</v>
      </c>
      <c r="AD321" s="60">
        <f t="shared" ref="AD321" si="330">IF($A$64&lt;=AD285,IF($B$64&gt;=AD285,ABS(AD320),0),0)</f>
        <v>1.4494536919944601</v>
      </c>
      <c r="AE321" s="60">
        <f t="shared" ref="AE321" si="331">IF($A$64&lt;=AE285,IF($B$64&gt;=AE285,ABS(AE320),0),0)</f>
        <v>0.50455834535505983</v>
      </c>
      <c r="AF321" s="60">
        <f t="shared" ref="AF321" si="332">IF($A$64&lt;=AF285,IF($B$64&gt;=AF285,ABS(AF320),0),0)</f>
        <v>0.21943507827600048</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4996.8441745334403</v>
      </c>
      <c r="C326" s="27">
        <f t="shared" ref="C326:AF326" si="333">($C$17+SUM(C327:C357))*$B$51</f>
        <v>4925.5193970447144</v>
      </c>
      <c r="D326" s="27">
        <f t="shared" si="333"/>
        <v>4662.6675145674371</v>
      </c>
      <c r="E326" s="27">
        <f t="shared" si="333"/>
        <v>4500.4273578868779</v>
      </c>
      <c r="F326" s="27">
        <f t="shared" si="333"/>
        <v>4275.5239254793905</v>
      </c>
      <c r="G326" s="27">
        <f t="shared" si="333"/>
        <v>4055.7405410240408</v>
      </c>
      <c r="H326" s="27">
        <f t="shared" si="333"/>
        <v>3869.991012542414</v>
      </c>
      <c r="I326" s="27">
        <f t="shared" si="333"/>
        <v>3694.551285100898</v>
      </c>
      <c r="J326" s="27">
        <f t="shared" si="333"/>
        <v>3524.4639260524073</v>
      </c>
      <c r="K326" s="27">
        <f t="shared" si="333"/>
        <v>3355.969882932749</v>
      </c>
      <c r="L326" s="27">
        <f t="shared" si="333"/>
        <v>3185.8246189841216</v>
      </c>
      <c r="M326" s="27">
        <f t="shared" si="333"/>
        <v>2995.5929478765538</v>
      </c>
      <c r="N326" s="27">
        <f t="shared" si="333"/>
        <v>2783.5391665715465</v>
      </c>
      <c r="O326" s="27">
        <f t="shared" si="333"/>
        <v>2547.0395986670587</v>
      </c>
      <c r="P326" s="27">
        <f t="shared" si="333"/>
        <v>2275.856575491659</v>
      </c>
      <c r="Q326" s="27">
        <f t="shared" si="333"/>
        <v>1943.0437224789648</v>
      </c>
      <c r="R326" s="27">
        <f t="shared" si="333"/>
        <v>1544.574661262875</v>
      </c>
      <c r="S326" s="27">
        <f t="shared" si="333"/>
        <v>1142.5613483430345</v>
      </c>
      <c r="T326" s="27">
        <f t="shared" si="333"/>
        <v>798.42811541565709</v>
      </c>
      <c r="U326" s="27">
        <f t="shared" si="333"/>
        <v>549.42033730246465</v>
      </c>
      <c r="V326" s="27">
        <f t="shared" si="333"/>
        <v>399.83565700322396</v>
      </c>
      <c r="W326" s="27">
        <f t="shared" si="333"/>
        <v>323.19805598812025</v>
      </c>
      <c r="X326" s="27">
        <f t="shared" si="333"/>
        <v>285.40352593778476</v>
      </c>
      <c r="Y326" s="27">
        <f t="shared" si="333"/>
        <v>264.64814627917116</v>
      </c>
      <c r="Z326" s="27">
        <f t="shared" si="333"/>
        <v>251.30336346231169</v>
      </c>
      <c r="AA326" s="27">
        <f t="shared" si="333"/>
        <v>244.94293395645343</v>
      </c>
      <c r="AB326" s="27">
        <f t="shared" si="333"/>
        <v>233.15479874715044</v>
      </c>
      <c r="AC326" s="27">
        <f t="shared" si="333"/>
        <v>224.96422953688904</v>
      </c>
      <c r="AD326" s="27">
        <f t="shared" si="333"/>
        <v>223.78021392489961</v>
      </c>
      <c r="AE326" s="27">
        <f t="shared" si="333"/>
        <v>223.13092772445626</v>
      </c>
      <c r="AF326" s="27">
        <f t="shared" si="333"/>
        <v>223.04797995942511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5.2747025377833857E-2</v>
      </c>
      <c r="C328" s="3">
        <f t="shared" si="335"/>
        <v>4.174791956428589E-2</v>
      </c>
      <c r="D328" s="3">
        <f t="shared" si="335"/>
        <v>4.0272026910240103E-3</v>
      </c>
      <c r="E328" s="3">
        <f t="shared" si="335"/>
        <v>2.8098943564305326E-13</v>
      </c>
      <c r="F328" s="3">
        <f t="shared" si="335"/>
        <v>7.6834280447815632E-115</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2.0965819264090888E-2</v>
      </c>
      <c r="C329" s="3">
        <f t="shared" si="336"/>
        <v>2.0528158767842294E-2</v>
      </c>
      <c r="D329" s="3">
        <f t="shared" si="336"/>
        <v>1.6623849596277378E-2</v>
      </c>
      <c r="E329" s="3">
        <f t="shared" si="336"/>
        <v>2.0162650922182662E-3</v>
      </c>
      <c r="F329" s="3">
        <f t="shared" si="336"/>
        <v>1.3890181915547279E-12</v>
      </c>
      <c r="G329" s="3">
        <f t="shared" si="336"/>
        <v>3.3443441143030477E-104</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4.0489558926212227E-2</v>
      </c>
      <c r="C330" s="3">
        <f t="shared" si="337"/>
        <v>4.0412579469333479E-2</v>
      </c>
      <c r="D330" s="3">
        <f t="shared" si="337"/>
        <v>3.965078867092682E-2</v>
      </c>
      <c r="E330" s="3">
        <f t="shared" si="337"/>
        <v>3.2779657691879752E-2</v>
      </c>
      <c r="F330" s="3">
        <f t="shared" si="337"/>
        <v>4.8879893857102143E-3</v>
      </c>
      <c r="G330" s="3">
        <f t="shared" si="337"/>
        <v>2.6569822632835842E-11</v>
      </c>
      <c r="H330" s="3">
        <f t="shared" si="337"/>
        <v>5.9837393354922449E-94</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3.8179635895779655E-2</v>
      </c>
      <c r="C331" s="3">
        <f t="shared" si="338"/>
        <v>3.8173082203212715E-2</v>
      </c>
      <c r="D331" s="3">
        <f t="shared" si="338"/>
        <v>3.8107607118957228E-2</v>
      </c>
      <c r="E331" s="3">
        <f t="shared" si="338"/>
        <v>3.7459001317405378E-2</v>
      </c>
      <c r="F331" s="3">
        <f t="shared" si="338"/>
        <v>3.1550144290992524E-2</v>
      </c>
      <c r="G331" s="3">
        <f t="shared" si="338"/>
        <v>5.6683009647311338E-3</v>
      </c>
      <c r="H331" s="3">
        <f t="shared" si="338"/>
        <v>1.985950498226968E-10</v>
      </c>
      <c r="I331" s="3">
        <f t="shared" si="338"/>
        <v>5.5350760777722559E-85</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3.0339098647216144E-2</v>
      </c>
      <c r="C332" s="3">
        <f t="shared" si="339"/>
        <v>3.0338628820767429E-2</v>
      </c>
      <c r="D332" s="3">
        <f t="shared" si="339"/>
        <v>3.0333930956422835E-2</v>
      </c>
      <c r="E332" s="3">
        <f t="shared" si="339"/>
        <v>3.0286992304316532E-2</v>
      </c>
      <c r="F332" s="3">
        <f t="shared" si="339"/>
        <v>2.9821582097562836E-2</v>
      </c>
      <c r="G332" s="3">
        <f t="shared" si="339"/>
        <v>2.5543241388572231E-2</v>
      </c>
      <c r="H332" s="3">
        <f t="shared" si="339"/>
        <v>5.4291180324125936E-3</v>
      </c>
      <c r="I332" s="3">
        <f t="shared" si="339"/>
        <v>1.0215556822866164E-9</v>
      </c>
      <c r="J332" s="3">
        <f t="shared" si="339"/>
        <v>5.6831569038596569E-77</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2.9818484145889852E-2</v>
      </c>
      <c r="C333" s="3">
        <f t="shared" si="340"/>
        <v>2.9818442490615452E-2</v>
      </c>
      <c r="D333" s="3">
        <f t="shared" si="340"/>
        <v>2.981802594107193E-2</v>
      </c>
      <c r="E333" s="3">
        <f t="shared" si="340"/>
        <v>2.9813860765668301E-2</v>
      </c>
      <c r="F333" s="3">
        <f t="shared" si="340"/>
        <v>2.9772240998256285E-2</v>
      </c>
      <c r="G333" s="3">
        <f t="shared" si="340"/>
        <v>2.9359225515039614E-2</v>
      </c>
      <c r="H333" s="3">
        <f t="shared" si="340"/>
        <v>2.5531438539923793E-2</v>
      </c>
      <c r="I333" s="3">
        <f t="shared" si="340"/>
        <v>6.3151284681820206E-3</v>
      </c>
      <c r="J333" s="3">
        <f t="shared" si="340"/>
        <v>5.4131646192275575E-9</v>
      </c>
      <c r="K333" s="3">
        <f t="shared" si="340"/>
        <v>1.1591554523665865E-69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2.8586713502171575E-2</v>
      </c>
      <c r="C334" s="3">
        <f t="shared" si="341"/>
        <v>2.8586709899741714E-2</v>
      </c>
      <c r="D334" s="3">
        <f t="shared" si="341"/>
        <v>2.858667387546807E-2</v>
      </c>
      <c r="E334" s="3">
        <f t="shared" si="341"/>
        <v>2.8586313635228466E-2</v>
      </c>
      <c r="F334" s="3">
        <f t="shared" si="341"/>
        <v>2.8582711482502812E-2</v>
      </c>
      <c r="G334" s="3">
        <f t="shared" si="341"/>
        <v>2.8546714910650826E-2</v>
      </c>
      <c r="H334" s="3">
        <f t="shared" si="341"/>
        <v>2.8189233135864418E-2</v>
      </c>
      <c r="I334" s="3">
        <f t="shared" si="341"/>
        <v>2.4851608137771684E-2</v>
      </c>
      <c r="J334" s="3">
        <f t="shared" si="341"/>
        <v>7.048015537864865E-3</v>
      </c>
      <c r="K334" s="3">
        <f t="shared" si="341"/>
        <v>2.3724136339044411E-8</v>
      </c>
      <c r="L334" s="3">
        <f t="shared" si="341"/>
        <v>4.4302271547576744E-63</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2.8589469131122827E-2</v>
      </c>
      <c r="C335" s="3">
        <f t="shared" si="342"/>
        <v>2.8589468806122342E-2</v>
      </c>
      <c r="D335" s="3">
        <f t="shared" si="342"/>
        <v>2.8589465556117674E-2</v>
      </c>
      <c r="E335" s="3">
        <f t="shared" si="342"/>
        <v>2.858943305609133E-2</v>
      </c>
      <c r="F335" s="3">
        <f t="shared" si="342"/>
        <v>2.8589108057859868E-2</v>
      </c>
      <c r="G335" s="3">
        <f t="shared" si="342"/>
        <v>2.8585858278736186E-2</v>
      </c>
      <c r="H335" s="3">
        <f t="shared" si="342"/>
        <v>2.8553380798049154E-2</v>
      </c>
      <c r="I335" s="3">
        <f t="shared" si="342"/>
        <v>2.8230628529250731E-2</v>
      </c>
      <c r="J335" s="3">
        <f t="shared" si="342"/>
        <v>2.5197105184260077E-2</v>
      </c>
      <c r="K335" s="3">
        <f t="shared" si="342"/>
        <v>8.0844720505875781E-3</v>
      </c>
      <c r="L335" s="3">
        <f t="shared" si="342"/>
        <v>9.3467755562832547E-8</v>
      </c>
      <c r="M335" s="3">
        <f t="shared" si="342"/>
        <v>3.9880749888410811E-57</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2.8115831965847878E-2</v>
      </c>
      <c r="C336" s="3">
        <f t="shared" si="343"/>
        <v>2.8115831937015834E-2</v>
      </c>
      <c r="D336" s="3">
        <f t="shared" si="343"/>
        <v>2.8115831648695383E-2</v>
      </c>
      <c r="E336" s="3">
        <f t="shared" si="343"/>
        <v>2.8115828765491024E-2</v>
      </c>
      <c r="F336" s="3">
        <f t="shared" si="343"/>
        <v>2.8115799933463696E-2</v>
      </c>
      <c r="G336" s="3">
        <f t="shared" si="343"/>
        <v>2.8115511614816562E-2</v>
      </c>
      <c r="H336" s="3">
        <f t="shared" si="343"/>
        <v>2.8112628590954158E-2</v>
      </c>
      <c r="I336" s="3">
        <f t="shared" si="343"/>
        <v>2.8083814607053333E-2</v>
      </c>
      <c r="J336" s="3">
        <f t="shared" si="343"/>
        <v>2.7797294089796983E-2</v>
      </c>
      <c r="K336" s="3">
        <f t="shared" si="343"/>
        <v>2.508804189407849E-2</v>
      </c>
      <c r="L336" s="3">
        <f t="shared" si="343"/>
        <v>8.9972380236031917E-3</v>
      </c>
      <c r="M336" s="3">
        <f t="shared" si="343"/>
        <v>3.1661657560815277E-7</v>
      </c>
      <c r="N336" s="3">
        <f t="shared" si="343"/>
        <v>9.2210000018871799E-52</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3.3973946983673745E-2</v>
      </c>
      <c r="C337" s="3">
        <f t="shared" si="344"/>
        <v>3.3973946980530939E-2</v>
      </c>
      <c r="D337" s="3">
        <f t="shared" si="344"/>
        <v>3.3973946949102919E-2</v>
      </c>
      <c r="E337" s="3">
        <f t="shared" si="344"/>
        <v>3.3973946634822651E-2</v>
      </c>
      <c r="F337" s="3">
        <f t="shared" si="344"/>
        <v>3.3973943492020188E-2</v>
      </c>
      <c r="G337" s="3">
        <f t="shared" si="344"/>
        <v>3.3973912064011527E-2</v>
      </c>
      <c r="H337" s="3">
        <f t="shared" si="344"/>
        <v>3.3973597785523953E-2</v>
      </c>
      <c r="I337" s="3">
        <f t="shared" si="344"/>
        <v>3.3970455160542992E-2</v>
      </c>
      <c r="J337" s="3">
        <f t="shared" si="344"/>
        <v>3.3939044894743697E-2</v>
      </c>
      <c r="K337" s="3">
        <f t="shared" si="344"/>
        <v>3.3626535180398327E-2</v>
      </c>
      <c r="L337" s="3">
        <f t="shared" si="344"/>
        <v>3.0655412478900107E-2</v>
      </c>
      <c r="M337" s="3">
        <f t="shared" si="344"/>
        <v>1.2155073747884552E-2</v>
      </c>
      <c r="N337" s="3">
        <f t="shared" si="344"/>
        <v>1.1675135750857293E-6</v>
      </c>
      <c r="O337" s="3">
        <f t="shared" si="344"/>
        <v>7.8037859199471541E-47</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3.6313930353215083E-2</v>
      </c>
      <c r="C338" s="3">
        <f t="shared" si="345"/>
        <v>3.6313930352912055E-2</v>
      </c>
      <c r="D338" s="3">
        <f t="shared" si="345"/>
        <v>3.6313930349881715E-2</v>
      </c>
      <c r="E338" s="3">
        <f t="shared" si="345"/>
        <v>3.6313930319578344E-2</v>
      </c>
      <c r="F338" s="3">
        <f t="shared" si="345"/>
        <v>3.6313930016544628E-2</v>
      </c>
      <c r="G338" s="3">
        <f t="shared" si="345"/>
        <v>3.6313926986207619E-2</v>
      </c>
      <c r="H338" s="3">
        <f t="shared" si="345"/>
        <v>3.6313896682851426E-2</v>
      </c>
      <c r="I338" s="3">
        <f t="shared" si="345"/>
        <v>3.631359365068032E-2</v>
      </c>
      <c r="J338" s="3">
        <f t="shared" si="345"/>
        <v>3.6310563468046626E-2</v>
      </c>
      <c r="K338" s="3">
        <f t="shared" si="345"/>
        <v>3.6280275545152466E-2</v>
      </c>
      <c r="L338" s="3">
        <f t="shared" si="345"/>
        <v>3.5978782377248095E-2</v>
      </c>
      <c r="M338" s="3">
        <f t="shared" si="345"/>
        <v>3.3098271069161259E-2</v>
      </c>
      <c r="N338" s="3">
        <f t="shared" si="345"/>
        <v>1.4367915912100139E-2</v>
      </c>
      <c r="O338" s="3">
        <f t="shared" si="345"/>
        <v>3.414117546455065E-6</v>
      </c>
      <c r="P338" s="3">
        <f t="shared" si="345"/>
        <v>1.9594103112882767E-42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4.1806327659664126E-2</v>
      </c>
      <c r="C339" s="3">
        <f t="shared" si="346"/>
        <v>4.1806327659632651E-2</v>
      </c>
      <c r="D339" s="3">
        <f t="shared" si="346"/>
        <v>4.1806327659317945E-2</v>
      </c>
      <c r="E339" s="3">
        <f t="shared" si="346"/>
        <v>4.1806327656170879E-2</v>
      </c>
      <c r="F339" s="3">
        <f t="shared" si="346"/>
        <v>4.1806327624700185E-2</v>
      </c>
      <c r="G339" s="3">
        <f t="shared" si="346"/>
        <v>4.1806327309993258E-2</v>
      </c>
      <c r="H339" s="3">
        <f t="shared" si="346"/>
        <v>4.1806324162924097E-2</v>
      </c>
      <c r="I339" s="3">
        <f t="shared" si="346"/>
        <v>4.1806292692245547E-2</v>
      </c>
      <c r="J339" s="3">
        <f t="shared" si="346"/>
        <v>4.1805977986762999E-2</v>
      </c>
      <c r="K339" s="3">
        <f t="shared" si="346"/>
        <v>4.1802831062230102E-2</v>
      </c>
      <c r="L339" s="3">
        <f t="shared" si="346"/>
        <v>4.177137484253568E-2</v>
      </c>
      <c r="M339" s="3">
        <f t="shared" si="346"/>
        <v>4.145811158835605E-2</v>
      </c>
      <c r="N339" s="3">
        <f t="shared" si="346"/>
        <v>3.8451827124318265E-2</v>
      </c>
      <c r="O339" s="3">
        <f t="shared" si="346"/>
        <v>1.8113051860669114E-2</v>
      </c>
      <c r="P339" s="3">
        <f t="shared" si="346"/>
        <v>9.7440190728614511E-6</v>
      </c>
      <c r="Q339" s="3">
        <f t="shared" si="346"/>
        <v>1.9778942746779842E-38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4.6977125912982559E-2</v>
      </c>
      <c r="C340" s="3">
        <f t="shared" si="347"/>
        <v>4.6977125912979367E-2</v>
      </c>
      <c r="D340" s="3">
        <f t="shared" si="347"/>
        <v>4.6977125912947469E-2</v>
      </c>
      <c r="E340" s="3">
        <f t="shared" si="347"/>
        <v>4.697712591262846E-2</v>
      </c>
      <c r="F340" s="3">
        <f t="shared" si="347"/>
        <v>4.6977125909438415E-2</v>
      </c>
      <c r="G340" s="3">
        <f t="shared" si="347"/>
        <v>4.6977125877537926E-2</v>
      </c>
      <c r="H340" s="3">
        <f t="shared" si="347"/>
        <v>4.6977125558533055E-2</v>
      </c>
      <c r="I340" s="3">
        <f t="shared" si="347"/>
        <v>4.6977122368484434E-2</v>
      </c>
      <c r="J340" s="3">
        <f t="shared" si="347"/>
        <v>4.6977090468010123E-2</v>
      </c>
      <c r="K340" s="3">
        <f t="shared" si="347"/>
        <v>4.69767714644585E-2</v>
      </c>
      <c r="L340" s="3">
        <f t="shared" si="347"/>
        <v>4.697358154808258E-2</v>
      </c>
      <c r="M340" s="3">
        <f t="shared" si="347"/>
        <v>4.6941694295362525E-2</v>
      </c>
      <c r="N340" s="3">
        <f t="shared" si="347"/>
        <v>4.6624009884810115E-2</v>
      </c>
      <c r="O340" s="3">
        <f t="shared" si="347"/>
        <v>4.3563045705063613E-2</v>
      </c>
      <c r="P340" s="3">
        <f t="shared" si="347"/>
        <v>2.209044029329783E-2</v>
      </c>
      <c r="Q340" s="3">
        <f t="shared" si="347"/>
        <v>2.4835089799312628E-5</v>
      </c>
      <c r="R340" s="3">
        <f t="shared" si="347"/>
        <v>8.0108640368697327E-35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6.4330039712108836E-2</v>
      </c>
      <c r="C341" s="3">
        <f t="shared" si="348"/>
        <v>6.4330039712108447E-2</v>
      </c>
      <c r="D341" s="3">
        <f t="shared" si="348"/>
        <v>6.4330039712104506E-2</v>
      </c>
      <c r="E341" s="3">
        <f t="shared" si="348"/>
        <v>6.4330039712065093E-2</v>
      </c>
      <c r="F341" s="3">
        <f t="shared" si="348"/>
        <v>6.4330039711671019E-2</v>
      </c>
      <c r="G341" s="3">
        <f t="shared" si="348"/>
        <v>6.4330039707730352E-2</v>
      </c>
      <c r="H341" s="3">
        <f t="shared" si="348"/>
        <v>6.4330039668323527E-2</v>
      </c>
      <c r="I341" s="3">
        <f t="shared" si="348"/>
        <v>6.4330039274255429E-2</v>
      </c>
      <c r="J341" s="3">
        <f t="shared" si="348"/>
        <v>6.4330035333574509E-2</v>
      </c>
      <c r="K341" s="3">
        <f t="shared" si="348"/>
        <v>6.4329995926778516E-2</v>
      </c>
      <c r="L341" s="3">
        <f t="shared" si="348"/>
        <v>6.4329601860146302E-2</v>
      </c>
      <c r="M341" s="3">
        <f t="shared" si="348"/>
        <v>6.4325661326588221E-2</v>
      </c>
      <c r="N341" s="3">
        <f t="shared" si="348"/>
        <v>6.4286269264404339E-2</v>
      </c>
      <c r="O341" s="3">
        <f t="shared" si="348"/>
        <v>6.3893672978738464E-2</v>
      </c>
      <c r="P341" s="3">
        <f t="shared" si="348"/>
        <v>6.0097190656695471E-2</v>
      </c>
      <c r="Q341" s="3">
        <f t="shared" si="348"/>
        <v>3.2569967941891272E-2</v>
      </c>
      <c r="R341" s="3">
        <f t="shared" si="348"/>
        <v>7.1194908380631331E-5</v>
      </c>
      <c r="S341" s="3">
        <f t="shared" si="348"/>
        <v>1.773229628610066E-31</v>
      </c>
      <c r="T341" s="3">
        <f t="shared" si="348"/>
        <v>1.6290162514859722E-297</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7.1283808515689148E-2</v>
      </c>
      <c r="C342" s="3">
        <f t="shared" si="349"/>
        <v>7.128380851568912E-2</v>
      </c>
      <c r="D342" s="3">
        <f t="shared" si="349"/>
        <v>7.1283808515688732E-2</v>
      </c>
      <c r="E342" s="3">
        <f t="shared" si="349"/>
        <v>7.1283808515684791E-2</v>
      </c>
      <c r="F342" s="3">
        <f t="shared" si="349"/>
        <v>7.1283808515645392E-2</v>
      </c>
      <c r="G342" s="3">
        <f t="shared" si="349"/>
        <v>7.1283808515251484E-2</v>
      </c>
      <c r="H342" s="3">
        <f t="shared" si="349"/>
        <v>7.1283808511312413E-2</v>
      </c>
      <c r="I342" s="3">
        <f t="shared" si="349"/>
        <v>7.1283808471921589E-2</v>
      </c>
      <c r="J342" s="3">
        <f t="shared" si="349"/>
        <v>7.1283808078013447E-2</v>
      </c>
      <c r="K342" s="3">
        <f t="shared" si="349"/>
        <v>7.1283804138932191E-2</v>
      </c>
      <c r="L342" s="3">
        <f t="shared" si="349"/>
        <v>7.1283764748131598E-2</v>
      </c>
      <c r="M342" s="3">
        <f t="shared" si="349"/>
        <v>7.1283370841322732E-2</v>
      </c>
      <c r="N342" s="3">
        <f t="shared" si="349"/>
        <v>7.1279431892949968E-2</v>
      </c>
      <c r="O342" s="3">
        <f t="shared" si="349"/>
        <v>7.1240054378365045E-2</v>
      </c>
      <c r="P342" s="3">
        <f t="shared" si="349"/>
        <v>7.0847473703206057E-2</v>
      </c>
      <c r="Q342" s="3">
        <f t="shared" si="349"/>
        <v>6.7038707498666625E-2</v>
      </c>
      <c r="R342" s="3">
        <f t="shared" si="349"/>
        <v>3.8577872296339001E-2</v>
      </c>
      <c r="S342" s="3">
        <f t="shared" si="349"/>
        <v>1.5362597667940283E-4</v>
      </c>
      <c r="T342" s="3">
        <f t="shared" si="349"/>
        <v>1.5407370108706241E-28</v>
      </c>
      <c r="U342" s="3">
        <f t="shared" si="349"/>
        <v>1.5862334243488632E-268</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6.5008577665533668E-2</v>
      </c>
      <c r="C343" s="3">
        <f t="shared" si="350"/>
        <v>6.5008577665533668E-2</v>
      </c>
      <c r="D343" s="3">
        <f t="shared" si="350"/>
        <v>6.5008577665533626E-2</v>
      </c>
      <c r="E343" s="3">
        <f t="shared" si="350"/>
        <v>6.5008577665533307E-2</v>
      </c>
      <c r="F343" s="3">
        <f t="shared" si="350"/>
        <v>6.500857766553006E-2</v>
      </c>
      <c r="G343" s="3">
        <f t="shared" si="350"/>
        <v>6.5008577665497655E-2</v>
      </c>
      <c r="H343" s="3">
        <f t="shared" si="350"/>
        <v>6.5008577665173609E-2</v>
      </c>
      <c r="I343" s="3">
        <f t="shared" si="350"/>
        <v>6.5008577661933034E-2</v>
      </c>
      <c r="J343" s="3">
        <f t="shared" si="350"/>
        <v>6.5008577629527345E-2</v>
      </c>
      <c r="K343" s="3">
        <f t="shared" si="350"/>
        <v>6.5008577305470411E-2</v>
      </c>
      <c r="L343" s="3">
        <f t="shared" si="350"/>
        <v>6.5008574064901209E-2</v>
      </c>
      <c r="M343" s="3">
        <f t="shared" si="350"/>
        <v>6.5008541659217975E-2</v>
      </c>
      <c r="N343" s="3">
        <f t="shared" si="350"/>
        <v>6.5008217603274202E-2</v>
      </c>
      <c r="O343" s="3">
        <f t="shared" si="350"/>
        <v>6.5004977132679984E-2</v>
      </c>
      <c r="P343" s="3">
        <f t="shared" si="350"/>
        <v>6.4972581309451313E-2</v>
      </c>
      <c r="Q343" s="3">
        <f t="shared" si="350"/>
        <v>6.4649509712384173E-2</v>
      </c>
      <c r="R343" s="3">
        <f t="shared" si="350"/>
        <v>6.1505843539702607E-2</v>
      </c>
      <c r="S343" s="3">
        <f t="shared" si="350"/>
        <v>3.7361801961637083E-2</v>
      </c>
      <c r="T343" s="3">
        <f t="shared" si="350"/>
        <v>2.5558900298623173E-4</v>
      </c>
      <c r="U343" s="3">
        <f t="shared" si="350"/>
        <v>5.7370107203194461E-26</v>
      </c>
      <c r="V343" s="3">
        <f t="shared" si="350"/>
        <v>1.8626044531715425E-242</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4.954350168244695E-2</v>
      </c>
      <c r="C344" s="3">
        <f t="shared" si="351"/>
        <v>4.954350168244695E-2</v>
      </c>
      <c r="D344" s="3">
        <f t="shared" si="351"/>
        <v>4.954350168244695E-2</v>
      </c>
      <c r="E344" s="3">
        <f t="shared" si="351"/>
        <v>4.9543501682446929E-2</v>
      </c>
      <c r="F344" s="3">
        <f t="shared" si="351"/>
        <v>4.95435016824467E-2</v>
      </c>
      <c r="G344" s="3">
        <f t="shared" si="351"/>
        <v>4.9543501682444473E-2</v>
      </c>
      <c r="H344" s="3">
        <f t="shared" si="351"/>
        <v>4.9543501682422199E-2</v>
      </c>
      <c r="I344" s="3">
        <f t="shared" si="351"/>
        <v>4.9543501682199412E-2</v>
      </c>
      <c r="J344" s="3">
        <f t="shared" si="351"/>
        <v>4.9543501679971576E-2</v>
      </c>
      <c r="K344" s="3">
        <f t="shared" si="351"/>
        <v>4.9543501657693174E-2</v>
      </c>
      <c r="L344" s="3">
        <f t="shared" si="351"/>
        <v>4.9543501434909203E-2</v>
      </c>
      <c r="M344" s="3">
        <f t="shared" si="351"/>
        <v>4.9543499207069561E-2</v>
      </c>
      <c r="N344" s="3">
        <f t="shared" si="351"/>
        <v>4.9543476928678609E-2</v>
      </c>
      <c r="O344" s="3">
        <f t="shared" si="351"/>
        <v>4.9543254145320091E-2</v>
      </c>
      <c r="P344" s="3">
        <f t="shared" si="351"/>
        <v>4.9541026366832948E-2</v>
      </c>
      <c r="Q344" s="3">
        <f t="shared" si="351"/>
        <v>4.9518754090844976E-2</v>
      </c>
      <c r="R344" s="3">
        <f t="shared" si="351"/>
        <v>4.9296581303852574E-2</v>
      </c>
      <c r="S344" s="3">
        <f t="shared" si="351"/>
        <v>4.7128946584259958E-2</v>
      </c>
      <c r="T344" s="3">
        <f t="shared" si="351"/>
        <v>3.00605579251557E-2</v>
      </c>
      <c r="U344" s="3">
        <f t="shared" si="351"/>
        <v>3.3503492322098838E-4</v>
      </c>
      <c r="V344" s="3">
        <f t="shared" si="351"/>
        <v>9.9087872219818194E-24</v>
      </c>
      <c r="W344" s="3">
        <f t="shared" si="351"/>
        <v>5.0736994435577197E-219</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3.0281570029291476E-2</v>
      </c>
      <c r="C345" s="3">
        <f t="shared" si="352"/>
        <v>3.0281570029291476E-2</v>
      </c>
      <c r="D345" s="3">
        <f t="shared" si="352"/>
        <v>3.0281570029291476E-2</v>
      </c>
      <c r="E345" s="3">
        <f t="shared" si="352"/>
        <v>3.0281570029291476E-2</v>
      </c>
      <c r="F345" s="3">
        <f t="shared" si="352"/>
        <v>3.0281570029291462E-2</v>
      </c>
      <c r="G345" s="3">
        <f t="shared" si="352"/>
        <v>3.0281570029291337E-2</v>
      </c>
      <c r="H345" s="3">
        <f t="shared" si="352"/>
        <v>3.0281570029290113E-2</v>
      </c>
      <c r="I345" s="3">
        <f t="shared" si="352"/>
        <v>3.0281570029277827E-2</v>
      </c>
      <c r="J345" s="3">
        <f t="shared" si="352"/>
        <v>3.0281570029154992E-2</v>
      </c>
      <c r="K345" s="3">
        <f t="shared" si="352"/>
        <v>3.0281570027926644E-2</v>
      </c>
      <c r="L345" s="3">
        <f t="shared" si="352"/>
        <v>3.028157001564314E-2</v>
      </c>
      <c r="M345" s="3">
        <f t="shared" si="352"/>
        <v>3.0281569892808113E-2</v>
      </c>
      <c r="N345" s="3">
        <f t="shared" si="352"/>
        <v>3.028156866445789E-2</v>
      </c>
      <c r="O345" s="3">
        <f t="shared" si="352"/>
        <v>3.0281556380958367E-2</v>
      </c>
      <c r="P345" s="3">
        <f t="shared" si="352"/>
        <v>3.0281433546237208E-2</v>
      </c>
      <c r="Q345" s="3">
        <f t="shared" si="352"/>
        <v>3.028020522643007E-2</v>
      </c>
      <c r="R345" s="3">
        <f t="shared" si="352"/>
        <v>3.0267924768395037E-2</v>
      </c>
      <c r="S345" s="3">
        <f t="shared" si="352"/>
        <v>3.0145393780876703E-2</v>
      </c>
      <c r="T345" s="3">
        <f t="shared" si="352"/>
        <v>2.894703697667755E-2</v>
      </c>
      <c r="U345" s="3">
        <f t="shared" si="352"/>
        <v>1.9294594763102673E-2</v>
      </c>
      <c r="V345" s="3">
        <f t="shared" si="352"/>
        <v>3.3400357836156495E-4</v>
      </c>
      <c r="W345" s="3">
        <f t="shared" si="352"/>
        <v>8.0705977038359349E-22</v>
      </c>
      <c r="X345" s="3">
        <f t="shared" si="352"/>
        <v>5.4758494321634894E-198</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1.5838845962715554E-2</v>
      </c>
      <c r="C346" s="3">
        <f t="shared" si="353"/>
        <v>1.5838845962715554E-2</v>
      </c>
      <c r="D346" s="3">
        <f t="shared" si="353"/>
        <v>1.5838845962715554E-2</v>
      </c>
      <c r="E346" s="3">
        <f t="shared" si="353"/>
        <v>1.5838845962715554E-2</v>
      </c>
      <c r="F346" s="3">
        <f t="shared" si="353"/>
        <v>1.5838845962715554E-2</v>
      </c>
      <c r="G346" s="3">
        <f t="shared" si="353"/>
        <v>1.5838845962715547E-2</v>
      </c>
      <c r="H346" s="3">
        <f t="shared" si="353"/>
        <v>1.5838845962715488E-2</v>
      </c>
      <c r="I346" s="3">
        <f t="shared" si="353"/>
        <v>1.5838845962714908E-2</v>
      </c>
      <c r="J346" s="3">
        <f t="shared" si="353"/>
        <v>1.5838845962709115E-2</v>
      </c>
      <c r="K346" s="3">
        <f t="shared" si="353"/>
        <v>1.5838845962651154E-2</v>
      </c>
      <c r="L346" s="3">
        <f t="shared" si="353"/>
        <v>1.5838845962071576E-2</v>
      </c>
      <c r="M346" s="3">
        <f t="shared" si="353"/>
        <v>1.5838845956275768E-2</v>
      </c>
      <c r="N346" s="3">
        <f t="shared" si="353"/>
        <v>1.5838845898317692E-2</v>
      </c>
      <c r="O346" s="3">
        <f t="shared" si="353"/>
        <v>1.5838845318736947E-2</v>
      </c>
      <c r="P346" s="3">
        <f t="shared" si="353"/>
        <v>1.5838839522930664E-2</v>
      </c>
      <c r="Q346" s="3">
        <f t="shared" si="353"/>
        <v>1.5838781564984483E-2</v>
      </c>
      <c r="R346" s="3">
        <f t="shared" si="353"/>
        <v>1.5838201997187003E-2</v>
      </c>
      <c r="S346" s="3">
        <f t="shared" si="353"/>
        <v>1.5832407485489305E-2</v>
      </c>
      <c r="T346" s="3">
        <f t="shared" si="353"/>
        <v>1.5774578838470187E-2</v>
      </c>
      <c r="U346" s="3">
        <f t="shared" si="353"/>
        <v>1.520778320493814E-2</v>
      </c>
      <c r="V346" s="3">
        <f t="shared" si="353"/>
        <v>1.0547446017398251E-2</v>
      </c>
      <c r="W346" s="3">
        <f t="shared" si="353"/>
        <v>2.7161971949299021E-4</v>
      </c>
      <c r="X346" s="3">
        <f t="shared" si="353"/>
        <v>3.4841845212496081E-20</v>
      </c>
      <c r="Y346" s="3">
        <f t="shared" si="353"/>
        <v>4.2024219252786478E-179</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5.1881409706128322E-3</v>
      </c>
      <c r="C347" s="3">
        <f t="shared" si="354"/>
        <v>5.1881409706128322E-3</v>
      </c>
      <c r="D347" s="3">
        <f t="shared" si="354"/>
        <v>5.1881409706128322E-3</v>
      </c>
      <c r="E347" s="3">
        <f t="shared" si="354"/>
        <v>5.1881409706128322E-3</v>
      </c>
      <c r="F347" s="3">
        <f t="shared" si="354"/>
        <v>5.1881409706128322E-3</v>
      </c>
      <c r="G347" s="3">
        <f t="shared" si="354"/>
        <v>5.1881409706128322E-3</v>
      </c>
      <c r="H347" s="3">
        <f t="shared" si="354"/>
        <v>5.1881409706128305E-3</v>
      </c>
      <c r="I347" s="3">
        <f t="shared" si="354"/>
        <v>5.1881409706128132E-3</v>
      </c>
      <c r="J347" s="3">
        <f t="shared" si="354"/>
        <v>5.1881409706126423E-3</v>
      </c>
      <c r="K347" s="3">
        <f t="shared" si="354"/>
        <v>5.1881409706109292E-3</v>
      </c>
      <c r="L347" s="3">
        <f t="shared" si="354"/>
        <v>5.1881409705938032E-3</v>
      </c>
      <c r="M347" s="3">
        <f t="shared" si="354"/>
        <v>5.1881409704225461E-3</v>
      </c>
      <c r="N347" s="3">
        <f t="shared" si="354"/>
        <v>5.1881409687099742E-3</v>
      </c>
      <c r="O347" s="3">
        <f t="shared" si="354"/>
        <v>5.1881409515842566E-3</v>
      </c>
      <c r="P347" s="3">
        <f t="shared" si="354"/>
        <v>5.1881407803270833E-3</v>
      </c>
      <c r="Q347" s="3">
        <f t="shared" si="354"/>
        <v>5.1881390677556531E-3</v>
      </c>
      <c r="R347" s="3">
        <f t="shared" si="354"/>
        <v>5.188121942072443E-3</v>
      </c>
      <c r="S347" s="3">
        <f t="shared" si="354"/>
        <v>5.1879506883495052E-3</v>
      </c>
      <c r="T347" s="3">
        <f t="shared" si="354"/>
        <v>5.1862384619978073E-3</v>
      </c>
      <c r="U347" s="3">
        <f t="shared" si="354"/>
        <v>5.1691472483140662E-3</v>
      </c>
      <c r="V347" s="3">
        <f t="shared" si="354"/>
        <v>5.0013025047185005E-3</v>
      </c>
      <c r="W347" s="3">
        <f t="shared" si="354"/>
        <v>3.5952187862964193E-3</v>
      </c>
      <c r="X347" s="3">
        <f t="shared" si="354"/>
        <v>1.3247908851574269E-4</v>
      </c>
      <c r="Y347" s="3">
        <f t="shared" si="354"/>
        <v>6.1145908389337632E-19</v>
      </c>
      <c r="Z347" s="3">
        <f t="shared" si="354"/>
        <v>2.6826752354230633E-162</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3.8617191328215671E-3</v>
      </c>
      <c r="C348" s="3">
        <f t="shared" si="355"/>
        <v>3.8617191328215671E-3</v>
      </c>
      <c r="D348" s="3">
        <f t="shared" si="355"/>
        <v>3.8617191328215671E-3</v>
      </c>
      <c r="E348" s="3">
        <f t="shared" si="355"/>
        <v>3.8617191328215671E-3</v>
      </c>
      <c r="F348" s="3">
        <f t="shared" si="355"/>
        <v>3.8617191328215671E-3</v>
      </c>
      <c r="G348" s="3">
        <f t="shared" si="355"/>
        <v>3.8617191328215671E-3</v>
      </c>
      <c r="H348" s="3">
        <f t="shared" si="355"/>
        <v>3.8617191328215667E-3</v>
      </c>
      <c r="I348" s="3">
        <f t="shared" si="355"/>
        <v>3.8617191328215632E-3</v>
      </c>
      <c r="J348" s="3">
        <f t="shared" si="355"/>
        <v>3.8617191328215281E-3</v>
      </c>
      <c r="K348" s="3">
        <f t="shared" si="355"/>
        <v>3.8617191328211751E-3</v>
      </c>
      <c r="L348" s="3">
        <f t="shared" si="355"/>
        <v>3.8617191328176497E-3</v>
      </c>
      <c r="M348" s="3">
        <f t="shared" si="355"/>
        <v>3.861719132782394E-3</v>
      </c>
      <c r="N348" s="3">
        <f t="shared" si="355"/>
        <v>3.8617191324298362E-3</v>
      </c>
      <c r="O348" s="3">
        <f t="shared" si="355"/>
        <v>3.8617191289042562E-3</v>
      </c>
      <c r="P348" s="3">
        <f t="shared" si="355"/>
        <v>3.861719093648457E-3</v>
      </c>
      <c r="Q348" s="3">
        <f t="shared" si="355"/>
        <v>3.8617187410904886E-3</v>
      </c>
      <c r="R348" s="3">
        <f t="shared" si="355"/>
        <v>3.8617152155125695E-3</v>
      </c>
      <c r="S348" s="3">
        <f t="shared" si="355"/>
        <v>3.8616799599104049E-3</v>
      </c>
      <c r="T348" s="3">
        <f t="shared" si="355"/>
        <v>3.8613274215909474E-3</v>
      </c>
      <c r="U348" s="3">
        <f t="shared" si="355"/>
        <v>3.8578038080168426E-3</v>
      </c>
      <c r="V348" s="3">
        <f t="shared" si="355"/>
        <v>3.8227440380134378E-3</v>
      </c>
      <c r="W348" s="3">
        <f t="shared" si="355"/>
        <v>3.4892014294331274E-3</v>
      </c>
      <c r="X348" s="3">
        <f t="shared" si="355"/>
        <v>1.4003424764949129E-3</v>
      </c>
      <c r="Y348" s="3">
        <f t="shared" si="355"/>
        <v>1.5181562421189829E-7</v>
      </c>
      <c r="Z348" s="3">
        <f t="shared" si="355"/>
        <v>3.4051679809075759E-47</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3.0600017424879029E-3</v>
      </c>
      <c r="C349" s="3">
        <f t="shared" si="356"/>
        <v>3.0600017424879029E-3</v>
      </c>
      <c r="D349" s="3">
        <f t="shared" si="356"/>
        <v>3.0600017424879029E-3</v>
      </c>
      <c r="E349" s="3">
        <f t="shared" si="356"/>
        <v>3.0600017424879029E-3</v>
      </c>
      <c r="F349" s="3">
        <f t="shared" si="356"/>
        <v>3.0600017424879029E-3</v>
      </c>
      <c r="G349" s="3">
        <f t="shared" si="356"/>
        <v>3.0600017424879029E-3</v>
      </c>
      <c r="H349" s="3">
        <f t="shared" si="356"/>
        <v>3.0600017424879029E-3</v>
      </c>
      <c r="I349" s="3">
        <f t="shared" si="356"/>
        <v>3.0600017424879025E-3</v>
      </c>
      <c r="J349" s="3">
        <f t="shared" si="356"/>
        <v>3.0600017424878998E-3</v>
      </c>
      <c r="K349" s="3">
        <f t="shared" si="356"/>
        <v>3.0600017424878721E-3</v>
      </c>
      <c r="L349" s="3">
        <f t="shared" si="356"/>
        <v>3.0600017424875924E-3</v>
      </c>
      <c r="M349" s="3">
        <f t="shared" si="356"/>
        <v>3.0600017424847986E-3</v>
      </c>
      <c r="N349" s="3">
        <f t="shared" si="356"/>
        <v>3.0600017424568622E-3</v>
      </c>
      <c r="O349" s="3">
        <f t="shared" si="356"/>
        <v>3.060001742177498E-3</v>
      </c>
      <c r="P349" s="3">
        <f t="shared" si="356"/>
        <v>3.0600017393838507E-3</v>
      </c>
      <c r="Q349" s="3">
        <f t="shared" si="356"/>
        <v>3.060001711447379E-3</v>
      </c>
      <c r="R349" s="3">
        <f t="shared" si="356"/>
        <v>3.0600014320826814E-3</v>
      </c>
      <c r="S349" s="3">
        <f t="shared" si="356"/>
        <v>3.0599986384371039E-3</v>
      </c>
      <c r="T349" s="3">
        <f t="shared" si="356"/>
        <v>3.0599707021216069E-3</v>
      </c>
      <c r="U349" s="3">
        <f t="shared" si="356"/>
        <v>3.0596913529937369E-3</v>
      </c>
      <c r="V349" s="3">
        <f t="shared" si="356"/>
        <v>3.0568992639510681E-3</v>
      </c>
      <c r="W349" s="3">
        <f t="shared" si="356"/>
        <v>3.029118124616044E-3</v>
      </c>
      <c r="X349" s="3">
        <f t="shared" si="356"/>
        <v>2.764821077537952E-3</v>
      </c>
      <c r="Y349" s="3">
        <f t="shared" si="356"/>
        <v>1.1096224947419685E-3</v>
      </c>
      <c r="Z349" s="3">
        <f t="shared" si="356"/>
        <v>1.202977375223737E-7</v>
      </c>
      <c r="AA349" s="3">
        <f t="shared" si="356"/>
        <v>2.698233506026097E-47</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1.8593150246318942E-3</v>
      </c>
      <c r="C350" s="3">
        <f t="shared" si="357"/>
        <v>1.8593150246318942E-3</v>
      </c>
      <c r="D350" s="3">
        <f t="shared" si="357"/>
        <v>1.8593150246318942E-3</v>
      </c>
      <c r="E350" s="3">
        <f t="shared" si="357"/>
        <v>1.8593150246318942E-3</v>
      </c>
      <c r="F350" s="3">
        <f t="shared" si="357"/>
        <v>1.8593150246318942E-3</v>
      </c>
      <c r="G350" s="3">
        <f t="shared" si="357"/>
        <v>1.8593150246318942E-3</v>
      </c>
      <c r="H350" s="3">
        <f t="shared" si="357"/>
        <v>1.8593150246318942E-3</v>
      </c>
      <c r="I350" s="3">
        <f t="shared" si="357"/>
        <v>1.8593150246318942E-3</v>
      </c>
      <c r="J350" s="3">
        <f t="shared" si="357"/>
        <v>1.859315024631894E-3</v>
      </c>
      <c r="K350" s="3">
        <f t="shared" si="357"/>
        <v>1.8593150246318923E-3</v>
      </c>
      <c r="L350" s="3">
        <f t="shared" si="357"/>
        <v>1.8593150246318754E-3</v>
      </c>
      <c r="M350" s="3">
        <f t="shared" si="357"/>
        <v>1.8593150246317056E-3</v>
      </c>
      <c r="N350" s="3">
        <f t="shared" si="357"/>
        <v>1.8593150246300082E-3</v>
      </c>
      <c r="O350" s="3">
        <f t="shared" si="357"/>
        <v>1.8593150246130335E-3</v>
      </c>
      <c r="P350" s="3">
        <f t="shared" si="357"/>
        <v>1.8593150244432862E-3</v>
      </c>
      <c r="Q350" s="3">
        <f t="shared" si="357"/>
        <v>1.8593150227458133E-3</v>
      </c>
      <c r="R350" s="3">
        <f t="shared" si="357"/>
        <v>1.859315005771084E-3</v>
      </c>
      <c r="S350" s="3">
        <f t="shared" si="357"/>
        <v>1.8593148360238016E-3</v>
      </c>
      <c r="T350" s="3">
        <f t="shared" si="357"/>
        <v>1.8593131385518285E-3</v>
      </c>
      <c r="U350" s="3">
        <f t="shared" si="357"/>
        <v>1.8592961639173325E-3</v>
      </c>
      <c r="V350" s="3">
        <f t="shared" si="357"/>
        <v>1.859126426095502E-3</v>
      </c>
      <c r="W350" s="3">
        <f t="shared" si="357"/>
        <v>1.8574298999023753E-3</v>
      </c>
      <c r="X350" s="3">
        <f t="shared" si="357"/>
        <v>1.840549553381721E-3</v>
      </c>
      <c r="Y350" s="3">
        <f t="shared" si="357"/>
        <v>1.6799576609736458E-3</v>
      </c>
      <c r="Z350" s="3">
        <f t="shared" si="357"/>
        <v>6.7422764748684561E-4</v>
      </c>
      <c r="AA350" s="3">
        <f t="shared" si="357"/>
        <v>7.3095184129771006E-8</v>
      </c>
      <c r="AB350" s="3">
        <f t="shared" si="357"/>
        <v>1.6394977911485121E-47</v>
      </c>
      <c r="AC350" s="3">
        <f t="shared" si="357"/>
        <v>0</v>
      </c>
      <c r="AD350" s="3">
        <f t="shared" si="357"/>
        <v>0</v>
      </c>
      <c r="AE350" s="3">
        <f t="shared" si="357"/>
        <v>0</v>
      </c>
      <c r="AF350" s="3">
        <f t="shared" si="357"/>
        <v>0</v>
      </c>
      <c r="AG350" s="3"/>
      <c r="AH350" s="3"/>
    </row>
    <row r="351" spans="2:34" x14ac:dyDescent="0.25">
      <c r="B351" s="3">
        <f t="shared" ref="B351:AF351" si="358">$C42*EXP(-B$363/$A42/EXP(-$G$126))</f>
        <v>1.0289911498978865E-4</v>
      </c>
      <c r="C351" s="3">
        <f t="shared" si="358"/>
        <v>1.0289911498978865E-4</v>
      </c>
      <c r="D351" s="3">
        <f t="shared" si="358"/>
        <v>1.0289911498978865E-4</v>
      </c>
      <c r="E351" s="3">
        <f t="shared" si="358"/>
        <v>1.0289911498978865E-4</v>
      </c>
      <c r="F351" s="3">
        <f t="shared" si="358"/>
        <v>1.0289911498978865E-4</v>
      </c>
      <c r="G351" s="3">
        <f t="shared" si="358"/>
        <v>1.0289911498978865E-4</v>
      </c>
      <c r="H351" s="3">
        <f t="shared" si="358"/>
        <v>1.0289911498978865E-4</v>
      </c>
      <c r="I351" s="3">
        <f t="shared" si="358"/>
        <v>1.0289911498978865E-4</v>
      </c>
      <c r="J351" s="3">
        <f t="shared" si="358"/>
        <v>1.0289911498978865E-4</v>
      </c>
      <c r="K351" s="3">
        <f t="shared" si="358"/>
        <v>1.0289911498978864E-4</v>
      </c>
      <c r="L351" s="3">
        <f t="shared" si="358"/>
        <v>1.0289911498978854E-4</v>
      </c>
      <c r="M351" s="3">
        <f t="shared" si="358"/>
        <v>1.0289911498978761E-4</v>
      </c>
      <c r="N351" s="3">
        <f t="shared" si="358"/>
        <v>1.0289911498977822E-4</v>
      </c>
      <c r="O351" s="3">
        <f t="shared" si="358"/>
        <v>1.0289911498968427E-4</v>
      </c>
      <c r="P351" s="3">
        <f t="shared" si="358"/>
        <v>1.0289911498874485E-4</v>
      </c>
      <c r="Q351" s="3">
        <f t="shared" si="358"/>
        <v>1.0289911497935062E-4</v>
      </c>
      <c r="R351" s="3">
        <f t="shared" si="358"/>
        <v>1.0289911488540824E-4</v>
      </c>
      <c r="S351" s="3">
        <f t="shared" si="358"/>
        <v>1.0289911394598453E-4</v>
      </c>
      <c r="T351" s="3">
        <f t="shared" si="358"/>
        <v>1.02899104551748E-4</v>
      </c>
      <c r="U351" s="3">
        <f t="shared" si="358"/>
        <v>1.0289901060942976E-4</v>
      </c>
      <c r="V351" s="3">
        <f t="shared" si="358"/>
        <v>1.0289807119096448E-4</v>
      </c>
      <c r="W351" s="3">
        <f t="shared" si="358"/>
        <v>1.0288867747800284E-4</v>
      </c>
      <c r="X351" s="3">
        <f t="shared" si="358"/>
        <v>1.0279478750157764E-4</v>
      </c>
      <c r="Y351" s="3">
        <f t="shared" si="358"/>
        <v>1.0186058716721515E-4</v>
      </c>
      <c r="Z351" s="3">
        <f t="shared" si="358"/>
        <v>9.2973032673001422E-5</v>
      </c>
      <c r="AA351" s="3">
        <f t="shared" si="358"/>
        <v>3.7313433876961709E-5</v>
      </c>
      <c r="AB351" s="3">
        <f t="shared" si="358"/>
        <v>4.0452691756514843E-9</v>
      </c>
      <c r="AC351" s="3">
        <f t="shared" si="358"/>
        <v>9.0733882909538095E-49</v>
      </c>
      <c r="AD351" s="3">
        <f t="shared" si="358"/>
        <v>0</v>
      </c>
      <c r="AE351" s="3">
        <f t="shared" si="358"/>
        <v>0</v>
      </c>
      <c r="AF351" s="3">
        <f t="shared" si="358"/>
        <v>0</v>
      </c>
      <c r="AG351" s="3"/>
      <c r="AH351" s="3"/>
    </row>
    <row r="352" spans="2:34" x14ac:dyDescent="0.25">
      <c r="B352" s="3">
        <f t="shared" ref="B352:AF352" si="359">$C43*EXP(-B$363/$A43/EXP(-$G$126))</f>
        <v>3.4301074619822757E-3</v>
      </c>
      <c r="C352" s="3">
        <f t="shared" si="359"/>
        <v>3.4301074619822757E-3</v>
      </c>
      <c r="D352" s="3">
        <f t="shared" si="359"/>
        <v>3.4301074619822757E-3</v>
      </c>
      <c r="E352" s="3">
        <f t="shared" si="359"/>
        <v>3.4301074619822757E-3</v>
      </c>
      <c r="F352" s="3">
        <f t="shared" si="359"/>
        <v>3.4301074619822757E-3</v>
      </c>
      <c r="G352" s="3">
        <f t="shared" si="359"/>
        <v>3.4301074619822757E-3</v>
      </c>
      <c r="H352" s="3">
        <f t="shared" si="359"/>
        <v>3.4301074619822757E-3</v>
      </c>
      <c r="I352" s="3">
        <f t="shared" si="359"/>
        <v>3.4301074619822757E-3</v>
      </c>
      <c r="J352" s="3">
        <f t="shared" si="359"/>
        <v>3.4301074619822757E-3</v>
      </c>
      <c r="K352" s="3">
        <f t="shared" si="359"/>
        <v>3.4301074619822757E-3</v>
      </c>
      <c r="L352" s="3">
        <f t="shared" si="359"/>
        <v>3.4301074619822753E-3</v>
      </c>
      <c r="M352" s="3">
        <f t="shared" si="359"/>
        <v>3.4301074619822723E-3</v>
      </c>
      <c r="N352" s="3">
        <f t="shared" si="359"/>
        <v>3.430107461982241E-3</v>
      </c>
      <c r="O352" s="3">
        <f t="shared" si="359"/>
        <v>3.4301074619819275E-3</v>
      </c>
      <c r="P352" s="3">
        <f t="shared" si="359"/>
        <v>3.4301074619787963E-3</v>
      </c>
      <c r="Q352" s="3">
        <f t="shared" si="359"/>
        <v>3.4301074619474806E-3</v>
      </c>
      <c r="R352" s="3">
        <f t="shared" si="359"/>
        <v>3.4301074616343271E-3</v>
      </c>
      <c r="S352" s="3">
        <f t="shared" si="359"/>
        <v>3.4301074585027899E-3</v>
      </c>
      <c r="T352" s="3">
        <f t="shared" si="359"/>
        <v>3.4301074271874156E-3</v>
      </c>
      <c r="U352" s="3">
        <f t="shared" si="359"/>
        <v>3.4301071140336939E-3</v>
      </c>
      <c r="V352" s="3">
        <f t="shared" si="359"/>
        <v>3.4301039824980455E-3</v>
      </c>
      <c r="W352" s="3">
        <f t="shared" si="359"/>
        <v>3.4300726672988036E-3</v>
      </c>
      <c r="X352" s="3">
        <f t="shared" si="359"/>
        <v>3.4297595310300555E-3</v>
      </c>
      <c r="Y352" s="3">
        <f t="shared" si="359"/>
        <v>3.4266297401783709E-3</v>
      </c>
      <c r="Z352" s="3">
        <f t="shared" si="359"/>
        <v>3.3954884855796207E-3</v>
      </c>
      <c r="AA352" s="3">
        <f t="shared" si="359"/>
        <v>3.0992248394598088E-3</v>
      </c>
      <c r="AB352" s="3">
        <f t="shared" si="359"/>
        <v>1.2438307947182032E-3</v>
      </c>
      <c r="AC352" s="3">
        <f t="shared" si="359"/>
        <v>1.3484769024987263E-7</v>
      </c>
      <c r="AD352" s="3">
        <f t="shared" si="359"/>
        <v>3.0245835336243444E-47</v>
      </c>
      <c r="AE352" s="3">
        <f t="shared" si="359"/>
        <v>0</v>
      </c>
      <c r="AF352" s="3">
        <f t="shared" si="359"/>
        <v>0</v>
      </c>
      <c r="AG352" s="3"/>
      <c r="AH352" s="3"/>
    </row>
    <row r="353" spans="1:34" x14ac:dyDescent="0.25">
      <c r="B353" s="3">
        <f t="shared" ref="B353:AF353" si="360">$C44*EXP(-B$363/$A44/EXP(-$G$126))</f>
        <v>1.0099566360327609E-4</v>
      </c>
      <c r="C353" s="3">
        <f t="shared" si="360"/>
        <v>1.0099566360327609E-4</v>
      </c>
      <c r="D353" s="3">
        <f t="shared" si="360"/>
        <v>1.0099566360327609E-4</v>
      </c>
      <c r="E353" s="3">
        <f t="shared" si="360"/>
        <v>1.0099566360327609E-4</v>
      </c>
      <c r="F353" s="3">
        <f t="shared" si="360"/>
        <v>1.0099566360327609E-4</v>
      </c>
      <c r="G353" s="3">
        <f t="shared" si="360"/>
        <v>1.0099566360327609E-4</v>
      </c>
      <c r="H353" s="3">
        <f t="shared" si="360"/>
        <v>1.0099566360327609E-4</v>
      </c>
      <c r="I353" s="3">
        <f t="shared" si="360"/>
        <v>1.0099566360327609E-4</v>
      </c>
      <c r="J353" s="3">
        <f t="shared" si="360"/>
        <v>1.0099566360327609E-4</v>
      </c>
      <c r="K353" s="3">
        <f t="shared" si="360"/>
        <v>1.0099566360327609E-4</v>
      </c>
      <c r="L353" s="3">
        <f t="shared" si="360"/>
        <v>1.0099566360327609E-4</v>
      </c>
      <c r="M353" s="3">
        <f t="shared" si="360"/>
        <v>1.0099566360327608E-4</v>
      </c>
      <c r="N353" s="3">
        <f t="shared" si="360"/>
        <v>1.00995663603276E-4</v>
      </c>
      <c r="O353" s="3">
        <f t="shared" si="360"/>
        <v>1.0099566360327508E-4</v>
      </c>
      <c r="P353" s="3">
        <f t="shared" si="360"/>
        <v>1.0099566360326585E-4</v>
      </c>
      <c r="Q353" s="3">
        <f t="shared" si="360"/>
        <v>1.0099566360317364E-4</v>
      </c>
      <c r="R353" s="3">
        <f t="shared" si="360"/>
        <v>1.0099566360225159E-4</v>
      </c>
      <c r="S353" s="3">
        <f t="shared" si="360"/>
        <v>1.0099566359303114E-4</v>
      </c>
      <c r="T353" s="3">
        <f t="shared" si="360"/>
        <v>1.0099566350082654E-4</v>
      </c>
      <c r="U353" s="3">
        <f t="shared" si="360"/>
        <v>1.009956625787805E-4</v>
      </c>
      <c r="V353" s="3">
        <f t="shared" si="360"/>
        <v>1.0099565335832071E-4</v>
      </c>
      <c r="W353" s="3">
        <f t="shared" si="360"/>
        <v>1.0099556115376898E-4</v>
      </c>
      <c r="X353" s="3">
        <f t="shared" si="360"/>
        <v>1.0099463911288153E-4</v>
      </c>
      <c r="Y353" s="3">
        <f t="shared" si="360"/>
        <v>1.0098541916697283E-4</v>
      </c>
      <c r="Z353" s="3">
        <f t="shared" si="360"/>
        <v>1.0089326598882645E-4</v>
      </c>
      <c r="AA353" s="3">
        <f t="shared" si="360"/>
        <v>9.9976346706122165E-5</v>
      </c>
      <c r="AB353" s="3">
        <f t="shared" si="360"/>
        <v>9.125319622963393E-5</v>
      </c>
      <c r="AC353" s="3">
        <f t="shared" si="360"/>
        <v>3.6623201434673986E-5</v>
      </c>
      <c r="AD353" s="3">
        <f t="shared" si="360"/>
        <v>3.9704388603278349E-9</v>
      </c>
      <c r="AE353" s="3">
        <f t="shared" si="360"/>
        <v>8.9055466771119733E-49</v>
      </c>
      <c r="AF353" s="3">
        <f t="shared" si="360"/>
        <v>0</v>
      </c>
      <c r="AG353" s="3"/>
      <c r="AH353" s="3"/>
    </row>
    <row r="354" spans="1:34" x14ac:dyDescent="0.25">
      <c r="B354" s="3">
        <f t="shared" ref="B354:AF354" si="361">$C45*EXP(-B$363/$A45/EXP(-$G$126))</f>
        <v>2.8535751866135694E-4</v>
      </c>
      <c r="C354" s="3">
        <f t="shared" si="361"/>
        <v>2.8535751866135694E-4</v>
      </c>
      <c r="D354" s="3">
        <f t="shared" si="361"/>
        <v>2.8535751866135694E-4</v>
      </c>
      <c r="E354" s="3">
        <f t="shared" si="361"/>
        <v>2.8535751866135694E-4</v>
      </c>
      <c r="F354" s="3">
        <f t="shared" si="361"/>
        <v>2.8535751866135694E-4</v>
      </c>
      <c r="G354" s="3">
        <f t="shared" si="361"/>
        <v>2.8535751866135694E-4</v>
      </c>
      <c r="H354" s="3">
        <f t="shared" si="361"/>
        <v>2.8535751866135694E-4</v>
      </c>
      <c r="I354" s="3">
        <f t="shared" si="361"/>
        <v>2.8535751866135694E-4</v>
      </c>
      <c r="J354" s="3">
        <f t="shared" si="361"/>
        <v>2.8535751866135694E-4</v>
      </c>
      <c r="K354" s="3">
        <f t="shared" si="361"/>
        <v>2.8535751866135694E-4</v>
      </c>
      <c r="L354" s="3">
        <f t="shared" si="361"/>
        <v>2.8535751866135694E-4</v>
      </c>
      <c r="M354" s="3">
        <f t="shared" si="361"/>
        <v>2.8535751866135694E-4</v>
      </c>
      <c r="N354" s="3">
        <f t="shared" si="361"/>
        <v>2.8535751866135689E-4</v>
      </c>
      <c r="O354" s="3">
        <f t="shared" si="361"/>
        <v>2.8535751866135667E-4</v>
      </c>
      <c r="P354" s="3">
        <f t="shared" si="361"/>
        <v>2.8535751866135407E-4</v>
      </c>
      <c r="Q354" s="3">
        <f t="shared" si="361"/>
        <v>2.85357518661328E-4</v>
      </c>
      <c r="R354" s="3">
        <f t="shared" si="361"/>
        <v>2.8535751866106746E-4</v>
      </c>
      <c r="S354" s="3">
        <f t="shared" si="361"/>
        <v>2.8535751865846229E-4</v>
      </c>
      <c r="T354" s="3">
        <f t="shared" si="361"/>
        <v>2.8535751863241043E-4</v>
      </c>
      <c r="U354" s="3">
        <f t="shared" si="361"/>
        <v>2.8535751837189155E-4</v>
      </c>
      <c r="V354" s="3">
        <f t="shared" si="361"/>
        <v>2.8535751576670276E-4</v>
      </c>
      <c r="W354" s="3">
        <f t="shared" si="361"/>
        <v>2.8535748971481663E-4</v>
      </c>
      <c r="X354" s="3">
        <f t="shared" si="361"/>
        <v>2.8535722919608591E-4</v>
      </c>
      <c r="Y354" s="3">
        <f t="shared" si="361"/>
        <v>2.8535462402185999E-4</v>
      </c>
      <c r="Z354" s="3">
        <f t="shared" si="361"/>
        <v>2.8532857358768462E-4</v>
      </c>
      <c r="AA354" s="3">
        <f t="shared" si="361"/>
        <v>2.8506820001010302E-4</v>
      </c>
      <c r="AB354" s="3">
        <f t="shared" si="361"/>
        <v>2.8247749658789434E-4</v>
      </c>
      <c r="AC354" s="3">
        <f t="shared" si="361"/>
        <v>2.578307297261182E-4</v>
      </c>
      <c r="AD354" s="3">
        <f t="shared" si="361"/>
        <v>1.0347677824946353E-4</v>
      </c>
      <c r="AE354" s="3">
        <f t="shared" si="361"/>
        <v>1.1218249781795828E-8</v>
      </c>
      <c r="AF354" s="3">
        <f t="shared" si="361"/>
        <v>2.5162116980447582E-48</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1.5499334140859142E-4</v>
      </c>
      <c r="C357" s="3">
        <f t="shared" si="364"/>
        <v>1.5499334140859142E-4</v>
      </c>
      <c r="D357" s="3">
        <f t="shared" si="364"/>
        <v>1.5499334140859142E-4</v>
      </c>
      <c r="E357" s="3">
        <f t="shared" si="364"/>
        <v>1.5499334140859142E-4</v>
      </c>
      <c r="F357" s="3">
        <f t="shared" si="364"/>
        <v>1.5499334140859142E-4</v>
      </c>
      <c r="G357" s="3">
        <f t="shared" si="364"/>
        <v>1.5499334140859142E-4</v>
      </c>
      <c r="H357" s="3">
        <f t="shared" si="364"/>
        <v>1.5499334140859142E-4</v>
      </c>
      <c r="I357" s="3">
        <f t="shared" si="364"/>
        <v>1.5499334140859142E-4</v>
      </c>
      <c r="J357" s="3">
        <f t="shared" si="364"/>
        <v>1.5499334140859142E-4</v>
      </c>
      <c r="K357" s="3">
        <f t="shared" si="364"/>
        <v>1.5499334140859142E-4</v>
      </c>
      <c r="L357" s="3">
        <f t="shared" si="364"/>
        <v>1.5499334140859142E-4</v>
      </c>
      <c r="M357" s="3">
        <f t="shared" si="364"/>
        <v>1.5499334140859142E-4</v>
      </c>
      <c r="N357" s="3">
        <f t="shared" si="364"/>
        <v>1.5499334140859142E-4</v>
      </c>
      <c r="O357" s="3">
        <f t="shared" si="364"/>
        <v>1.5499334140859142E-4</v>
      </c>
      <c r="P357" s="3">
        <f t="shared" si="364"/>
        <v>1.5499334140859142E-4</v>
      </c>
      <c r="Q357" s="3">
        <f t="shared" si="364"/>
        <v>1.5499334140859139E-4</v>
      </c>
      <c r="R357" s="3">
        <f t="shared" si="364"/>
        <v>1.5499334140859126E-4</v>
      </c>
      <c r="S357" s="3">
        <f t="shared" si="364"/>
        <v>1.5499334140858985E-4</v>
      </c>
      <c r="T357" s="3">
        <f t="shared" si="364"/>
        <v>1.549933414085757E-4</v>
      </c>
      <c r="U357" s="3">
        <f t="shared" si="364"/>
        <v>1.5499334140843418E-4</v>
      </c>
      <c r="V357" s="3">
        <f t="shared" si="364"/>
        <v>1.5499334140701916E-4</v>
      </c>
      <c r="W357" s="3">
        <f t="shared" si="364"/>
        <v>1.5499334139286897E-4</v>
      </c>
      <c r="X357" s="3">
        <f t="shared" si="364"/>
        <v>1.5499334125136687E-4</v>
      </c>
      <c r="Y357" s="3">
        <f t="shared" si="364"/>
        <v>1.5499333983634575E-4</v>
      </c>
      <c r="Z357" s="3">
        <f t="shared" si="364"/>
        <v>1.549933256861355E-4</v>
      </c>
      <c r="AA357" s="3">
        <f t="shared" si="364"/>
        <v>1.5499318418410408E-4</v>
      </c>
      <c r="AB357" s="3">
        <f t="shared" si="364"/>
        <v>1.5499176917089497E-4</v>
      </c>
      <c r="AC357" s="3">
        <f t="shared" si="364"/>
        <v>1.5497761974929595E-4</v>
      </c>
      <c r="AD357" s="3">
        <f t="shared" si="364"/>
        <v>1.5483619655850991E-4</v>
      </c>
      <c r="AE357" s="3">
        <f t="shared" si="364"/>
        <v>1.534290432376846E-4</v>
      </c>
      <c r="AF357" s="3">
        <f t="shared" si="364"/>
        <v>1.400420304519495E-4</v>
      </c>
      <c r="AG357" s="3"/>
      <c r="AH357" s="3"/>
    </row>
    <row r="358" spans="1:34" x14ac:dyDescent="0.25">
      <c r="A358" s="79">
        <f>AVERAGE(B358:AF358)</f>
        <v>1.6466203001550526E-3</v>
      </c>
      <c r="B358" s="80">
        <f>IF($A$64&lt;=B324,IF($B$64&gt;=B324,ABS((B326-B325)/B325),0),0)</f>
        <v>1.190397416757112E-2</v>
      </c>
      <c r="C358" s="80">
        <f t="shared" ref="C358:AF358" si="365">IF($A$64&lt;=C324,IF($B$64&gt;=C324,ABS((C326-C325)/C325),0),0)</f>
        <v>1.5817391869504659E-2</v>
      </c>
      <c r="D358" s="80">
        <f t="shared" si="365"/>
        <v>4.6816007853411265E-3</v>
      </c>
      <c r="E358" s="80">
        <f t="shared" si="365"/>
        <v>5.0201564369550149E-4</v>
      </c>
      <c r="F358" s="80">
        <f t="shared" si="365"/>
        <v>4.6002757957874958E-4</v>
      </c>
      <c r="G358" s="80">
        <f t="shared" si="365"/>
        <v>3.290896320533152E-4</v>
      </c>
      <c r="H358" s="80">
        <f t="shared" si="365"/>
        <v>3.1723440912681159E-4</v>
      </c>
      <c r="I358" s="80">
        <f t="shared" si="365"/>
        <v>3.2552653014387208E-4</v>
      </c>
      <c r="J358" s="80">
        <f t="shared" si="365"/>
        <v>3.3911740959036694E-4</v>
      </c>
      <c r="K358" s="80">
        <f t="shared" si="365"/>
        <v>3.5136364079888476E-4</v>
      </c>
      <c r="L358" s="80">
        <f t="shared" si="365"/>
        <v>3.8823304639438522E-4</v>
      </c>
      <c r="M358" s="80">
        <f t="shared" si="365"/>
        <v>4.5832713743366299E-4</v>
      </c>
      <c r="N358" s="80">
        <f t="shared" si="365"/>
        <v>5.5621729914867883E-4</v>
      </c>
      <c r="O358" s="80">
        <f t="shared" si="365"/>
        <v>6.3721185427611452E-4</v>
      </c>
      <c r="P358" s="80">
        <f t="shared" si="365"/>
        <v>8.4059739167144853E-4</v>
      </c>
      <c r="Q358" s="80">
        <f t="shared" si="365"/>
        <v>1.2070204757108768E-3</v>
      </c>
      <c r="R358" s="80">
        <f t="shared" si="365"/>
        <v>1.6030731452819484E-3</v>
      </c>
      <c r="S358" s="80">
        <f t="shared" si="365"/>
        <v>1.8360967610834649E-3</v>
      </c>
      <c r="T358" s="80">
        <f t="shared" si="365"/>
        <v>2.0040790819042709E-3</v>
      </c>
      <c r="U358" s="80">
        <f t="shared" si="365"/>
        <v>1.731722792617783E-3</v>
      </c>
      <c r="V358" s="80">
        <f t="shared" si="365"/>
        <v>1.3832806575238092E-3</v>
      </c>
      <c r="W358" s="80">
        <f t="shared" si="365"/>
        <v>7.2105095306809232E-4</v>
      </c>
      <c r="X358" s="80">
        <f t="shared" si="365"/>
        <v>7.6110865776165529E-4</v>
      </c>
      <c r="Y358" s="80">
        <f t="shared" si="365"/>
        <v>3.0221335628214996E-4</v>
      </c>
      <c r="Z358" s="80">
        <f t="shared" si="365"/>
        <v>4.3761206502634188E-4</v>
      </c>
      <c r="AA358" s="80">
        <f t="shared" si="365"/>
        <v>6.0624983469269707E-5</v>
      </c>
      <c r="AB358" s="80">
        <f t="shared" si="365"/>
        <v>6.5224801137881588E-4</v>
      </c>
      <c r="AC358" s="80">
        <f t="shared" si="365"/>
        <v>1.2162411791605092E-4</v>
      </c>
      <c r="AD358" s="80">
        <f t="shared" si="365"/>
        <v>1.8846880546198776E-4</v>
      </c>
      <c r="AE358" s="80">
        <f t="shared" si="365"/>
        <v>2.7170095285257853E-5</v>
      </c>
      <c r="AF358" s="80">
        <f t="shared" si="365"/>
        <v>9.9906948706168748E-5</v>
      </c>
    </row>
    <row r="359" spans="1:34" x14ac:dyDescent="0.25">
      <c r="B359" s="21">
        <f>(B326-B325)^2</f>
        <v>3623.9087947460903</v>
      </c>
      <c r="C359" s="21">
        <f t="shared" ref="C359:AF359" si="366">(C326-C325)^2</f>
        <v>5882.2371214890472</v>
      </c>
      <c r="D359" s="21">
        <f t="shared" si="366"/>
        <v>480.98727360572616</v>
      </c>
      <c r="E359" s="21">
        <f t="shared" si="366"/>
        <v>5.0992473374597633</v>
      </c>
      <c r="F359" s="21">
        <f t="shared" si="366"/>
        <v>3.8720957447036106</v>
      </c>
      <c r="G359" s="21">
        <f t="shared" si="366"/>
        <v>1.7826029414162397</v>
      </c>
      <c r="H359" s="21">
        <f t="shared" si="366"/>
        <v>1.5081900719755219</v>
      </c>
      <c r="I359" s="21">
        <f t="shared" si="366"/>
        <v>1.4473680174068184</v>
      </c>
      <c r="J359" s="21">
        <f t="shared" si="366"/>
        <v>1.4294893214663438</v>
      </c>
      <c r="K359" s="21">
        <f t="shared" si="366"/>
        <v>1.3914095852821722</v>
      </c>
      <c r="L359" s="21">
        <f t="shared" si="366"/>
        <v>1.5309676289781158</v>
      </c>
      <c r="M359" s="21">
        <f t="shared" si="366"/>
        <v>1.8867524956897117</v>
      </c>
      <c r="N359" s="21">
        <f t="shared" si="366"/>
        <v>2.3997550570440902</v>
      </c>
      <c r="O359" s="21">
        <f t="shared" si="366"/>
        <v>2.6375016415465655</v>
      </c>
      <c r="P359" s="21">
        <f t="shared" si="366"/>
        <v>3.6660323714240399</v>
      </c>
      <c r="Q359" s="21">
        <f t="shared" si="366"/>
        <v>5.5137041489947727</v>
      </c>
      <c r="R359" s="21">
        <f t="shared" si="366"/>
        <v>6.1506075720003466</v>
      </c>
      <c r="S359" s="21">
        <f t="shared" si="366"/>
        <v>4.4171939105158833</v>
      </c>
      <c r="T359" s="21">
        <f t="shared" si="366"/>
        <v>2.5706551510391069</v>
      </c>
      <c r="U359" s="21">
        <f t="shared" si="366"/>
        <v>0.90838858421326429</v>
      </c>
      <c r="V359" s="21">
        <f t="shared" si="366"/>
        <v>0.30675099885866969</v>
      </c>
      <c r="W359" s="21">
        <f t="shared" si="366"/>
        <v>5.4387101348116876E-2</v>
      </c>
      <c r="X359" s="21">
        <f t="shared" si="366"/>
        <v>4.7257782042882668E-2</v>
      </c>
      <c r="Y359" s="21">
        <f t="shared" si="366"/>
        <v>6.4007012854427978E-3</v>
      </c>
      <c r="Z359" s="21">
        <f t="shared" si="366"/>
        <v>1.2104737191606605E-2</v>
      </c>
      <c r="AA359" s="21">
        <f t="shared" si="366"/>
        <v>2.204857066838113E-4</v>
      </c>
      <c r="AB359" s="21">
        <f t="shared" si="366"/>
        <v>2.3156929021530815E-2</v>
      </c>
      <c r="AC359" s="21">
        <f t="shared" si="366"/>
        <v>7.484464094481047E-4</v>
      </c>
      <c r="AD359" s="21">
        <f t="shared" si="366"/>
        <v>1.7794510372991024E-3</v>
      </c>
      <c r="AE359" s="21">
        <f t="shared" si="366"/>
        <v>3.675576491752496E-5</v>
      </c>
      <c r="AF359" s="21">
        <f t="shared" si="366"/>
        <v>4.9647936812960696E-4</v>
      </c>
      <c r="AG359" s="3"/>
      <c r="AH359" s="3"/>
    </row>
    <row r="360" spans="1:34" x14ac:dyDescent="0.25">
      <c r="A360" s="71">
        <f>SUM(B360:AF360)</f>
        <v>10035.798491290056</v>
      </c>
      <c r="B360" s="60">
        <f>IF($A$64&lt;=B324,IF($B$64&gt;=B324,ABS(B359),0),0)</f>
        <v>3623.9087947460903</v>
      </c>
      <c r="C360" s="60">
        <f t="shared" ref="C360:AF360" si="367">IF($A$64&lt;=C324,IF($B$64&gt;=C324,ABS(C359),0),0)</f>
        <v>5882.2371214890472</v>
      </c>
      <c r="D360" s="60">
        <f t="shared" si="367"/>
        <v>480.98727360572616</v>
      </c>
      <c r="E360" s="60">
        <f t="shared" si="367"/>
        <v>5.0992473374597633</v>
      </c>
      <c r="F360" s="60">
        <f t="shared" si="367"/>
        <v>3.8720957447036106</v>
      </c>
      <c r="G360" s="60">
        <f t="shared" si="367"/>
        <v>1.7826029414162397</v>
      </c>
      <c r="H360" s="60">
        <f t="shared" si="367"/>
        <v>1.5081900719755219</v>
      </c>
      <c r="I360" s="60">
        <f t="shared" si="367"/>
        <v>1.4473680174068184</v>
      </c>
      <c r="J360" s="60">
        <f t="shared" si="367"/>
        <v>1.4294893214663438</v>
      </c>
      <c r="K360" s="60">
        <f t="shared" si="367"/>
        <v>1.3914095852821722</v>
      </c>
      <c r="L360" s="60">
        <f t="shared" si="367"/>
        <v>1.5309676289781158</v>
      </c>
      <c r="M360" s="60">
        <f t="shared" si="367"/>
        <v>1.8867524956897117</v>
      </c>
      <c r="N360" s="60">
        <f t="shared" si="367"/>
        <v>2.3997550570440902</v>
      </c>
      <c r="O360" s="60">
        <f t="shared" si="367"/>
        <v>2.6375016415465655</v>
      </c>
      <c r="P360" s="60">
        <f t="shared" si="367"/>
        <v>3.6660323714240399</v>
      </c>
      <c r="Q360" s="60">
        <f t="shared" si="367"/>
        <v>5.5137041489947727</v>
      </c>
      <c r="R360" s="60">
        <f t="shared" si="367"/>
        <v>6.1506075720003466</v>
      </c>
      <c r="S360" s="60">
        <f t="shared" si="367"/>
        <v>4.4171939105158833</v>
      </c>
      <c r="T360" s="60">
        <f t="shared" si="367"/>
        <v>2.5706551510391069</v>
      </c>
      <c r="U360" s="60">
        <f t="shared" si="367"/>
        <v>0.90838858421326429</v>
      </c>
      <c r="V360" s="60">
        <f t="shared" si="367"/>
        <v>0.30675099885866969</v>
      </c>
      <c r="W360" s="60">
        <f t="shared" si="367"/>
        <v>5.4387101348116876E-2</v>
      </c>
      <c r="X360" s="60">
        <f t="shared" si="367"/>
        <v>4.7257782042882668E-2</v>
      </c>
      <c r="Y360" s="60">
        <f t="shared" si="367"/>
        <v>6.4007012854427978E-3</v>
      </c>
      <c r="Z360" s="60">
        <f t="shared" si="367"/>
        <v>1.2104737191606605E-2</v>
      </c>
      <c r="AA360" s="60">
        <f t="shared" si="367"/>
        <v>2.204857066838113E-4</v>
      </c>
      <c r="AB360" s="60">
        <f t="shared" si="367"/>
        <v>2.3156929021530815E-2</v>
      </c>
      <c r="AC360" s="60">
        <f t="shared" si="367"/>
        <v>7.484464094481047E-4</v>
      </c>
      <c r="AD360" s="60">
        <f t="shared" si="367"/>
        <v>1.7794510372991024E-3</v>
      </c>
      <c r="AE360" s="60">
        <f t="shared" si="367"/>
        <v>3.675576491752496E-5</v>
      </c>
      <c r="AF360" s="60">
        <f t="shared" si="367"/>
        <v>4.9647936812960696E-4</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3842.4359389877959</v>
      </c>
      <c r="C365" s="27">
        <f t="shared" ref="C365:AF365" si="368">($C$17+SUM(C366:C396))*$B$51</f>
        <v>3666.8721316873239</v>
      </c>
      <c r="D365" s="27">
        <f t="shared" si="368"/>
        <v>3496.940238363487</v>
      </c>
      <c r="E365" s="27">
        <f t="shared" si="368"/>
        <v>3327.995533593099</v>
      </c>
      <c r="F365" s="27">
        <f t="shared" si="368"/>
        <v>3156.5972361467861</v>
      </c>
      <c r="G365" s="27">
        <f t="shared" si="368"/>
        <v>2961.4859187439729</v>
      </c>
      <c r="H365" s="27">
        <f t="shared" si="368"/>
        <v>2746.7960871100636</v>
      </c>
      <c r="I365" s="27">
        <f t="shared" si="368"/>
        <v>2505.5218072910757</v>
      </c>
      <c r="J365" s="27">
        <f t="shared" si="368"/>
        <v>2228.543307407368</v>
      </c>
      <c r="K365" s="27">
        <f t="shared" si="368"/>
        <v>1883.2332032538607</v>
      </c>
      <c r="L365" s="27">
        <f t="shared" si="368"/>
        <v>1482.5559335579701</v>
      </c>
      <c r="M365" s="27">
        <f t="shared" si="368"/>
        <v>1089.0740027569857</v>
      </c>
      <c r="N365" s="27">
        <f t="shared" si="368"/>
        <v>759.55929297983937</v>
      </c>
      <c r="O365" s="27">
        <f t="shared" si="368"/>
        <v>526.12168161859233</v>
      </c>
      <c r="P365" s="27">
        <f t="shared" si="368"/>
        <v>387.63935113982467</v>
      </c>
      <c r="Q365" s="27">
        <f t="shared" si="368"/>
        <v>317.82275627954579</v>
      </c>
      <c r="R365" s="27">
        <f t="shared" si="368"/>
        <v>281.11602973206487</v>
      </c>
      <c r="S365" s="27">
        <f t="shared" si="368"/>
        <v>261.90598437373615</v>
      </c>
      <c r="T365" s="27">
        <f t="shared" si="368"/>
        <v>249.78837409439555</v>
      </c>
      <c r="U365" s="27">
        <f t="shared" si="368"/>
        <v>244.09021868066827</v>
      </c>
      <c r="V365" s="27">
        <f t="shared" si="368"/>
        <v>230.53343609103808</v>
      </c>
      <c r="W365" s="27">
        <f t="shared" si="368"/>
        <v>224.82290279592578</v>
      </c>
      <c r="X365" s="27">
        <f t="shared" si="368"/>
        <v>223.56420740488835</v>
      </c>
      <c r="Y365" s="27">
        <f t="shared" si="368"/>
        <v>223.12697031821884</v>
      </c>
      <c r="Z365" s="27">
        <f t="shared" si="368"/>
        <v>223.01312919953941</v>
      </c>
      <c r="AA365" s="27">
        <f t="shared" si="368"/>
        <v>222.4118441987026</v>
      </c>
      <c r="AB365" s="27">
        <f t="shared" si="368"/>
        <v>222.18098751449386</v>
      </c>
      <c r="AC365" s="27">
        <f t="shared" si="368"/>
        <v>222.18098689104067</v>
      </c>
      <c r="AD365" s="27">
        <f t="shared" si="368"/>
        <v>222.18098689104067</v>
      </c>
      <c r="AE365" s="27">
        <f t="shared" si="368"/>
        <v>222.18098689104067</v>
      </c>
      <c r="AF365" s="27">
        <f t="shared" si="368"/>
        <v>222.18098689104067</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4.3240234786746382E-131</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8.8620378792971817E-14</v>
      </c>
      <c r="C370" s="3">
        <f t="shared" si="373"/>
        <v>1.732907669842989E-118</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2.7070245235456597E-3</v>
      </c>
      <c r="C371" s="3">
        <f t="shared" si="374"/>
        <v>9.7026666222013927E-13</v>
      </c>
      <c r="D371" s="3">
        <f t="shared" si="374"/>
        <v>3.3953168077007187E-107</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2.3977891193204304E-2</v>
      </c>
      <c r="C372" s="3">
        <f t="shared" si="375"/>
        <v>3.37084814194659E-3</v>
      </c>
      <c r="D372" s="3">
        <f t="shared" si="375"/>
        <v>1.0162983366696122E-11</v>
      </c>
      <c r="E372" s="3">
        <f t="shared" si="375"/>
        <v>6.3072708989438293E-97</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2.8030044983153507E-2</v>
      </c>
      <c r="C373" s="3">
        <f t="shared" si="376"/>
        <v>2.348333805536456E-2</v>
      </c>
      <c r="D373" s="3">
        <f t="shared" si="376"/>
        <v>4.0005544273478341E-3</v>
      </c>
      <c r="E373" s="3">
        <f t="shared" si="376"/>
        <v>8.2361399233341874E-11</v>
      </c>
      <c r="F373" s="3">
        <f t="shared" si="376"/>
        <v>1.1265722384831268E-87</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2.8538797698670831E-2</v>
      </c>
      <c r="C374" s="3">
        <f t="shared" si="377"/>
        <v>2.8086776854156635E-2</v>
      </c>
      <c r="D374" s="3">
        <f t="shared" si="377"/>
        <v>2.3942208761111833E-2</v>
      </c>
      <c r="E374" s="3">
        <f t="shared" si="377"/>
        <v>4.8505089164706276E-3</v>
      </c>
      <c r="F374" s="3">
        <f t="shared" si="377"/>
        <v>5.6496071171959449E-10</v>
      </c>
      <c r="G374" s="3">
        <f t="shared" si="377"/>
        <v>2.5961372463090139E-79</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2.8111333079478076E-2</v>
      </c>
      <c r="C375" s="3">
        <f t="shared" si="378"/>
        <v>2.8070875454070481E-2</v>
      </c>
      <c r="D375" s="3">
        <f t="shared" si="378"/>
        <v>2.7669487860453128E-2</v>
      </c>
      <c r="E375" s="3">
        <f t="shared" si="378"/>
        <v>2.3958121084989684E-2</v>
      </c>
      <c r="F375" s="3">
        <f t="shared" si="378"/>
        <v>5.6750422991922195E-3</v>
      </c>
      <c r="G375" s="3">
        <f t="shared" si="378"/>
        <v>3.1559678968650495E-9</v>
      </c>
      <c r="H375" s="3">
        <f t="shared" si="378"/>
        <v>8.9282700146553291E-72</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3.3973456552243868E-2</v>
      </c>
      <c r="C376" s="3">
        <f t="shared" si="379"/>
        <v>3.396904298480375E-2</v>
      </c>
      <c r="D376" s="3">
        <f t="shared" si="379"/>
        <v>3.3924938833816067E-2</v>
      </c>
      <c r="E376" s="3">
        <f t="shared" si="379"/>
        <v>3.3487034564298454E-2</v>
      </c>
      <c r="F376" s="3">
        <f t="shared" si="379"/>
        <v>2.9407144895263929E-2</v>
      </c>
      <c r="G376" s="3">
        <f t="shared" si="379"/>
        <v>8.020742457115506E-3</v>
      </c>
      <c r="H376" s="3">
        <f t="shared" si="379"/>
        <v>1.8273918040251954E-8</v>
      </c>
      <c r="I376" s="3">
        <f t="shared" si="379"/>
        <v>6.8865655351704905E-65</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3.6313883064774899E-2</v>
      </c>
      <c r="C377" s="3">
        <f t="shared" si="380"/>
        <v>3.6313457471281216E-2</v>
      </c>
      <c r="D377" s="3">
        <f t="shared" si="380"/>
        <v>3.6309201810668996E-2</v>
      </c>
      <c r="E377" s="3">
        <f t="shared" si="380"/>
        <v>3.6266672625110637E-2</v>
      </c>
      <c r="F377" s="3">
        <f t="shared" si="380"/>
        <v>3.5844110972520896E-2</v>
      </c>
      <c r="G377" s="3">
        <f t="shared" si="380"/>
        <v>3.1880037638254269E-2</v>
      </c>
      <c r="H377" s="3">
        <f t="shared" si="380"/>
        <v>9.8748145410102947E-3</v>
      </c>
      <c r="I377" s="3">
        <f t="shared" si="380"/>
        <v>8.028421626259441E-8</v>
      </c>
      <c r="J377" s="3">
        <f t="shared" si="380"/>
        <v>1.0130769042156656E-58</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4.1806322748656581E-2</v>
      </c>
      <c r="C378" s="3">
        <f t="shared" si="381"/>
        <v>4.1806278549583208E-2</v>
      </c>
      <c r="D378" s="3">
        <f t="shared" si="381"/>
        <v>4.1805836561419514E-2</v>
      </c>
      <c r="E378" s="3">
        <f t="shared" si="381"/>
        <v>4.1801416936779898E-2</v>
      </c>
      <c r="F378" s="3">
        <f t="shared" si="381"/>
        <v>4.1757246380070771E-2</v>
      </c>
      <c r="G378" s="3">
        <f t="shared" si="381"/>
        <v>4.1318099760822749E-2</v>
      </c>
      <c r="H378" s="3">
        <f t="shared" si="381"/>
        <v>3.7172795161556894E-2</v>
      </c>
      <c r="I378" s="3">
        <f t="shared" si="381"/>
        <v>1.2914393200468652E-2</v>
      </c>
      <c r="J378" s="3">
        <f t="shared" si="381"/>
        <v>3.3079723482820547E-7</v>
      </c>
      <c r="K378" s="3">
        <f t="shared" si="381"/>
        <v>4.0219857299165426E-53</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4.6977125415174827E-2</v>
      </c>
      <c r="C379" s="3">
        <f t="shared" si="382"/>
        <v>4.6977120934902285E-2</v>
      </c>
      <c r="D379" s="3">
        <f t="shared" si="382"/>
        <v>4.6977076132200368E-2</v>
      </c>
      <c r="E379" s="3">
        <f t="shared" si="382"/>
        <v>4.6976628107531268E-2</v>
      </c>
      <c r="F379" s="3">
        <f t="shared" si="382"/>
        <v>4.6972148095840473E-2</v>
      </c>
      <c r="G379" s="3">
        <f t="shared" si="382"/>
        <v>4.6927371470656939E-2</v>
      </c>
      <c r="H379" s="3">
        <f t="shared" si="382"/>
        <v>4.6481946122748273E-2</v>
      </c>
      <c r="I379" s="3">
        <f t="shared" si="382"/>
        <v>4.2253729112542493E-2</v>
      </c>
      <c r="J379" s="3">
        <f t="shared" si="382"/>
        <v>1.6280676673435968E-2</v>
      </c>
      <c r="K379" s="3">
        <f t="shared" si="382"/>
        <v>1.1742120399116718E-6</v>
      </c>
      <c r="L379" s="3">
        <f t="shared" si="382"/>
        <v>4.4718508045197024E-48</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6.4330039650614429E-2</v>
      </c>
      <c r="C380" s="3">
        <f t="shared" si="383"/>
        <v>6.4330039097164379E-2</v>
      </c>
      <c r="D380" s="3">
        <f t="shared" si="383"/>
        <v>6.4330033562664243E-2</v>
      </c>
      <c r="E380" s="3">
        <f t="shared" si="383"/>
        <v>6.4329978217688905E-2</v>
      </c>
      <c r="F380" s="3">
        <f t="shared" si="383"/>
        <v>6.4329424770554505E-2</v>
      </c>
      <c r="G380" s="3">
        <f t="shared" si="383"/>
        <v>6.4323890561083161E-2</v>
      </c>
      <c r="H380" s="3">
        <f t="shared" si="383"/>
        <v>6.4268574645313867E-2</v>
      </c>
      <c r="I380" s="3">
        <f t="shared" si="383"/>
        <v>6.3718025067852971E-2</v>
      </c>
      <c r="J380" s="3">
        <f t="shared" si="383"/>
        <v>5.8465368168066606E-2</v>
      </c>
      <c r="K380" s="3">
        <f t="shared" si="383"/>
        <v>2.4732186523113871E-2</v>
      </c>
      <c r="L380" s="3">
        <f t="shared" si="383"/>
        <v>4.5383789495062269E-6</v>
      </c>
      <c r="M380" s="3">
        <f t="shared" si="383"/>
        <v>1.9646409233021653E-43</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7.1283808509542218E-2</v>
      </c>
      <c r="C381" s="3">
        <f t="shared" si="384"/>
        <v>7.128380845421968E-2</v>
      </c>
      <c r="D381" s="3">
        <f t="shared" si="384"/>
        <v>7.1283807900994312E-2</v>
      </c>
      <c r="E381" s="3">
        <f t="shared" si="384"/>
        <v>7.1283802368740809E-2</v>
      </c>
      <c r="F381" s="3">
        <f t="shared" si="384"/>
        <v>7.1283747046229418E-2</v>
      </c>
      <c r="G381" s="3">
        <f t="shared" si="384"/>
        <v>7.128319382347699E-2</v>
      </c>
      <c r="H381" s="3">
        <f t="shared" si="384"/>
        <v>7.1277661832088668E-2</v>
      </c>
      <c r="I381" s="3">
        <f t="shared" si="384"/>
        <v>7.1222365525021897E-2</v>
      </c>
      <c r="J381" s="3">
        <f t="shared" si="384"/>
        <v>7.0671756371285435E-2</v>
      </c>
      <c r="K381" s="3">
        <f t="shared" si="384"/>
        <v>6.5394435223198252E-2</v>
      </c>
      <c r="L381" s="3">
        <f t="shared" si="384"/>
        <v>3.009469036366887E-2</v>
      </c>
      <c r="M381" s="3">
        <f t="shared" si="384"/>
        <v>1.28227371293936E-5</v>
      </c>
      <c r="N381" s="3">
        <f t="shared" si="384"/>
        <v>2.5286535882371648E-39</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6.5008577665027975E-2</v>
      </c>
      <c r="C382" s="3">
        <f t="shared" si="385"/>
        <v>6.5008577660476755E-2</v>
      </c>
      <c r="D382" s="3">
        <f t="shared" si="385"/>
        <v>6.500857761496448E-2</v>
      </c>
      <c r="E382" s="3">
        <f t="shared" si="385"/>
        <v>6.5008577159841832E-2</v>
      </c>
      <c r="F382" s="3">
        <f t="shared" si="385"/>
        <v>6.5008572608615492E-2</v>
      </c>
      <c r="G382" s="3">
        <f t="shared" si="385"/>
        <v>6.5008527096369603E-2</v>
      </c>
      <c r="H382" s="3">
        <f t="shared" si="385"/>
        <v>6.5008071975663134E-2</v>
      </c>
      <c r="I382" s="3">
        <f t="shared" si="385"/>
        <v>6.5003520943839821E-2</v>
      </c>
      <c r="J382" s="3">
        <f t="shared" si="385"/>
        <v>6.4958028145196745E-2</v>
      </c>
      <c r="K382" s="3">
        <f t="shared" si="385"/>
        <v>6.4504847588061867E-2</v>
      </c>
      <c r="L382" s="3">
        <f t="shared" si="385"/>
        <v>6.0143341999763955E-2</v>
      </c>
      <c r="M382" s="3">
        <f t="shared" si="385"/>
        <v>2.9863423463213454E-2</v>
      </c>
      <c r="N382" s="3">
        <f t="shared" si="385"/>
        <v>2.7205702761226048E-5</v>
      </c>
      <c r="O382" s="3">
        <f t="shared" si="385"/>
        <v>1.0711826036172249E-35</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4.9543501682412179E-2</v>
      </c>
      <c r="C383" s="3">
        <f t="shared" si="386"/>
        <v>4.9543501682099297E-2</v>
      </c>
      <c r="D383" s="3">
        <f t="shared" si="386"/>
        <v>4.9543501678970397E-2</v>
      </c>
      <c r="E383" s="3">
        <f t="shared" si="386"/>
        <v>4.954350164768144E-2</v>
      </c>
      <c r="F383" s="3">
        <f t="shared" si="386"/>
        <v>4.9543501334791878E-2</v>
      </c>
      <c r="G383" s="3">
        <f t="shared" si="386"/>
        <v>4.9543498205896354E-2</v>
      </c>
      <c r="H383" s="3">
        <f t="shared" si="386"/>
        <v>4.9543466916951995E-2</v>
      </c>
      <c r="I383" s="3">
        <f t="shared" si="386"/>
        <v>4.9543154028595236E-2</v>
      </c>
      <c r="J383" s="3">
        <f t="shared" si="386"/>
        <v>4.9540025253706904E-2</v>
      </c>
      <c r="K383" s="3">
        <f t="shared" si="386"/>
        <v>4.9508748370215537E-2</v>
      </c>
      <c r="L383" s="3">
        <f t="shared" si="386"/>
        <v>4.9197063539839894E-2</v>
      </c>
      <c r="M383" s="3">
        <f t="shared" si="386"/>
        <v>4.6186124899744364E-2</v>
      </c>
      <c r="N383" s="3">
        <f t="shared" si="386"/>
        <v>2.4560373524416455E-2</v>
      </c>
      <c r="O383" s="3">
        <f t="shared" si="386"/>
        <v>4.440883550779635E-5</v>
      </c>
      <c r="P383" s="3">
        <f t="shared" si="386"/>
        <v>1.6588746206675735E-32</v>
      </c>
      <c r="Q383" s="3">
        <f t="shared" si="386"/>
        <v>8.7751659727331502E-307</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3.0281570029289561E-2</v>
      </c>
      <c r="C384" s="3">
        <f t="shared" si="387"/>
        <v>3.0281570029272308E-2</v>
      </c>
      <c r="D384" s="3">
        <f t="shared" si="387"/>
        <v>3.0281570029099793E-2</v>
      </c>
      <c r="E384" s="3">
        <f t="shared" si="387"/>
        <v>3.0281570027374631E-2</v>
      </c>
      <c r="F384" s="3">
        <f t="shared" si="387"/>
        <v>3.0281570010123032E-2</v>
      </c>
      <c r="G384" s="3">
        <f t="shared" si="387"/>
        <v>3.0281569837607041E-2</v>
      </c>
      <c r="H384" s="3">
        <f t="shared" si="387"/>
        <v>3.0281568112447185E-2</v>
      </c>
      <c r="I384" s="3">
        <f t="shared" si="387"/>
        <v>3.028155086085401E-2</v>
      </c>
      <c r="J384" s="3">
        <f t="shared" si="387"/>
        <v>3.0281378345462844E-2</v>
      </c>
      <c r="K384" s="3">
        <f t="shared" si="387"/>
        <v>3.0279653245605765E-2</v>
      </c>
      <c r="L384" s="3">
        <f t="shared" si="387"/>
        <v>3.0262407651358132E-2</v>
      </c>
      <c r="M384" s="3">
        <f t="shared" si="387"/>
        <v>3.0090491003742569E-2</v>
      </c>
      <c r="N384" s="3">
        <f t="shared" si="387"/>
        <v>2.8424134342568151E-2</v>
      </c>
      <c r="O384" s="3">
        <f t="shared" si="387"/>
        <v>1.6079293922168499E-2</v>
      </c>
      <c r="P384" s="3">
        <f t="shared" si="387"/>
        <v>5.3959043513473542E-5</v>
      </c>
      <c r="Q384" s="3">
        <f t="shared" si="387"/>
        <v>9.7732032283926724E-30</v>
      </c>
      <c r="R384" s="3">
        <f t="shared" si="387"/>
        <v>3.7133321747717416E-277</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1.5838845962715464E-2</v>
      </c>
      <c r="C385" s="3">
        <f t="shared" si="388"/>
        <v>1.5838845962714648E-2</v>
      </c>
      <c r="D385" s="3">
        <f t="shared" si="388"/>
        <v>1.5838845962706509E-2</v>
      </c>
      <c r="E385" s="3">
        <f t="shared" si="388"/>
        <v>1.5838845962625112E-2</v>
      </c>
      <c r="F385" s="3">
        <f t="shared" si="388"/>
        <v>1.5838845961811114E-2</v>
      </c>
      <c r="G385" s="3">
        <f t="shared" si="388"/>
        <v>1.5838845953671177E-2</v>
      </c>
      <c r="H385" s="3">
        <f t="shared" si="388"/>
        <v>1.5838845872271797E-2</v>
      </c>
      <c r="I385" s="3">
        <f t="shared" si="388"/>
        <v>1.5838845058278022E-2</v>
      </c>
      <c r="J385" s="3">
        <f t="shared" si="388"/>
        <v>1.5838836918342585E-2</v>
      </c>
      <c r="K385" s="3">
        <f t="shared" si="388"/>
        <v>1.5838755519218265E-2</v>
      </c>
      <c r="L385" s="3">
        <f t="shared" si="388"/>
        <v>1.5837941550982702E-2</v>
      </c>
      <c r="M385" s="3">
        <f t="shared" si="388"/>
        <v>1.5829804168954166E-2</v>
      </c>
      <c r="N385" s="3">
        <f t="shared" si="388"/>
        <v>1.5748659944568342E-2</v>
      </c>
      <c r="O385" s="3">
        <f t="shared" si="388"/>
        <v>1.4959746647665714E-2</v>
      </c>
      <c r="P385" s="3">
        <f t="shared" si="388"/>
        <v>8.948094640363247E-3</v>
      </c>
      <c r="Q385" s="3">
        <f t="shared" si="388"/>
        <v>5.2455843062957327E-5</v>
      </c>
      <c r="R385" s="3">
        <f t="shared" si="388"/>
        <v>2.5143567443241063E-27</v>
      </c>
      <c r="S385" s="3">
        <f t="shared" si="388"/>
        <v>1.6097452426602617E-250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5.1881409706128296E-3</v>
      </c>
      <c r="C386" s="3">
        <f t="shared" si="389"/>
        <v>5.1881409706128053E-3</v>
      </c>
      <c r="D386" s="3">
        <f t="shared" si="389"/>
        <v>5.1881409706125651E-3</v>
      </c>
      <c r="E386" s="3">
        <f t="shared" si="389"/>
        <v>5.1881409706101599E-3</v>
      </c>
      <c r="F386" s="3">
        <f t="shared" si="389"/>
        <v>5.188140970586108E-3</v>
      </c>
      <c r="G386" s="3">
        <f t="shared" si="389"/>
        <v>5.1881409703455851E-3</v>
      </c>
      <c r="H386" s="3">
        <f t="shared" si="389"/>
        <v>5.1881409679403589E-3</v>
      </c>
      <c r="I386" s="3">
        <f t="shared" si="389"/>
        <v>5.188140943888097E-3</v>
      </c>
      <c r="J386" s="3">
        <f t="shared" si="389"/>
        <v>5.1881407033654873E-3</v>
      </c>
      <c r="K386" s="3">
        <f t="shared" si="389"/>
        <v>5.1881382981399981E-3</v>
      </c>
      <c r="L386" s="3">
        <f t="shared" si="389"/>
        <v>5.1881142459464348E-3</v>
      </c>
      <c r="M386" s="3">
        <f t="shared" si="389"/>
        <v>5.1878737301435437E-3</v>
      </c>
      <c r="N386" s="3">
        <f t="shared" si="389"/>
        <v>5.1854691852833553E-3</v>
      </c>
      <c r="O386" s="3">
        <f t="shared" si="389"/>
        <v>5.1614849485056794E-3</v>
      </c>
      <c r="P386" s="3">
        <f t="shared" si="389"/>
        <v>4.9276600544374939E-3</v>
      </c>
      <c r="Q386" s="3">
        <f t="shared" si="389"/>
        <v>3.0995702325026637E-3</v>
      </c>
      <c r="R386" s="3">
        <f t="shared" si="389"/>
        <v>3.0054458047553507E-5</v>
      </c>
      <c r="S386" s="3">
        <f t="shared" si="389"/>
        <v>2.2079188000293657E-25</v>
      </c>
      <c r="T386" s="3">
        <f t="shared" si="389"/>
        <v>1.0109392570269434E-226</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3.8617191328215667E-3</v>
      </c>
      <c r="C387" s="3">
        <f t="shared" si="390"/>
        <v>3.8617191328215615E-3</v>
      </c>
      <c r="D387" s="3">
        <f t="shared" si="390"/>
        <v>3.861719132821512E-3</v>
      </c>
      <c r="E387" s="3">
        <f t="shared" si="390"/>
        <v>3.8617191328210172E-3</v>
      </c>
      <c r="F387" s="3">
        <f t="shared" si="390"/>
        <v>3.8617191328160654E-3</v>
      </c>
      <c r="G387" s="3">
        <f t="shared" si="390"/>
        <v>3.8617191327665504E-3</v>
      </c>
      <c r="H387" s="3">
        <f t="shared" si="390"/>
        <v>3.8617191322713996E-3</v>
      </c>
      <c r="I387" s="3">
        <f t="shared" si="390"/>
        <v>3.861719127319889E-3</v>
      </c>
      <c r="J387" s="3">
        <f t="shared" si="390"/>
        <v>3.8617190778047852E-3</v>
      </c>
      <c r="K387" s="3">
        <f t="shared" si="390"/>
        <v>3.8617185826537804E-3</v>
      </c>
      <c r="L387" s="3">
        <f t="shared" si="390"/>
        <v>3.861713631147231E-3</v>
      </c>
      <c r="M387" s="3">
        <f t="shared" si="390"/>
        <v>3.8616641164309165E-3</v>
      </c>
      <c r="N387" s="3">
        <f t="shared" si="390"/>
        <v>3.8611690041845765E-3</v>
      </c>
      <c r="O387" s="3">
        <f t="shared" si="390"/>
        <v>3.8562213717458337E-3</v>
      </c>
      <c r="P387" s="3">
        <f t="shared" si="390"/>
        <v>3.8070923997661553E-3</v>
      </c>
      <c r="Q387" s="3">
        <f t="shared" si="390"/>
        <v>3.3489450356460303E-3</v>
      </c>
      <c r="R387" s="3">
        <f t="shared" si="390"/>
        <v>9.2908199299683884E-4</v>
      </c>
      <c r="S387" s="3">
        <f t="shared" si="390"/>
        <v>2.5090786442629732E-9</v>
      </c>
      <c r="T387" s="3">
        <f t="shared" si="390"/>
        <v>5.1774580082441296E-65</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3.0600017424879029E-3</v>
      </c>
      <c r="C388" s="3">
        <f t="shared" si="391"/>
        <v>3.0600017424879025E-3</v>
      </c>
      <c r="D388" s="3">
        <f t="shared" si="391"/>
        <v>3.0600017424878985E-3</v>
      </c>
      <c r="E388" s="3">
        <f t="shared" si="391"/>
        <v>3.0600017424878595E-3</v>
      </c>
      <c r="F388" s="3">
        <f t="shared" si="391"/>
        <v>3.060001742487467E-3</v>
      </c>
      <c r="G388" s="3">
        <f t="shared" si="391"/>
        <v>3.0600017424835435E-3</v>
      </c>
      <c r="H388" s="3">
        <f t="shared" si="391"/>
        <v>3.060001742444308E-3</v>
      </c>
      <c r="I388" s="3">
        <f t="shared" si="391"/>
        <v>3.0600017420519534E-3</v>
      </c>
      <c r="J388" s="3">
        <f t="shared" si="391"/>
        <v>3.0600017381284079E-3</v>
      </c>
      <c r="K388" s="3">
        <f t="shared" si="391"/>
        <v>3.0600016988929541E-3</v>
      </c>
      <c r="L388" s="3">
        <f t="shared" si="391"/>
        <v>3.0600013065384389E-3</v>
      </c>
      <c r="M388" s="3">
        <f t="shared" si="391"/>
        <v>3.0599973829960611E-3</v>
      </c>
      <c r="N388" s="3">
        <f t="shared" si="391"/>
        <v>3.0599581478489698E-3</v>
      </c>
      <c r="O388" s="3">
        <f t="shared" si="391"/>
        <v>3.0595658240459124E-3</v>
      </c>
      <c r="P388" s="3">
        <f t="shared" si="391"/>
        <v>3.0556453514887379E-3</v>
      </c>
      <c r="Q388" s="3">
        <f t="shared" si="391"/>
        <v>3.0167158657613247E-3</v>
      </c>
      <c r="R388" s="3">
        <f t="shared" si="391"/>
        <v>2.6536828008735893E-3</v>
      </c>
      <c r="S388" s="3">
        <f t="shared" si="391"/>
        <v>7.361986772474637E-4</v>
      </c>
      <c r="T388" s="3">
        <f t="shared" si="391"/>
        <v>1.9881780003700333E-9</v>
      </c>
      <c r="U388" s="3">
        <f t="shared" si="391"/>
        <v>4.1025848804569239E-65</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1.8593150246318942E-3</v>
      </c>
      <c r="C389" s="3">
        <f t="shared" si="392"/>
        <v>1.8593150246318942E-3</v>
      </c>
      <c r="D389" s="3">
        <f t="shared" si="392"/>
        <v>1.859315024631894E-3</v>
      </c>
      <c r="E389" s="3">
        <f t="shared" si="392"/>
        <v>1.8593150246318916E-3</v>
      </c>
      <c r="F389" s="3">
        <f t="shared" si="392"/>
        <v>1.8593150246318678E-3</v>
      </c>
      <c r="G389" s="3">
        <f t="shared" si="392"/>
        <v>1.8593150246316295E-3</v>
      </c>
      <c r="H389" s="3">
        <f t="shared" si="392"/>
        <v>1.8593150246292453E-3</v>
      </c>
      <c r="I389" s="3">
        <f t="shared" si="392"/>
        <v>1.859315024605405E-3</v>
      </c>
      <c r="J389" s="3">
        <f t="shared" si="392"/>
        <v>1.859315024367003E-3</v>
      </c>
      <c r="K389" s="3">
        <f t="shared" si="392"/>
        <v>1.8593150219829825E-3</v>
      </c>
      <c r="L389" s="3">
        <f t="shared" si="392"/>
        <v>1.8593149981427773E-3</v>
      </c>
      <c r="M389" s="3">
        <f t="shared" si="392"/>
        <v>1.8593147597407418E-3</v>
      </c>
      <c r="N389" s="3">
        <f t="shared" si="392"/>
        <v>1.8593123757220688E-3</v>
      </c>
      <c r="O389" s="3">
        <f t="shared" si="392"/>
        <v>1.8592885357034611E-3</v>
      </c>
      <c r="P389" s="3">
        <f t="shared" si="392"/>
        <v>1.8590501523288974E-3</v>
      </c>
      <c r="Q389" s="3">
        <f t="shared" si="392"/>
        <v>1.8566679989372838E-3</v>
      </c>
      <c r="R389" s="3">
        <f t="shared" si="392"/>
        <v>1.833013705964456E-3</v>
      </c>
      <c r="S389" s="3">
        <f t="shared" si="392"/>
        <v>1.6124279387697172E-3</v>
      </c>
      <c r="T389" s="3">
        <f t="shared" si="392"/>
        <v>4.4732826217524526E-4</v>
      </c>
      <c r="U389" s="3">
        <f t="shared" si="392"/>
        <v>1.2080546152647209E-9</v>
      </c>
      <c r="V389" s="3">
        <f t="shared" si="392"/>
        <v>2.4928082890107562E-65</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1.0289911498978865E-4</v>
      </c>
      <c r="C390" s="3">
        <f t="shared" si="393"/>
        <v>1.0289911498978865E-4</v>
      </c>
      <c r="D390" s="3">
        <f t="shared" si="393"/>
        <v>1.0289911498978865E-4</v>
      </c>
      <c r="E390" s="3">
        <f t="shared" si="393"/>
        <v>1.0289911498978864E-4</v>
      </c>
      <c r="F390" s="3">
        <f t="shared" si="393"/>
        <v>1.028991149897885E-4</v>
      </c>
      <c r="G390" s="3">
        <f t="shared" si="393"/>
        <v>1.0289911498978719E-4</v>
      </c>
      <c r="H390" s="3">
        <f t="shared" si="393"/>
        <v>1.0289911498977399E-4</v>
      </c>
      <c r="I390" s="3">
        <f t="shared" si="393"/>
        <v>1.0289911498964205E-4</v>
      </c>
      <c r="J390" s="3">
        <f t="shared" si="393"/>
        <v>1.0289911498832267E-4</v>
      </c>
      <c r="K390" s="3">
        <f t="shared" si="393"/>
        <v>1.0289911497512892E-4</v>
      </c>
      <c r="L390" s="3">
        <f t="shared" si="393"/>
        <v>1.0289911484319129E-4</v>
      </c>
      <c r="M390" s="3">
        <f t="shared" si="393"/>
        <v>1.0289911352381508E-4</v>
      </c>
      <c r="N390" s="3">
        <f t="shared" si="393"/>
        <v>1.0289910033005385E-4</v>
      </c>
      <c r="O390" s="3">
        <f t="shared" si="393"/>
        <v>1.0289896839253477E-4</v>
      </c>
      <c r="P390" s="3">
        <f t="shared" si="393"/>
        <v>1.028976490266481E-4</v>
      </c>
      <c r="Q390" s="3">
        <f t="shared" si="393"/>
        <v>1.0288445629817233E-4</v>
      </c>
      <c r="R390" s="3">
        <f t="shared" si="393"/>
        <v>1.02752622008383E-4</v>
      </c>
      <c r="S390" s="3">
        <f t="shared" si="393"/>
        <v>1.0144353463998773E-4</v>
      </c>
      <c r="T390" s="3">
        <f t="shared" si="393"/>
        <v>8.923576999387783E-5</v>
      </c>
      <c r="U390" s="3">
        <f t="shared" si="393"/>
        <v>2.4756257911090571E-5</v>
      </c>
      <c r="V390" s="3">
        <f t="shared" si="393"/>
        <v>6.6856745157900149E-11</v>
      </c>
      <c r="W390" s="3">
        <f t="shared" si="393"/>
        <v>1.3795820685588195E-66</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3.4301074619822757E-3</v>
      </c>
      <c r="C391" s="3">
        <f t="shared" si="394"/>
        <v>3.4301074619822757E-3</v>
      </c>
      <c r="D391" s="3">
        <f t="shared" si="394"/>
        <v>3.4301074619822757E-3</v>
      </c>
      <c r="E391" s="3">
        <f t="shared" si="394"/>
        <v>3.4301074619822757E-3</v>
      </c>
      <c r="F391" s="3">
        <f t="shared" si="394"/>
        <v>3.4301074619822753E-3</v>
      </c>
      <c r="G391" s="3">
        <f t="shared" si="394"/>
        <v>3.430107461982271E-3</v>
      </c>
      <c r="H391" s="3">
        <f t="shared" si="394"/>
        <v>3.4301074619822272E-3</v>
      </c>
      <c r="I391" s="3">
        <f t="shared" si="394"/>
        <v>3.430107461981787E-3</v>
      </c>
      <c r="J391" s="3">
        <f t="shared" si="394"/>
        <v>3.430107461977389E-3</v>
      </c>
      <c r="K391" s="3">
        <f t="shared" si="394"/>
        <v>3.4301074619334081E-3</v>
      </c>
      <c r="L391" s="3">
        <f t="shared" si="394"/>
        <v>3.4301074614935985E-3</v>
      </c>
      <c r="M391" s="3">
        <f t="shared" si="394"/>
        <v>3.430107457095502E-3</v>
      </c>
      <c r="N391" s="3">
        <f t="shared" si="394"/>
        <v>3.4301074131145391E-3</v>
      </c>
      <c r="O391" s="3">
        <f t="shared" si="394"/>
        <v>3.4301069733049367E-3</v>
      </c>
      <c r="P391" s="3">
        <f t="shared" si="394"/>
        <v>3.4301025752120199E-3</v>
      </c>
      <c r="Q391" s="3">
        <f t="shared" si="394"/>
        <v>3.4300585945930091E-3</v>
      </c>
      <c r="R391" s="3">
        <f t="shared" si="394"/>
        <v>3.4296188194171671E-3</v>
      </c>
      <c r="S391" s="3">
        <f t="shared" si="394"/>
        <v>3.4252241676148028E-3</v>
      </c>
      <c r="T391" s="3">
        <f t="shared" si="394"/>
        <v>3.3815861795605329E-3</v>
      </c>
      <c r="U391" s="3">
        <f t="shared" si="394"/>
        <v>2.9746444423949569E-3</v>
      </c>
      <c r="V391" s="3">
        <f t="shared" si="394"/>
        <v>8.2524154848189249E-4</v>
      </c>
      <c r="W391" s="3">
        <f t="shared" si="394"/>
        <v>2.2286471605972334E-9</v>
      </c>
      <c r="X391" s="3">
        <f t="shared" si="394"/>
        <v>4.5987905223967655E-65</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1.0099566360327609E-4</v>
      </c>
      <c r="C392" s="3">
        <f t="shared" si="395"/>
        <v>1.0099566360327609E-4</v>
      </c>
      <c r="D392" s="3">
        <f t="shared" si="395"/>
        <v>1.0099566360327609E-4</v>
      </c>
      <c r="E392" s="3">
        <f t="shared" si="395"/>
        <v>1.0099566360327609E-4</v>
      </c>
      <c r="F392" s="3">
        <f t="shared" si="395"/>
        <v>1.0099566360327609E-4</v>
      </c>
      <c r="G392" s="3">
        <f t="shared" si="395"/>
        <v>1.0099566360327608E-4</v>
      </c>
      <c r="H392" s="3">
        <f t="shared" si="395"/>
        <v>1.0099566360327595E-4</v>
      </c>
      <c r="I392" s="3">
        <f t="shared" si="395"/>
        <v>1.0099566360327466E-4</v>
      </c>
      <c r="J392" s="3">
        <f t="shared" si="395"/>
        <v>1.0099566360326171E-4</v>
      </c>
      <c r="K392" s="3">
        <f t="shared" si="395"/>
        <v>1.0099566360313221E-4</v>
      </c>
      <c r="L392" s="3">
        <f t="shared" si="395"/>
        <v>1.0099566360183724E-4</v>
      </c>
      <c r="M392" s="3">
        <f t="shared" si="395"/>
        <v>1.0099566358888754E-4</v>
      </c>
      <c r="N392" s="3">
        <f t="shared" si="395"/>
        <v>1.0099566345939053E-4</v>
      </c>
      <c r="O392" s="3">
        <f t="shared" si="395"/>
        <v>1.0099566216442044E-4</v>
      </c>
      <c r="P392" s="3">
        <f t="shared" si="395"/>
        <v>1.0099564921472043E-4</v>
      </c>
      <c r="Q392" s="3">
        <f t="shared" si="395"/>
        <v>1.0099551971781177E-4</v>
      </c>
      <c r="R392" s="3">
        <f t="shared" si="395"/>
        <v>1.0099422475785732E-4</v>
      </c>
      <c r="S392" s="3">
        <f t="shared" si="395"/>
        <v>1.0098127607149321E-4</v>
      </c>
      <c r="T392" s="3">
        <f t="shared" si="395"/>
        <v>1.0085188048257816E-4</v>
      </c>
      <c r="U392" s="3">
        <f t="shared" si="395"/>
        <v>9.956700891202222E-5</v>
      </c>
      <c r="V392" s="3">
        <f t="shared" si="395"/>
        <v>8.7585066291147074E-5</v>
      </c>
      <c r="W392" s="3">
        <f t="shared" si="395"/>
        <v>2.4298310984623768E-5</v>
      </c>
      <c r="X392" s="3">
        <f t="shared" si="395"/>
        <v>6.5620013779975757E-11</v>
      </c>
      <c r="Y392" s="3">
        <f t="shared" si="395"/>
        <v>1.3540622436170137E-66</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2.8535751866135694E-4</v>
      </c>
      <c r="C393" s="3">
        <f t="shared" si="396"/>
        <v>2.8535751866135694E-4</v>
      </c>
      <c r="D393" s="3">
        <f t="shared" si="396"/>
        <v>2.8535751866135694E-4</v>
      </c>
      <c r="E393" s="3">
        <f t="shared" si="396"/>
        <v>2.8535751866135694E-4</v>
      </c>
      <c r="F393" s="3">
        <f t="shared" si="396"/>
        <v>2.8535751866135694E-4</v>
      </c>
      <c r="G393" s="3">
        <f t="shared" si="396"/>
        <v>2.8535751866135694E-4</v>
      </c>
      <c r="H393" s="3">
        <f t="shared" si="396"/>
        <v>2.8535751866135689E-4</v>
      </c>
      <c r="I393" s="3">
        <f t="shared" si="396"/>
        <v>2.8535751866135651E-4</v>
      </c>
      <c r="J393" s="3">
        <f t="shared" si="396"/>
        <v>2.8535751866135288E-4</v>
      </c>
      <c r="K393" s="3">
        <f t="shared" si="396"/>
        <v>2.8535751866131629E-4</v>
      </c>
      <c r="L393" s="3">
        <f t="shared" si="396"/>
        <v>2.8535751866095042E-4</v>
      </c>
      <c r="M393" s="3">
        <f t="shared" si="396"/>
        <v>2.8535751865729151E-4</v>
      </c>
      <c r="N393" s="3">
        <f t="shared" si="396"/>
        <v>2.8535751862070289E-4</v>
      </c>
      <c r="O393" s="3">
        <f t="shared" si="396"/>
        <v>2.8535751825481642E-4</v>
      </c>
      <c r="P393" s="3">
        <f t="shared" si="396"/>
        <v>2.8535751459595192E-4</v>
      </c>
      <c r="Q393" s="3">
        <f t="shared" si="396"/>
        <v>2.8535747800730911E-4</v>
      </c>
      <c r="R393" s="3">
        <f t="shared" si="396"/>
        <v>2.8535711212113922E-4</v>
      </c>
      <c r="S393" s="3">
        <f t="shared" si="396"/>
        <v>2.8535345328524285E-4</v>
      </c>
      <c r="T393" s="3">
        <f t="shared" si="396"/>
        <v>2.8531686750641873E-4</v>
      </c>
      <c r="U393" s="3">
        <f t="shared" si="396"/>
        <v>2.8495126760973838E-4</v>
      </c>
      <c r="V393" s="3">
        <f t="shared" si="396"/>
        <v>2.8132093586982721E-4</v>
      </c>
      <c r="W393" s="3">
        <f t="shared" si="396"/>
        <v>2.4746663665489753E-4</v>
      </c>
      <c r="X393" s="3">
        <f t="shared" si="396"/>
        <v>6.8653499396476221E-5</v>
      </c>
      <c r="Y393" s="3">
        <f t="shared" si="396"/>
        <v>1.854056267240619E-10</v>
      </c>
      <c r="Z393" s="3">
        <f t="shared" si="396"/>
        <v>3.8258260618928898E-66</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1.5499334140859142E-4</v>
      </c>
      <c r="C396" s="3">
        <f t="shared" si="399"/>
        <v>1.5499334140859142E-4</v>
      </c>
      <c r="D396" s="3">
        <f t="shared" si="399"/>
        <v>1.5499334140859142E-4</v>
      </c>
      <c r="E396" s="3">
        <f t="shared" si="399"/>
        <v>1.5499334140859142E-4</v>
      </c>
      <c r="F396" s="3">
        <f t="shared" si="399"/>
        <v>1.5499334140859142E-4</v>
      </c>
      <c r="G396" s="3">
        <f t="shared" si="399"/>
        <v>1.5499334140859142E-4</v>
      </c>
      <c r="H396" s="3">
        <f t="shared" si="399"/>
        <v>1.5499334140859142E-4</v>
      </c>
      <c r="I396" s="3">
        <f t="shared" si="399"/>
        <v>1.5499334140859142E-4</v>
      </c>
      <c r="J396" s="3">
        <f t="shared" si="399"/>
        <v>1.5499334140859142E-4</v>
      </c>
      <c r="K396" s="3">
        <f t="shared" si="399"/>
        <v>1.5499334140859139E-4</v>
      </c>
      <c r="L396" s="3">
        <f t="shared" si="399"/>
        <v>1.549933414085912E-4</v>
      </c>
      <c r="M396" s="3">
        <f t="shared" si="399"/>
        <v>1.5499334140858922E-4</v>
      </c>
      <c r="N396" s="3">
        <f t="shared" si="399"/>
        <v>1.5499334140856933E-4</v>
      </c>
      <c r="O396" s="3">
        <f t="shared" si="399"/>
        <v>1.5499334140837062E-4</v>
      </c>
      <c r="P396" s="3">
        <f t="shared" si="399"/>
        <v>1.5499334140638328E-4</v>
      </c>
      <c r="Q396" s="3">
        <f t="shared" si="399"/>
        <v>1.5499334138650999E-4</v>
      </c>
      <c r="R396" s="3">
        <f t="shared" si="399"/>
        <v>1.5499334118777695E-4</v>
      </c>
      <c r="S396" s="3">
        <f t="shared" si="399"/>
        <v>1.5499333920044665E-4</v>
      </c>
      <c r="T396" s="3">
        <f t="shared" si="399"/>
        <v>1.5499331932714513E-4</v>
      </c>
      <c r="U396" s="3">
        <f t="shared" si="399"/>
        <v>1.549931205942703E-4</v>
      </c>
      <c r="V396" s="3">
        <f t="shared" si="399"/>
        <v>1.5499113327953649E-4</v>
      </c>
      <c r="W396" s="3">
        <f t="shared" si="399"/>
        <v>1.549712615336137E-4</v>
      </c>
      <c r="X396" s="3">
        <f t="shared" si="399"/>
        <v>1.5477268414945734E-4</v>
      </c>
      <c r="Y396" s="3">
        <f t="shared" si="399"/>
        <v>1.5280085158856995E-4</v>
      </c>
      <c r="Z396" s="3">
        <f t="shared" si="399"/>
        <v>1.344127222658055E-4</v>
      </c>
      <c r="AA396" s="3">
        <f t="shared" si="399"/>
        <v>3.7289486258395699E-5</v>
      </c>
      <c r="AB396" s="3">
        <f t="shared" si="399"/>
        <v>1.0070397912318229E-10</v>
      </c>
      <c r="AC396" s="3">
        <f t="shared" si="399"/>
        <v>2.0780162645181859E-66</v>
      </c>
      <c r="AD396" s="3">
        <f t="shared" si="399"/>
        <v>0</v>
      </c>
      <c r="AE396" s="3">
        <f t="shared" si="399"/>
        <v>0</v>
      </c>
      <c r="AF396" s="3">
        <f t="shared" si="399"/>
        <v>0</v>
      </c>
      <c r="AG396" s="3"/>
      <c r="AH396" s="3"/>
    </row>
    <row r="397" spans="1:34" x14ac:dyDescent="0.25">
      <c r="A397" s="79">
        <f>AVERAGE(B397:AF397)</f>
        <v>3.051214105303876E-2</v>
      </c>
      <c r="B397" s="80">
        <f>IF($A$64&lt;=B363,IF($B$64&gt;=B363,ABS((B365-B364)/B364),0),0)</f>
        <v>5.3691652646276466E-3</v>
      </c>
      <c r="C397" s="80">
        <f t="shared" ref="C397:AF397" si="400">IF($A$64&lt;=C363,IF($B$64&gt;=C363,ABS((C365-C364)/C364),0),0)</f>
        <v>7.6086457750793989E-3</v>
      </c>
      <c r="D397" s="80">
        <f t="shared" si="400"/>
        <v>7.9966405436074067E-3</v>
      </c>
      <c r="E397" s="80">
        <f t="shared" si="400"/>
        <v>8.6945654372347081E-3</v>
      </c>
      <c r="F397" s="80">
        <f t="shared" si="400"/>
        <v>8.7951211603728204E-3</v>
      </c>
      <c r="G397" s="80">
        <f t="shared" si="400"/>
        <v>1.0276449483412045E-2</v>
      </c>
      <c r="H397" s="80">
        <f t="shared" si="400"/>
        <v>1.1163885775995992E-2</v>
      </c>
      <c r="I397" s="80">
        <f t="shared" si="400"/>
        <v>1.3011716865223663E-2</v>
      </c>
      <c r="J397" s="80">
        <f t="shared" si="400"/>
        <v>1.2758513435979909E-2</v>
      </c>
      <c r="K397" s="80">
        <f t="shared" si="400"/>
        <v>1.1213363767944148E-3</v>
      </c>
      <c r="L397" s="80">
        <f t="shared" si="400"/>
        <v>2.0766714364297462E-2</v>
      </c>
      <c r="M397" s="80">
        <f t="shared" si="400"/>
        <v>3.6380775470042363E-2</v>
      </c>
      <c r="N397" s="80">
        <f t="shared" si="400"/>
        <v>4.7470658165565532E-2</v>
      </c>
      <c r="O397" s="80">
        <f t="shared" si="400"/>
        <v>5.87168117877317E-2</v>
      </c>
      <c r="P397" s="80">
        <f t="shared" si="400"/>
        <v>8.1741541990149366E-2</v>
      </c>
      <c r="Q397" s="80">
        <f t="shared" si="400"/>
        <v>9.397691154168504E-2</v>
      </c>
      <c r="R397" s="80">
        <f t="shared" si="400"/>
        <v>0.10794598844902481</v>
      </c>
      <c r="S397" s="80">
        <f t="shared" si="400"/>
        <v>9.8503049327387709E-2</v>
      </c>
      <c r="T397" s="80">
        <f t="shared" si="400"/>
        <v>8.3591386151305902E-2</v>
      </c>
      <c r="U397" s="80">
        <f t="shared" si="400"/>
        <v>6.2671731626677593E-2</v>
      </c>
      <c r="V397" s="80">
        <f t="shared" si="400"/>
        <v>4.4346285654695408E-2</v>
      </c>
      <c r="W397" s="80">
        <f t="shared" si="400"/>
        <v>3.2866266467380952E-2</v>
      </c>
      <c r="X397" s="80">
        <f t="shared" si="400"/>
        <v>2.4706779014201104E-2</v>
      </c>
      <c r="Y397" s="80">
        <f t="shared" si="400"/>
        <v>1.8157090605957545E-2</v>
      </c>
      <c r="Z397" s="80">
        <f t="shared" si="400"/>
        <v>1.2345743463110631E-2</v>
      </c>
      <c r="AA397" s="80">
        <f t="shared" si="400"/>
        <v>1.2952083878712984E-2</v>
      </c>
      <c r="AB397" s="80">
        <f t="shared" si="400"/>
        <v>8.3390651921893509E-3</v>
      </c>
      <c r="AC397" s="80">
        <f t="shared" si="400"/>
        <v>7.7698402864347831E-3</v>
      </c>
      <c r="AD397" s="80">
        <f t="shared" si="400"/>
        <v>2.5063980990988185E-3</v>
      </c>
      <c r="AE397" s="80">
        <f t="shared" si="400"/>
        <v>2.3409938764007072E-3</v>
      </c>
      <c r="AF397" s="80">
        <f t="shared" si="400"/>
        <v>9.8421711382363922E-4</v>
      </c>
    </row>
    <row r="398" spans="1:34" x14ac:dyDescent="0.25">
      <c r="B398" s="21">
        <f>(B365-B364)^2</f>
        <v>430.23226573092836</v>
      </c>
      <c r="C398" s="21">
        <f t="shared" ref="C398:AF398" si="401">(C365-C364)^2</f>
        <v>766.69475558737463</v>
      </c>
      <c r="D398" s="21">
        <f t="shared" si="401"/>
        <v>769.6147817616386</v>
      </c>
      <c r="E398" s="21">
        <f t="shared" si="401"/>
        <v>822.89015866769762</v>
      </c>
      <c r="F398" s="21">
        <f t="shared" si="401"/>
        <v>757.38386821660936</v>
      </c>
      <c r="G398" s="21">
        <f t="shared" si="401"/>
        <v>907.45493920649517</v>
      </c>
      <c r="H398" s="21">
        <f t="shared" si="401"/>
        <v>919.68797573219342</v>
      </c>
      <c r="I398" s="21">
        <f t="shared" si="401"/>
        <v>1035.7063664923382</v>
      </c>
      <c r="J398" s="21">
        <f t="shared" si="401"/>
        <v>788.18923987418691</v>
      </c>
      <c r="K398" s="21">
        <f t="shared" si="401"/>
        <v>4.4494526837398416</v>
      </c>
      <c r="L398" s="21">
        <f t="shared" si="401"/>
        <v>988.51990495783139</v>
      </c>
      <c r="M398" s="21">
        <f t="shared" si="401"/>
        <v>1690.6268996093324</v>
      </c>
      <c r="N398" s="21">
        <f t="shared" si="401"/>
        <v>1432.9041620247197</v>
      </c>
      <c r="O398" s="21">
        <f t="shared" si="401"/>
        <v>1077.1017398027923</v>
      </c>
      <c r="P398" s="21">
        <f t="shared" si="401"/>
        <v>1190.7250588467025</v>
      </c>
      <c r="Q398" s="21">
        <f t="shared" si="401"/>
        <v>1086.7603520001162</v>
      </c>
      <c r="R398" s="21">
        <f t="shared" si="401"/>
        <v>1157.1827069658382</v>
      </c>
      <c r="S398" s="21">
        <f t="shared" si="401"/>
        <v>818.95807543479975</v>
      </c>
      <c r="T398" s="21">
        <f t="shared" si="401"/>
        <v>519.1455919134977</v>
      </c>
      <c r="U398" s="21">
        <f t="shared" si="401"/>
        <v>266.35491315088763</v>
      </c>
      <c r="V398" s="21">
        <f t="shared" si="401"/>
        <v>114.4408943184892</v>
      </c>
      <c r="W398" s="21">
        <f t="shared" si="401"/>
        <v>58.372565671022059</v>
      </c>
      <c r="X398" s="21">
        <f t="shared" si="401"/>
        <v>32.074980353179591</v>
      </c>
      <c r="Y398" s="21">
        <f t="shared" si="401"/>
        <v>17.026000519169944</v>
      </c>
      <c r="Z398" s="21">
        <f t="shared" si="401"/>
        <v>7.7711533704138578</v>
      </c>
      <c r="AA398" s="21">
        <f t="shared" si="401"/>
        <v>8.5176275753112396</v>
      </c>
      <c r="AB398" s="21">
        <f t="shared" si="401"/>
        <v>3.4907770599457018</v>
      </c>
      <c r="AC398" s="21">
        <f t="shared" si="401"/>
        <v>3.0270048660626365</v>
      </c>
      <c r="AD398" s="21">
        <f t="shared" si="401"/>
        <v>0.31166903085788472</v>
      </c>
      <c r="AE398" s="21">
        <f t="shared" si="401"/>
        <v>0.27180039499890973</v>
      </c>
      <c r="AF398" s="21">
        <f t="shared" si="401"/>
        <v>4.7912729097803669E-2</v>
      </c>
      <c r="AG398" s="3"/>
      <c r="AH398" s="3"/>
    </row>
    <row r="399" spans="1:34" x14ac:dyDescent="0.25">
      <c r="A399" s="71">
        <f>SUM(B399:AF399)</f>
        <v>17675.935594548268</v>
      </c>
      <c r="B399" s="60">
        <f>IF($A$64&lt;=B363,IF($B$64&gt;=B363,ABS(B398),0),0)</f>
        <v>430.23226573092836</v>
      </c>
      <c r="C399" s="60">
        <f t="shared" ref="C399" si="402">IF($A$64&lt;=C363,IF($B$64&gt;=C363,ABS(C398),0),0)</f>
        <v>766.69475558737463</v>
      </c>
      <c r="D399" s="60">
        <f t="shared" ref="D399" si="403">IF($A$64&lt;=D363,IF($B$64&gt;=D363,ABS(D398),0),0)</f>
        <v>769.6147817616386</v>
      </c>
      <c r="E399" s="60">
        <f t="shared" ref="E399" si="404">IF($A$64&lt;=E363,IF($B$64&gt;=E363,ABS(E398),0),0)</f>
        <v>822.89015866769762</v>
      </c>
      <c r="F399" s="60">
        <f t="shared" ref="F399" si="405">IF($A$64&lt;=F363,IF($B$64&gt;=F363,ABS(F398),0),0)</f>
        <v>757.38386821660936</v>
      </c>
      <c r="G399" s="60">
        <f t="shared" ref="G399" si="406">IF($A$64&lt;=G363,IF($B$64&gt;=G363,ABS(G398),0),0)</f>
        <v>907.45493920649517</v>
      </c>
      <c r="H399" s="60">
        <f t="shared" ref="H399" si="407">IF($A$64&lt;=H363,IF($B$64&gt;=H363,ABS(H398),0),0)</f>
        <v>919.68797573219342</v>
      </c>
      <c r="I399" s="60">
        <f t="shared" ref="I399" si="408">IF($A$64&lt;=I363,IF($B$64&gt;=I363,ABS(I398),0),0)</f>
        <v>1035.7063664923382</v>
      </c>
      <c r="J399" s="60">
        <f t="shared" ref="J399" si="409">IF($A$64&lt;=J363,IF($B$64&gt;=J363,ABS(J398),0),0)</f>
        <v>788.18923987418691</v>
      </c>
      <c r="K399" s="60">
        <f t="shared" ref="K399" si="410">IF($A$64&lt;=K363,IF($B$64&gt;=K363,ABS(K398),0),0)</f>
        <v>4.4494526837398416</v>
      </c>
      <c r="L399" s="60">
        <f t="shared" ref="L399" si="411">IF($A$64&lt;=L363,IF($B$64&gt;=L363,ABS(L398),0),0)</f>
        <v>988.51990495783139</v>
      </c>
      <c r="M399" s="60">
        <f t="shared" ref="M399" si="412">IF($A$64&lt;=M363,IF($B$64&gt;=M363,ABS(M398),0),0)</f>
        <v>1690.6268996093324</v>
      </c>
      <c r="N399" s="60">
        <f t="shared" ref="N399" si="413">IF($A$64&lt;=N363,IF($B$64&gt;=N363,ABS(N398),0),0)</f>
        <v>1432.9041620247197</v>
      </c>
      <c r="O399" s="60">
        <f t="shared" ref="O399" si="414">IF($A$64&lt;=O363,IF($B$64&gt;=O363,ABS(O398),0),0)</f>
        <v>1077.1017398027923</v>
      </c>
      <c r="P399" s="60">
        <f t="shared" ref="P399" si="415">IF($A$64&lt;=P363,IF($B$64&gt;=P363,ABS(P398),0),0)</f>
        <v>1190.7250588467025</v>
      </c>
      <c r="Q399" s="60">
        <f t="shared" ref="Q399" si="416">IF($A$64&lt;=Q363,IF($B$64&gt;=Q363,ABS(Q398),0),0)</f>
        <v>1086.7603520001162</v>
      </c>
      <c r="R399" s="60">
        <f t="shared" ref="R399" si="417">IF($A$64&lt;=R363,IF($B$64&gt;=R363,ABS(R398),0),0)</f>
        <v>1157.1827069658382</v>
      </c>
      <c r="S399" s="60">
        <f t="shared" ref="S399" si="418">IF($A$64&lt;=S363,IF($B$64&gt;=S363,ABS(S398),0),0)</f>
        <v>818.95807543479975</v>
      </c>
      <c r="T399" s="60">
        <f t="shared" ref="T399" si="419">IF($A$64&lt;=T363,IF($B$64&gt;=T363,ABS(T398),0),0)</f>
        <v>519.1455919134977</v>
      </c>
      <c r="U399" s="60">
        <f t="shared" ref="U399" si="420">IF($A$64&lt;=U363,IF($B$64&gt;=U363,ABS(U398),0),0)</f>
        <v>266.35491315088763</v>
      </c>
      <c r="V399" s="60">
        <f t="shared" ref="V399" si="421">IF($A$64&lt;=V363,IF($B$64&gt;=V363,ABS(V398),0),0)</f>
        <v>114.4408943184892</v>
      </c>
      <c r="W399" s="60">
        <f t="shared" ref="W399" si="422">IF($A$64&lt;=W363,IF($B$64&gt;=W363,ABS(W398),0),0)</f>
        <v>58.372565671022059</v>
      </c>
      <c r="X399" s="60">
        <f t="shared" ref="X399" si="423">IF($A$64&lt;=X363,IF($B$64&gt;=X363,ABS(X398),0),0)</f>
        <v>32.074980353179591</v>
      </c>
      <c r="Y399" s="60">
        <f t="shared" ref="Y399" si="424">IF($A$64&lt;=Y363,IF($B$64&gt;=Y363,ABS(Y398),0),0)</f>
        <v>17.026000519169944</v>
      </c>
      <c r="Z399" s="60">
        <f t="shared" ref="Z399" si="425">IF($A$64&lt;=Z363,IF($B$64&gt;=Z363,ABS(Z398),0),0)</f>
        <v>7.7711533704138578</v>
      </c>
      <c r="AA399" s="60">
        <f t="shared" ref="AA399" si="426">IF($A$64&lt;=AA363,IF($B$64&gt;=AA363,ABS(AA398),0),0)</f>
        <v>8.5176275753112396</v>
      </c>
      <c r="AB399" s="60">
        <f t="shared" ref="AB399" si="427">IF($A$64&lt;=AB363,IF($B$64&gt;=AB363,ABS(AB398),0),0)</f>
        <v>3.4907770599457018</v>
      </c>
      <c r="AC399" s="60">
        <f t="shared" ref="AC399" si="428">IF($A$64&lt;=AC363,IF($B$64&gt;=AC363,ABS(AC398),0),0)</f>
        <v>3.0270048660626365</v>
      </c>
      <c r="AD399" s="60">
        <f t="shared" ref="AD399" si="429">IF($A$64&lt;=AD363,IF($B$64&gt;=AD363,ABS(AD398),0),0)</f>
        <v>0.31166903085788472</v>
      </c>
      <c r="AE399" s="60">
        <f t="shared" ref="AE399" si="430">IF($A$64&lt;=AE363,IF($B$64&gt;=AE363,ABS(AE398),0),0)</f>
        <v>0.27180039499890973</v>
      </c>
      <c r="AF399" s="60">
        <f t="shared" ref="AF399" si="431">IF($A$64&lt;=AF363,IF($B$64&gt;=AF363,ABS(AF398),0),0)</f>
        <v>4.7912729097803669E-2</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-44.148639789513958</v>
      </c>
      <c r="C403" s="107">
        <f t="shared" ref="C403:H403" si="432">IF(C125=$B$2,0,C126)</f>
        <v>-32.523099905859404</v>
      </c>
      <c r="D403" s="107">
        <f t="shared" si="432"/>
        <v>-27.199076392270609</v>
      </c>
      <c r="E403" s="107">
        <f t="shared" si="432"/>
        <v>-22.864644542581122</v>
      </c>
      <c r="F403" s="107">
        <f t="shared" si="432"/>
        <v>-15.874303798022783</v>
      </c>
      <c r="G403" s="107">
        <f t="shared" si="432"/>
        <v>0</v>
      </c>
      <c r="H403" s="107">
        <f t="shared" si="432"/>
        <v>14.169451285459033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6.7063984979372177E-35</v>
      </c>
      <c r="C404" s="3">
        <f t="shared" ref="C404:H419" si="433">$A404/EXP(-C$403)</f>
        <v>7.505803257846905E-30</v>
      </c>
      <c r="D404" s="3">
        <f t="shared" si="433"/>
        <v>1.5402499734235971E-27</v>
      </c>
      <c r="E404" s="3">
        <f t="shared" si="433"/>
        <v>1.1749274339626463E-25</v>
      </c>
      <c r="F404" s="3">
        <f t="shared" si="433"/>
        <v>1.2760786908108374E-22</v>
      </c>
      <c r="G404" s="3">
        <f t="shared" si="433"/>
        <v>1.0000000000000001E-15</v>
      </c>
      <c r="H404" s="3">
        <f t="shared" si="433"/>
        <v>1.4246707401733272E-9</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6.7063984979372166E-34</v>
      </c>
      <c r="C405" s="3">
        <f t="shared" si="433"/>
        <v>7.505803257846905E-29</v>
      </c>
      <c r="D405" s="3">
        <f t="shared" si="433"/>
        <v>1.540249973423597E-26</v>
      </c>
      <c r="E405" s="3">
        <f t="shared" si="433"/>
        <v>1.1749274339626462E-24</v>
      </c>
      <c r="F405" s="3">
        <f t="shared" si="433"/>
        <v>1.2760786908108374E-21</v>
      </c>
      <c r="G405" s="3">
        <f t="shared" si="433"/>
        <v>1E-14</v>
      </c>
      <c r="H405" s="3">
        <f t="shared" si="433"/>
        <v>1.424670740173327E-8</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6.7063984979372166E-33</v>
      </c>
      <c r="C406" s="3">
        <f t="shared" si="433"/>
        <v>7.5058032578469052E-28</v>
      </c>
      <c r="D406" s="3">
        <f t="shared" si="433"/>
        <v>1.5402499734235972E-25</v>
      </c>
      <c r="E406" s="3">
        <f t="shared" si="433"/>
        <v>1.1749274339626461E-23</v>
      </c>
      <c r="F406" s="3">
        <f t="shared" si="433"/>
        <v>1.2760786908108374E-20</v>
      </c>
      <c r="G406" s="3">
        <f t="shared" si="433"/>
        <v>1E-13</v>
      </c>
      <c r="H406" s="3">
        <f t="shared" si="433"/>
        <v>1.4246707401733271E-7</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6.7063984979372169E-32</v>
      </c>
      <c r="C407" s="3">
        <f t="shared" si="433"/>
        <v>7.5058032578469045E-27</v>
      </c>
      <c r="D407" s="3">
        <f t="shared" si="433"/>
        <v>1.5402499734235971E-24</v>
      </c>
      <c r="E407" s="3">
        <f t="shared" si="433"/>
        <v>1.1749274339626461E-22</v>
      </c>
      <c r="F407" s="3">
        <f t="shared" si="433"/>
        <v>1.2760786908108373E-19</v>
      </c>
      <c r="G407" s="3">
        <f t="shared" si="433"/>
        <v>9.9999999999999998E-13</v>
      </c>
      <c r="H407" s="3">
        <f t="shared" si="433"/>
        <v>1.4246707401733271E-6</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6.7063984979372166E-31</v>
      </c>
      <c r="C408" s="3">
        <f t="shared" si="433"/>
        <v>7.5058032578469042E-26</v>
      </c>
      <c r="D408" s="3">
        <f t="shared" si="433"/>
        <v>1.5402499734235971E-23</v>
      </c>
      <c r="E408" s="3">
        <f t="shared" si="433"/>
        <v>1.1749274339626462E-21</v>
      </c>
      <c r="F408" s="3">
        <f t="shared" si="433"/>
        <v>1.2760786908108373E-18</v>
      </c>
      <c r="G408" s="3">
        <f t="shared" si="433"/>
        <v>9.9999999999999994E-12</v>
      </c>
      <c r="H408" s="3">
        <f t="shared" si="433"/>
        <v>1.4246707401733271E-5</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6.706398497937217E-30</v>
      </c>
      <c r="C409" s="3">
        <f t="shared" si="433"/>
        <v>7.5058032578469053E-25</v>
      </c>
      <c r="D409" s="3">
        <f t="shared" si="433"/>
        <v>1.5402499734235973E-22</v>
      </c>
      <c r="E409" s="3">
        <f t="shared" si="433"/>
        <v>1.1749274339626461E-20</v>
      </c>
      <c r="F409" s="3">
        <f t="shared" si="433"/>
        <v>1.2760786908108375E-17</v>
      </c>
      <c r="G409" s="3">
        <f t="shared" si="433"/>
        <v>1E-10</v>
      </c>
      <c r="H409" s="3">
        <f t="shared" si="433"/>
        <v>1.4246707401733273E-4</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6.706398497937217E-29</v>
      </c>
      <c r="C410" s="3">
        <f t="shared" si="433"/>
        <v>7.5058032578469055E-24</v>
      </c>
      <c r="D410" s="3">
        <f t="shared" si="433"/>
        <v>1.5402499734235972E-21</v>
      </c>
      <c r="E410" s="3">
        <f t="shared" si="433"/>
        <v>1.1749274339626462E-19</v>
      </c>
      <c r="F410" s="3">
        <f t="shared" si="433"/>
        <v>1.2760786908108374E-16</v>
      </c>
      <c r="G410" s="3">
        <f t="shared" si="433"/>
        <v>1.0000000000000001E-9</v>
      </c>
      <c r="H410" s="3">
        <f t="shared" si="433"/>
        <v>1.4246707401733272E-3</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6.7063984979372172E-28</v>
      </c>
      <c r="C411" s="3">
        <f t="shared" si="433"/>
        <v>7.5058032578469055E-23</v>
      </c>
      <c r="D411" s="3">
        <f t="shared" si="433"/>
        <v>1.5402499734235972E-20</v>
      </c>
      <c r="E411" s="3">
        <f t="shared" si="433"/>
        <v>1.1749274339626462E-18</v>
      </c>
      <c r="F411" s="3">
        <f t="shared" si="433"/>
        <v>1.2760786908108374E-15</v>
      </c>
      <c r="G411" s="3">
        <f t="shared" si="433"/>
        <v>1E-8</v>
      </c>
      <c r="H411" s="3">
        <f t="shared" si="433"/>
        <v>1.4246707401733271E-2</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6.7063984979372167E-27</v>
      </c>
      <c r="C412" s="3">
        <f t="shared" si="433"/>
        <v>7.5058032578469051E-22</v>
      </c>
      <c r="D412" s="3">
        <f t="shared" si="433"/>
        <v>1.5402499734235971E-19</v>
      </c>
      <c r="E412" s="3">
        <f t="shared" si="433"/>
        <v>1.1749274339626461E-17</v>
      </c>
      <c r="F412" s="3">
        <f t="shared" si="433"/>
        <v>1.2760786908108374E-14</v>
      </c>
      <c r="G412" s="3">
        <f t="shared" si="433"/>
        <v>9.9999999999999995E-8</v>
      </c>
      <c r="H412" s="3">
        <f t="shared" si="433"/>
        <v>0.14246707401733269</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6.7063984979372161E-26</v>
      </c>
      <c r="C413" s="3">
        <f t="shared" si="433"/>
        <v>7.5058032578469053E-21</v>
      </c>
      <c r="D413" s="3">
        <f t="shared" si="433"/>
        <v>1.5402499734235971E-18</v>
      </c>
      <c r="E413" s="3">
        <f t="shared" si="433"/>
        <v>1.174927433962646E-16</v>
      </c>
      <c r="F413" s="3">
        <f t="shared" si="433"/>
        <v>1.2760786908108374E-13</v>
      </c>
      <c r="G413" s="3">
        <f t="shared" si="433"/>
        <v>9.9999999999999995E-7</v>
      </c>
      <c r="H413" s="3">
        <f t="shared" si="433"/>
        <v>1.424670740173327</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6.7063984979372175E-25</v>
      </c>
      <c r="C414" s="3">
        <f t="shared" si="433"/>
        <v>7.5058032578469056E-20</v>
      </c>
      <c r="D414" s="3">
        <f t="shared" si="433"/>
        <v>1.5402499734235973E-17</v>
      </c>
      <c r="E414" s="3">
        <f t="shared" si="433"/>
        <v>1.1749274339626461E-15</v>
      </c>
      <c r="F414" s="3">
        <f t="shared" si="433"/>
        <v>1.2760786908108375E-12</v>
      </c>
      <c r="G414" s="3">
        <f t="shared" si="433"/>
        <v>1.0000000000000001E-5</v>
      </c>
      <c r="H414" s="3">
        <f t="shared" si="433"/>
        <v>14.246707401733271</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6.7063984979372166E-24</v>
      </c>
      <c r="C415" s="3">
        <f t="shared" si="433"/>
        <v>7.5058032578469051E-19</v>
      </c>
      <c r="D415" s="3">
        <f t="shared" si="433"/>
        <v>1.5402499734235973E-16</v>
      </c>
      <c r="E415" s="3">
        <f t="shared" si="433"/>
        <v>1.1749274339626462E-14</v>
      </c>
      <c r="F415" s="3">
        <f t="shared" si="433"/>
        <v>1.2760786908108375E-11</v>
      </c>
      <c r="G415" s="3">
        <f t="shared" si="433"/>
        <v>1E-4</v>
      </c>
      <c r="H415" s="3">
        <f t="shared" si="433"/>
        <v>142.46707401733272</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6.7063984979372174E-23</v>
      </c>
      <c r="C416" s="3">
        <f t="shared" si="433"/>
        <v>7.5058032578469051E-18</v>
      </c>
      <c r="D416" s="3">
        <f t="shared" si="433"/>
        <v>1.5402499734235971E-15</v>
      </c>
      <c r="E416" s="3">
        <f t="shared" si="433"/>
        <v>1.1749274339626463E-13</v>
      </c>
      <c r="F416" s="3">
        <f t="shared" si="433"/>
        <v>1.2760786908108375E-10</v>
      </c>
      <c r="G416" s="3">
        <f t="shared" si="433"/>
        <v>1E-3</v>
      </c>
      <c r="H416" s="3">
        <f t="shared" si="433"/>
        <v>1424.6707401733272</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6.7063984979372172E-22</v>
      </c>
      <c r="C417" s="3">
        <f t="shared" si="433"/>
        <v>7.5058032578469057E-17</v>
      </c>
      <c r="D417" s="3">
        <f t="shared" si="433"/>
        <v>1.5402499734235971E-14</v>
      </c>
      <c r="E417" s="3">
        <f t="shared" si="433"/>
        <v>1.1749274339626462E-12</v>
      </c>
      <c r="F417" s="3">
        <f t="shared" si="433"/>
        <v>1.2760786908108375E-9</v>
      </c>
      <c r="G417" s="3">
        <f t="shared" si="433"/>
        <v>0.01</v>
      </c>
      <c r="H417" s="3">
        <f t="shared" si="433"/>
        <v>14246.707401733271</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6.7063984979372168E-21</v>
      </c>
      <c r="C418" s="3">
        <f t="shared" si="433"/>
        <v>7.5058032578469059E-16</v>
      </c>
      <c r="D418" s="3">
        <f t="shared" si="433"/>
        <v>1.5402499734235971E-13</v>
      </c>
      <c r="E418" s="3">
        <f t="shared" si="433"/>
        <v>1.1749274339626461E-11</v>
      </c>
      <c r="F418" s="3">
        <f t="shared" si="433"/>
        <v>1.2760786908108374E-8</v>
      </c>
      <c r="G418" s="3">
        <f t="shared" si="433"/>
        <v>0.1</v>
      </c>
      <c r="H418" s="3">
        <f t="shared" si="433"/>
        <v>142467.07401733272</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6.7063984979372173E-20</v>
      </c>
      <c r="C419" s="3">
        <f t="shared" si="433"/>
        <v>7.5058032578469044E-15</v>
      </c>
      <c r="D419" s="3">
        <f t="shared" si="433"/>
        <v>1.5402499734235971E-12</v>
      </c>
      <c r="E419" s="3">
        <f t="shared" si="433"/>
        <v>1.1749274339626461E-10</v>
      </c>
      <c r="F419" s="3">
        <f t="shared" si="433"/>
        <v>1.2760786908108375E-7</v>
      </c>
      <c r="G419" s="3">
        <f t="shared" si="433"/>
        <v>1</v>
      </c>
      <c r="H419" s="3">
        <f t="shared" si="433"/>
        <v>1424670.740173327</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6.7063984979372173E-19</v>
      </c>
      <c r="C420" s="3">
        <f t="shared" si="434"/>
        <v>7.505803257846905E-14</v>
      </c>
      <c r="D420" s="3">
        <f t="shared" si="434"/>
        <v>1.540249973423597E-11</v>
      </c>
      <c r="E420" s="3">
        <f t="shared" si="434"/>
        <v>1.1749274339626461E-9</v>
      </c>
      <c r="F420" s="3">
        <f t="shared" si="434"/>
        <v>1.2760786908108375E-6</v>
      </c>
      <c r="G420" s="3">
        <f t="shared" si="434"/>
        <v>10</v>
      </c>
      <c r="H420" s="3">
        <f t="shared" si="434"/>
        <v>14246707.401733272</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6.7063984979372165E-18</v>
      </c>
      <c r="C421" s="3">
        <f t="shared" si="434"/>
        <v>7.5058032578469047E-13</v>
      </c>
      <c r="D421" s="3">
        <f t="shared" si="434"/>
        <v>1.540249973423597E-10</v>
      </c>
      <c r="E421" s="3">
        <f t="shared" si="434"/>
        <v>1.1749274339626461E-8</v>
      </c>
      <c r="F421" s="3">
        <f t="shared" si="434"/>
        <v>1.2760786908108375E-5</v>
      </c>
      <c r="G421" s="3">
        <f t="shared" si="434"/>
        <v>100</v>
      </c>
      <c r="H421" s="3">
        <f t="shared" si="434"/>
        <v>142467074.0173327</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6.7063984979372171E-17</v>
      </c>
      <c r="C422" s="3">
        <f t="shared" si="434"/>
        <v>7.5058032578469043E-12</v>
      </c>
      <c r="D422" s="3">
        <f t="shared" si="434"/>
        <v>1.5402499734235972E-9</v>
      </c>
      <c r="E422" s="3">
        <f t="shared" si="434"/>
        <v>1.1749274339626462E-7</v>
      </c>
      <c r="F422" s="3">
        <f t="shared" si="434"/>
        <v>1.2760786908108375E-4</v>
      </c>
      <c r="G422" s="3">
        <f t="shared" si="434"/>
        <v>1000</v>
      </c>
      <c r="H422" s="3">
        <f t="shared" si="434"/>
        <v>1424670740.1733272</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6.7063984979372166E-16</v>
      </c>
      <c r="C423" s="3">
        <f t="shared" si="434"/>
        <v>7.505803257846905E-11</v>
      </c>
      <c r="D423" s="3">
        <f t="shared" si="434"/>
        <v>1.540249973423597E-8</v>
      </c>
      <c r="E423" s="3">
        <f t="shared" si="434"/>
        <v>1.1749274339626462E-6</v>
      </c>
      <c r="F423" s="3">
        <f t="shared" si="434"/>
        <v>1.2760786908108375E-3</v>
      </c>
      <c r="G423" s="3">
        <f t="shared" si="434"/>
        <v>10000</v>
      </c>
      <c r="H423" s="3">
        <f t="shared" si="434"/>
        <v>14246707401.733271</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6.7063984979372168E-15</v>
      </c>
      <c r="C424" s="3">
        <f t="shared" si="434"/>
        <v>7.5058032578469052E-10</v>
      </c>
      <c r="D424" s="3">
        <f t="shared" si="434"/>
        <v>1.540249973423597E-7</v>
      </c>
      <c r="E424" s="3">
        <f t="shared" si="434"/>
        <v>1.1749274339626461E-5</v>
      </c>
      <c r="F424" s="3">
        <f t="shared" si="434"/>
        <v>1.2760786908108375E-2</v>
      </c>
      <c r="G424" s="3">
        <f t="shared" si="434"/>
        <v>100000</v>
      </c>
      <c r="H424" s="3">
        <f t="shared" si="434"/>
        <v>142467074017.3327</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6.7063984979372173E-14</v>
      </c>
      <c r="C425" s="3">
        <f t="shared" si="434"/>
        <v>7.5058032578469054E-9</v>
      </c>
      <c r="D425" s="3">
        <f t="shared" si="434"/>
        <v>1.5402499734235972E-6</v>
      </c>
      <c r="E425" s="3">
        <f t="shared" si="434"/>
        <v>1.1749274339626461E-4</v>
      </c>
      <c r="F425" s="3">
        <f t="shared" si="434"/>
        <v>0.12760786908108374</v>
      </c>
      <c r="G425" s="3">
        <f t="shared" si="434"/>
        <v>1000000</v>
      </c>
      <c r="H425" s="3">
        <f t="shared" si="434"/>
        <v>1424670740173.3271</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6.7063984979372171E-13</v>
      </c>
      <c r="C426" s="3">
        <f t="shared" si="434"/>
        <v>7.5058032578469048E-8</v>
      </c>
      <c r="D426" s="3">
        <f t="shared" si="434"/>
        <v>1.5402499734235973E-5</v>
      </c>
      <c r="E426" s="3">
        <f t="shared" si="434"/>
        <v>1.1749274339626461E-3</v>
      </c>
      <c r="F426" s="3">
        <f t="shared" si="434"/>
        <v>1.2760786908108375</v>
      </c>
      <c r="G426" s="3">
        <f t="shared" si="434"/>
        <v>10000000</v>
      </c>
      <c r="H426" s="3">
        <f t="shared" si="434"/>
        <v>14246707401733.271</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6.7063984979372165E-12</v>
      </c>
      <c r="C427" s="3">
        <f t="shared" si="434"/>
        <v>7.5058032578469053E-7</v>
      </c>
      <c r="D427" s="3">
        <f t="shared" si="434"/>
        <v>1.5402499734235971E-4</v>
      </c>
      <c r="E427" s="3">
        <f t="shared" si="434"/>
        <v>1.1749274339626461E-2</v>
      </c>
      <c r="F427" s="3">
        <f t="shared" si="434"/>
        <v>12.760786908108374</v>
      </c>
      <c r="G427" s="3">
        <f t="shared" si="434"/>
        <v>100000000</v>
      </c>
      <c r="H427" s="3">
        <f t="shared" si="434"/>
        <v>142467074017332.72</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6.7063984979372163E-11</v>
      </c>
      <c r="C428" s="3">
        <f t="shared" si="434"/>
        <v>7.5058032578469047E-6</v>
      </c>
      <c r="D428" s="3">
        <f t="shared" si="434"/>
        <v>1.5402499734235972E-3</v>
      </c>
      <c r="E428" s="3">
        <f t="shared" si="434"/>
        <v>0.11749274339626462</v>
      </c>
      <c r="F428" s="3">
        <f t="shared" si="434"/>
        <v>127.60786908108375</v>
      </c>
      <c r="G428" s="3">
        <f t="shared" si="434"/>
        <v>1000000000</v>
      </c>
      <c r="H428" s="3">
        <f t="shared" si="434"/>
        <v>1424670740173327</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6.7063984979372165E-10</v>
      </c>
      <c r="C429" s="3">
        <f t="shared" si="434"/>
        <v>7.5058032578469055E-5</v>
      </c>
      <c r="D429" s="3">
        <f t="shared" si="434"/>
        <v>1.5402499734235971E-2</v>
      </c>
      <c r="E429" s="3">
        <f t="shared" si="434"/>
        <v>1.1749274339626461</v>
      </c>
      <c r="F429" s="3">
        <f t="shared" si="434"/>
        <v>1276.0786908108373</v>
      </c>
      <c r="G429" s="3">
        <f t="shared" si="434"/>
        <v>10000000000</v>
      </c>
      <c r="H429" s="3">
        <f t="shared" si="434"/>
        <v>1.424670740173327E+16</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6.706398497937217E-9</v>
      </c>
      <c r="C430" s="3">
        <f t="shared" si="434"/>
        <v>7.505803257846905E-4</v>
      </c>
      <c r="D430" s="3">
        <f t="shared" si="434"/>
        <v>0.15402499734235972</v>
      </c>
      <c r="E430" s="3">
        <f t="shared" si="434"/>
        <v>11.749274339626462</v>
      </c>
      <c r="F430" s="3">
        <f t="shared" si="434"/>
        <v>12760.786908108374</v>
      </c>
      <c r="G430" s="3">
        <f t="shared" si="434"/>
        <v>100000000000</v>
      </c>
      <c r="H430" s="3">
        <f t="shared" si="434"/>
        <v>1.424670740173327E+17</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6.7063984979372163E-8</v>
      </c>
      <c r="C431" s="3">
        <f t="shared" si="434"/>
        <v>7.5058032578469054E-3</v>
      </c>
      <c r="D431" s="3">
        <f t="shared" si="434"/>
        <v>1.540249973423597</v>
      </c>
      <c r="E431" s="3">
        <f t="shared" si="434"/>
        <v>117.49274339626461</v>
      </c>
      <c r="F431" s="3">
        <f t="shared" si="434"/>
        <v>127607.86908108374</v>
      </c>
      <c r="G431" s="3">
        <f t="shared" si="434"/>
        <v>1000000000000</v>
      </c>
      <c r="H431" s="3">
        <f t="shared" si="434"/>
        <v>1.4246707401733271E+18</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6.7063984979372166E-7</v>
      </c>
      <c r="C432" s="3">
        <f t="shared" si="434"/>
        <v>7.5058032578469047E-2</v>
      </c>
      <c r="D432" s="3">
        <f t="shared" si="434"/>
        <v>15.40249973423597</v>
      </c>
      <c r="E432" s="3">
        <f t="shared" si="434"/>
        <v>1174.9274339626461</v>
      </c>
      <c r="F432" s="3">
        <f t="shared" si="434"/>
        <v>1276078.6908108373</v>
      </c>
      <c r="G432" s="3">
        <f t="shared" si="434"/>
        <v>10000000000000</v>
      </c>
      <c r="H432" s="3">
        <f t="shared" si="434"/>
        <v>1.4246707401733272E+19</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6.7063984979372172E-6</v>
      </c>
      <c r="C433" s="3">
        <f t="shared" si="434"/>
        <v>0.75058032578469047</v>
      </c>
      <c r="D433" s="3">
        <f t="shared" si="434"/>
        <v>154.02499734235971</v>
      </c>
      <c r="E433" s="3">
        <f t="shared" si="434"/>
        <v>11749.274339626461</v>
      </c>
      <c r="F433" s="3">
        <f t="shared" si="434"/>
        <v>12760786.908108374</v>
      </c>
      <c r="G433" s="3">
        <f t="shared" si="434"/>
        <v>100000000000000</v>
      </c>
      <c r="H433" s="3">
        <f t="shared" si="434"/>
        <v>1.4246707401733271E+20</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6.7063984979372172E-5</v>
      </c>
      <c r="C434" s="3">
        <f t="shared" si="434"/>
        <v>7.5058032578469049</v>
      </c>
      <c r="D434" s="3">
        <f t="shared" si="434"/>
        <v>1540.2499734235971</v>
      </c>
      <c r="E434" s="3">
        <f t="shared" si="434"/>
        <v>117492.74339626462</v>
      </c>
      <c r="F434" s="3">
        <f t="shared" si="434"/>
        <v>127607869.08108374</v>
      </c>
      <c r="G434" s="3">
        <f t="shared" si="434"/>
        <v>1000000000000000</v>
      </c>
      <c r="H434" s="3">
        <f t="shared" si="434"/>
        <v>1.4246707401733272E+21</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-44.148639789513958</v>
      </c>
      <c r="M1" s="54">
        <v>1</v>
      </c>
      <c r="N1" s="56">
        <f>INDEX($H$217:$P$217,1,Q1)</f>
        <v>0.39221841834373827</v>
      </c>
      <c r="O1" s="11"/>
      <c r="P1" s="55">
        <v>1</v>
      </c>
      <c r="Q1" s="11">
        <v>2</v>
      </c>
    </row>
    <row r="2" spans="1:17" x14ac:dyDescent="0.25">
      <c r="A2" s="11">
        <f>'Mastercurve bestimmen'!M119</f>
        <v>0</v>
      </c>
      <c r="B2" s="11">
        <f>'Mastercurve bestimmen'!N119</f>
        <v>-32.523099905859404</v>
      </c>
      <c r="M2" s="54">
        <v>2</v>
      </c>
      <c r="N2" s="56">
        <f t="shared" ref="N2:N9" si="0">INDEX($H$217:$P$217,1,Q2)</f>
        <v>5.1965887951144966E-4</v>
      </c>
      <c r="O2" s="11"/>
      <c r="P2" s="55">
        <v>2</v>
      </c>
      <c r="Q2" s="11">
        <f>Q1+1</f>
        <v>3</v>
      </c>
    </row>
    <row r="3" spans="1:17" x14ac:dyDescent="0.25">
      <c r="A3" s="11">
        <f>'Mastercurve bestimmen'!M120</f>
        <v>25</v>
      </c>
      <c r="B3" s="11">
        <f>'Mastercurve bestimmen'!N120</f>
        <v>-27.199076392270609</v>
      </c>
      <c r="M3" s="54">
        <v>3</v>
      </c>
      <c r="N3" s="56">
        <f t="shared" si="0"/>
        <v>-1.1342579241560348E-6</v>
      </c>
      <c r="O3" s="11"/>
      <c r="P3" s="55">
        <v>3</v>
      </c>
      <c r="Q3" s="11">
        <f t="shared" ref="Q3:Q8" si="1">Q2+1</f>
        <v>4</v>
      </c>
    </row>
    <row r="4" spans="1:17" x14ac:dyDescent="0.25">
      <c r="A4" s="11">
        <f>'Mastercurve bestimmen'!M121</f>
        <v>50</v>
      </c>
      <c r="B4" s="11">
        <f>'Mastercurve bestimmen'!N121</f>
        <v>-22.864644542581122</v>
      </c>
      <c r="M4" s="54">
        <v>4</v>
      </c>
      <c r="N4" s="56">
        <f t="shared" si="0"/>
        <v>1.0611049046546597E-7</v>
      </c>
      <c r="O4" s="11"/>
      <c r="P4" s="55">
        <v>4</v>
      </c>
      <c r="Q4" s="11">
        <f t="shared" si="1"/>
        <v>5</v>
      </c>
    </row>
    <row r="5" spans="1:17" x14ac:dyDescent="0.25">
      <c r="A5" s="11">
        <f>'Mastercurve bestimmen'!M122</f>
        <v>80</v>
      </c>
      <c r="B5" s="11">
        <f>'Mastercurve bestimmen'!N122</f>
        <v>-15.874303798022783</v>
      </c>
      <c r="M5" s="54">
        <v>5</v>
      </c>
      <c r="N5" s="56">
        <f t="shared" si="0"/>
        <v>-3.496097996826968E-9</v>
      </c>
      <c r="O5" s="11"/>
      <c r="P5" s="55">
        <v>5</v>
      </c>
      <c r="Q5" s="11">
        <f t="shared" si="1"/>
        <v>6</v>
      </c>
    </row>
    <row r="6" spans="1:17" x14ac:dyDescent="0.25">
      <c r="A6" s="11">
        <f>'Mastercurve bestimmen'!M123</f>
        <v>125</v>
      </c>
      <c r="B6" s="11">
        <f>'Mastercurve bestimmen'!N123</f>
        <v>0</v>
      </c>
      <c r="M6" s="54">
        <v>6</v>
      </c>
      <c r="N6" s="56">
        <f t="shared" si="0"/>
        <v>-7.7300896494968135E-11</v>
      </c>
      <c r="O6" s="11"/>
      <c r="P6" s="55">
        <v>6</v>
      </c>
      <c r="Q6" s="11">
        <f t="shared" si="1"/>
        <v>7</v>
      </c>
    </row>
    <row r="7" spans="1:17" x14ac:dyDescent="0.25">
      <c r="A7" s="11">
        <f>'Mastercurve bestimmen'!M124</f>
        <v>160</v>
      </c>
      <c r="B7" s="11">
        <f>'Mastercurve bestimmen'!N124</f>
        <v>14.169451285459033</v>
      </c>
      <c r="M7" s="54">
        <v>7</v>
      </c>
      <c r="N7" s="56">
        <f t="shared" si="0"/>
        <v>-4.6218679567194521E-13</v>
      </c>
      <c r="O7" s="11"/>
      <c r="P7" s="55">
        <v>7</v>
      </c>
      <c r="Q7" s="11">
        <f t="shared" si="1"/>
        <v>8</v>
      </c>
    </row>
    <row r="8" spans="1:17" x14ac:dyDescent="0.25">
      <c r="A8" s="11"/>
      <c r="B8" s="11"/>
      <c r="M8" s="54">
        <v>8</v>
      </c>
      <c r="N8" s="56">
        <f t="shared" si="0"/>
        <v>-8.804868497760777E-16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-44.148639789513958</v>
      </c>
      <c r="E15" s="11">
        <f>A15-'Mastercurve bestimmen'!$B$2</f>
        <v>-165</v>
      </c>
      <c r="F15" s="11">
        <f>B15</f>
        <v>-44.148639789513958</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-43.917097847056944</v>
      </c>
      <c r="E16" s="11">
        <f>A16-'Mastercurve bestimmen'!$B$2</f>
        <v>-164</v>
      </c>
      <c r="F16" s="11">
        <f t="shared" ref="F16:F79" si="4">B16</f>
        <v>-43.917097847056944</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-43.685334153925872</v>
      </c>
      <c r="E17" s="11">
        <f>A17-'Mastercurve bestimmen'!$B$2</f>
        <v>-163</v>
      </c>
      <c r="F17" s="11">
        <f t="shared" si="4"/>
        <v>-43.685334153925872</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-43.453126959446706</v>
      </c>
      <c r="E18" s="11">
        <f>A18-'Mastercurve bestimmen'!$B$2</f>
        <v>-162</v>
      </c>
      <c r="F18" s="11">
        <f t="shared" si="4"/>
        <v>-43.453126959446706</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-43.220254512945388</v>
      </c>
      <c r="E19" s="11">
        <f>A19-'Mastercurve bestimmen'!$B$2</f>
        <v>-161</v>
      </c>
      <c r="F19" s="11">
        <f t="shared" si="4"/>
        <v>-43.220254512945388</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-42.986495063747874</v>
      </c>
      <c r="E20" s="11">
        <f>A20-'Mastercurve bestimmen'!$B$2</f>
        <v>-160</v>
      </c>
      <c r="F20" s="11">
        <f t="shared" si="4"/>
        <v>-42.986495063747874</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-42.751626861180107</v>
      </c>
      <c r="E21" s="11">
        <f>A21-'Mastercurve bestimmen'!$B$2</f>
        <v>-159</v>
      </c>
      <c r="F21" s="11">
        <f t="shared" si="4"/>
        <v>-42.751626861180107</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-42.515428154568028</v>
      </c>
      <c r="E22" s="11">
        <f>A22-'Mastercurve bestimmen'!$B$2</f>
        <v>-158</v>
      </c>
      <c r="F22" s="11">
        <f t="shared" si="4"/>
        <v>-42.515428154568028</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-42.277677193237615</v>
      </c>
      <c r="E23" s="11">
        <f>A23-'Mastercurve bestimmen'!$B$2</f>
        <v>-157</v>
      </c>
      <c r="F23" s="11">
        <f t="shared" si="4"/>
        <v>-42.277677193237615</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-42.038152226514796</v>
      </c>
      <c r="E24" s="11">
        <f>A24-'Mastercurve bestimmen'!$B$2</f>
        <v>-156</v>
      </c>
      <c r="F24" s="11">
        <f t="shared" si="4"/>
        <v>-42.038152226514796</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-41.796631503725521</v>
      </c>
      <c r="E25" s="11">
        <f>A25-'Mastercurve bestimmen'!$B$2</f>
        <v>-155</v>
      </c>
      <c r="F25" s="11">
        <f t="shared" si="4"/>
        <v>-41.796631503725521</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-41.552893274195753</v>
      </c>
      <c r="E26" s="11">
        <f>A26-'Mastercurve bestimmen'!$B$2</f>
        <v>-154</v>
      </c>
      <c r="F26" s="11">
        <f t="shared" si="4"/>
        <v>-41.552893274195753</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-41.306715787251427</v>
      </c>
      <c r="E27" s="11">
        <f>A27-'Mastercurve bestimmen'!$B$2</f>
        <v>-153</v>
      </c>
      <c r="F27" s="11">
        <f t="shared" si="4"/>
        <v>-41.306715787251427</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-41.057877292218507</v>
      </c>
      <c r="E28" s="11">
        <f>A28-'Mastercurve bestimmen'!$B$2</f>
        <v>-152</v>
      </c>
      <c r="F28" s="11">
        <f t="shared" si="4"/>
        <v>-41.057877292218507</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-40.806156038422927</v>
      </c>
      <c r="E29" s="11">
        <f>A29-'Mastercurve bestimmen'!$B$2</f>
        <v>-151</v>
      </c>
      <c r="F29" s="11">
        <f t="shared" si="4"/>
        <v>-40.806156038422927</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-40.551330275190658</v>
      </c>
      <c r="E30" s="11">
        <f>A30-'Mastercurve bestimmen'!$B$2</f>
        <v>-150</v>
      </c>
      <c r="F30" s="11">
        <f t="shared" si="4"/>
        <v>-40.551330275190658</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-40.293178251847628</v>
      </c>
      <c r="E31" s="11">
        <f>A31-'Mastercurve bestimmen'!$B$2</f>
        <v>-149</v>
      </c>
      <c r="F31" s="11">
        <f t="shared" si="4"/>
        <v>-40.293178251847628</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-40.031478217719801</v>
      </c>
      <c r="E32" s="11">
        <f>A32-'Mastercurve bestimmen'!$B$2</f>
        <v>-148</v>
      </c>
      <c r="F32" s="11">
        <f t="shared" si="4"/>
        <v>-40.031478217719801</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-39.766008422133119</v>
      </c>
      <c r="E33" s="11">
        <f>A33-'Mastercurve bestimmen'!$B$2</f>
        <v>-147</v>
      </c>
      <c r="F33" s="11">
        <f t="shared" si="4"/>
        <v>-39.766008422133119</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-39.496547114413538</v>
      </c>
      <c r="E34" s="11">
        <f>A34-'Mastercurve bestimmen'!$B$2</f>
        <v>-146</v>
      </c>
      <c r="F34" s="11">
        <f t="shared" si="4"/>
        <v>-39.496547114413538</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-39.222872543887007</v>
      </c>
      <c r="E35" s="11">
        <f>A35-'Mastercurve bestimmen'!$B$2</f>
        <v>-145</v>
      </c>
      <c r="F35" s="11">
        <f t="shared" si="4"/>
        <v>-39.222872543887007</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-38.944762959879476</v>
      </c>
      <c r="E36" s="11">
        <f>A36-'Mastercurve bestimmen'!$B$2</f>
        <v>-144</v>
      </c>
      <c r="F36" s="11">
        <f t="shared" si="4"/>
        <v>-38.944762959879476</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-38.661996611716887</v>
      </c>
      <c r="E37" s="11">
        <f>A37-'Mastercurve bestimmen'!$B$2</f>
        <v>-143</v>
      </c>
      <c r="F37" s="11">
        <f t="shared" si="4"/>
        <v>-38.661996611716887</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-38.374351748725203</v>
      </c>
      <c r="E38" s="11">
        <f>A38-'Mastercurve bestimmen'!$B$2</f>
        <v>-142</v>
      </c>
      <c r="F38" s="11">
        <f t="shared" si="4"/>
        <v>-38.374351748725203</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-38.08160662023036</v>
      </c>
      <c r="E39" s="11">
        <f>A39-'Mastercurve bestimmen'!$B$2</f>
        <v>-141</v>
      </c>
      <c r="F39" s="11">
        <f t="shared" si="4"/>
        <v>-38.08160662023036</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-37.783539475558314</v>
      </c>
      <c r="E40" s="11">
        <f>A40-'Mastercurve bestimmen'!$B$2</f>
        <v>-140</v>
      </c>
      <c r="F40" s="11">
        <f t="shared" si="4"/>
        <v>-37.783539475558314</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-37.479928564035021</v>
      </c>
      <c r="E41" s="11">
        <f>A41-'Mastercurve bestimmen'!$B$2</f>
        <v>-139</v>
      </c>
      <c r="F41" s="11">
        <f t="shared" si="4"/>
        <v>-37.479928564035021</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-37.17055213498643</v>
      </c>
      <c r="E42" s="11">
        <f>A42-'Mastercurve bestimmen'!$B$2</f>
        <v>-138</v>
      </c>
      <c r="F42" s="11">
        <f t="shared" si="4"/>
        <v>-37.17055213498643</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-36.855188437738477</v>
      </c>
      <c r="E43" s="11">
        <f>A43-'Mastercurve bestimmen'!$B$2</f>
        <v>-137</v>
      </c>
      <c r="F43" s="11">
        <f t="shared" si="4"/>
        <v>-36.855188437738477</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-36.533615721617124</v>
      </c>
      <c r="E44" s="11">
        <f>A44-'Mastercurve bestimmen'!$B$2</f>
        <v>-136</v>
      </c>
      <c r="F44" s="11">
        <f t="shared" si="4"/>
        <v>-36.533615721617124</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-36.20561223594833</v>
      </c>
      <c r="E45" s="11">
        <f>A45-'Mastercurve bestimmen'!$B$2</f>
        <v>-135</v>
      </c>
      <c r="F45" s="11">
        <f t="shared" si="4"/>
        <v>-36.20561223594833</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-35.87095623005802</v>
      </c>
      <c r="E46" s="11">
        <f>A46-'Mastercurve bestimmen'!$B$2</f>
        <v>-134</v>
      </c>
      <c r="F46" s="11">
        <f t="shared" si="4"/>
        <v>-35.87095623005802</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-35.529425953272167</v>
      </c>
      <c r="E47" s="11">
        <f>A47-'Mastercurve bestimmen'!$B$2</f>
        <v>-133</v>
      </c>
      <c r="F47" s="11">
        <f t="shared" si="4"/>
        <v>-35.529425953272167</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-35.180799654916704</v>
      </c>
      <c r="E48" s="11">
        <f>A48-'Mastercurve bestimmen'!$B$2</f>
        <v>-132</v>
      </c>
      <c r="F48" s="11">
        <f t="shared" si="4"/>
        <v>-35.180799654916704</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-34.824855584317589</v>
      </c>
      <c r="E49" s="11">
        <f>A49-'Mastercurve bestimmen'!$B$2</f>
        <v>-131</v>
      </c>
      <c r="F49" s="11">
        <f t="shared" si="4"/>
        <v>-34.824855584317589</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-34.461371990800778</v>
      </c>
      <c r="E50" s="11">
        <f>A50-'Mastercurve bestimmen'!$B$2</f>
        <v>-130</v>
      </c>
      <c r="F50" s="11">
        <f t="shared" si="4"/>
        <v>-34.461371990800778</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-34.090127123692206</v>
      </c>
      <c r="E51" s="11">
        <f>A51-'Mastercurve bestimmen'!$B$2</f>
        <v>-129</v>
      </c>
      <c r="F51" s="11">
        <f t="shared" si="4"/>
        <v>-34.090127123692206</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-33.710899232317843</v>
      </c>
      <c r="E52" s="11">
        <f>A52-'Mastercurve bestimmen'!$B$2</f>
        <v>-128</v>
      </c>
      <c r="F52" s="11">
        <f t="shared" si="4"/>
        <v>-33.710899232317843</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-33.32346656600361</v>
      </c>
      <c r="E53" s="11">
        <f>A53-'Mastercurve bestimmen'!$B$2</f>
        <v>-127</v>
      </c>
      <c r="F53" s="11">
        <f t="shared" si="4"/>
        <v>-33.32346656600361</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-32.927607374075485</v>
      </c>
      <c r="E54" s="11">
        <f>A54-'Mastercurve bestimmen'!$B$2</f>
        <v>-126</v>
      </c>
      <c r="F54" s="11">
        <f t="shared" si="4"/>
        <v>-32.927607374075485</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-32.523099905859404</v>
      </c>
      <c r="E55" s="11">
        <f>A55-'Mastercurve bestimmen'!$B$2</f>
        <v>-125</v>
      </c>
      <c r="F55" s="11">
        <f t="shared" si="4"/>
        <v>-32.523099905859404</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-32.356991978104546</v>
      </c>
      <c r="E56" s="11">
        <f>A56-'Mastercurve bestimmen'!$B$2</f>
        <v>-124</v>
      </c>
      <c r="F56" s="11">
        <f t="shared" si="4"/>
        <v>-32.356991978104546</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-32.182586978298787</v>
      </c>
      <c r="E57" s="11">
        <f>A57-'Mastercurve bestimmen'!$B$2</f>
        <v>-123</v>
      </c>
      <c r="F57" s="11">
        <f t="shared" si="4"/>
        <v>-32.182586978298787</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-32.000457861353247</v>
      </c>
      <c r="E58" s="11">
        <f>A58-'Mastercurve bestimmen'!$B$2</f>
        <v>-122</v>
      </c>
      <c r="F58" s="11">
        <f t="shared" si="4"/>
        <v>-32.000457861353247</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-31.811177582179031</v>
      </c>
      <c r="E59" s="11">
        <f>A59-'Mastercurve bestimmen'!$B$2</f>
        <v>-121</v>
      </c>
      <c r="F59" s="11">
        <f t="shared" si="4"/>
        <v>-31.811177582179031</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-31.615319095687251</v>
      </c>
      <c r="E60" s="11">
        <f>A60-'Mastercurve bestimmen'!$B$2</f>
        <v>-120</v>
      </c>
      <c r="F60" s="11">
        <f t="shared" si="4"/>
        <v>-31.615319095687251</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-31.413455356789008</v>
      </c>
      <c r="E61" s="11">
        <f>A61-'Mastercurve bestimmen'!$B$2</f>
        <v>-119</v>
      </c>
      <c r="F61" s="11">
        <f t="shared" si="4"/>
        <v>-31.413455356789008</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-31.206159320395422</v>
      </c>
      <c r="E62" s="11">
        <f>A62-'Mastercurve bestimmen'!$B$2</f>
        <v>-118</v>
      </c>
      <c r="F62" s="11">
        <f t="shared" si="4"/>
        <v>-31.206159320395422</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-30.994003941417592</v>
      </c>
      <c r="E63" s="11">
        <f>A63-'Mastercurve bestimmen'!$B$2</f>
        <v>-117</v>
      </c>
      <c r="F63" s="11">
        <f t="shared" si="4"/>
        <v>-30.994003941417592</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-30.777562174766636</v>
      </c>
      <c r="E64" s="11">
        <f>A64-'Mastercurve bestimmen'!$B$2</f>
        <v>-116</v>
      </c>
      <c r="F64" s="11">
        <f t="shared" si="4"/>
        <v>-30.777562174766636</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-30.557406975353658</v>
      </c>
      <c r="E65" s="11">
        <f>A65-'Mastercurve bestimmen'!$B$2</f>
        <v>-115</v>
      </c>
      <c r="F65" s="11">
        <f t="shared" si="4"/>
        <v>-30.557406975353658</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-30.334111298089763</v>
      </c>
      <c r="E66" s="11">
        <f>A66-'Mastercurve bestimmen'!$B$2</f>
        <v>-114</v>
      </c>
      <c r="F66" s="11">
        <f t="shared" si="4"/>
        <v>-30.334111298089763</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-30.108248097886069</v>
      </c>
      <c r="E67" s="11">
        <f>A67-'Mastercurve bestimmen'!$B$2</f>
        <v>-113</v>
      </c>
      <c r="F67" s="11">
        <f t="shared" si="4"/>
        <v>-30.108248097886069</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-29.880390329653682</v>
      </c>
      <c r="E68" s="11">
        <f>A68-'Mastercurve bestimmen'!$B$2</f>
        <v>-112</v>
      </c>
      <c r="F68" s="11">
        <f t="shared" si="4"/>
        <v>-29.880390329653682</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-29.651110948303703</v>
      </c>
      <c r="E69" s="11">
        <f>A69-'Mastercurve bestimmen'!$B$2</f>
        <v>-111</v>
      </c>
      <c r="F69" s="11">
        <f t="shared" si="4"/>
        <v>-29.651110948303703</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-29.420982908747256</v>
      </c>
      <c r="E70" s="11">
        <f>A70-'Mastercurve bestimmen'!$B$2</f>
        <v>-110</v>
      </c>
      <c r="F70" s="11">
        <f t="shared" si="4"/>
        <v>-29.420982908747256</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-29.190579165895443</v>
      </c>
      <c r="E71" s="11">
        <f>A71-'Mastercurve bestimmen'!$B$2</f>
        <v>-109</v>
      </c>
      <c r="F71" s="11">
        <f t="shared" si="4"/>
        <v>-29.190579165895443</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-28.960472674659368</v>
      </c>
      <c r="E72" s="11">
        <f>A72-'Mastercurve bestimmen'!$B$2</f>
        <v>-108</v>
      </c>
      <c r="F72" s="11">
        <f t="shared" si="4"/>
        <v>-28.960472674659368</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-28.731236389950148</v>
      </c>
      <c r="E73" s="11">
        <f>A73-'Mastercurve bestimmen'!$B$2</f>
        <v>-107</v>
      </c>
      <c r="F73" s="11">
        <f t="shared" si="4"/>
        <v>-28.731236389950148</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-28.503443266678886</v>
      </c>
      <c r="E74" s="11">
        <f>A74-'Mastercurve bestimmen'!$B$2</f>
        <v>-106</v>
      </c>
      <c r="F74" s="11">
        <f t="shared" si="4"/>
        <v>-28.503443266678886</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-28.277666259756696</v>
      </c>
      <c r="E75" s="11">
        <f>A75-'Mastercurve bestimmen'!$B$2</f>
        <v>-105</v>
      </c>
      <c r="F75" s="11">
        <f t="shared" si="4"/>
        <v>-28.277666259756696</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-28.054478324094685</v>
      </c>
      <c r="E76" s="11">
        <f>A76-'Mastercurve bestimmen'!$B$2</f>
        <v>-104</v>
      </c>
      <c r="F76" s="11">
        <f t="shared" si="4"/>
        <v>-28.054478324094685</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-27.834452414603959</v>
      </c>
      <c r="E77" s="11">
        <f>A77-'Mastercurve bestimmen'!$B$2</f>
        <v>-103</v>
      </c>
      <c r="F77" s="11">
        <f t="shared" si="4"/>
        <v>-27.834452414603959</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-27.618161486195635</v>
      </c>
      <c r="E78" s="11">
        <f>A78-'Mastercurve bestimmen'!$B$2</f>
        <v>-102</v>
      </c>
      <c r="F78" s="11">
        <f t="shared" si="4"/>
        <v>-27.618161486195635</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-27.406178493780814</v>
      </c>
      <c r="E79" s="11">
        <f>A79-'Mastercurve bestimmen'!$B$2</f>
        <v>-101</v>
      </c>
      <c r="F79" s="11">
        <f t="shared" si="4"/>
        <v>-27.406178493780814</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-27.199076392270612</v>
      </c>
      <c r="E80" s="11">
        <f>A80-'Mastercurve bestimmen'!$B$2</f>
        <v>-100</v>
      </c>
      <c r="F80" s="11">
        <f t="shared" ref="F80:F143" si="10">B80</f>
        <v>-27.199076392270612</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-26.997273316609995</v>
      </c>
      <c r="E81" s="11">
        <f>A81-'Mastercurve bestimmen'!$B$2</f>
        <v>-99</v>
      </c>
      <c r="F81" s="11">
        <f t="shared" si="10"/>
        <v>-26.997273316609995</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-26.800568121879369</v>
      </c>
      <c r="E82" s="11">
        <f>A82-'Mastercurve bestimmen'!$B$2</f>
        <v>-98</v>
      </c>
      <c r="F82" s="11">
        <f t="shared" si="10"/>
        <v>-26.800568121879369</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-26.608604843193017</v>
      </c>
      <c r="E83" s="11">
        <f>A83-'Mastercurve bestimmen'!$B$2</f>
        <v>-97</v>
      </c>
      <c r="F83" s="11">
        <f t="shared" si="10"/>
        <v>-26.608604843193017</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-26.421027515665209</v>
      </c>
      <c r="E84" s="11">
        <f>A84-'Mastercurve bestimmen'!$B$2</f>
        <v>-96</v>
      </c>
      <c r="F84" s="11">
        <f t="shared" si="10"/>
        <v>-26.421027515665209</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-26.237480174410216</v>
      </c>
      <c r="E85" s="11">
        <f>A85-'Mastercurve bestimmen'!$B$2</f>
        <v>-95</v>
      </c>
      <c r="F85" s="11">
        <f t="shared" si="10"/>
        <v>-26.237480174410216</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-26.057606854542307</v>
      </c>
      <c r="E86" s="11">
        <f>A86-'Mastercurve bestimmen'!$B$2</f>
        <v>-94</v>
      </c>
      <c r="F86" s="11">
        <f t="shared" si="10"/>
        <v>-26.057606854542307</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-25.881051591175762</v>
      </c>
      <c r="E87" s="11">
        <f>A87-'Mastercurve bestimmen'!$B$2</f>
        <v>-93</v>
      </c>
      <c r="F87" s="11">
        <f t="shared" si="10"/>
        <v>-25.881051591175762</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-25.707458419424846</v>
      </c>
      <c r="E88" s="11">
        <f>A88-'Mastercurve bestimmen'!$B$2</f>
        <v>-92</v>
      </c>
      <c r="F88" s="11">
        <f t="shared" si="10"/>
        <v>-25.707458419424846</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-25.536471374403831</v>
      </c>
      <c r="E89" s="11">
        <f>A89-'Mastercurve bestimmen'!$B$2</f>
        <v>-91</v>
      </c>
      <c r="F89" s="11">
        <f t="shared" si="10"/>
        <v>-25.536471374403831</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-25.367734491227001</v>
      </c>
      <c r="E90" s="11">
        <f>A90-'Mastercurve bestimmen'!$B$2</f>
        <v>-90</v>
      </c>
      <c r="F90" s="11">
        <f t="shared" si="10"/>
        <v>-25.367734491227001</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-25.200891805008617</v>
      </c>
      <c r="E91" s="11">
        <f>A91-'Mastercurve bestimmen'!$B$2</f>
        <v>-89</v>
      </c>
      <c r="F91" s="11">
        <f t="shared" si="10"/>
        <v>-25.200891805008617</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-25.035587350862961</v>
      </c>
      <c r="E92" s="11">
        <f>A92-'Mastercurve bestimmen'!$B$2</f>
        <v>-88</v>
      </c>
      <c r="F92" s="11">
        <f t="shared" si="10"/>
        <v>-25.035587350862961</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-24.87146516390429</v>
      </c>
      <c r="E93" s="11">
        <f>A93-'Mastercurve bestimmen'!$B$2</f>
        <v>-87</v>
      </c>
      <c r="F93" s="11">
        <f t="shared" si="10"/>
        <v>-24.87146516390429</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-24.708169279246896</v>
      </c>
      <c r="E94" s="11">
        <f>A94-'Mastercurve bestimmen'!$B$2</f>
        <v>-86</v>
      </c>
      <c r="F94" s="11">
        <f t="shared" si="10"/>
        <v>-24.708169279246896</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-24.545343732005037</v>
      </c>
      <c r="E95" s="11">
        <f>A95-'Mastercurve bestimmen'!$B$2</f>
        <v>-85</v>
      </c>
      <c r="F95" s="11">
        <f t="shared" si="10"/>
        <v>-24.545343732005037</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-24.382632557292993</v>
      </c>
      <c r="E96" s="11">
        <f>A96-'Mastercurve bestimmen'!$B$2</f>
        <v>-84</v>
      </c>
      <c r="F96" s="11">
        <f t="shared" si="10"/>
        <v>-24.382632557292993</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-24.21967979022503</v>
      </c>
      <c r="E97" s="11">
        <f>A97-'Mastercurve bestimmen'!$B$2</f>
        <v>-83</v>
      </c>
      <c r="F97" s="11">
        <f t="shared" si="10"/>
        <v>-24.21967979022503</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-24.056129465915429</v>
      </c>
      <c r="E98" s="11">
        <f>A98-'Mastercurve bestimmen'!$B$2</f>
        <v>-82</v>
      </c>
      <c r="F98" s="11">
        <f t="shared" si="10"/>
        <v>-24.056129465915429</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-23.891625619478457</v>
      </c>
      <c r="E99" s="11">
        <f>A99-'Mastercurve bestimmen'!$B$2</f>
        <v>-81</v>
      </c>
      <c r="F99" s="11">
        <f t="shared" si="10"/>
        <v>-23.891625619478457</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-23.725812286028386</v>
      </c>
      <c r="E100" s="11">
        <f>A100-'Mastercurve bestimmen'!$B$2</f>
        <v>-80</v>
      </c>
      <c r="F100" s="11">
        <f t="shared" si="10"/>
        <v>-23.725812286028386</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-23.558333500679495</v>
      </c>
      <c r="E101" s="11">
        <f>A101-'Mastercurve bestimmen'!$B$2</f>
        <v>-79</v>
      </c>
      <c r="F101" s="11">
        <f t="shared" si="10"/>
        <v>-23.558333500679495</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-23.38883329854605</v>
      </c>
      <c r="E102" s="11">
        <f>A102-'Mastercurve bestimmen'!$B$2</f>
        <v>-78</v>
      </c>
      <c r="F102" s="11">
        <f t="shared" si="10"/>
        <v>-23.38883329854605</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-23.216955714742323</v>
      </c>
      <c r="E103" s="11">
        <f>A103-'Mastercurve bestimmen'!$B$2</f>
        <v>-77</v>
      </c>
      <c r="F103" s="11">
        <f t="shared" si="10"/>
        <v>-23.216955714742323</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-23.042344784382589</v>
      </c>
      <c r="E104" s="11">
        <f>A104-'Mastercurve bestimmen'!$B$2</f>
        <v>-76</v>
      </c>
      <c r="F104" s="11">
        <f t="shared" si="10"/>
        <v>-23.042344784382589</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-22.864644542581125</v>
      </c>
      <c r="E105" s="11">
        <f>A105-'Mastercurve bestimmen'!$B$2</f>
        <v>-75</v>
      </c>
      <c r="F105" s="11">
        <f t="shared" si="10"/>
        <v>-22.864644542581125</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-22.683556164532305</v>
      </c>
      <c r="E106" s="11">
        <f>A106-'Mastercurve bestimmen'!$B$2</f>
        <v>-74</v>
      </c>
      <c r="F106" s="11">
        <f t="shared" si="10"/>
        <v>-22.683556164532305</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-22.499009385750988</v>
      </c>
      <c r="E107" s="11">
        <f>A107-'Mastercurve bestimmen'!$B$2</f>
        <v>-73</v>
      </c>
      <c r="F107" s="11">
        <f t="shared" si="10"/>
        <v>-22.499009385750988</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-22.310991081832135</v>
      </c>
      <c r="E108" s="11">
        <f>A108-'Mastercurve bestimmen'!$B$2</f>
        <v>-72</v>
      </c>
      <c r="F108" s="11">
        <f t="shared" si="10"/>
        <v>-22.310991081832135</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-22.119488128370705</v>
      </c>
      <c r="E109" s="11">
        <f>A109-'Mastercurve bestimmen'!$B$2</f>
        <v>-71</v>
      </c>
      <c r="F109" s="11">
        <f t="shared" si="10"/>
        <v>-22.119488128370705</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-21.924487400961656</v>
      </c>
      <c r="E110" s="11">
        <f>A110-'Mastercurve bestimmen'!$B$2</f>
        <v>-70</v>
      </c>
      <c r="F110" s="11">
        <f t="shared" si="10"/>
        <v>-21.924487400961656</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-21.725975775199956</v>
      </c>
      <c r="E111" s="11">
        <f>A111-'Mastercurve bestimmen'!$B$2</f>
        <v>-69</v>
      </c>
      <c r="F111" s="11">
        <f t="shared" si="10"/>
        <v>-21.725975775199956</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-21.523940126680561</v>
      </c>
      <c r="E112" s="11">
        <f>A112-'Mastercurve bestimmen'!$B$2</f>
        <v>-68</v>
      </c>
      <c r="F112" s="11">
        <f t="shared" si="10"/>
        <v>-21.523940126680561</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-21.318367330998434</v>
      </c>
      <c r="E113" s="11">
        <f>A113-'Mastercurve bestimmen'!$B$2</f>
        <v>-67</v>
      </c>
      <c r="F113" s="11">
        <f t="shared" si="10"/>
        <v>-21.318367330998434</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-21.10924426374854</v>
      </c>
      <c r="E114" s="11">
        <f>A114-'Mastercurve bestimmen'!$B$2</f>
        <v>-66</v>
      </c>
      <c r="F114" s="11">
        <f t="shared" si="10"/>
        <v>-21.10924426374854</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-20.896557800525834</v>
      </c>
      <c r="E115" s="11">
        <f>A115-'Mastercurve bestimmen'!$B$2</f>
        <v>-65</v>
      </c>
      <c r="F115" s="11">
        <f t="shared" si="10"/>
        <v>-20.896557800525834</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-20.680294816925283</v>
      </c>
      <c r="E116" s="11">
        <f>A116-'Mastercurve bestimmen'!$B$2</f>
        <v>-64</v>
      </c>
      <c r="F116" s="11">
        <f t="shared" si="10"/>
        <v>-20.680294816925283</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-20.460442188541847</v>
      </c>
      <c r="E117" s="11">
        <f>A117-'Mastercurve bestimmen'!$B$2</f>
        <v>-63</v>
      </c>
      <c r="F117" s="11">
        <f t="shared" si="10"/>
        <v>-20.460442188541847</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-20.236986790970487</v>
      </c>
      <c r="E118" s="11">
        <f>A118-'Mastercurve bestimmen'!$B$2</f>
        <v>-62</v>
      </c>
      <c r="F118" s="11">
        <f t="shared" si="10"/>
        <v>-20.236986790970487</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-20.009915499806166</v>
      </c>
      <c r="E119" s="11">
        <f>A119-'Mastercurve bestimmen'!$B$2</f>
        <v>-61</v>
      </c>
      <c r="F119" s="11">
        <f t="shared" si="10"/>
        <v>-20.009915499806166</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-19.779215190643843</v>
      </c>
      <c r="E120" s="11">
        <f>A120-'Mastercurve bestimmen'!$B$2</f>
        <v>-60</v>
      </c>
      <c r="F120" s="11">
        <f t="shared" si="10"/>
        <v>-19.779215190643843</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-19.544872739078478</v>
      </c>
      <c r="E121" s="11">
        <f>A121-'Mastercurve bestimmen'!$B$2</f>
        <v>-59</v>
      </c>
      <c r="F121" s="11">
        <f t="shared" si="10"/>
        <v>-19.544872739078478</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-19.306875020705043</v>
      </c>
      <c r="E122" s="11">
        <f>A122-'Mastercurve bestimmen'!$B$2</f>
        <v>-58</v>
      </c>
      <c r="F122" s="11">
        <f t="shared" si="10"/>
        <v>-19.306875020705043</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-19.065208911118489</v>
      </c>
      <c r="E123" s="11">
        <f>A123-'Mastercurve bestimmen'!$B$2</f>
        <v>-57</v>
      </c>
      <c r="F123" s="11">
        <f t="shared" si="10"/>
        <v>-19.065208911118489</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-18.819861285913781</v>
      </c>
      <c r="E124" s="11">
        <f>A124-'Mastercurve bestimmen'!$B$2</f>
        <v>-56</v>
      </c>
      <c r="F124" s="11">
        <f t="shared" si="10"/>
        <v>-18.819861285913781</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-18.570819020685875</v>
      </c>
      <c r="E125" s="11">
        <f>A125-'Mastercurve bestimmen'!$B$2</f>
        <v>-55</v>
      </c>
      <c r="F125" s="11">
        <f t="shared" si="10"/>
        <v>-18.570819020685875</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-18.318068991029744</v>
      </c>
      <c r="E126" s="11">
        <f>A126-'Mastercurve bestimmen'!$B$2</f>
        <v>-54</v>
      </c>
      <c r="F126" s="11">
        <f t="shared" si="10"/>
        <v>-18.318068991029744</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-18.061598072540338</v>
      </c>
      <c r="E127" s="11">
        <f>A127-'Mastercurve bestimmen'!$B$2</f>
        <v>-53</v>
      </c>
      <c r="F127" s="11">
        <f t="shared" si="10"/>
        <v>-18.061598072540338</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-17.801393140812628</v>
      </c>
      <c r="E128" s="11">
        <f>A128-'Mastercurve bestimmen'!$B$2</f>
        <v>-52</v>
      </c>
      <c r="F128" s="11">
        <f t="shared" si="10"/>
        <v>-17.801393140812628</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-17.537441071441567</v>
      </c>
      <c r="E129" s="11">
        <f>A129-'Mastercurve bestimmen'!$B$2</f>
        <v>-51</v>
      </c>
      <c r="F129" s="11">
        <f t="shared" si="10"/>
        <v>-17.537441071441567</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-17.269728740022124</v>
      </c>
      <c r="E130" s="11">
        <f>A130-'Mastercurve bestimmen'!$B$2</f>
        <v>-50</v>
      </c>
      <c r="F130" s="11">
        <f t="shared" si="10"/>
        <v>-17.269728740022124</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-16.998243022149257</v>
      </c>
      <c r="E131" s="11">
        <f>A131-'Mastercurve bestimmen'!$B$2</f>
        <v>-49</v>
      </c>
      <c r="F131" s="11">
        <f t="shared" si="10"/>
        <v>-16.998243022149257</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-16.722970793417925</v>
      </c>
      <c r="E132" s="11">
        <f>A132-'Mastercurve bestimmen'!$B$2</f>
        <v>-48</v>
      </c>
      <c r="F132" s="11">
        <f t="shared" si="10"/>
        <v>-16.722970793417925</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-16.443898929423096</v>
      </c>
      <c r="E133" s="11">
        <f>A133-'Mastercurve bestimmen'!$B$2</f>
        <v>-47</v>
      </c>
      <c r="F133" s="11">
        <f t="shared" si="10"/>
        <v>-16.443898929423096</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-16.161014305759728</v>
      </c>
      <c r="E134" s="11">
        <f>A134-'Mastercurve bestimmen'!$B$2</f>
        <v>-46</v>
      </c>
      <c r="F134" s="11">
        <f t="shared" si="10"/>
        <v>-16.161014305759728</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-15.87430379802278</v>
      </c>
      <c r="E135" s="11">
        <f>A135-'Mastercurve bestimmen'!$B$2</f>
        <v>-45</v>
      </c>
      <c r="F135" s="11">
        <f t="shared" si="10"/>
        <v>-15.87430379802278</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-15.58376745350866</v>
      </c>
      <c r="E136" s="11">
        <f>A136-'Mastercurve bestimmen'!$B$2</f>
        <v>-44</v>
      </c>
      <c r="F136" s="11">
        <f t="shared" si="10"/>
        <v>-15.58376745350866</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-15.289458006319544</v>
      </c>
      <c r="E137" s="11">
        <f>A137-'Mastercurve bestimmen'!$B$2</f>
        <v>-43</v>
      </c>
      <c r="F137" s="11">
        <f t="shared" si="10"/>
        <v>-15.289458006319544</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-14.991441362259053</v>
      </c>
      <c r="E138" s="11">
        <f>A138-'Mastercurve bestimmen'!$B$2</f>
        <v>-42</v>
      </c>
      <c r="F138" s="11">
        <f t="shared" si="10"/>
        <v>-14.991441362259053</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-14.6897834271308</v>
      </c>
      <c r="E139" s="11">
        <f>A139-'Mastercurve bestimmen'!$B$2</f>
        <v>-41</v>
      </c>
      <c r="F139" s="11">
        <f t="shared" si="10"/>
        <v>-14.6897834271308</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-14.384550106738409</v>
      </c>
      <c r="E140" s="11">
        <f>A140-'Mastercurve bestimmen'!$B$2</f>
        <v>-40</v>
      </c>
      <c r="F140" s="11">
        <f t="shared" si="10"/>
        <v>-14.384550106738409</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-14.075807306885499</v>
      </c>
      <c r="E141" s="11">
        <f>A141-'Mastercurve bestimmen'!$B$2</f>
        <v>-39</v>
      </c>
      <c r="F141" s="11">
        <f t="shared" si="10"/>
        <v>-14.075807306885499</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-13.763620933375691</v>
      </c>
      <c r="E142" s="11">
        <f>A142-'Mastercurve bestimmen'!$B$2</f>
        <v>-38</v>
      </c>
      <c r="F142" s="11">
        <f t="shared" si="10"/>
        <v>-13.763620933375691</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-13.4480568920126</v>
      </c>
      <c r="E143" s="11">
        <f>A143-'Mastercurve bestimmen'!$B$2</f>
        <v>-37</v>
      </c>
      <c r="F143" s="11">
        <f t="shared" si="10"/>
        <v>-13.4480568920126</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-13.129181088599854</v>
      </c>
      <c r="E144" s="11">
        <f>A144-'Mastercurve bestimmen'!$B$2</f>
        <v>-36</v>
      </c>
      <c r="F144" s="11">
        <f t="shared" ref="F144:F207" si="15">B144</f>
        <v>-13.129181088599854</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-12.807059428941061</v>
      </c>
      <c r="E145" s="11">
        <f>A145-'Mastercurve bestimmen'!$B$2</f>
        <v>-35</v>
      </c>
      <c r="F145" s="11">
        <f t="shared" si="15"/>
        <v>-12.807059428941061</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-12.481757818839847</v>
      </c>
      <c r="E146" s="11">
        <f>A146-'Mastercurve bestimmen'!$B$2</f>
        <v>-34</v>
      </c>
      <c r="F146" s="11">
        <f t="shared" si="15"/>
        <v>-12.481757818839847</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-12.153342164099831</v>
      </c>
      <c r="E147" s="11">
        <f>A147-'Mastercurve bestimmen'!$B$2</f>
        <v>-33</v>
      </c>
      <c r="F147" s="11">
        <f t="shared" si="15"/>
        <v>-12.153342164099831</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-11.821878370524631</v>
      </c>
      <c r="E148" s="11">
        <f>A148-'Mastercurve bestimmen'!$B$2</f>
        <v>-32</v>
      </c>
      <c r="F148" s="11">
        <f t="shared" si="15"/>
        <v>-11.821878370524631</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-11.48743234391787</v>
      </c>
      <c r="E149" s="11">
        <f>A149-'Mastercurve bestimmen'!$B$2</f>
        <v>-31</v>
      </c>
      <c r="F149" s="11">
        <f t="shared" si="15"/>
        <v>-11.48743234391787</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-11.150069990083162</v>
      </c>
      <c r="E150" s="11">
        <f>A150-'Mastercurve bestimmen'!$B$2</f>
        <v>-30</v>
      </c>
      <c r="F150" s="11">
        <f t="shared" si="15"/>
        <v>-11.150069990083162</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-10.809857214824131</v>
      </c>
      <c r="E151" s="11">
        <f>A151-'Mastercurve bestimmen'!$B$2</f>
        <v>-29</v>
      </c>
      <c r="F151" s="11">
        <f t="shared" si="15"/>
        <v>-10.809857214824131</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-10.466859923944391</v>
      </c>
      <c r="E152" s="11">
        <f>A152-'Mastercurve bestimmen'!$B$2</f>
        <v>-28</v>
      </c>
      <c r="F152" s="11">
        <f t="shared" si="15"/>
        <v>-10.466859923944391</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-10.121144023247567</v>
      </c>
      <c r="E153" s="11">
        <f>A153-'Mastercurve bestimmen'!$B$2</f>
        <v>-27</v>
      </c>
      <c r="F153" s="11">
        <f t="shared" si="15"/>
        <v>-10.121144023247567</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-9.7727754185372753</v>
      </c>
      <c r="E154" s="11">
        <f>A154-'Mastercurve bestimmen'!$B$2</f>
        <v>-26</v>
      </c>
      <c r="F154" s="11">
        <f t="shared" si="15"/>
        <v>-9.7727754185372753</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-9.4218200156171381</v>
      </c>
      <c r="E155" s="11">
        <f>A155-'Mastercurve bestimmen'!$B$2</f>
        <v>-25</v>
      </c>
      <c r="F155" s="11">
        <f t="shared" si="15"/>
        <v>-9.4218200156171381</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-9.0683437202907697</v>
      </c>
      <c r="E156" s="11">
        <f>A156-'Mastercurve bestimmen'!$B$2</f>
        <v>-24</v>
      </c>
      <c r="F156" s="11">
        <f t="shared" si="15"/>
        <v>-9.0683437202907697</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-8.7124124383617954</v>
      </c>
      <c r="E157" s="11">
        <f>A157-'Mastercurve bestimmen'!$B$2</f>
        <v>-23</v>
      </c>
      <c r="F157" s="11">
        <f t="shared" si="15"/>
        <v>-8.7124124383617954</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-8.3540920756338295</v>
      </c>
      <c r="E158" s="11">
        <f>A158-'Mastercurve bestimmen'!$B$2</f>
        <v>-22</v>
      </c>
      <c r="F158" s="11">
        <f t="shared" si="15"/>
        <v>-8.3540920756338295</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-7.9934485379104965</v>
      </c>
      <c r="E159" s="11">
        <f>A159-'Mastercurve bestimmen'!$B$2</f>
        <v>-21</v>
      </c>
      <c r="F159" s="11">
        <f t="shared" si="15"/>
        <v>-7.9934485379104965</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-7.6305477309954108</v>
      </c>
      <c r="E160" s="11">
        <f>A160-'Mastercurve bestimmen'!$B$2</f>
        <v>-20</v>
      </c>
      <c r="F160" s="11">
        <f t="shared" si="15"/>
        <v>-7.6305477309954108</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-7.265455560692196</v>
      </c>
      <c r="E161" s="11">
        <f>A161-'Mastercurve bestimmen'!$B$2</f>
        <v>-19</v>
      </c>
      <c r="F161" s="11">
        <f t="shared" si="15"/>
        <v>-7.265455560692196</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-6.8982379328044683</v>
      </c>
      <c r="E162" s="11">
        <f>A162-'Mastercurve bestimmen'!$B$2</f>
        <v>-18</v>
      </c>
      <c r="F162" s="11">
        <f t="shared" si="15"/>
        <v>-6.8982379328044683</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-6.5289607531358476</v>
      </c>
      <c r="E163" s="11">
        <f>A163-'Mastercurve bestimmen'!$B$2</f>
        <v>-17</v>
      </c>
      <c r="F163" s="11">
        <f t="shared" si="15"/>
        <v>-6.5289607531358476</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-6.1576899274899555</v>
      </c>
      <c r="E164" s="11">
        <f>A164-'Mastercurve bestimmen'!$B$2</f>
        <v>-16</v>
      </c>
      <c r="F164" s="11">
        <f t="shared" si="15"/>
        <v>-6.1576899274899555</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-5.7844913616704092</v>
      </c>
      <c r="E165" s="11">
        <f>A165-'Mastercurve bestimmen'!$B$2</f>
        <v>-15</v>
      </c>
      <c r="F165" s="11">
        <f t="shared" si="15"/>
        <v>-5.7844913616704092</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-5.4094309614808296</v>
      </c>
      <c r="E166" s="11">
        <f>A166-'Mastercurve bestimmen'!$B$2</f>
        <v>-14</v>
      </c>
      <c r="F166" s="11">
        <f t="shared" si="15"/>
        <v>-5.4094309614808296</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-5.0325746327248346</v>
      </c>
      <c r="E167" s="11">
        <f>A167-'Mastercurve bestimmen'!$B$2</f>
        <v>-13</v>
      </c>
      <c r="F167" s="11">
        <f t="shared" si="15"/>
        <v>-5.0325746327248346</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-4.6539882812060442</v>
      </c>
      <c r="E168" s="11">
        <f>A168-'Mastercurve bestimmen'!$B$2</f>
        <v>-12</v>
      </c>
      <c r="F168" s="11">
        <f t="shared" si="15"/>
        <v>-4.6539882812060442</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-4.2737378127280792</v>
      </c>
      <c r="E169" s="11">
        <f>A169-'Mastercurve bestimmen'!$B$2</f>
        <v>-11</v>
      </c>
      <c r="F169" s="11">
        <f t="shared" si="15"/>
        <v>-4.2737378127280792</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-3.8918891330945571</v>
      </c>
      <c r="E170" s="11">
        <f>A170-'Mastercurve bestimmen'!$B$2</f>
        <v>-10</v>
      </c>
      <c r="F170" s="11">
        <f t="shared" si="15"/>
        <v>-3.8918891330945571</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-3.5085081481090983</v>
      </c>
      <c r="E171" s="11">
        <f>A171-'Mastercurve bestimmen'!$B$2</f>
        <v>-9</v>
      </c>
      <c r="F171" s="11">
        <f t="shared" si="15"/>
        <v>-3.5085081481090983</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-3.1236607635753209</v>
      </c>
      <c r="E172" s="11">
        <f>A172-'Mastercurve bestimmen'!$B$2</f>
        <v>-8</v>
      </c>
      <c r="F172" s="11">
        <f t="shared" si="15"/>
        <v>-3.1236607635753209</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-2.737412885296846</v>
      </c>
      <c r="E173" s="11">
        <f>A173-'Mastercurve bestimmen'!$B$2</f>
        <v>-7</v>
      </c>
      <c r="F173" s="11">
        <f t="shared" si="15"/>
        <v>-2.737412885296846</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-2.3498304190772923</v>
      </c>
      <c r="E174" s="11">
        <f>A174-'Mastercurve bestimmen'!$B$2</f>
        <v>-6</v>
      </c>
      <c r="F174" s="11">
        <f t="shared" si="15"/>
        <v>-2.3498304190772923</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-1.9609792707202791</v>
      </c>
      <c r="E175" s="11">
        <f>A175-'Mastercurve bestimmen'!$B$2</f>
        <v>-5</v>
      </c>
      <c r="F175" s="11">
        <f t="shared" si="15"/>
        <v>-1.9609792707202791</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-1.5709253460294257</v>
      </c>
      <c r="E176" s="11">
        <f>A176-'Mastercurve bestimmen'!$B$2</f>
        <v>-4</v>
      </c>
      <c r="F176" s="11">
        <f t="shared" si="15"/>
        <v>-1.5709253460294257</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-1.1797345508083517</v>
      </c>
      <c r="E177" s="11">
        <f>A177-'Mastercurve bestimmen'!$B$2</f>
        <v>-3</v>
      </c>
      <c r="F177" s="11">
        <f t="shared" si="15"/>
        <v>-1.1797345508083517</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-0.78747279086067645</v>
      </c>
      <c r="E178" s="11">
        <f>A178-'Mastercurve bestimmen'!$B$2</f>
        <v>-2</v>
      </c>
      <c r="F178" s="11">
        <f t="shared" si="15"/>
        <v>-0.78747279086067645</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-0.39420597199001944</v>
      </c>
      <c r="E179" s="11">
        <f>A179-'Mastercurve bestimmen'!$B$2</f>
        <v>-1</v>
      </c>
      <c r="F179" s="11">
        <f t="shared" si="15"/>
        <v>-0.39420597199001944</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0.39508604528581448</v>
      </c>
      <c r="E181" s="11">
        <f>A181-'Mastercurve bestimmen'!$B$2</f>
        <v>1</v>
      </c>
      <c r="F181" s="11">
        <f t="shared" si="15"/>
        <v>0.39508604528581448</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0.79102038796406515</v>
      </c>
      <c r="E182" s="11">
        <f>A182-'Mastercurve bestimmen'!$B$2</f>
        <v>2</v>
      </c>
      <c r="F182" s="11">
        <f t="shared" si="15"/>
        <v>0.79102038796406515</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1.1877780781114449</v>
      </c>
      <c r="E183" s="11">
        <f>A183-'Mastercurve bestimmen'!$B$2</f>
        <v>3</v>
      </c>
      <c r="F183" s="11">
        <f t="shared" si="15"/>
        <v>1.1877780781114449</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1.5853341658046469</v>
      </c>
      <c r="E184" s="11">
        <f>A184-'Mastercurve bestimmen'!$B$2</f>
        <v>4</v>
      </c>
      <c r="F184" s="11">
        <f t="shared" si="15"/>
        <v>1.5853341658046469</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1.9836637011203642</v>
      </c>
      <c r="E185" s="11">
        <f>A185-'Mastercurve bestimmen'!$B$2</f>
        <v>5</v>
      </c>
      <c r="F185" s="11">
        <f t="shared" si="15"/>
        <v>1.9836637011203642</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2.3827417341352897</v>
      </c>
      <c r="E186" s="11">
        <f>A186-'Mastercurve bestimmen'!$B$2</f>
        <v>6</v>
      </c>
      <c r="F186" s="11">
        <f t="shared" si="15"/>
        <v>2.3827417341352897</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2.7825433149261167</v>
      </c>
      <c r="E187" s="11">
        <f>A187-'Mastercurve bestimmen'!$B$2</f>
        <v>7</v>
      </c>
      <c r="F187" s="11">
        <f t="shared" si="15"/>
        <v>2.7825433149261167</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3.1830434935695378</v>
      </c>
      <c r="E188" s="11">
        <f>A188-'Mastercurve bestimmen'!$B$2</f>
        <v>8</v>
      </c>
      <c r="F188" s="11">
        <f t="shared" si="15"/>
        <v>3.1830434935695378</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3.5842173201422467</v>
      </c>
      <c r="E189" s="11">
        <f>A189-'Mastercurve bestimmen'!$B$2</f>
        <v>9</v>
      </c>
      <c r="F189" s="11">
        <f t="shared" si="15"/>
        <v>3.5842173201422467</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3.9860398447209362</v>
      </c>
      <c r="E190" s="11">
        <f>A190-'Mastercurve bestimmen'!$B$2</f>
        <v>10</v>
      </c>
      <c r="F190" s="11">
        <f t="shared" si="15"/>
        <v>3.9860398447209362</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4.3884861173822989</v>
      </c>
      <c r="E191" s="11">
        <f>A191-'Mastercurve bestimmen'!$B$2</f>
        <v>11</v>
      </c>
      <c r="F191" s="11">
        <f t="shared" si="15"/>
        <v>4.3884861173822989</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4.7915311882030283</v>
      </c>
      <c r="E192" s="11">
        <f>A192-'Mastercurve bestimmen'!$B$2</f>
        <v>12</v>
      </c>
      <c r="F192" s="11">
        <f t="shared" si="15"/>
        <v>4.7915311882030283</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5.1951501072598179</v>
      </c>
      <c r="E193" s="11">
        <f>A193-'Mastercurve bestimmen'!$B$2</f>
        <v>13</v>
      </c>
      <c r="F193" s="11">
        <f t="shared" si="15"/>
        <v>5.1951501072598179</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5.5993179246293598</v>
      </c>
      <c r="E194" s="11">
        <f>A194-'Mastercurve bestimmen'!$B$2</f>
        <v>14</v>
      </c>
      <c r="F194" s="11">
        <f t="shared" si="15"/>
        <v>5.5993179246293598</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6.0040096903883473</v>
      </c>
      <c r="E195" s="11">
        <f>A195-'Mastercurve bestimmen'!$B$2</f>
        <v>15</v>
      </c>
      <c r="F195" s="11">
        <f t="shared" si="15"/>
        <v>6.0040096903883473</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6.4092004546134742</v>
      </c>
      <c r="E196" s="11">
        <f>A196-'Mastercurve bestimmen'!$B$2</f>
        <v>16</v>
      </c>
      <c r="F196" s="11">
        <f t="shared" si="15"/>
        <v>6.4092004546134742</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6.8148652673814336</v>
      </c>
      <c r="E197" s="11">
        <f>A197-'Mastercurve bestimmen'!$B$2</f>
        <v>17</v>
      </c>
      <c r="F197" s="11">
        <f t="shared" si="15"/>
        <v>6.8148652673814336</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7.2209791787689168</v>
      </c>
      <c r="E198" s="11">
        <f>A198-'Mastercurve bestimmen'!$B$2</f>
        <v>18</v>
      </c>
      <c r="F198" s="11">
        <f t="shared" si="15"/>
        <v>7.2209791787689168</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7.6275172388526187</v>
      </c>
      <c r="E199" s="11">
        <f>A199-'Mastercurve bestimmen'!$B$2</f>
        <v>19</v>
      </c>
      <c r="F199" s="11">
        <f t="shared" si="15"/>
        <v>7.6275172388526187</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8.0344544977092323</v>
      </c>
      <c r="E200" s="11">
        <f>A200-'Mastercurve bestimmen'!$B$2</f>
        <v>20</v>
      </c>
      <c r="F200" s="11">
        <f t="shared" si="15"/>
        <v>8.0344544977092323</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8.4417660054154471</v>
      </c>
      <c r="E201" s="11">
        <f>A201-'Mastercurve bestimmen'!$B$2</f>
        <v>21</v>
      </c>
      <c r="F201" s="11">
        <f t="shared" si="15"/>
        <v>8.4417660054154471</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8.8494268120479624</v>
      </c>
      <c r="E202" s="11">
        <f>A202-'Mastercurve bestimmen'!$B$2</f>
        <v>22</v>
      </c>
      <c r="F202" s="11">
        <f t="shared" si="15"/>
        <v>8.8494268120479624</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9.257411967683467</v>
      </c>
      <c r="E203" s="11">
        <f>A203-'Mastercurve bestimmen'!$B$2</f>
        <v>23</v>
      </c>
      <c r="F203" s="11">
        <f t="shared" si="15"/>
        <v>9.257411967683467</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9.6656965223986546</v>
      </c>
      <c r="E204" s="11">
        <f>A204-'Mastercurve bestimmen'!$B$2</f>
        <v>24</v>
      </c>
      <c r="F204" s="11">
        <f t="shared" si="15"/>
        <v>9.6656965223986546</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10.074255526270219</v>
      </c>
      <c r="E205" s="11">
        <f>A205-'Mastercurve bestimmen'!$B$2</f>
        <v>25</v>
      </c>
      <c r="F205" s="11">
        <f t="shared" si="15"/>
        <v>10.074255526270219</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10.483064029374852</v>
      </c>
      <c r="E206" s="11">
        <f>A206-'Mastercurve bestimmen'!$B$2</f>
        <v>26</v>
      </c>
      <c r="F206" s="11">
        <f t="shared" si="15"/>
        <v>10.483064029374852</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10.892097081789249</v>
      </c>
      <c r="E207" s="11">
        <f>A207-'Mastercurve bestimmen'!$B$2</f>
        <v>27</v>
      </c>
      <c r="F207" s="11">
        <f t="shared" si="15"/>
        <v>10.892097081789249</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11.3013297335901</v>
      </c>
      <c r="E208" s="11">
        <f>A208-'Mastercurve bestimmen'!$B$2</f>
        <v>28</v>
      </c>
      <c r="F208" s="11">
        <f t="shared" ref="F208:F215" si="21">B208</f>
        <v>11.3013297335901</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11.7107370348541</v>
      </c>
      <c r="E209" s="11">
        <f>A209-'Mastercurve bestimmen'!$B$2</f>
        <v>29</v>
      </c>
      <c r="F209" s="11">
        <f t="shared" si="21"/>
        <v>11.7107370348541</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12.120294035657942</v>
      </c>
      <c r="E210" s="11">
        <f>A210-'Mastercurve bestimmen'!$B$2</f>
        <v>30</v>
      </c>
      <c r="F210" s="11">
        <f t="shared" si="21"/>
        <v>12.120294035657942</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12.529975786078319</v>
      </c>
      <c r="E211" s="11">
        <f>A211-'Mastercurve bestimmen'!$B$2</f>
        <v>31</v>
      </c>
      <c r="F211" s="11">
        <f t="shared" si="21"/>
        <v>12.529975786078319</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12.939757336191922</v>
      </c>
      <c r="E212" s="11">
        <f>A212-'Mastercurve bestimmen'!$B$2</f>
        <v>32</v>
      </c>
      <c r="F212" s="11">
        <f t="shared" si="21"/>
        <v>12.939757336191922</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13.349613736075449</v>
      </c>
      <c r="E213" s="11">
        <f>A213-'Mastercurve bestimmen'!$B$2</f>
        <v>33</v>
      </c>
      <c r="F213" s="11">
        <f t="shared" si="21"/>
        <v>13.349613736075449</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13.759520035805588</v>
      </c>
      <c r="E214" s="11">
        <f>A214-'Mastercurve bestimmen'!$B$2</f>
        <v>34</v>
      </c>
      <c r="F214" s="11">
        <f t="shared" si="21"/>
        <v>13.759520035805588</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14.169451285459033</v>
      </c>
      <c r="E215" s="11">
        <f>A215-'Mastercurve bestimmen'!$B$2</f>
        <v>35</v>
      </c>
      <c r="F215" s="11">
        <f t="shared" si="21"/>
        <v>14.169451285459033</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0.39221841834373827</v>
      </c>
      <c r="J217" s="98">
        <v>5.1965887951144966E-4</v>
      </c>
      <c r="K217" s="98">
        <v>-1.1342579241560348E-6</v>
      </c>
      <c r="L217" s="98">
        <v>1.0611049046546597E-7</v>
      </c>
      <c r="M217" s="98">
        <v>-3.496097996826968E-9</v>
      </c>
      <c r="N217" s="98">
        <v>-7.7300896494968135E-11</v>
      </c>
      <c r="O217" s="98">
        <v>-4.6218679567194521E-13</v>
      </c>
      <c r="P217" s="98">
        <v>-8.804868497760777E-16</v>
      </c>
    </row>
    <row r="218" spans="1:16" x14ac:dyDescent="0.25">
      <c r="G218" s="11"/>
      <c r="H218" s="11">
        <v>0</v>
      </c>
      <c r="I218" s="11">
        <v>1.1398031583163624E-3</v>
      </c>
      <c r="J218" s="11">
        <v>4.6298381106200156E-5</v>
      </c>
      <c r="K218" s="3">
        <v>1.4270014622665228E-6</v>
      </c>
      <c r="L218" s="3">
        <v>3.6670302868916878E-8</v>
      </c>
      <c r="M218" s="3">
        <v>1.021317534262177E-9</v>
      </c>
      <c r="N218" s="3">
        <v>1.2113398535442036E-11</v>
      </c>
      <c r="O218" s="11">
        <v>6.3647121045720137E-14</v>
      </c>
      <c r="P218" s="11">
        <v>1.2425303090055899E-16</v>
      </c>
    </row>
    <row r="219" spans="1:16" x14ac:dyDescent="0.25">
      <c r="G219" s="11"/>
      <c r="H219" s="11">
        <v>0.99998442317737057</v>
      </c>
      <c r="I219" s="11">
        <v>9.7989175246034954E-2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-43.966081861101486</v>
      </c>
      <c r="G222">
        <f>F15</f>
        <v>-44.148639789513958</v>
      </c>
    </row>
    <row r="223" spans="1:16" x14ac:dyDescent="0.25">
      <c r="E223" s="11">
        <f t="shared" ref="E223:E286" si="25">E16</f>
        <v>-164</v>
      </c>
      <c r="F223" s="11">
        <f t="shared" ref="F223:F286" si="26">$H$217*0+E223*$I$217+E223^2*$J$217+E223^3*$K$217+E223^4*$L$217+E223^5*$M$217+E223^6*$N$217+E223^7*$O$217+E223^8*$P$217</f>
        <v>-43.805917206378865</v>
      </c>
      <c r="G223" s="11">
        <f t="shared" ref="G223:G286" si="27">F16</f>
        <v>-43.917097847056944</v>
      </c>
    </row>
    <row r="224" spans="1:16" x14ac:dyDescent="0.25">
      <c r="E224" s="11">
        <f t="shared" si="25"/>
        <v>-163</v>
      </c>
      <c r="F224" s="11">
        <f t="shared" si="26"/>
        <v>-43.634887751049007</v>
      </c>
      <c r="G224" s="11">
        <f t="shared" si="27"/>
        <v>-43.685334153925872</v>
      </c>
    </row>
    <row r="225" spans="5:7" x14ac:dyDescent="0.25">
      <c r="E225" s="11">
        <f t="shared" si="25"/>
        <v>-162</v>
      </c>
      <c r="F225" s="11">
        <f t="shared" si="26"/>
        <v>-43.453274130571856</v>
      </c>
      <c r="G225" s="11">
        <f t="shared" si="27"/>
        <v>-43.453126959446706</v>
      </c>
    </row>
    <row r="226" spans="5:7" x14ac:dyDescent="0.25">
      <c r="E226" s="11">
        <f t="shared" si="25"/>
        <v>-161</v>
      </c>
      <c r="F226" s="11">
        <f t="shared" si="26"/>
        <v>-43.261388286873284</v>
      </c>
      <c r="G226" s="11">
        <f t="shared" si="27"/>
        <v>-43.220254512945388</v>
      </c>
    </row>
    <row r="227" spans="5:7" x14ac:dyDescent="0.25">
      <c r="E227" s="11">
        <f t="shared" si="25"/>
        <v>-160</v>
      </c>
      <c r="F227" s="11">
        <f t="shared" si="26"/>
        <v>-43.059570209211643</v>
      </c>
      <c r="G227" s="11">
        <f t="shared" si="27"/>
        <v>-42.986495063747874</v>
      </c>
    </row>
    <row r="228" spans="5:7" x14ac:dyDescent="0.25">
      <c r="E228" s="11">
        <f t="shared" si="25"/>
        <v>-159</v>
      </c>
      <c r="F228" s="11">
        <f t="shared" si="26"/>
        <v>-42.848184819185633</v>
      </c>
      <c r="G228" s="11">
        <f t="shared" si="27"/>
        <v>-42.751626861180107</v>
      </c>
    </row>
    <row r="229" spans="5:7" x14ac:dyDescent="0.25">
      <c r="E229" s="11">
        <f t="shared" si="25"/>
        <v>-158</v>
      </c>
      <c r="F229" s="11">
        <f t="shared" si="26"/>
        <v>-42.627618996489616</v>
      </c>
      <c r="G229" s="11">
        <f t="shared" si="27"/>
        <v>-42.515428154568028</v>
      </c>
    </row>
    <row r="230" spans="5:7" x14ac:dyDescent="0.25">
      <c r="E230" s="11">
        <f t="shared" si="25"/>
        <v>-157</v>
      </c>
      <c r="F230" s="11">
        <f t="shared" si="26"/>
        <v>-42.398278742039281</v>
      </c>
      <c r="G230" s="11">
        <f t="shared" si="27"/>
        <v>-42.277677193237615</v>
      </c>
    </row>
    <row r="231" spans="5:7" x14ac:dyDescent="0.25">
      <c r="E231" s="11">
        <f t="shared" si="25"/>
        <v>-156</v>
      </c>
      <c r="F231" s="11">
        <f t="shared" si="26"/>
        <v>-42.160586475138302</v>
      </c>
      <c r="G231" s="11">
        <f t="shared" si="27"/>
        <v>-42.038152226514796</v>
      </c>
    </row>
    <row r="232" spans="5:7" x14ac:dyDescent="0.25">
      <c r="E232" s="11">
        <f t="shared" si="25"/>
        <v>-155</v>
      </c>
      <c r="F232" s="11">
        <f t="shared" si="26"/>
        <v>-41.91497846139265</v>
      </c>
      <c r="G232" s="11">
        <f t="shared" si="27"/>
        <v>-41.796631503725521</v>
      </c>
    </row>
    <row r="233" spans="5:7" x14ac:dyDescent="0.25">
      <c r="E233" s="11">
        <f t="shared" si="25"/>
        <v>-154</v>
      </c>
      <c r="F233" s="11">
        <f t="shared" si="26"/>
        <v>-41.661902368098481</v>
      </c>
      <c r="G233" s="11">
        <f t="shared" si="27"/>
        <v>-41.552893274195753</v>
      </c>
    </row>
    <row r="234" spans="5:7" x14ac:dyDescent="0.25">
      <c r="E234" s="11">
        <f t="shared" si="25"/>
        <v>-153</v>
      </c>
      <c r="F234" s="11">
        <f t="shared" si="26"/>
        <v>-41.40181494389202</v>
      </c>
      <c r="G234" s="11">
        <f t="shared" si="27"/>
        <v>-41.306715787251427</v>
      </c>
    </row>
    <row r="235" spans="5:7" x14ac:dyDescent="0.25">
      <c r="E235" s="11">
        <f t="shared" si="25"/>
        <v>-152</v>
      </c>
      <c r="F235" s="11">
        <f t="shared" si="26"/>
        <v>-41.13517981945941</v>
      </c>
      <c r="G235" s="11">
        <f t="shared" si="27"/>
        <v>-41.057877292218507</v>
      </c>
    </row>
    <row r="236" spans="5:7" x14ac:dyDescent="0.25">
      <c r="E236" s="11">
        <f t="shared" si="25"/>
        <v>-151</v>
      </c>
      <c r="F236" s="11">
        <f t="shared" si="26"/>
        <v>-40.862465426155183</v>
      </c>
      <c r="G236" s="11">
        <f t="shared" si="27"/>
        <v>-40.806156038422927</v>
      </c>
    </row>
    <row r="237" spans="5:7" x14ac:dyDescent="0.25">
      <c r="E237" s="11">
        <f t="shared" si="25"/>
        <v>-150</v>
      </c>
      <c r="F237" s="11">
        <f t="shared" si="26"/>
        <v>-40.584143029409546</v>
      </c>
      <c r="G237" s="11">
        <f t="shared" si="27"/>
        <v>-40.551330275190658</v>
      </c>
    </row>
    <row r="238" spans="5:7" x14ac:dyDescent="0.25">
      <c r="E238" s="11">
        <f t="shared" si="25"/>
        <v>-149</v>
      </c>
      <c r="F238" s="11">
        <f t="shared" si="26"/>
        <v>-40.300684873839344</v>
      </c>
      <c r="G238" s="11">
        <f t="shared" si="27"/>
        <v>-40.293178251847628</v>
      </c>
    </row>
    <row r="239" spans="5:7" x14ac:dyDescent="0.25">
      <c r="E239" s="11">
        <f t="shared" si="25"/>
        <v>-148</v>
      </c>
      <c r="F239" s="11">
        <f t="shared" si="26"/>
        <v>-40.012562437012775</v>
      </c>
      <c r="G239" s="11">
        <f t="shared" si="27"/>
        <v>-40.031478217719801</v>
      </c>
    </row>
    <row r="240" spans="5:7" x14ac:dyDescent="0.25">
      <c r="E240" s="11">
        <f t="shared" si="25"/>
        <v>-147</v>
      </c>
      <c r="F240" s="11">
        <f t="shared" si="26"/>
        <v>-39.720244788856803</v>
      </c>
      <c r="G240" s="11">
        <f t="shared" si="27"/>
        <v>-39.766008422133119</v>
      </c>
    </row>
    <row r="241" spans="5:7" x14ac:dyDescent="0.25">
      <c r="E241" s="11">
        <f t="shared" si="25"/>
        <v>-146</v>
      </c>
      <c r="F241" s="11">
        <f t="shared" si="26"/>
        <v>-39.424197053725436</v>
      </c>
      <c r="G241" s="11">
        <f t="shared" si="27"/>
        <v>-39.496547114413538</v>
      </c>
    </row>
    <row r="242" spans="5:7" x14ac:dyDescent="0.25">
      <c r="E242" s="11">
        <f t="shared" si="25"/>
        <v>-145</v>
      </c>
      <c r="F242" s="11">
        <f t="shared" si="26"/>
        <v>-39.12487897219134</v>
      </c>
      <c r="G242" s="11">
        <f t="shared" si="27"/>
        <v>-39.222872543887007</v>
      </c>
    </row>
    <row r="243" spans="5:7" x14ac:dyDescent="0.25">
      <c r="E243" s="11">
        <f t="shared" si="25"/>
        <v>-144</v>
      </c>
      <c r="F243" s="11">
        <f t="shared" si="26"/>
        <v>-38.822743559648643</v>
      </c>
      <c r="G243" s="11">
        <f t="shared" si="27"/>
        <v>-38.944762959879476</v>
      </c>
    </row>
    <row r="244" spans="5:7" x14ac:dyDescent="0.25">
      <c r="E244" s="11">
        <f t="shared" si="25"/>
        <v>-143</v>
      </c>
      <c r="F244" s="11">
        <f t="shared" si="26"/>
        <v>-38.518235858859754</v>
      </c>
      <c r="G244" s="11">
        <f t="shared" si="27"/>
        <v>-38.661996611716887</v>
      </c>
    </row>
    <row r="245" spans="5:7" x14ac:dyDescent="0.25">
      <c r="E245" s="11">
        <f t="shared" si="25"/>
        <v>-142</v>
      </c>
      <c r="F245" s="11">
        <f t="shared" si="26"/>
        <v>-38.211791783606287</v>
      </c>
      <c r="G245" s="11">
        <f t="shared" si="27"/>
        <v>-38.374351748725203</v>
      </c>
    </row>
    <row r="246" spans="5:7" x14ac:dyDescent="0.25">
      <c r="E246" s="11">
        <f t="shared" si="25"/>
        <v>-141</v>
      </c>
      <c r="F246" s="11">
        <f t="shared" si="26"/>
        <v>-37.903837050647553</v>
      </c>
      <c r="G246" s="11">
        <f t="shared" si="27"/>
        <v>-38.08160662023036</v>
      </c>
    </row>
    <row r="247" spans="5:7" x14ac:dyDescent="0.25">
      <c r="E247" s="11">
        <f t="shared" si="25"/>
        <v>-140</v>
      </c>
      <c r="F247" s="11">
        <f t="shared" si="26"/>
        <v>-37.594786197218468</v>
      </c>
      <c r="G247" s="11">
        <f t="shared" si="27"/>
        <v>-37.783539475558314</v>
      </c>
    </row>
    <row r="248" spans="5:7" x14ac:dyDescent="0.25">
      <c r="E248" s="11">
        <f t="shared" si="25"/>
        <v>-139</v>
      </c>
      <c r="F248" s="11">
        <f t="shared" si="26"/>
        <v>-37.285041681338527</v>
      </c>
      <c r="G248" s="11">
        <f t="shared" si="27"/>
        <v>-37.479928564035021</v>
      </c>
    </row>
    <row r="249" spans="5:7" x14ac:dyDescent="0.25">
      <c r="E249" s="11">
        <f t="shared" si="25"/>
        <v>-138</v>
      </c>
      <c r="F249" s="11">
        <f t="shared" si="26"/>
        <v>-36.974993062238497</v>
      </c>
      <c r="G249" s="11">
        <f t="shared" si="27"/>
        <v>-37.17055213498643</v>
      </c>
    </row>
    <row r="250" spans="5:7" x14ac:dyDescent="0.25">
      <c r="E250" s="11">
        <f t="shared" si="25"/>
        <v>-137</v>
      </c>
      <c r="F250" s="11">
        <f t="shared" si="26"/>
        <v>-36.66501625824516</v>
      </c>
      <c r="G250" s="11">
        <f t="shared" si="27"/>
        <v>-36.855188437738477</v>
      </c>
    </row>
    <row r="251" spans="5:7" x14ac:dyDescent="0.25">
      <c r="E251" s="11">
        <f t="shared" si="25"/>
        <v>-136</v>
      </c>
      <c r="F251" s="11">
        <f t="shared" si="26"/>
        <v>-36.355472879501747</v>
      </c>
      <c r="G251" s="11">
        <f t="shared" si="27"/>
        <v>-36.533615721617124</v>
      </c>
    </row>
    <row r="252" spans="5:7" x14ac:dyDescent="0.25">
      <c r="E252" s="11">
        <f t="shared" si="25"/>
        <v>-135</v>
      </c>
      <c r="F252" s="11">
        <f t="shared" si="26"/>
        <v>-36.046709632936313</v>
      </c>
      <c r="G252" s="11">
        <f t="shared" si="27"/>
        <v>-36.20561223594833</v>
      </c>
    </row>
    <row r="253" spans="5:7" x14ac:dyDescent="0.25">
      <c r="E253" s="11">
        <f t="shared" si="25"/>
        <v>-134</v>
      </c>
      <c r="F253" s="11">
        <f t="shared" si="26"/>
        <v>-35.739057796926758</v>
      </c>
      <c r="G253" s="11">
        <f t="shared" si="27"/>
        <v>-35.87095623005802</v>
      </c>
    </row>
    <row r="254" spans="5:7" x14ac:dyDescent="0.25">
      <c r="E254" s="11">
        <f t="shared" si="25"/>
        <v>-133</v>
      </c>
      <c r="F254" s="11">
        <f t="shared" si="26"/>
        <v>-35.432832763144518</v>
      </c>
      <c r="G254" s="11">
        <f t="shared" si="27"/>
        <v>-35.529425953272167</v>
      </c>
    </row>
    <row r="255" spans="5:7" x14ac:dyDescent="0.25">
      <c r="E255" s="11">
        <f t="shared" si="25"/>
        <v>-132</v>
      </c>
      <c r="F255" s="11">
        <f t="shared" si="26"/>
        <v>-35.12833364309769</v>
      </c>
      <c r="G255" s="11">
        <f t="shared" si="27"/>
        <v>-35.180799654916704</v>
      </c>
    </row>
    <row r="256" spans="5:7" x14ac:dyDescent="0.25">
      <c r="E256" s="11">
        <f t="shared" si="25"/>
        <v>-131</v>
      </c>
      <c r="F256" s="11">
        <f t="shared" si="26"/>
        <v>-34.825842936926648</v>
      </c>
      <c r="G256" s="11">
        <f t="shared" si="27"/>
        <v>-34.824855584317589</v>
      </c>
    </row>
    <row r="257" spans="5:7" x14ac:dyDescent="0.25">
      <c r="E257" s="11">
        <f t="shared" si="25"/>
        <v>-130</v>
      </c>
      <c r="F257" s="11">
        <f t="shared" si="26"/>
        <v>-34.52562626204309</v>
      </c>
      <c r="G257" s="11">
        <f t="shared" si="27"/>
        <v>-34.461371990800778</v>
      </c>
    </row>
    <row r="258" spans="5:7" x14ac:dyDescent="0.25">
      <c r="E258" s="11">
        <f t="shared" si="25"/>
        <v>-129</v>
      </c>
      <c r="F258" s="11">
        <f t="shared" si="26"/>
        <v>-34.227932139237467</v>
      </c>
      <c r="G258" s="11">
        <f t="shared" si="27"/>
        <v>-34.090127123692206</v>
      </c>
    </row>
    <row r="259" spans="5:7" x14ac:dyDescent="0.25">
      <c r="E259" s="11">
        <f t="shared" si="25"/>
        <v>-128</v>
      </c>
      <c r="F259" s="11">
        <f t="shared" si="26"/>
        <v>-33.932991833916375</v>
      </c>
      <c r="G259" s="11">
        <f t="shared" si="27"/>
        <v>-33.710899232317843</v>
      </c>
    </row>
    <row r="260" spans="5:7" x14ac:dyDescent="0.25">
      <c r="E260" s="11">
        <f t="shared" si="25"/>
        <v>-127</v>
      </c>
      <c r="F260" s="11">
        <f t="shared" si="26"/>
        <v>-33.641019250165591</v>
      </c>
      <c r="G260" s="11">
        <f t="shared" si="27"/>
        <v>-33.32346656600361</v>
      </c>
    </row>
    <row r="261" spans="5:7" x14ac:dyDescent="0.25">
      <c r="E261" s="11">
        <f t="shared" si="25"/>
        <v>-126</v>
      </c>
      <c r="F261" s="11">
        <f t="shared" si="26"/>
        <v>-33.352210875371483</v>
      </c>
      <c r="G261" s="11">
        <f t="shared" si="27"/>
        <v>-32.927607374075485</v>
      </c>
    </row>
    <row r="262" spans="5:7" x14ac:dyDescent="0.25">
      <c r="E262" s="11">
        <f t="shared" si="25"/>
        <v>-125</v>
      </c>
      <c r="F262" s="11">
        <f t="shared" si="26"/>
        <v>-33.066745773168371</v>
      </c>
      <c r="G262" s="11">
        <f t="shared" si="27"/>
        <v>-32.523099905859404</v>
      </c>
    </row>
    <row r="263" spans="5:7" x14ac:dyDescent="0.25">
      <c r="E263" s="11">
        <f t="shared" si="25"/>
        <v>-124</v>
      </c>
      <c r="F263" s="11">
        <f t="shared" si="26"/>
        <v>-32.784785622514029</v>
      </c>
      <c r="G263" s="11">
        <f t="shared" si="27"/>
        <v>-32.356991978104546</v>
      </c>
    </row>
    <row r="264" spans="5:7" x14ac:dyDescent="0.25">
      <c r="E264" s="11">
        <f t="shared" si="25"/>
        <v>-123</v>
      </c>
      <c r="F264" s="11">
        <f t="shared" si="26"/>
        <v>-32.506474800732342</v>
      </c>
      <c r="G264" s="11">
        <f t="shared" si="27"/>
        <v>-32.182586978298787</v>
      </c>
    </row>
    <row r="265" spans="5:7" x14ac:dyDescent="0.25">
      <c r="E265" s="11">
        <f t="shared" si="25"/>
        <v>-122</v>
      </c>
      <c r="F265" s="11">
        <f t="shared" si="26"/>
        <v>-32.23194050839804</v>
      </c>
      <c r="G265" s="11">
        <f t="shared" si="27"/>
        <v>-32.000457861353247</v>
      </c>
    </row>
    <row r="266" spans="5:7" x14ac:dyDescent="0.25">
      <c r="E266" s="11">
        <f t="shared" si="25"/>
        <v>-121</v>
      </c>
      <c r="F266" s="11">
        <f t="shared" si="26"/>
        <v>-31.961292933971038</v>
      </c>
      <c r="G266" s="11">
        <f t="shared" si="27"/>
        <v>-31.811177582179031</v>
      </c>
    </row>
    <row r="267" spans="5:7" x14ac:dyDescent="0.25">
      <c r="E267" s="11">
        <f t="shared" si="25"/>
        <v>-120</v>
      </c>
      <c r="F267" s="11">
        <f t="shared" si="26"/>
        <v>-31.694625456126985</v>
      </c>
      <c r="G267" s="11">
        <f t="shared" si="27"/>
        <v>-31.615319095687251</v>
      </c>
    </row>
    <row r="268" spans="5:7" x14ac:dyDescent="0.25">
      <c r="E268" s="11">
        <f t="shared" si="25"/>
        <v>-119</v>
      </c>
      <c r="F268" s="11">
        <f t="shared" si="26"/>
        <v>-31.432014881764388</v>
      </c>
      <c r="G268" s="11">
        <f t="shared" si="27"/>
        <v>-31.413455356789008</v>
      </c>
    </row>
    <row r="269" spans="5:7" x14ac:dyDescent="0.25">
      <c r="E269" s="11">
        <f t="shared" si="25"/>
        <v>-118</v>
      </c>
      <c r="F269" s="11">
        <f t="shared" si="26"/>
        <v>-31.173521717703515</v>
      </c>
      <c r="G269" s="11">
        <f t="shared" si="27"/>
        <v>-31.206159320395422</v>
      </c>
    </row>
    <row r="270" spans="5:7" x14ac:dyDescent="0.25">
      <c r="E270" s="11">
        <f t="shared" si="25"/>
        <v>-117</v>
      </c>
      <c r="F270" s="11">
        <f t="shared" si="26"/>
        <v>-30.919190474129191</v>
      </c>
      <c r="G270" s="11">
        <f t="shared" si="27"/>
        <v>-30.994003941417592</v>
      </c>
    </row>
    <row r="271" spans="5:7" x14ac:dyDescent="0.25">
      <c r="E271" s="11">
        <f t="shared" si="25"/>
        <v>-116</v>
      </c>
      <c r="F271" s="11">
        <f t="shared" si="26"/>
        <v>-30.669049997864672</v>
      </c>
      <c r="G271" s="11">
        <f t="shared" si="27"/>
        <v>-30.777562174766636</v>
      </c>
    </row>
    <row r="272" spans="5:7" x14ac:dyDescent="0.25">
      <c r="E272" s="11">
        <f t="shared" si="25"/>
        <v>-115</v>
      </c>
      <c r="F272" s="11">
        <f t="shared" si="26"/>
        <v>-30.423113833598734</v>
      </c>
      <c r="G272" s="11">
        <f t="shared" si="27"/>
        <v>-30.557406975353658</v>
      </c>
    </row>
    <row r="273" spans="5:7" x14ac:dyDescent="0.25">
      <c r="E273" s="11">
        <f t="shared" si="25"/>
        <v>-114</v>
      </c>
      <c r="F273" s="11">
        <f t="shared" si="26"/>
        <v>-30.18138061122399</v>
      </c>
      <c r="G273" s="11">
        <f t="shared" si="27"/>
        <v>-30.334111298089763</v>
      </c>
    </row>
    <row r="274" spans="5:7" x14ac:dyDescent="0.25">
      <c r="E274" s="11">
        <f t="shared" si="25"/>
        <v>-113</v>
      </c>
      <c r="F274" s="11">
        <f t="shared" si="26"/>
        <v>-29.943834457480271</v>
      </c>
      <c r="G274" s="11">
        <f t="shared" si="27"/>
        <v>-30.108248097886069</v>
      </c>
    </row>
    <row r="275" spans="5:7" x14ac:dyDescent="0.25">
      <c r="E275" s="11">
        <f t="shared" si="25"/>
        <v>-112</v>
      </c>
      <c r="F275" s="11">
        <f t="shared" si="26"/>
        <v>-29.710445430132022</v>
      </c>
      <c r="G275" s="11">
        <f t="shared" si="27"/>
        <v>-29.880390329653682</v>
      </c>
    </row>
    <row r="276" spans="5:7" x14ac:dyDescent="0.25">
      <c r="E276" s="11">
        <f t="shared" si="25"/>
        <v>-111</v>
      </c>
      <c r="F276" s="11">
        <f t="shared" si="26"/>
        <v>-29.481169972943938</v>
      </c>
      <c r="G276" s="11">
        <f t="shared" si="27"/>
        <v>-29.651110948303703</v>
      </c>
    </row>
    <row r="277" spans="5:7" x14ac:dyDescent="0.25">
      <c r="E277" s="11">
        <f t="shared" si="25"/>
        <v>-110</v>
      </c>
      <c r="F277" s="11">
        <f t="shared" si="26"/>
        <v>-29.25595138975531</v>
      </c>
      <c r="G277" s="11">
        <f t="shared" si="27"/>
        <v>-29.420982908747256</v>
      </c>
    </row>
    <row r="278" spans="5:7" x14ac:dyDescent="0.25">
      <c r="E278" s="11">
        <f t="shared" si="25"/>
        <v>-109</v>
      </c>
      <c r="F278" s="11">
        <f t="shared" si="26"/>
        <v>-29.034720335988204</v>
      </c>
      <c r="G278" s="11">
        <f t="shared" si="27"/>
        <v>-29.190579165895443</v>
      </c>
    </row>
    <row r="279" spans="5:7" x14ac:dyDescent="0.25">
      <c r="E279" s="11">
        <f t="shared" si="25"/>
        <v>-108</v>
      </c>
      <c r="F279" s="11">
        <f t="shared" si="26"/>
        <v>-28.817395325960906</v>
      </c>
      <c r="G279" s="11">
        <f t="shared" si="27"/>
        <v>-28.960472674659368</v>
      </c>
    </row>
    <row r="280" spans="5:7" x14ac:dyDescent="0.25">
      <c r="E280" s="11">
        <f t="shared" si="25"/>
        <v>-107</v>
      </c>
      <c r="F280" s="11">
        <f t="shared" si="26"/>
        <v>-28.603883254412878</v>
      </c>
      <c r="G280" s="11">
        <f t="shared" si="27"/>
        <v>-28.731236389950148</v>
      </c>
    </row>
    <row r="281" spans="5:7" x14ac:dyDescent="0.25">
      <c r="E281" s="11">
        <f t="shared" si="25"/>
        <v>-106</v>
      </c>
      <c r="F281" s="11">
        <f t="shared" si="26"/>
        <v>-28.394079930683269</v>
      </c>
      <c r="G281" s="11">
        <f t="shared" si="27"/>
        <v>-28.503443266678886</v>
      </c>
    </row>
    <row r="282" spans="5:7" x14ac:dyDescent="0.25">
      <c r="E282" s="11">
        <f t="shared" si="25"/>
        <v>-105</v>
      </c>
      <c r="F282" s="11">
        <f t="shared" si="26"/>
        <v>-28.187870624020722</v>
      </c>
      <c r="G282" s="11">
        <f t="shared" si="27"/>
        <v>-28.277666259756696</v>
      </c>
    </row>
    <row r="283" spans="5:7" x14ac:dyDescent="0.25">
      <c r="E283" s="11">
        <f t="shared" si="25"/>
        <v>-104</v>
      </c>
      <c r="F283" s="11">
        <f t="shared" si="26"/>
        <v>-27.985130618537433</v>
      </c>
      <c r="G283" s="11">
        <f t="shared" si="27"/>
        <v>-28.054478324094685</v>
      </c>
    </row>
    <row r="284" spans="5:7" x14ac:dyDescent="0.25">
      <c r="E284" s="11">
        <f t="shared" si="25"/>
        <v>-103</v>
      </c>
      <c r="F284" s="11">
        <f t="shared" si="26"/>
        <v>-27.785725776355761</v>
      </c>
      <c r="G284" s="11">
        <f t="shared" si="27"/>
        <v>-27.834452414603959</v>
      </c>
    </row>
    <row r="285" spans="5:7" x14ac:dyDescent="0.25">
      <c r="E285" s="11">
        <f t="shared" si="25"/>
        <v>-102</v>
      </c>
      <c r="F285" s="11">
        <f t="shared" si="26"/>
        <v>-27.589513107531864</v>
      </c>
      <c r="G285" s="11">
        <f t="shared" si="27"/>
        <v>-27.618161486195635</v>
      </c>
    </row>
    <row r="286" spans="5:7" x14ac:dyDescent="0.25">
      <c r="E286" s="11">
        <f t="shared" si="25"/>
        <v>-101</v>
      </c>
      <c r="F286" s="11">
        <f t="shared" si="26"/>
        <v>-27.396341345375511</v>
      </c>
      <c r="G286" s="11">
        <f t="shared" si="27"/>
        <v>-27.406178493780814</v>
      </c>
    </row>
    <row r="287" spans="5:7" x14ac:dyDescent="0.25">
      <c r="E287" s="11">
        <f t="shared" ref="E287:E350" si="28">E80</f>
        <v>-100</v>
      </c>
      <c r="F287" s="11">
        <f t="shared" ref="F287:F350" si="29">$H$217*0+E287*$I$217+E287^2*$J$217+E287^3*$K$217+E287^4*$L$217+E287^5*$M$217+E287^6*$N$217+E287^7*$O$217+E287^8*$P$217</f>
        <v>-27.206051525821401</v>
      </c>
      <c r="G287" s="11">
        <f t="shared" ref="G287:G350" si="30">F80</f>
        <v>-27.199076392270612</v>
      </c>
    </row>
    <row r="288" spans="5:7" x14ac:dyDescent="0.25">
      <c r="E288" s="11">
        <f t="shared" si="28"/>
        <v>-99</v>
      </c>
      <c r="F288" s="11">
        <f t="shared" si="29"/>
        <v>-27.018477569542327</v>
      </c>
      <c r="G288" s="11">
        <f t="shared" si="30"/>
        <v>-26.997273316609995</v>
      </c>
    </row>
    <row r="289" spans="5:7" x14ac:dyDescent="0.25">
      <c r="E289" s="11">
        <f t="shared" si="28"/>
        <v>-98</v>
      </c>
      <c r="F289" s="11">
        <f t="shared" si="29"/>
        <v>-26.833446865530302</v>
      </c>
      <c r="G289" s="11">
        <f t="shared" si="30"/>
        <v>-26.800568121879369</v>
      </c>
    </row>
    <row r="290" spans="5:7" x14ac:dyDescent="0.25">
      <c r="E290" s="11">
        <f t="shared" si="28"/>
        <v>-97</v>
      </c>
      <c r="F290" s="11">
        <f t="shared" si="29"/>
        <v>-26.650780854907364</v>
      </c>
      <c r="G290" s="11">
        <f t="shared" si="30"/>
        <v>-26.608604843193017</v>
      </c>
    </row>
    <row r="291" spans="5:7" x14ac:dyDescent="0.25">
      <c r="E291" s="11">
        <f t="shared" si="28"/>
        <v>-96</v>
      </c>
      <c r="F291" s="11">
        <f t="shared" si="29"/>
        <v>-26.47029561376273</v>
      </c>
      <c r="G291" s="11">
        <f t="shared" si="30"/>
        <v>-26.421027515665209</v>
      </c>
    </row>
    <row r="292" spans="5:7" x14ac:dyDescent="0.25">
      <c r="E292" s="11">
        <f t="shared" si="28"/>
        <v>-95</v>
      </c>
      <c r="F292" s="11">
        <f t="shared" si="29"/>
        <v>-26.29180243384927</v>
      </c>
      <c r="G292" s="11">
        <f t="shared" si="30"/>
        <v>-26.237480174410216</v>
      </c>
    </row>
    <row r="293" spans="5:7" x14ac:dyDescent="0.25">
      <c r="E293" s="11">
        <f t="shared" si="28"/>
        <v>-94</v>
      </c>
      <c r="F293" s="11">
        <f t="shared" si="29"/>
        <v>-26.115108400007031</v>
      </c>
      <c r="G293" s="11">
        <f t="shared" si="30"/>
        <v>-26.057606854542307</v>
      </c>
    </row>
    <row r="294" spans="5:7" x14ac:dyDescent="0.25">
      <c r="E294" s="11">
        <f t="shared" si="28"/>
        <v>-93</v>
      </c>
      <c r="F294" s="11">
        <f t="shared" si="29"/>
        <v>-25.940016963217513</v>
      </c>
      <c r="G294" s="11">
        <f t="shared" si="30"/>
        <v>-25.881051591175762</v>
      </c>
    </row>
    <row r="295" spans="5:7" x14ac:dyDescent="0.25">
      <c r="E295" s="11">
        <f t="shared" si="28"/>
        <v>-92</v>
      </c>
      <c r="F295" s="11">
        <f t="shared" si="29"/>
        <v>-25.766328508227836</v>
      </c>
      <c r="G295" s="11">
        <f t="shared" si="30"/>
        <v>-25.707458419424846</v>
      </c>
    </row>
    <row r="296" spans="5:7" x14ac:dyDescent="0.25">
      <c r="E296" s="11">
        <f t="shared" si="28"/>
        <v>-91</v>
      </c>
      <c r="F296" s="11">
        <f t="shared" si="29"/>
        <v>-25.593840914719056</v>
      </c>
      <c r="G296" s="11">
        <f t="shared" si="30"/>
        <v>-25.536471374403831</v>
      </c>
    </row>
    <row r="297" spans="5:7" x14ac:dyDescent="0.25">
      <c r="E297" s="11">
        <f t="shared" si="28"/>
        <v>-90</v>
      </c>
      <c r="F297" s="11">
        <f t="shared" si="29"/>
        <v>-25.422350111029015</v>
      </c>
      <c r="G297" s="11">
        <f t="shared" si="30"/>
        <v>-25.367734491227001</v>
      </c>
    </row>
    <row r="298" spans="5:7" x14ac:dyDescent="0.25">
      <c r="E298" s="11">
        <f t="shared" si="28"/>
        <v>-89</v>
      </c>
      <c r="F298" s="11">
        <f t="shared" si="29"/>
        <v>-25.251650619475143</v>
      </c>
      <c r="G298" s="11">
        <f t="shared" si="30"/>
        <v>-25.200891805008617</v>
      </c>
    </row>
    <row r="299" spans="5:7" x14ac:dyDescent="0.25">
      <c r="E299" s="11">
        <f t="shared" si="28"/>
        <v>-88</v>
      </c>
      <c r="F299" s="11">
        <f t="shared" si="29"/>
        <v>-25.081536092358174</v>
      </c>
      <c r="G299" s="11">
        <f t="shared" si="30"/>
        <v>-25.035587350862961</v>
      </c>
    </row>
    <row r="300" spans="5:7" x14ac:dyDescent="0.25">
      <c r="E300" s="11">
        <f t="shared" si="28"/>
        <v>-87</v>
      </c>
      <c r="F300" s="11">
        <f t="shared" si="29"/>
        <v>-24.911799837763468</v>
      </c>
      <c r="G300" s="11">
        <f t="shared" si="30"/>
        <v>-24.87146516390429</v>
      </c>
    </row>
    <row r="301" spans="5:7" x14ac:dyDescent="0.25">
      <c r="E301" s="11">
        <f t="shared" si="28"/>
        <v>-86</v>
      </c>
      <c r="F301" s="11">
        <f t="shared" si="29"/>
        <v>-24.742235334312092</v>
      </c>
      <c r="G301" s="11">
        <f t="shared" si="30"/>
        <v>-24.708169279246896</v>
      </c>
    </row>
    <row r="302" spans="5:7" x14ac:dyDescent="0.25">
      <c r="E302" s="11">
        <f t="shared" si="28"/>
        <v>-85</v>
      </c>
      <c r="F302" s="11">
        <f t="shared" si="29"/>
        <v>-24.572636734048913</v>
      </c>
      <c r="G302" s="11">
        <f t="shared" si="30"/>
        <v>-24.545343732005037</v>
      </c>
    </row>
    <row r="303" spans="5:7" x14ac:dyDescent="0.25">
      <c r="E303" s="11">
        <f t="shared" si="28"/>
        <v>-84</v>
      </c>
      <c r="F303" s="11">
        <f t="shared" si="29"/>
        <v>-24.402799352690998</v>
      </c>
      <c r="G303" s="11">
        <f t="shared" si="30"/>
        <v>-24.382632557292993</v>
      </c>
    </row>
    <row r="304" spans="5:7" x14ac:dyDescent="0.25">
      <c r="E304" s="11">
        <f t="shared" si="28"/>
        <v>-83</v>
      </c>
      <c r="F304" s="11">
        <f t="shared" si="29"/>
        <v>-24.232520146494981</v>
      </c>
      <c r="G304" s="11">
        <f t="shared" si="30"/>
        <v>-24.21967979022503</v>
      </c>
    </row>
    <row r="305" spans="5:7" x14ac:dyDescent="0.25">
      <c r="E305" s="11">
        <f t="shared" si="28"/>
        <v>-82</v>
      </c>
      <c r="F305" s="11">
        <f t="shared" si="29"/>
        <v>-24.061598175037069</v>
      </c>
      <c r="G305" s="11">
        <f t="shared" si="30"/>
        <v>-24.056129465915429</v>
      </c>
    </row>
    <row r="306" spans="5:7" x14ac:dyDescent="0.25">
      <c r="E306" s="11">
        <f t="shared" si="28"/>
        <v>-81</v>
      </c>
      <c r="F306" s="11">
        <f t="shared" si="29"/>
        <v>-23.88983504923576</v>
      </c>
      <c r="G306" s="11">
        <f t="shared" si="30"/>
        <v>-23.891625619478457</v>
      </c>
    </row>
    <row r="307" spans="5:7" x14ac:dyDescent="0.25">
      <c r="E307" s="11">
        <f t="shared" si="28"/>
        <v>-80</v>
      </c>
      <c r="F307" s="11">
        <f t="shared" si="29"/>
        <v>-23.717035363981896</v>
      </c>
      <c r="G307" s="11">
        <f t="shared" si="30"/>
        <v>-23.725812286028386</v>
      </c>
    </row>
    <row r="308" spans="5:7" x14ac:dyDescent="0.25">
      <c r="E308" s="11">
        <f t="shared" si="28"/>
        <v>-79</v>
      </c>
      <c r="F308" s="11">
        <f t="shared" si="29"/>
        <v>-23.54300711477692</v>
      </c>
      <c r="G308" s="11">
        <f t="shared" si="30"/>
        <v>-23.558333500679495</v>
      </c>
    </row>
    <row r="309" spans="5:7" x14ac:dyDescent="0.25">
      <c r="E309" s="11">
        <f t="shared" si="28"/>
        <v>-78</v>
      </c>
      <c r="F309" s="11">
        <f t="shared" si="29"/>
        <v>-23.367562097815259</v>
      </c>
      <c r="G309" s="11">
        <f t="shared" si="30"/>
        <v>-23.38883329854605</v>
      </c>
    </row>
    <row r="310" spans="5:7" x14ac:dyDescent="0.25">
      <c r="E310" s="11">
        <f t="shared" si="28"/>
        <v>-77</v>
      </c>
      <c r="F310" s="11">
        <f t="shared" si="29"/>
        <v>-23.190516292982469</v>
      </c>
      <c r="G310" s="11">
        <f t="shared" si="30"/>
        <v>-23.216955714742323</v>
      </c>
    </row>
    <row r="311" spans="5:7" x14ac:dyDescent="0.25">
      <c r="E311" s="11">
        <f t="shared" si="28"/>
        <v>-76</v>
      </c>
      <c r="F311" s="11">
        <f t="shared" si="29"/>
        <v>-23.011690229276152</v>
      </c>
      <c r="G311" s="11">
        <f t="shared" si="30"/>
        <v>-23.042344784382589</v>
      </c>
    </row>
    <row r="312" spans="5:7" x14ac:dyDescent="0.25">
      <c r="E312" s="11">
        <f t="shared" si="28"/>
        <v>-75</v>
      </c>
      <c r="F312" s="11">
        <f t="shared" si="29"/>
        <v>-22.830909332192302</v>
      </c>
      <c r="G312" s="11">
        <f t="shared" si="30"/>
        <v>-22.864644542581125</v>
      </c>
    </row>
    <row r="313" spans="5:7" x14ac:dyDescent="0.25">
      <c r="E313" s="11">
        <f t="shared" si="28"/>
        <v>-74</v>
      </c>
      <c r="F313" s="11">
        <f t="shared" si="29"/>
        <v>-22.648004252655127</v>
      </c>
      <c r="G313" s="11">
        <f t="shared" si="30"/>
        <v>-22.683556164532305</v>
      </c>
    </row>
    <row r="314" spans="5:7" x14ac:dyDescent="0.25">
      <c r="E314" s="11">
        <f t="shared" si="28"/>
        <v>-73</v>
      </c>
      <c r="F314" s="11">
        <f t="shared" si="29"/>
        <v>-22.462811177103866</v>
      </c>
      <c r="G314" s="11">
        <f t="shared" si="30"/>
        <v>-22.499009385750988</v>
      </c>
    </row>
    <row r="315" spans="5:7" x14ac:dyDescent="0.25">
      <c r="E315" s="11">
        <f t="shared" si="28"/>
        <v>-72</v>
      </c>
      <c r="F315" s="11">
        <f t="shared" si="29"/>
        <v>-22.27517211838574</v>
      </c>
      <c r="G315" s="11">
        <f t="shared" si="30"/>
        <v>-22.310991081832135</v>
      </c>
    </row>
    <row r="316" spans="5:7" x14ac:dyDescent="0.25">
      <c r="E316" s="11">
        <f t="shared" si="28"/>
        <v>-71</v>
      </c>
      <c r="F316" s="11">
        <f t="shared" si="29"/>
        <v>-22.084935187139664</v>
      </c>
      <c r="G316" s="11">
        <f t="shared" si="30"/>
        <v>-22.119488128370705</v>
      </c>
    </row>
    <row r="317" spans="5:7" x14ac:dyDescent="0.25">
      <c r="E317" s="11">
        <f t="shared" si="28"/>
        <v>-70</v>
      </c>
      <c r="F317" s="11">
        <f t="shared" si="29"/>
        <v>-21.891954843390629</v>
      </c>
      <c r="G317" s="11">
        <f t="shared" si="30"/>
        <v>-21.924487400961656</v>
      </c>
    </row>
    <row r="318" spans="5:7" x14ac:dyDescent="0.25">
      <c r="E318" s="11">
        <f t="shared" si="28"/>
        <v>-69</v>
      </c>
      <c r="F318" s="11">
        <f t="shared" si="29"/>
        <v>-21.69609212811055</v>
      </c>
      <c r="G318" s="11">
        <f t="shared" si="30"/>
        <v>-21.725975775199956</v>
      </c>
    </row>
    <row r="319" spans="5:7" x14ac:dyDescent="0.25">
      <c r="E319" s="11">
        <f t="shared" si="28"/>
        <v>-68</v>
      </c>
      <c r="F319" s="11">
        <f t="shared" si="29"/>
        <v>-21.49721487453651</v>
      </c>
      <c r="G319" s="11">
        <f t="shared" si="30"/>
        <v>-21.523940126680561</v>
      </c>
    </row>
    <row r="320" spans="5:7" x14ac:dyDescent="0.25">
      <c r="E320" s="11">
        <f t="shared" si="28"/>
        <v>-67</v>
      </c>
      <c r="F320" s="11">
        <f t="shared" si="29"/>
        <v>-21.295197899073045</v>
      </c>
      <c r="G320" s="11">
        <f t="shared" si="30"/>
        <v>-21.318367330998434</v>
      </c>
    </row>
    <row r="321" spans="5:7" x14ac:dyDescent="0.25">
      <c r="E321" s="11">
        <f t="shared" si="28"/>
        <v>-66</v>
      </c>
      <c r="F321" s="11">
        <f t="shared" si="29"/>
        <v>-21.08992317164056</v>
      </c>
      <c r="G321" s="11">
        <f t="shared" si="30"/>
        <v>-21.10924426374854</v>
      </c>
    </row>
    <row r="322" spans="5:7" x14ac:dyDescent="0.25">
      <c r="E322" s="11">
        <f t="shared" si="28"/>
        <v>-65</v>
      </c>
      <c r="F322" s="11">
        <f t="shared" si="29"/>
        <v>-20.881279965367437</v>
      </c>
      <c r="G322" s="11">
        <f t="shared" si="30"/>
        <v>-20.896557800525834</v>
      </c>
    </row>
    <row r="323" spans="5:7" x14ac:dyDescent="0.25">
      <c r="E323" s="11">
        <f t="shared" si="28"/>
        <v>-64</v>
      </c>
      <c r="F323" s="11">
        <f t="shared" si="29"/>
        <v>-20.669164985558922</v>
      </c>
      <c r="G323" s="11">
        <f t="shared" si="30"/>
        <v>-20.680294816925283</v>
      </c>
    </row>
    <row r="324" spans="5:7" x14ac:dyDescent="0.25">
      <c r="E324" s="11">
        <f t="shared" si="28"/>
        <v>-63</v>
      </c>
      <c r="F324" s="11">
        <f t="shared" si="29"/>
        <v>-20.453482477911457</v>
      </c>
      <c r="G324" s="11">
        <f t="shared" si="30"/>
        <v>-20.460442188541847</v>
      </c>
    </row>
    <row r="325" spans="5:7" x14ac:dyDescent="0.25">
      <c r="E325" s="11">
        <f t="shared" si="28"/>
        <v>-62</v>
      </c>
      <c r="F325" s="11">
        <f t="shared" si="29"/>
        <v>-20.23414431597638</v>
      </c>
      <c r="G325" s="11">
        <f t="shared" si="30"/>
        <v>-20.236986790970487</v>
      </c>
    </row>
    <row r="326" spans="5:7" x14ac:dyDescent="0.25">
      <c r="E326" s="11">
        <f t="shared" si="28"/>
        <v>-61</v>
      </c>
      <c r="F326" s="11">
        <f t="shared" si="29"/>
        <v>-20.011070067912822</v>
      </c>
      <c r="G326" s="11">
        <f t="shared" si="30"/>
        <v>-20.009915499806166</v>
      </c>
    </row>
    <row r="327" spans="5:7" x14ac:dyDescent="0.25">
      <c r="E327" s="11">
        <f t="shared" si="28"/>
        <v>-60</v>
      </c>
      <c r="F327" s="11">
        <f t="shared" si="29"/>
        <v>-19.78418704260465</v>
      </c>
      <c r="G327" s="11">
        <f t="shared" si="30"/>
        <v>-19.779215190643843</v>
      </c>
    </row>
    <row r="328" spans="5:7" x14ac:dyDescent="0.25">
      <c r="E328" s="11">
        <f t="shared" si="28"/>
        <v>-59</v>
      </c>
      <c r="F328" s="11">
        <f t="shared" si="29"/>
        <v>-19.553430315252236</v>
      </c>
      <c r="G328" s="11">
        <f t="shared" si="30"/>
        <v>-19.544872739078478</v>
      </c>
    </row>
    <row r="329" spans="5:7" x14ac:dyDescent="0.25">
      <c r="E329" s="11">
        <f t="shared" si="28"/>
        <v>-58</v>
      </c>
      <c r="F329" s="11">
        <f t="shared" si="29"/>
        <v>-19.318742732585036</v>
      </c>
      <c r="G329" s="11">
        <f t="shared" si="30"/>
        <v>-19.306875020705043</v>
      </c>
    </row>
    <row r="330" spans="5:7" x14ac:dyDescent="0.25">
      <c r="E330" s="11">
        <f t="shared" si="28"/>
        <v>-57</v>
      </c>
      <c r="F330" s="11">
        <f t="shared" si="29"/>
        <v>-19.080074897876649</v>
      </c>
      <c r="G330" s="11">
        <f t="shared" si="30"/>
        <v>-19.065208911118489</v>
      </c>
    </row>
    <row r="331" spans="5:7" x14ac:dyDescent="0.25">
      <c r="E331" s="11">
        <f t="shared" si="28"/>
        <v>-56</v>
      </c>
      <c r="F331" s="11">
        <f t="shared" si="29"/>
        <v>-18.837385135979378</v>
      </c>
      <c r="G331" s="11">
        <f t="shared" si="30"/>
        <v>-18.819861285913781</v>
      </c>
    </row>
    <row r="332" spans="5:7" x14ac:dyDescent="0.25">
      <c r="E332" s="11">
        <f t="shared" si="28"/>
        <v>-55</v>
      </c>
      <c r="F332" s="11">
        <f t="shared" si="29"/>
        <v>-18.590639438630991</v>
      </c>
      <c r="G332" s="11">
        <f t="shared" si="30"/>
        <v>-18.570819020685875</v>
      </c>
    </row>
    <row r="333" spans="5:7" x14ac:dyDescent="0.25">
      <c r="E333" s="11">
        <f t="shared" si="28"/>
        <v>-54</v>
      </c>
      <c r="F333" s="11">
        <f t="shared" si="29"/>
        <v>-18.339811390321692</v>
      </c>
      <c r="G333" s="11">
        <f t="shared" si="30"/>
        <v>-18.318068991029744</v>
      </c>
    </row>
    <row r="334" spans="5:7" x14ac:dyDescent="0.25">
      <c r="E334" s="11">
        <f t="shared" si="28"/>
        <v>-53</v>
      </c>
      <c r="F334" s="11">
        <f t="shared" si="29"/>
        <v>-18.084882075044938</v>
      </c>
      <c r="G334" s="11">
        <f t="shared" si="30"/>
        <v>-18.061598072540338</v>
      </c>
    </row>
    <row r="335" spans="5:7" x14ac:dyDescent="0.25">
      <c r="E335" s="11">
        <f t="shared" si="28"/>
        <v>-52</v>
      </c>
      <c r="F335" s="11">
        <f t="shared" si="29"/>
        <v>-17.825839964291223</v>
      </c>
      <c r="G335" s="11">
        <f t="shared" si="30"/>
        <v>-17.801393140812628</v>
      </c>
    </row>
    <row r="336" spans="5:7" x14ac:dyDescent="0.25">
      <c r="E336" s="11">
        <f t="shared" si="28"/>
        <v>-51</v>
      </c>
      <c r="F336" s="11">
        <f t="shared" si="29"/>
        <v>-17.562680786679415</v>
      </c>
      <c r="G336" s="11">
        <f t="shared" si="30"/>
        <v>-17.537441071441567</v>
      </c>
    </row>
    <row r="337" spans="5:7" x14ac:dyDescent="0.25">
      <c r="E337" s="11">
        <f t="shared" si="28"/>
        <v>-50</v>
      </c>
      <c r="F337" s="11">
        <f t="shared" si="29"/>
        <v>-17.295407379655742</v>
      </c>
      <c r="G337" s="11">
        <f t="shared" si="30"/>
        <v>-17.269728740022124</v>
      </c>
    </row>
    <row r="338" spans="5:7" x14ac:dyDescent="0.25">
      <c r="E338" s="11">
        <f t="shared" si="28"/>
        <v>-49</v>
      </c>
      <c r="F338" s="11">
        <f t="shared" si="29"/>
        <v>-17.024029523726071</v>
      </c>
      <c r="G338" s="11">
        <f t="shared" si="30"/>
        <v>-16.998243022149257</v>
      </c>
    </row>
    <row r="339" spans="5:7" x14ac:dyDescent="0.25">
      <c r="E339" s="11">
        <f t="shared" si="28"/>
        <v>-48</v>
      </c>
      <c r="F339" s="11">
        <f t="shared" si="29"/>
        <v>-16.748563759722511</v>
      </c>
      <c r="G339" s="11">
        <f t="shared" si="30"/>
        <v>-16.722970793417925</v>
      </c>
    </row>
    <row r="340" spans="5:7" x14ac:dyDescent="0.25">
      <c r="E340" s="11">
        <f t="shared" si="28"/>
        <v>-47</v>
      </c>
      <c r="F340" s="11">
        <f t="shared" si="29"/>
        <v>-16.469033189641088</v>
      </c>
      <c r="G340" s="11">
        <f t="shared" si="30"/>
        <v>-16.443898929423096</v>
      </c>
    </row>
    <row r="341" spans="5:7" x14ac:dyDescent="0.25">
      <c r="E341" s="11">
        <f t="shared" si="28"/>
        <v>-46</v>
      </c>
      <c r="F341" s="11">
        <f t="shared" si="29"/>
        <v>-16.185467261622424</v>
      </c>
      <c r="G341" s="11">
        <f t="shared" si="30"/>
        <v>-16.161014305759728</v>
      </c>
    </row>
    <row r="342" spans="5:7" x14ac:dyDescent="0.25">
      <c r="E342" s="11">
        <f t="shared" si="28"/>
        <v>-45</v>
      </c>
      <c r="F342" s="11">
        <f t="shared" si="29"/>
        <v>-15.897901539683179</v>
      </c>
      <c r="G342" s="11">
        <f t="shared" si="30"/>
        <v>-15.87430379802278</v>
      </c>
    </row>
    <row r="343" spans="5:7" x14ac:dyDescent="0.25">
      <c r="E343" s="11">
        <f t="shared" si="28"/>
        <v>-44</v>
      </c>
      <c r="F343" s="11">
        <f t="shared" si="29"/>
        <v>-15.606377458841303</v>
      </c>
      <c r="G343" s="11">
        <f t="shared" si="30"/>
        <v>-15.58376745350866</v>
      </c>
    </row>
    <row r="344" spans="5:7" x14ac:dyDescent="0.25">
      <c r="E344" s="11">
        <f t="shared" si="28"/>
        <v>-43</v>
      </c>
      <c r="F344" s="11">
        <f t="shared" si="29"/>
        <v>-15.310942066313725</v>
      </c>
      <c r="G344" s="11">
        <f t="shared" si="30"/>
        <v>-15.289458006319544</v>
      </c>
    </row>
    <row r="345" spans="5:7" x14ac:dyDescent="0.25">
      <c r="E345" s="11">
        <f t="shared" si="28"/>
        <v>-42</v>
      </c>
      <c r="F345" s="11">
        <f t="shared" si="29"/>
        <v>-15.011647749500565</v>
      </c>
      <c r="G345" s="11">
        <f t="shared" si="30"/>
        <v>-14.991441362259053</v>
      </c>
    </row>
    <row r="346" spans="5:7" x14ac:dyDescent="0.25">
      <c r="E346" s="11">
        <f t="shared" si="28"/>
        <v>-41</v>
      </c>
      <c r="F346" s="11">
        <f t="shared" si="29"/>
        <v>-14.708551951505559</v>
      </c>
      <c r="G346" s="11">
        <f t="shared" si="30"/>
        <v>-14.6897834271308</v>
      </c>
    </row>
    <row r="347" spans="5:7" x14ac:dyDescent="0.25">
      <c r="E347" s="11">
        <f t="shared" si="28"/>
        <v>-40</v>
      </c>
      <c r="F347" s="11">
        <f t="shared" si="29"/>
        <v>-14.401716874977742</v>
      </c>
      <c r="G347" s="11">
        <f t="shared" si="30"/>
        <v>-14.384550106738409</v>
      </c>
    </row>
    <row r="348" spans="5:7" x14ac:dyDescent="0.25">
      <c r="E348" s="11">
        <f t="shared" si="28"/>
        <v>-39</v>
      </c>
      <c r="F348" s="11">
        <f t="shared" si="29"/>
        <v>-14.091209175095036</v>
      </c>
      <c r="G348" s="11">
        <f t="shared" si="30"/>
        <v>-14.075807306885499</v>
      </c>
    </row>
    <row r="349" spans="5:7" x14ac:dyDescent="0.25">
      <c r="E349" s="11">
        <f t="shared" si="28"/>
        <v>-38</v>
      </c>
      <c r="F349" s="11">
        <f t="shared" si="29"/>
        <v>-13.77709964254587</v>
      </c>
      <c r="G349" s="11">
        <f t="shared" si="30"/>
        <v>-13.763620933375691</v>
      </c>
    </row>
    <row r="350" spans="5:7" x14ac:dyDescent="0.25">
      <c r="E350" s="11">
        <f t="shared" si="28"/>
        <v>-37</v>
      </c>
      <c r="F350" s="11">
        <f t="shared" si="29"/>
        <v>-13.459462877400441</v>
      </c>
      <c r="G350" s="11">
        <f t="shared" si="30"/>
        <v>-13.4480568920126</v>
      </c>
    </row>
    <row r="351" spans="5:7" x14ac:dyDescent="0.25">
      <c r="E351" s="11">
        <f t="shared" ref="E351:E414" si="31">E144</f>
        <v>-36</v>
      </c>
      <c r="F351" s="11">
        <f t="shared" ref="F351:F414" si="32">$H$217*0+E351*$I$217+E351^2*$J$217+E351^3*$K$217+E351^4*$L$217+E351^5*$M$217+E351^6*$N$217+E351^7*$O$217+E351^8*$P$217</f>
        <v>-13.138376954798741</v>
      </c>
      <c r="G351" s="11">
        <f t="shared" ref="G351:G414" si="33">F144</f>
        <v>-13.129181088599854</v>
      </c>
    </row>
    <row r="352" spans="5:7" x14ac:dyDescent="0.25">
      <c r="E352" s="11">
        <f t="shared" si="31"/>
        <v>-35</v>
      </c>
      <c r="F352" s="11">
        <f t="shared" si="32"/>
        <v>-12.813923083418006</v>
      </c>
      <c r="G352" s="11">
        <f t="shared" si="33"/>
        <v>-12.807059428941061</v>
      </c>
    </row>
    <row r="353" spans="5:7" x14ac:dyDescent="0.25">
      <c r="E353" s="11">
        <f t="shared" si="31"/>
        <v>-34</v>
      </c>
      <c r="F353" s="11">
        <f t="shared" si="32"/>
        <v>-12.486185257717638</v>
      </c>
      <c r="G353" s="11">
        <f t="shared" si="33"/>
        <v>-12.481757818839847</v>
      </c>
    </row>
    <row r="354" spans="5:7" x14ac:dyDescent="0.25">
      <c r="E354" s="11">
        <f t="shared" si="31"/>
        <v>-33</v>
      </c>
      <c r="F354" s="11">
        <f t="shared" si="32"/>
        <v>-12.155249904995307</v>
      </c>
      <c r="G354" s="11">
        <f t="shared" si="33"/>
        <v>-12.153342164099831</v>
      </c>
    </row>
    <row r="355" spans="5:7" x14ac:dyDescent="0.25">
      <c r="E355" s="11">
        <f t="shared" si="31"/>
        <v>-32</v>
      </c>
      <c r="F355" s="11">
        <f t="shared" si="32"/>
        <v>-11.821205528323315</v>
      </c>
      <c r="G355" s="11">
        <f t="shared" si="33"/>
        <v>-11.821878370524631</v>
      </c>
    </row>
    <row r="356" spans="5:7" x14ac:dyDescent="0.25">
      <c r="E356" s="11">
        <f t="shared" si="31"/>
        <v>-31</v>
      </c>
      <c r="F356" s="11">
        <f t="shared" si="32"/>
        <v>-11.484142346469858</v>
      </c>
      <c r="G356" s="11">
        <f t="shared" si="33"/>
        <v>-11.48743234391787</v>
      </c>
    </row>
    <row r="357" spans="5:7" x14ac:dyDescent="0.25">
      <c r="E357" s="11">
        <f t="shared" si="31"/>
        <v>-30</v>
      </c>
      <c r="F357" s="11">
        <f t="shared" si="32"/>
        <v>-11.144151931945331</v>
      </c>
      <c r="G357" s="11">
        <f t="shared" si="33"/>
        <v>-11.150069990083162</v>
      </c>
    </row>
    <row r="358" spans="5:7" x14ac:dyDescent="0.25">
      <c r="E358" s="11">
        <f t="shared" si="31"/>
        <v>-29</v>
      </c>
      <c r="F358" s="11">
        <f t="shared" si="32"/>
        <v>-10.801326848349294</v>
      </c>
      <c r="G358" s="11">
        <f t="shared" si="33"/>
        <v>-10.809857214824131</v>
      </c>
    </row>
    <row r="359" spans="5:7" x14ac:dyDescent="0.25">
      <c r="E359" s="11">
        <f t="shared" si="31"/>
        <v>-28</v>
      </c>
      <c r="F359" s="11">
        <f t="shared" si="32"/>
        <v>-10.455760288229222</v>
      </c>
      <c r="G359" s="11">
        <f t="shared" si="33"/>
        <v>-10.466859923944391</v>
      </c>
    </row>
    <row r="360" spans="5:7" x14ac:dyDescent="0.25">
      <c r="E360" s="11">
        <f t="shared" si="31"/>
        <v>-27</v>
      </c>
      <c r="F360" s="11">
        <f t="shared" si="32"/>
        <v>-10.107545712697695</v>
      </c>
      <c r="G360" s="11">
        <f t="shared" si="33"/>
        <v>-10.121144023247567</v>
      </c>
    </row>
    <row r="361" spans="5:7" x14ac:dyDescent="0.25">
      <c r="E361" s="11">
        <f t="shared" si="31"/>
        <v>-26</v>
      </c>
      <c r="F361" s="11">
        <f t="shared" si="32"/>
        <v>-9.7567764940901789</v>
      </c>
      <c r="G361" s="11">
        <f t="shared" si="33"/>
        <v>-9.7727754185372753</v>
      </c>
    </row>
    <row r="362" spans="5:7" x14ac:dyDescent="0.25">
      <c r="E362" s="11">
        <f t="shared" si="31"/>
        <v>-25</v>
      </c>
      <c r="F362" s="11">
        <f t="shared" si="32"/>
        <v>-9.4035455629809466</v>
      </c>
      <c r="G362" s="11">
        <f t="shared" si="33"/>
        <v>-9.4218200156171381</v>
      </c>
    </row>
    <row r="363" spans="5:7" x14ac:dyDescent="0.25">
      <c r="E363" s="11">
        <f t="shared" si="31"/>
        <v>-24</v>
      </c>
      <c r="F363" s="11">
        <f t="shared" si="32"/>
        <v>-9.0479450609104095</v>
      </c>
      <c r="G363" s="11">
        <f t="shared" si="33"/>
        <v>-9.0683437202907697</v>
      </c>
    </row>
    <row r="364" spans="5:7" x14ac:dyDescent="0.25">
      <c r="E364" s="11">
        <f t="shared" si="31"/>
        <v>-23</v>
      </c>
      <c r="F364" s="11">
        <f t="shared" si="32"/>
        <v>-8.6900660002123704</v>
      </c>
      <c r="G364" s="11">
        <f t="shared" si="33"/>
        <v>-8.7124124383617954</v>
      </c>
    </row>
    <row r="365" spans="5:7" x14ac:dyDescent="0.25">
      <c r="E365" s="11">
        <f t="shared" si="31"/>
        <v>-22</v>
      </c>
      <c r="F365" s="11">
        <f t="shared" si="32"/>
        <v>-8.3299979323654441</v>
      </c>
      <c r="G365" s="11">
        <f t="shared" si="33"/>
        <v>-8.3540920756338295</v>
      </c>
    </row>
    <row r="366" spans="5:7" x14ac:dyDescent="0.25">
      <c r="E366" s="11">
        <f t="shared" si="31"/>
        <v>-21</v>
      </c>
      <c r="F366" s="11">
        <f t="shared" si="32"/>
        <v>-7.967828626328191</v>
      </c>
      <c r="G366" s="11">
        <f t="shared" si="33"/>
        <v>-7.9934485379104965</v>
      </c>
    </row>
    <row r="367" spans="5:7" x14ac:dyDescent="0.25">
      <c r="E367" s="11">
        <f t="shared" si="31"/>
        <v>-20</v>
      </c>
      <c r="F367" s="11">
        <f t="shared" si="32"/>
        <v>-7.6036437583531891</v>
      </c>
      <c r="G367" s="11">
        <f t="shared" si="33"/>
        <v>-7.6305477309954108</v>
      </c>
    </row>
    <row r="368" spans="5:7" x14ac:dyDescent="0.25">
      <c r="E368" s="11">
        <f t="shared" si="31"/>
        <v>-19</v>
      </c>
      <c r="F368" s="11">
        <f t="shared" si="32"/>
        <v>-7.2375266148106379</v>
      </c>
      <c r="G368" s="11">
        <f t="shared" si="33"/>
        <v>-7.265455560692196</v>
      </c>
    </row>
    <row r="369" spans="5:7" x14ac:dyDescent="0.25">
      <c r="E369" s="11">
        <f t="shared" si="31"/>
        <v>-18</v>
      </c>
      <c r="F369" s="11">
        <f t="shared" si="32"/>
        <v>-6.8695578095876533</v>
      </c>
      <c r="G369" s="11">
        <f t="shared" si="33"/>
        <v>-6.8982379328044683</v>
      </c>
    </row>
    <row r="370" spans="5:7" x14ac:dyDescent="0.25">
      <c r="E370" s="11">
        <f t="shared" si="31"/>
        <v>-17</v>
      </c>
      <c r="F370" s="11">
        <f t="shared" si="32"/>
        <v>-6.4998150176649041</v>
      </c>
      <c r="G370" s="11">
        <f t="shared" si="33"/>
        <v>-6.5289607531358476</v>
      </c>
    </row>
    <row r="371" spans="5:7" x14ac:dyDescent="0.25">
      <c r="E371" s="11">
        <f t="shared" si="31"/>
        <v>-16</v>
      </c>
      <c r="F371" s="11">
        <f t="shared" si="32"/>
        <v>-6.1283727265077328</v>
      </c>
      <c r="G371" s="11">
        <f t="shared" si="33"/>
        <v>-6.1576899274899555</v>
      </c>
    </row>
    <row r="372" spans="5:7" x14ac:dyDescent="0.25">
      <c r="E372" s="11">
        <f t="shared" si="31"/>
        <v>-15</v>
      </c>
      <c r="F372" s="11">
        <f t="shared" si="32"/>
        <v>-5.7553020069444045</v>
      </c>
      <c r="G372" s="11">
        <f t="shared" si="33"/>
        <v>-5.7844913616704092</v>
      </c>
    </row>
    <row r="373" spans="5:7" x14ac:dyDescent="0.25">
      <c r="E373" s="11">
        <f t="shared" si="31"/>
        <v>-14</v>
      </c>
      <c r="F373" s="11">
        <f t="shared" si="32"/>
        <v>-5.3806703052396534</v>
      </c>
      <c r="G373" s="11">
        <f t="shared" si="33"/>
        <v>-5.4094309614808296</v>
      </c>
    </row>
    <row r="374" spans="5:7" x14ac:dyDescent="0.25">
      <c r="E374" s="11">
        <f t="shared" si="31"/>
        <v>-13</v>
      </c>
      <c r="F374" s="11">
        <f t="shared" si="32"/>
        <v>-5.0045412581071487</v>
      </c>
      <c r="G374" s="11">
        <f t="shared" si="33"/>
        <v>-5.0325746327248346</v>
      </c>
    </row>
    <row r="375" spans="5:7" x14ac:dyDescent="0.25">
      <c r="E375" s="11">
        <f t="shared" si="31"/>
        <v>-12</v>
      </c>
      <c r="F375" s="11">
        <f t="shared" si="32"/>
        <v>-4.6269745324400562</v>
      </c>
      <c r="G375" s="11">
        <f t="shared" si="33"/>
        <v>-4.6539882812060442</v>
      </c>
    </row>
    <row r="376" spans="5:7" x14ac:dyDescent="0.25">
      <c r="E376" s="11">
        <f t="shared" si="31"/>
        <v>-11</v>
      </c>
      <c r="F376" s="11">
        <f t="shared" si="32"/>
        <v>-4.248025691574342</v>
      </c>
      <c r="G376" s="11">
        <f t="shared" si="33"/>
        <v>-4.2737378127280792</v>
      </c>
    </row>
    <row r="377" spans="5:7" x14ac:dyDescent="0.25">
      <c r="E377" s="11">
        <f t="shared" si="31"/>
        <v>-10</v>
      </c>
      <c r="F377" s="11">
        <f t="shared" si="32"/>
        <v>-3.8677460899349669</v>
      </c>
      <c r="G377" s="11">
        <f t="shared" si="33"/>
        <v>-3.8918891330945571</v>
      </c>
    </row>
    <row r="378" spans="5:7" x14ac:dyDescent="0.25">
      <c r="E378" s="11">
        <f t="shared" si="31"/>
        <v>-9</v>
      </c>
      <c r="F378" s="11">
        <f t="shared" si="32"/>
        <v>-3.4861827979506388</v>
      </c>
      <c r="G378" s="11">
        <f t="shared" si="33"/>
        <v>-3.5085081481090983</v>
      </c>
    </row>
    <row r="379" spans="5:7" x14ac:dyDescent="0.25">
      <c r="E379" s="11">
        <f t="shared" si="31"/>
        <v>-8</v>
      </c>
      <c r="F379" s="11">
        <f t="shared" si="32"/>
        <v>-3.1033785591582652</v>
      </c>
      <c r="G379" s="11">
        <f t="shared" si="33"/>
        <v>-3.1236607635753209</v>
      </c>
    </row>
    <row r="380" spans="5:7" x14ac:dyDescent="0.25">
      <c r="E380" s="11">
        <f t="shared" si="31"/>
        <v>-7</v>
      </c>
      <c r="F380" s="11">
        <f t="shared" si="32"/>
        <v>-2.7193717814537841</v>
      </c>
      <c r="G380" s="11">
        <f t="shared" si="33"/>
        <v>-2.737412885296846</v>
      </c>
    </row>
    <row r="381" spans="5:7" x14ac:dyDescent="0.25">
      <c r="E381" s="11">
        <f t="shared" si="31"/>
        <v>-6</v>
      </c>
      <c r="F381" s="11">
        <f t="shared" si="32"/>
        <v>-2.3341965644815166</v>
      </c>
      <c r="G381" s="11">
        <f t="shared" si="33"/>
        <v>-2.3498304190772923</v>
      </c>
    </row>
    <row r="382" spans="5:7" x14ac:dyDescent="0.25">
      <c r="E382" s="11">
        <f t="shared" si="31"/>
        <v>-5</v>
      </c>
      <c r="F382" s="11">
        <f t="shared" si="32"/>
        <v>-1.9478827651897093</v>
      </c>
      <c r="G382" s="11">
        <f t="shared" si="33"/>
        <v>-1.9609792707202791</v>
      </c>
    </row>
    <row r="383" spans="5:7" x14ac:dyDescent="0.25">
      <c r="E383" s="11">
        <f t="shared" si="31"/>
        <v>-4</v>
      </c>
      <c r="F383" s="11">
        <f t="shared" si="32"/>
        <v>-1.560456103615423</v>
      </c>
      <c r="G383" s="11">
        <f t="shared" si="33"/>
        <v>-1.5709253460294257</v>
      </c>
    </row>
    <row r="384" spans="5:7" x14ac:dyDescent="0.25">
      <c r="E384" s="11">
        <f t="shared" si="31"/>
        <v>-3</v>
      </c>
      <c r="F384" s="11">
        <f t="shared" si="32"/>
        <v>-1.1719383109974466</v>
      </c>
      <c r="G384" s="11">
        <f t="shared" si="33"/>
        <v>-1.1797345508083517</v>
      </c>
    </row>
    <row r="385" spans="5:7" x14ac:dyDescent="0.25">
      <c r="E385" s="11">
        <f t="shared" si="31"/>
        <v>-2</v>
      </c>
      <c r="F385" s="11">
        <f t="shared" si="32"/>
        <v>-0.78234732235137705</v>
      </c>
      <c r="G385" s="11">
        <f t="shared" si="33"/>
        <v>-0.78747279086067645</v>
      </c>
    </row>
    <row r="386" spans="5:7" x14ac:dyDescent="0.25">
      <c r="E386" s="11">
        <f t="shared" si="31"/>
        <v>-1</v>
      </c>
      <c r="F386" s="11">
        <f t="shared" si="32"/>
        <v>-0.39169751567655381</v>
      </c>
      <c r="G386" s="11">
        <f t="shared" si="33"/>
        <v>-0.39420597199001944</v>
      </c>
    </row>
    <row r="387" spans="5:7" x14ac:dyDescent="0.25">
      <c r="E387" s="11">
        <f t="shared" si="31"/>
        <v>0</v>
      </c>
      <c r="F387" s="11">
        <f t="shared" si="32"/>
        <v>0</v>
      </c>
      <c r="G387" s="11">
        <f t="shared" si="33"/>
        <v>0</v>
      </c>
    </row>
    <row r="388" spans="5:7" x14ac:dyDescent="0.25">
      <c r="E388" s="11">
        <f t="shared" si="31"/>
        <v>1</v>
      </c>
      <c r="F388" s="11">
        <f t="shared" si="32"/>
        <v>0.39273704550195404</v>
      </c>
      <c r="G388" s="11">
        <f t="shared" si="33"/>
        <v>0.39508604528581448</v>
      </c>
    </row>
    <row r="389" spans="5:7" x14ac:dyDescent="0.25">
      <c r="E389" s="11">
        <f t="shared" si="31"/>
        <v>2</v>
      </c>
      <c r="F389" s="11">
        <f t="shared" si="32"/>
        <v>0.78650797902819791</v>
      </c>
      <c r="G389" s="11">
        <f t="shared" si="33"/>
        <v>0.79102038796406515</v>
      </c>
    </row>
    <row r="390" spans="5:7" x14ac:dyDescent="0.25">
      <c r="E390" s="11">
        <f t="shared" si="31"/>
        <v>3</v>
      </c>
      <c r="F390" s="11">
        <f t="shared" si="32"/>
        <v>1.1813092480118474</v>
      </c>
      <c r="G390" s="11">
        <f t="shared" si="33"/>
        <v>1.1877780781114449</v>
      </c>
    </row>
    <row r="391" spans="5:7" x14ac:dyDescent="0.25">
      <c r="E391" s="11">
        <f t="shared" si="31"/>
        <v>4</v>
      </c>
      <c r="F391" s="11">
        <f t="shared" si="32"/>
        <v>1.5771388829665567</v>
      </c>
      <c r="G391" s="11">
        <f t="shared" si="33"/>
        <v>1.5853341658046469</v>
      </c>
    </row>
    <row r="392" spans="5:7" x14ac:dyDescent="0.25">
      <c r="E392" s="11">
        <f t="shared" si="31"/>
        <v>5</v>
      </c>
      <c r="F392" s="11">
        <f t="shared" si="32"/>
        <v>1.9739959309374675</v>
      </c>
      <c r="G392" s="11">
        <f t="shared" si="33"/>
        <v>1.9836637011203642</v>
      </c>
    </row>
    <row r="393" spans="5:7" x14ac:dyDescent="0.25">
      <c r="E393" s="11">
        <f t="shared" si="31"/>
        <v>6</v>
      </c>
      <c r="F393" s="11">
        <f t="shared" si="32"/>
        <v>2.3718798261386147</v>
      </c>
      <c r="G393" s="11">
        <f t="shared" si="33"/>
        <v>2.3827417341352897</v>
      </c>
    </row>
    <row r="394" spans="5:7" x14ac:dyDescent="0.25">
      <c r="E394" s="11">
        <f t="shared" si="31"/>
        <v>7</v>
      </c>
      <c r="F394" s="11">
        <f t="shared" si="32"/>
        <v>2.7707896953231153</v>
      </c>
      <c r="G394" s="11">
        <f t="shared" si="33"/>
        <v>2.7825433149261167</v>
      </c>
    </row>
    <row r="395" spans="5:7" x14ac:dyDescent="0.25">
      <c r="E395" s="11">
        <f t="shared" si="31"/>
        <v>8</v>
      </c>
      <c r="F395" s="11">
        <f t="shared" si="32"/>
        <v>3.1707235953969657</v>
      </c>
      <c r="G395" s="11">
        <f t="shared" si="33"/>
        <v>3.1830434935695378</v>
      </c>
    </row>
    <row r="396" spans="5:7" x14ac:dyDescent="0.25">
      <c r="E396" s="11">
        <f t="shared" si="31"/>
        <v>9</v>
      </c>
      <c r="F396" s="11">
        <f t="shared" si="32"/>
        <v>3.5716776807517694</v>
      </c>
      <c r="G396" s="11">
        <f t="shared" si="33"/>
        <v>3.5842173201422467</v>
      </c>
    </row>
    <row r="397" spans="5:7" x14ac:dyDescent="0.25">
      <c r="E397" s="11">
        <f t="shared" si="31"/>
        <v>10</v>
      </c>
      <c r="F397" s="11">
        <f t="shared" si="32"/>
        <v>3.9736452977562071</v>
      </c>
      <c r="G397" s="11">
        <f t="shared" si="33"/>
        <v>3.9860398447209362</v>
      </c>
    </row>
    <row r="398" spans="5:7" x14ac:dyDescent="0.25">
      <c r="E398" s="11">
        <f t="shared" si="31"/>
        <v>11</v>
      </c>
      <c r="F398" s="11">
        <f t="shared" si="32"/>
        <v>4.3766160038105815</v>
      </c>
      <c r="G398" s="11">
        <f t="shared" si="33"/>
        <v>4.3884861173822989</v>
      </c>
    </row>
    <row r="399" spans="5:7" x14ac:dyDescent="0.25">
      <c r="E399" s="11">
        <f t="shared" si="31"/>
        <v>12</v>
      </c>
      <c r="F399" s="11">
        <f t="shared" si="32"/>
        <v>4.7805745083332409</v>
      </c>
      <c r="G399" s="11">
        <f t="shared" si="33"/>
        <v>4.7915311882030283</v>
      </c>
    </row>
    <row r="400" spans="5:7" x14ac:dyDescent="0.25">
      <c r="E400" s="11">
        <f t="shared" si="31"/>
        <v>13</v>
      </c>
      <c r="F400" s="11">
        <f t="shared" si="32"/>
        <v>5.1854995330122202</v>
      </c>
      <c r="G400" s="11">
        <f t="shared" si="33"/>
        <v>5.1951501072598179</v>
      </c>
    </row>
    <row r="401" spans="5:7" x14ac:dyDescent="0.25">
      <c r="E401" s="11">
        <f t="shared" si="31"/>
        <v>14</v>
      </c>
      <c r="F401" s="11">
        <f t="shared" si="32"/>
        <v>5.5913625886198899</v>
      </c>
      <c r="G401" s="11">
        <f t="shared" si="33"/>
        <v>5.5993179246293598</v>
      </c>
    </row>
    <row r="402" spans="5:7" x14ac:dyDescent="0.25">
      <c r="E402" s="11">
        <f t="shared" si="31"/>
        <v>15</v>
      </c>
      <c r="F402" s="11">
        <f t="shared" si="32"/>
        <v>5.9981266656529257</v>
      </c>
      <c r="G402" s="11">
        <f t="shared" si="33"/>
        <v>6.0040096903883473</v>
      </c>
    </row>
    <row r="403" spans="5:7" x14ac:dyDescent="0.25">
      <c r="E403" s="11">
        <f t="shared" si="31"/>
        <v>16</v>
      </c>
      <c r="F403" s="11">
        <f t="shared" si="32"/>
        <v>6.4057448360244571</v>
      </c>
      <c r="G403" s="11">
        <f t="shared" si="33"/>
        <v>6.4092004546134742</v>
      </c>
    </row>
    <row r="404" spans="5:7" x14ac:dyDescent="0.25">
      <c r="E404" s="11">
        <f t="shared" si="31"/>
        <v>17</v>
      </c>
      <c r="F404" s="11">
        <f t="shared" si="32"/>
        <v>6.8141587629996483</v>
      </c>
      <c r="G404" s="11">
        <f t="shared" si="33"/>
        <v>6.8148652673814336</v>
      </c>
    </row>
    <row r="405" spans="5:7" x14ac:dyDescent="0.25">
      <c r="E405" s="11">
        <f t="shared" si="31"/>
        <v>18</v>
      </c>
      <c r="F405" s="11">
        <f t="shared" si="32"/>
        <v>7.2232971165305591</v>
      </c>
      <c r="G405" s="11">
        <f t="shared" si="33"/>
        <v>7.2209791787689168</v>
      </c>
    </row>
    <row r="406" spans="5:7" x14ac:dyDescent="0.25">
      <c r="E406" s="11">
        <f t="shared" si="31"/>
        <v>19</v>
      </c>
      <c r="F406" s="11">
        <f t="shared" si="32"/>
        <v>7.6330738911105742</v>
      </c>
      <c r="G406" s="11">
        <f t="shared" si="33"/>
        <v>7.6275172388526187</v>
      </c>
    </row>
    <row r="407" spans="5:7" x14ac:dyDescent="0.25">
      <c r="E407" s="11">
        <f t="shared" si="31"/>
        <v>20</v>
      </c>
      <c r="F407" s="11">
        <f t="shared" si="32"/>
        <v>8.0433866232332338</v>
      </c>
      <c r="G407" s="11">
        <f t="shared" si="33"/>
        <v>8.0344544977092323</v>
      </c>
    </row>
    <row r="408" spans="5:7" x14ac:dyDescent="0.25">
      <c r="E408" s="11">
        <f t="shared" si="31"/>
        <v>21</v>
      </c>
      <c r="F408" s="11">
        <f t="shared" si="32"/>
        <v>8.454114505504748</v>
      </c>
      <c r="G408" s="11">
        <f t="shared" si="33"/>
        <v>8.4417660054154471</v>
      </c>
    </row>
    <row r="409" spans="5:7" x14ac:dyDescent="0.25">
      <c r="E409" s="11">
        <f t="shared" si="31"/>
        <v>22</v>
      </c>
      <c r="F409" s="11">
        <f t="shared" si="32"/>
        <v>8.8651163944240174</v>
      </c>
      <c r="G409" s="11">
        <f t="shared" si="33"/>
        <v>8.8494268120479624</v>
      </c>
    </row>
    <row r="410" spans="5:7" x14ac:dyDescent="0.25">
      <c r="E410" s="11">
        <f t="shared" si="31"/>
        <v>23</v>
      </c>
      <c r="F410" s="11">
        <f t="shared" si="32"/>
        <v>9.2762287088084516</v>
      </c>
      <c r="G410" s="11">
        <f t="shared" si="33"/>
        <v>9.257411967683467</v>
      </c>
    </row>
    <row r="411" spans="5:7" x14ac:dyDescent="0.25">
      <c r="E411" s="11">
        <f t="shared" si="31"/>
        <v>24</v>
      </c>
      <c r="F411" s="11">
        <f t="shared" si="32"/>
        <v>9.6872632158083913</v>
      </c>
      <c r="G411" s="11">
        <f t="shared" si="33"/>
        <v>9.6656965223986546</v>
      </c>
    </row>
    <row r="412" spans="5:7" x14ac:dyDescent="0.25">
      <c r="E412" s="11">
        <f t="shared" si="31"/>
        <v>25</v>
      </c>
      <c r="F412" s="11">
        <f t="shared" si="32"/>
        <v>10.098004701417461</v>
      </c>
      <c r="G412" s="11">
        <f t="shared" si="33"/>
        <v>10.074255526270219</v>
      </c>
    </row>
    <row r="413" spans="5:7" x14ac:dyDescent="0.25">
      <c r="E413" s="11">
        <f t="shared" si="31"/>
        <v>26</v>
      </c>
      <c r="F413" s="11">
        <f t="shared" si="32"/>
        <v>10.5082085223506</v>
      </c>
      <c r="G413" s="11">
        <f t="shared" si="33"/>
        <v>10.483064029374852</v>
      </c>
    </row>
    <row r="414" spans="5:7" x14ac:dyDescent="0.25">
      <c r="E414" s="11">
        <f t="shared" si="31"/>
        <v>27</v>
      </c>
      <c r="F414" s="11">
        <f t="shared" si="32"/>
        <v>10.917598036126149</v>
      </c>
      <c r="G414" s="11">
        <f t="shared" si="33"/>
        <v>10.892097081789249</v>
      </c>
    </row>
    <row r="415" spans="5:7" x14ac:dyDescent="0.25">
      <c r="E415" s="11">
        <f t="shared" ref="E415:E422" si="34">E208</f>
        <v>28</v>
      </c>
      <c r="F415" s="11">
        <f t="shared" ref="F415:F422" si="35">$H$217*0+E415*$I$217+E415^2*$J$217+E415^3*$K$217+E415^4*$L$217+E415^5*$M$217+E415^6*$N$217+E415^7*$O$217+E415^8*$P$217</f>
        <v>11.325861906152685</v>
      </c>
      <c r="G415" s="11">
        <f t="shared" ref="G415:G422" si="36">F208</f>
        <v>11.3013297335901</v>
      </c>
    </row>
    <row r="416" spans="5:7" x14ac:dyDescent="0.25">
      <c r="E416" s="11">
        <f t="shared" si="34"/>
        <v>29</v>
      </c>
      <c r="F416" s="11">
        <f t="shared" si="35"/>
        <v>11.732651278586015</v>
      </c>
      <c r="G416" s="11">
        <f t="shared" si="36"/>
        <v>11.7107370348541</v>
      </c>
    </row>
    <row r="417" spans="5:7" x14ac:dyDescent="0.25">
      <c r="E417" s="11">
        <f t="shared" si="34"/>
        <v>30</v>
      </c>
      <c r="F417" s="11">
        <f t="shared" si="35"/>
        <v>12.137576827686058</v>
      </c>
      <c r="G417" s="11">
        <f t="shared" si="36"/>
        <v>12.120294035657942</v>
      </c>
    </row>
    <row r="418" spans="5:7" x14ac:dyDescent="0.25">
      <c r="E418" s="11">
        <f t="shared" si="34"/>
        <v>31</v>
      </c>
      <c r="F418" s="11">
        <f t="shared" si="35"/>
        <v>12.540205666367894</v>
      </c>
      <c r="G418" s="11">
        <f t="shared" si="36"/>
        <v>12.529975786078319</v>
      </c>
    </row>
    <row r="419" spans="5:7" x14ac:dyDescent="0.25">
      <c r="E419" s="11">
        <f t="shared" si="34"/>
        <v>32</v>
      </c>
      <c r="F419" s="11">
        <f t="shared" si="35"/>
        <v>12.940058118605847</v>
      </c>
      <c r="G419" s="11">
        <f t="shared" si="36"/>
        <v>12.939757336191922</v>
      </c>
    </row>
    <row r="420" spans="5:7" x14ac:dyDescent="0.25">
      <c r="E420" s="11">
        <f t="shared" si="34"/>
        <v>33</v>
      </c>
      <c r="F420" s="11">
        <f t="shared" si="35"/>
        <v>13.336604350313822</v>
      </c>
      <c r="G420" s="11">
        <f t="shared" si="36"/>
        <v>13.349613736075449</v>
      </c>
    </row>
    <row r="421" spans="5:7" x14ac:dyDescent="0.25">
      <c r="E421" s="11">
        <f t="shared" si="34"/>
        <v>34</v>
      </c>
      <c r="F421" s="11">
        <f t="shared" si="35"/>
        <v>13.729260855289715</v>
      </c>
      <c r="G421" s="11">
        <f t="shared" si="36"/>
        <v>13.759520035805588</v>
      </c>
    </row>
    <row r="422" spans="5:7" x14ac:dyDescent="0.25">
      <c r="E422" s="11">
        <f t="shared" si="34"/>
        <v>35</v>
      </c>
      <c r="F422" s="11">
        <f t="shared" si="35"/>
        <v>14.117386792776214</v>
      </c>
      <c r="G422" s="11">
        <f t="shared" si="36"/>
        <v>14.169451285459033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2022-01-09T07:53:00Z</dcterms:modified>
</cp:coreProperties>
</file>