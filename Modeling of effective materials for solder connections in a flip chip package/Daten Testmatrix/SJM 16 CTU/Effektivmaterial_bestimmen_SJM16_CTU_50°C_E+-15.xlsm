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7" i="43" s="1"/>
  <c r="E403" i="43"/>
  <c r="E405" i="43" s="1"/>
  <c r="F403" i="43"/>
  <c r="F415" i="43" s="1"/>
  <c r="G403" i="43"/>
  <c r="G410" i="43" s="1"/>
  <c r="H403" i="43"/>
  <c r="H434" i="43" s="1"/>
  <c r="B403" i="43"/>
  <c r="B405" i="43" s="1"/>
  <c r="B65" i="43"/>
  <c r="A65" i="43"/>
  <c r="A67" i="43"/>
  <c r="G434" i="43" l="1"/>
  <c r="G416" i="43"/>
  <c r="G431" i="43"/>
  <c r="G413" i="43"/>
  <c r="F431" i="43"/>
  <c r="C420" i="43"/>
  <c r="C431" i="43"/>
  <c r="F423" i="43"/>
  <c r="D420" i="43"/>
  <c r="D406" i="43"/>
  <c r="F404" i="43"/>
  <c r="E404" i="43"/>
  <c r="D405" i="43"/>
  <c r="E425" i="43"/>
  <c r="D428" i="43"/>
  <c r="E433" i="43"/>
  <c r="D433" i="43"/>
  <c r="E410" i="43"/>
  <c r="E420" i="43"/>
  <c r="D410" i="43"/>
  <c r="D425" i="43"/>
  <c r="D404" i="43"/>
  <c r="C404" i="43"/>
  <c r="D431" i="43"/>
  <c r="D423" i="43"/>
  <c r="C423" i="43"/>
  <c r="C428" i="43"/>
  <c r="C422" i="43"/>
  <c r="E416" i="43"/>
  <c r="D432" i="43"/>
  <c r="E430" i="43"/>
  <c r="E427" i="43"/>
  <c r="E424" i="43"/>
  <c r="E422" i="43"/>
  <c r="D416" i="43"/>
  <c r="D413" i="43"/>
  <c r="D409" i="43"/>
  <c r="D430" i="43"/>
  <c r="D422" i="43"/>
  <c r="E408" i="43"/>
  <c r="D408" i="43"/>
  <c r="E413" i="43"/>
  <c r="D427" i="43"/>
  <c r="D424" i="43"/>
  <c r="D419" i="43"/>
  <c r="E415" i="43"/>
  <c r="D412" i="43"/>
  <c r="E434" i="43"/>
  <c r="E429" i="43"/>
  <c r="E426" i="43"/>
  <c r="D418" i="43"/>
  <c r="D415" i="43"/>
  <c r="E411" i="43"/>
  <c r="D434" i="43"/>
  <c r="E431" i="43"/>
  <c r="D429" i="43"/>
  <c r="D426" i="43"/>
  <c r="E423" i="43"/>
  <c r="D421" i="43"/>
  <c r="D417" i="43"/>
  <c r="D414" i="43"/>
  <c r="D411" i="43"/>
  <c r="C417" i="43"/>
  <c r="F420" i="43"/>
  <c r="F410" i="43"/>
  <c r="C430" i="43"/>
  <c r="F427" i="43"/>
  <c r="C426" i="43"/>
  <c r="C419" i="43"/>
  <c r="F434" i="43"/>
  <c r="C433" i="43"/>
  <c r="C424" i="43"/>
  <c r="E418" i="43"/>
  <c r="C415" i="43"/>
  <c r="C408" i="43"/>
  <c r="C405" i="43"/>
  <c r="C412" i="43"/>
  <c r="C410" i="43"/>
  <c r="C432" i="43"/>
  <c r="C429" i="43"/>
  <c r="C425" i="43"/>
  <c r="F419" i="43"/>
  <c r="C414" i="43"/>
  <c r="F416" i="43"/>
  <c r="F430" i="43"/>
  <c r="C427" i="43"/>
  <c r="C418" i="43"/>
  <c r="C407" i="43"/>
  <c r="C434" i="43"/>
  <c r="F424" i="43"/>
  <c r="C421" i="43"/>
  <c r="E419" i="43"/>
  <c r="E417" i="43"/>
  <c r="C409" i="43"/>
  <c r="E406"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<sst xmlns="http://schemas.openxmlformats.org/spreadsheetml/2006/main" count="311" uniqueCount="164">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</sst>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65888312"/>
        <c:axId val="6658832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58883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3216"/>
        <c:crossesAt val="-8.0000000000000019E-3"/>
        <c:crossBetween val="midCat"/>
      </c:valAx>
      <c:valAx>
        <c:axId val="665883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83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65888704"/>
        <c:axId val="6658843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58887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4392"/>
        <c:crosses val="autoZero"/>
        <c:crossBetween val="midCat"/>
      </c:valAx>
      <c:valAx>
        <c:axId val="66588439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870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65889096"/>
        <c:axId val="5475986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658890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598640"/>
        <c:crosses val="autoZero"/>
        <c:crossBetween val="midCat"/>
        <c:majorUnit val="10000"/>
      </c:valAx>
      <c:valAx>
        <c:axId val="54759864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909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7599816"/>
        <c:axId val="5476006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5998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7600600"/>
        <c:crosses val="autoZero"/>
        <c:crossBetween val="midCat"/>
        <c:majorUnit val="10000"/>
      </c:valAx>
      <c:valAx>
        <c:axId val="54760060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759981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7604520"/>
        <c:axId val="4537672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6045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7224"/>
        <c:crosses val="autoZero"/>
        <c:crossBetween val="midCat"/>
        <c:majorUnit val="10000"/>
      </c:valAx>
      <c:valAx>
        <c:axId val="45376722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45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2.3432172581766721E-4</c:v>
                </c:pt>
                <c:pt idx="1">
                  <c:v>1.4799540445481287E-4</c:v>
                </c:pt>
                <c:pt idx="2">
                  <c:v>4.9324719108829139E-4</c:v>
                </c:pt>
                <c:pt idx="3">
                  <c:v>1.2807892922490807E-4</c:v>
                </c:pt>
                <c:pt idx="4">
                  <c:v>1.8978255159519239E-5</c:v>
                </c:pt>
                <c:pt idx="5">
                  <c:v>2.6266237124694053E-6</c:v>
                </c:pt>
                <c:pt idx="6">
                  <c:v>8.3776997356586901E-7</c:v>
                </c:pt>
                <c:pt idx="7">
                  <c:v>1.0729079506176545E-6</c:v>
                </c:pt>
                <c:pt idx="8">
                  <c:v>2.2183699238696463E-6</c:v>
                </c:pt>
                <c:pt idx="9">
                  <c:v>5.450735680233527E-6</c:v>
                </c:pt>
                <c:pt idx="10">
                  <c:v>1.1983260508870042E-5</c:v>
                </c:pt>
                <c:pt idx="11">
                  <c:v>2.0452163393765193E-5</c:v>
                </c:pt>
                <c:pt idx="12">
                  <c:v>2.713811809605444E-5</c:v>
                </c:pt>
                <c:pt idx="13">
                  <c:v>2.944947103645783E-5</c:v>
                </c:pt>
                <c:pt idx="14">
                  <c:v>2.7770833536114236E-5</c:v>
                </c:pt>
                <c:pt idx="15">
                  <c:v>2.3955614861921401E-5</c:v>
                </c:pt>
                <c:pt idx="16">
                  <c:v>1.9078739393224333E-5</c:v>
                </c:pt>
                <c:pt idx="17">
                  <c:v>1.4031808797161694E-5</c:v>
                </c:pt>
                <c:pt idx="18">
                  <c:v>8.6602363256710246E-6</c:v>
                </c:pt>
                <c:pt idx="19">
                  <c:v>3.7829728049510974E-6</c:v>
                </c:pt>
                <c:pt idx="20">
                  <c:v>6.6534167708711027E-8</c:v>
                </c:pt>
                <c:pt idx="21">
                  <c:v>2.0033041872491035E-6</c:v>
                </c:pt>
                <c:pt idx="22">
                  <c:v>4.1317698159665902E-6</c:v>
                </c:pt>
                <c:pt idx="23">
                  <c:v>5.4833493249606009E-6</c:v>
                </c:pt>
                <c:pt idx="24">
                  <c:v>3.3977329859371456E-6</c:v>
                </c:pt>
                <c:pt idx="25">
                  <c:v>1.921335978798791E-6</c:v>
                </c:pt>
                <c:pt idx="26">
                  <c:v>5.3601489297460138E-6</c:v>
                </c:pt>
                <c:pt idx="27">
                  <c:v>6.8060755534822731E-6</c:v>
                </c:pt>
                <c:pt idx="28">
                  <c:v>8.0815407165820941E-6</c:v>
                </c:pt>
                <c:pt idx="29">
                  <c:v>8.7667508557943414E-6</c:v>
                </c:pt>
                <c:pt idx="30">
                  <c:v>4.2426964461010274E-6</c:v>
                </c:pt>
              </c:numCache>
            </c:numRef>
          </c:yVal>
          <c:smooth val="1"/>
        </c:ser>
        <c:dLbls>
          <c:showLegendKey val="0"/>
          <c:showVal val="0"/>
          <c:showCatName val="0"/>
          <c:showSerName val="0"/>
          <c:showPercent val="0"/>
          <c:showBubbleSize val="0"/>
        </c:dLbls>
        <c:axId val="550963592"/>
        <c:axId val="548350120"/>
      </c:scatterChart>
      <c:valAx>
        <c:axId val="550963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120"/>
        <c:crossesAt val="-1.5000000000000005E-3"/>
        <c:crossBetween val="midCat"/>
      </c:valAx>
      <c:valAx>
        <c:axId val="54835012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96359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6173.9046135816479</c:v>
                </c:pt>
                <c:pt idx="1">
                  <c:v>6172.3312882105174</c:v>
                </c:pt>
                <c:pt idx="2">
                  <c:v>6157.8641096309348</c:v>
                </c:pt>
                <c:pt idx="3">
                  <c:v>6080.9281792358552</c:v>
                </c:pt>
                <c:pt idx="4">
                  <c:v>5909.3606415546228</c:v>
                </c:pt>
                <c:pt idx="5">
                  <c:v>5793.8667366856271</c:v>
                </c:pt>
                <c:pt idx="6">
                  <c:v>5680.2273289336881</c:v>
                </c:pt>
                <c:pt idx="7">
                  <c:v>5553.2931810006148</c:v>
                </c:pt>
                <c:pt idx="8">
                  <c:v>5418.3888613252939</c:v>
                </c:pt>
                <c:pt idx="9">
                  <c:v>5266.5297759211244</c:v>
                </c:pt>
                <c:pt idx="10">
                  <c:v>5102.5689570135119</c:v>
                </c:pt>
                <c:pt idx="11">
                  <c:v>4935.2712683659574</c:v>
                </c:pt>
                <c:pt idx="12">
                  <c:v>4773.784556129599</c:v>
                </c:pt>
                <c:pt idx="13">
                  <c:v>4598.2788297202487</c:v>
                </c:pt>
                <c:pt idx="14">
                  <c:v>4383.8268796256434</c:v>
                </c:pt>
                <c:pt idx="15">
                  <c:v>4153.0122982841449</c:v>
                </c:pt>
                <c:pt idx="16">
                  <c:v>3937.3036380413641</c:v>
                </c:pt>
                <c:pt idx="17">
                  <c:v>3687.8107504146938</c:v>
                </c:pt>
                <c:pt idx="18">
                  <c:v>3362.1117437417547</c:v>
                </c:pt>
                <c:pt idx="19">
                  <c:v>3051.8377446941754</c:v>
                </c:pt>
                <c:pt idx="20">
                  <c:v>2781.8340810801142</c:v>
                </c:pt>
                <c:pt idx="21">
                  <c:v>2547.995143449898</c:v>
                </c:pt>
                <c:pt idx="22">
                  <c:v>2324.7063490857859</c:v>
                </c:pt>
                <c:pt idx="23">
                  <c:v>2110.8895492200577</c:v>
                </c:pt>
                <c:pt idx="24">
                  <c:v>1889.1090964058376</c:v>
                </c:pt>
                <c:pt idx="25">
                  <c:v>1651.1223504671821</c:v>
                </c:pt>
                <c:pt idx="26">
                  <c:v>1380.4340860089612</c:v>
                </c:pt>
                <c:pt idx="27">
                  <c:v>1081.4996193099159</c:v>
                </c:pt>
                <c:pt idx="28">
                  <c:v>789.74890475439133</c:v>
                </c:pt>
                <c:pt idx="29">
                  <c:v>556.62618133496085</c:v>
                </c:pt>
                <c:pt idx="30">
                  <c:v>403.21346720289654</c:v>
                </c:pt>
              </c:numCache>
            </c:numRef>
          </c:yVal>
          <c:smooth val="1"/>
        </c:ser>
        <c:dLbls>
          <c:showLegendKey val="0"/>
          <c:showVal val="0"/>
          <c:showCatName val="0"/>
          <c:showSerName val="0"/>
          <c:showPercent val="0"/>
          <c:showBubbleSize val="0"/>
        </c:dLbls>
        <c:axId val="548352080"/>
        <c:axId val="548351688"/>
      </c:scatterChart>
      <c:valAx>
        <c:axId val="5483520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1688"/>
        <c:crosses val="autoZero"/>
        <c:crossBetween val="midCat"/>
      </c:valAx>
      <c:valAx>
        <c:axId val="5483516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208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7.3366357764826405E-3</c:v>
                </c:pt>
                <c:pt idx="1">
                  <c:v>7.3472417538975546E-3</c:v>
                </c:pt>
                <c:pt idx="2">
                  <c:v>7.3675266617903015E-3</c:v>
                </c:pt>
                <c:pt idx="3">
                  <c:v>7.6064177808368326E-3</c:v>
                </c:pt>
                <c:pt idx="4">
                  <c:v>9.0913898922768809E-3</c:v>
                </c:pt>
                <c:pt idx="5">
                  <c:v>1.0041829131276783E-2</c:v>
                </c:pt>
                <c:pt idx="6">
                  <c:v>1.004188069784869E-2</c:v>
                </c:pt>
                <c:pt idx="7">
                  <c:v>1.0042104660643267E-2</c:v>
                </c:pt>
                <c:pt idx="8">
                  <c:v>1.004475682921575E-2</c:v>
                </c:pt>
                <c:pt idx="9">
                  <c:v>1.0071130978189633E-2</c:v>
                </c:pt>
                <c:pt idx="10">
                  <c:v>1.033252798158096E-2</c:v>
                </c:pt>
                <c:pt idx="11">
                  <c:v>1.2725667872420004E-2</c:v>
                </c:pt>
                <c:pt idx="12">
                  <c:v>2.5105546107081076E-2</c:v>
                </c:pt>
                <c:pt idx="13">
                  <c:v>5.0749800302183755E-2</c:v>
                </c:pt>
                <c:pt idx="14">
                  <c:v>5.4500302702491822E-2</c:v>
                </c:pt>
                <c:pt idx="15">
                  <c:v>4.7023424596359484E-2</c:v>
                </c:pt>
                <c:pt idx="16">
                  <c:v>4.9889783718704409E-2</c:v>
                </c:pt>
                <c:pt idx="17">
                  <c:v>5.4063903864748492E-2</c:v>
                </c:pt>
                <c:pt idx="18">
                  <c:v>5.9333551548814221E-2</c:v>
                </c:pt>
                <c:pt idx="19">
                  <c:v>6.4266354500972706E-2</c:v>
                </c:pt>
                <c:pt idx="20">
                  <c:v>5.8652822505112667E-2</c:v>
                </c:pt>
                <c:pt idx="21">
                  <c:v>2.4457252766813951E-2</c:v>
                </c:pt>
                <c:pt idx="22">
                  <c:v>2.5246043370849583E-2</c:v>
                </c:pt>
                <c:pt idx="23">
                  <c:v>6.2231547282903213E-2</c:v>
                </c:pt>
                <c:pt idx="24">
                  <c:v>8.6850492682733371E-2</c:v>
                </c:pt>
                <c:pt idx="25">
                  <c:v>0.11171831159199613</c:v>
                </c:pt>
                <c:pt idx="26">
                  <c:v>0.11891892745612759</c:v>
                </c:pt>
                <c:pt idx="27">
                  <c:v>8.4895878619358975E-2</c:v>
                </c:pt>
                <c:pt idx="28">
                  <c:v>3.955938479558254E-2</c:v>
                </c:pt>
                <c:pt idx="29">
                  <c:v>8.0675435395507469E-4</c:v>
                </c:pt>
                <c:pt idx="30">
                  <c:v>3.7463935737399E-2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2.3432349734482303E-4</c:v>
                </c:pt>
                <c:pt idx="1">
                  <c:v>1.480128470184066E-4</c:v>
                </c:pt>
                <c:pt idx="2">
                  <c:v>4.9309722556341339E-4</c:v>
                </c:pt>
                <c:pt idx="3">
                  <c:v>1.2860406199032996E-4</c:v>
                </c:pt>
                <c:pt idx="4">
                  <c:v>1.8198557305835318E-5</c:v>
                </c:pt>
                <c:pt idx="5">
                  <c:v>3.1519502762283632E-6</c:v>
                </c:pt>
                <c:pt idx="6">
                  <c:v>2.1499257315791964E-7</c:v>
                </c:pt>
                <c:pt idx="7">
                  <c:v>1.7872310323571903E-6</c:v>
                </c:pt>
                <c:pt idx="8">
                  <c:v>1.4317189216482679E-6</c:v>
                </c:pt>
                <c:pt idx="9">
                  <c:v>6.3796034822114724E-6</c:v>
                </c:pt>
                <c:pt idx="10">
                  <c:v>1.0987378016357566E-5</c:v>
                </c:pt>
                <c:pt idx="11">
                  <c:v>2.1465894074307542E-5</c:v>
                </c:pt>
                <c:pt idx="12">
                  <c:v>2.6162995330608953E-5</c:v>
                </c:pt>
                <c:pt idx="13">
                  <c:v>3.0662604007720601E-5</c:v>
                </c:pt>
                <c:pt idx="14">
                  <c:v>2.6278805382546913E-5</c:v>
                </c:pt>
                <c:pt idx="15">
                  <c:v>2.5369756953826081E-5</c:v>
                </c:pt>
                <c:pt idx="16">
                  <c:v>1.7708734717043692E-5</c:v>
                </c:pt>
                <c:pt idx="17">
                  <c:v>1.6187827171104746E-5</c:v>
                </c:pt>
                <c:pt idx="18">
                  <c:v>6.3602822489629171E-6</c:v>
                </c:pt>
                <c:pt idx="19">
                  <c:v>5.9428964993371822E-6</c:v>
                </c:pt>
                <c:pt idx="20">
                  <c:v>2.0332814074861407E-6</c:v>
                </c:pt>
                <c:pt idx="21">
                  <c:v>1.9074416629676535E-7</c:v>
                </c:pt>
                <c:pt idx="22">
                  <c:v>7.0054720181721197E-6</c:v>
                </c:pt>
                <c:pt idx="23">
                  <c:v>2.4617421481952378E-6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3.3813380785014933E-3</c:v>
                </c:pt>
                <c:pt idx="1">
                  <c:v>1.2657700753181447E-2</c:v>
                </c:pt>
                <c:pt idx="2">
                  <c:v>9.7462722653936032E-3</c:v>
                </c:pt>
                <c:pt idx="3">
                  <c:v>1.080217018891348E-2</c:v>
                </c:pt>
                <c:pt idx="4">
                  <c:v>1.1612390624950394E-2</c:v>
                </c:pt>
                <c:pt idx="5">
                  <c:v>1.2300044339994334E-2</c:v>
                </c:pt>
                <c:pt idx="6">
                  <c:v>1.3651169442140147E-2</c:v>
                </c:pt>
                <c:pt idx="7">
                  <c:v>1.4235390196836201E-2</c:v>
                </c:pt>
                <c:pt idx="8">
                  <c:v>1.4231132556537492E-2</c:v>
                </c:pt>
                <c:pt idx="9">
                  <c:v>1.372388347857006E-2</c:v>
                </c:pt>
                <c:pt idx="10">
                  <c:v>1.6256537395898458E-2</c:v>
                </c:pt>
                <c:pt idx="11">
                  <c:v>1.9102406936222945E-2</c:v>
                </c:pt>
                <c:pt idx="12">
                  <c:v>1.8172625413078455E-2</c:v>
                </c:pt>
                <c:pt idx="13">
                  <c:v>1.3425526939966317E-2</c:v>
                </c:pt>
                <c:pt idx="14">
                  <c:v>2.7911137504834412E-4</c:v>
                </c:pt>
                <c:pt idx="15">
                  <c:v>3.9193030769413037E-2</c:v>
                </c:pt>
                <c:pt idx="16">
                  <c:v>7.1626707804906126E-2</c:v>
                </c:pt>
                <c:pt idx="17">
                  <c:v>7.383866766399616E-2</c:v>
                </c:pt>
                <c:pt idx="18">
                  <c:v>5.8777826455946501E-2</c:v>
                </c:pt>
                <c:pt idx="19">
                  <c:v>3.111528953463237E-2</c:v>
                </c:pt>
                <c:pt idx="20">
                  <c:v>1.4326743456760459E-2</c:v>
                </c:pt>
                <c:pt idx="21">
                  <c:v>4.3314497492374223E-3</c:v>
                </c:pt>
                <c:pt idx="22">
                  <c:v>2.4765963904460096E-2</c:v>
                </c:pt>
                <c:pt idx="23">
                  <c:v>4.9206610673892884E-2</c:v>
                </c:pt>
                <c:pt idx="24">
                  <c:v>7.7163970040557306E-2</c:v>
                </c:pt>
                <c:pt idx="25">
                  <c:v>0.10097974280194115</c:v>
                </c:pt>
                <c:pt idx="26">
                  <c:v>0.10407664501472574</c:v>
                </c:pt>
                <c:pt idx="27">
                  <c:v>8.8279991515746573E-2</c:v>
                </c:pt>
                <c:pt idx="28">
                  <c:v>6.5753674557480934E-2</c:v>
                </c:pt>
                <c:pt idx="29">
                  <c:v>0.31869216430585923</c:v>
                </c:pt>
                <c:pt idx="30">
                  <c:v>0.27091508916593632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5.3580614254887353E-2</c:v>
                </c:pt>
                <c:pt idx="1">
                  <c:v>5.9940322506402098E-2</c:v>
                </c:pt>
                <c:pt idx="2">
                  <c:v>2.9169264677972269E-2</c:v>
                </c:pt>
                <c:pt idx="3">
                  <c:v>1.5008799484403985E-2</c:v>
                </c:pt>
                <c:pt idx="4">
                  <c:v>5.4689442911805046E-2</c:v>
                </c:pt>
                <c:pt idx="5">
                  <c:v>7.8754997543898669E-2</c:v>
                </c:pt>
                <c:pt idx="6">
                  <c:v>8.5034650116181235E-2</c:v>
                </c:pt>
                <c:pt idx="7">
                  <c:v>9.2503129638880202E-2</c:v>
                </c:pt>
                <c:pt idx="8">
                  <c:v>7.8300492877529507E-2</c:v>
                </c:pt>
                <c:pt idx="9">
                  <c:v>4.1570997934957846E-2</c:v>
                </c:pt>
                <c:pt idx="10">
                  <c:v>2.6907067817273901E-2</c:v>
                </c:pt>
                <c:pt idx="11">
                  <c:v>0.12409715182757033</c:v>
                </c:pt>
                <c:pt idx="12">
                  <c:v>0.21297128765843087</c:v>
                </c:pt>
                <c:pt idx="13">
                  <c:v>0.23412048852146899</c:v>
                </c:pt>
                <c:pt idx="14">
                  <c:v>0.15548889149002648</c:v>
                </c:pt>
                <c:pt idx="15">
                  <c:v>1.1576265256860688E-2</c:v>
                </c:pt>
                <c:pt idx="16">
                  <c:v>0.32800140755583584</c:v>
                </c:pt>
                <c:pt idx="17">
                  <c:v>0.34168995045394107</c:v>
                </c:pt>
                <c:pt idx="18">
                  <c:v>0.29833698339485637</c:v>
                </c:pt>
                <c:pt idx="19">
                  <c:v>0.26556564637524782</c:v>
                </c:pt>
                <c:pt idx="20">
                  <c:v>0.20717328928283443</c:v>
                </c:pt>
                <c:pt idx="21">
                  <c:v>0.17726944725786936</c:v>
                </c:pt>
                <c:pt idx="22">
                  <c:v>0.16565709743530921</c:v>
                </c:pt>
                <c:pt idx="23">
                  <c:v>0.15840802759756681</c:v>
                </c:pt>
                <c:pt idx="24">
                  <c:v>0.15299465116234612</c:v>
                </c:pt>
                <c:pt idx="25">
                  <c:v>0.15122619191045003</c:v>
                </c:pt>
                <c:pt idx="26">
                  <c:v>0.14637336599859538</c:v>
                </c:pt>
                <c:pt idx="27">
                  <c:v>0.14588337198960533</c:v>
                </c:pt>
                <c:pt idx="28">
                  <c:v>0.14135257492728578</c:v>
                </c:pt>
                <c:pt idx="29">
                  <c:v>0.14121019415447159</c:v>
                </c:pt>
                <c:pt idx="30">
                  <c:v>0.14004227400805139</c:v>
                </c:pt>
              </c:numCache>
            </c:numRef>
          </c:yVal>
          <c:smooth val="1"/>
        </c:ser>
        <c:dLbls>
          <c:showLegendKey val="0"/>
          <c:showVal val="0"/>
          <c:showCatName val="0"/>
          <c:showSerName val="0"/>
          <c:showPercent val="0"/>
          <c:showBubbleSize val="0"/>
        </c:dLbls>
        <c:axId val="548349728"/>
        <c:axId val="548350512"/>
      </c:scatterChart>
      <c:valAx>
        <c:axId val="548349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512"/>
        <c:crossesAt val="1.0000000000000005E-9"/>
        <c:crossBetween val="midCat"/>
      </c:valAx>
      <c:valAx>
        <c:axId val="548350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972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-20.678712849703782</c:v>
                </c:pt>
                <c:pt idx="1">
                  <c:v>-10.055147049029348</c:v>
                </c:pt>
                <c:pt idx="2">
                  <c:v>-4.6885587628636358</c:v>
                </c:pt>
                <c:pt idx="3">
                  <c:v>0</c:v>
                </c:pt>
                <c:pt idx="4">
                  <c:v>6.3317778924015702</c:v>
                </c:pt>
                <c:pt idx="5">
                  <c:v>21.641600502309181</c:v>
                </c:pt>
                <c:pt idx="6">
                  <c:v>35.337489771386515</c:v>
                </c:pt>
              </c:numCache>
            </c:numRef>
          </c:yVal>
          <c:smooth val="0"/>
        </c:ser>
        <c:dLbls>
          <c:showLegendKey val="0"/>
          <c:showVal val="0"/>
          <c:showCatName val="0"/>
          <c:showSerName val="0"/>
          <c:showPercent val="0"/>
          <c:showBubbleSize val="0"/>
        </c:dLbls>
        <c:axId val="548349336"/>
        <c:axId val="548350904"/>
      </c:scatterChart>
      <c:valAx>
        <c:axId val="548349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904"/>
        <c:crossesAt val="-100"/>
        <c:crossBetween val="midCat"/>
      </c:valAx>
      <c:valAx>
        <c:axId val="548350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933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451078768"/>
        <c:axId val="451079944"/>
      </c:scatterChart>
      <c:valAx>
        <c:axId val="45107876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944"/>
        <c:crosses val="autoZero"/>
        <c:crossBetween val="midCat"/>
      </c:valAx>
      <c:valAx>
        <c:axId val="45107994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876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1.0455603766040573E-24</c:v>
                </c:pt>
                <c:pt idx="1">
                  <c:v>1.0455603766040574E-23</c:v>
                </c:pt>
                <c:pt idx="2">
                  <c:v>1.0455603766040573E-22</c:v>
                </c:pt>
                <c:pt idx="3">
                  <c:v>1.0455603766040574E-21</c:v>
                </c:pt>
                <c:pt idx="4">
                  <c:v>1.0455603766040572E-20</c:v>
                </c:pt>
                <c:pt idx="5">
                  <c:v>1.0455603766040573E-19</c:v>
                </c:pt>
                <c:pt idx="6">
                  <c:v>1.0455603766040573E-18</c:v>
                </c:pt>
                <c:pt idx="7">
                  <c:v>1.0455603766040574E-17</c:v>
                </c:pt>
                <c:pt idx="8">
                  <c:v>1.0455603766040572E-16</c:v>
                </c:pt>
                <c:pt idx="9">
                  <c:v>1.0455603766040572E-15</c:v>
                </c:pt>
                <c:pt idx="10">
                  <c:v>1.0455603766040574E-14</c:v>
                </c:pt>
                <c:pt idx="11">
                  <c:v>1.0455603766040573E-13</c:v>
                </c:pt>
                <c:pt idx="12">
                  <c:v>1.0455603766040573E-12</c:v>
                </c:pt>
                <c:pt idx="13">
                  <c:v>1.0455603766040574E-11</c:v>
                </c:pt>
                <c:pt idx="14">
                  <c:v>1.0455603766040574E-10</c:v>
                </c:pt>
                <c:pt idx="15">
                  <c:v>1.0455603766040572E-9</c:v>
                </c:pt>
                <c:pt idx="16">
                  <c:v>1.0455603766040574E-8</c:v>
                </c:pt>
                <c:pt idx="17">
                  <c:v>1.0455603766040573E-7</c:v>
                </c:pt>
                <c:pt idx="18">
                  <c:v>1.0455603766040574E-6</c:v>
                </c:pt>
                <c:pt idx="19">
                  <c:v>1.0455603766040574E-5</c:v>
                </c:pt>
                <c:pt idx="20">
                  <c:v>1.0455603766040573E-4</c:v>
                </c:pt>
                <c:pt idx="21">
                  <c:v>1.0455603766040573E-3</c:v>
                </c:pt>
                <c:pt idx="22">
                  <c:v>1.0455603766040574E-2</c:v>
                </c:pt>
                <c:pt idx="23">
                  <c:v>0.10455603766040573</c:v>
                </c:pt>
                <c:pt idx="24">
                  <c:v>1.0455603766040573</c:v>
                </c:pt>
                <c:pt idx="25">
                  <c:v>10.455603766040573</c:v>
                </c:pt>
                <c:pt idx="26">
                  <c:v>104.55603766040574</c:v>
                </c:pt>
                <c:pt idx="27">
                  <c:v>1045.5603766040574</c:v>
                </c:pt>
                <c:pt idx="28">
                  <c:v>10455.603766040573</c:v>
                </c:pt>
                <c:pt idx="29">
                  <c:v>104556.03766040572</c:v>
                </c:pt>
                <c:pt idx="30">
                  <c:v>1045560.3766040573</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4.2964040953266768E-20</c:v>
                </c:pt>
                <c:pt idx="1">
                  <c:v>4.2964040953266769E-19</c:v>
                </c:pt>
                <c:pt idx="2">
                  <c:v>4.2964040953266768E-18</c:v>
                </c:pt>
                <c:pt idx="3">
                  <c:v>4.2964040953266765E-17</c:v>
                </c:pt>
                <c:pt idx="4">
                  <c:v>4.2964040953266765E-16</c:v>
                </c:pt>
                <c:pt idx="5">
                  <c:v>4.296404095326677E-15</c:v>
                </c:pt>
                <c:pt idx="6">
                  <c:v>4.2964040953266768E-14</c:v>
                </c:pt>
                <c:pt idx="7">
                  <c:v>4.2964040953266768E-13</c:v>
                </c:pt>
                <c:pt idx="8">
                  <c:v>4.2964040953266768E-12</c:v>
                </c:pt>
                <c:pt idx="9">
                  <c:v>4.2964040953266763E-11</c:v>
                </c:pt>
                <c:pt idx="10">
                  <c:v>4.2964040953266771E-10</c:v>
                </c:pt>
                <c:pt idx="11">
                  <c:v>4.2964040953266767E-9</c:v>
                </c:pt>
                <c:pt idx="12">
                  <c:v>4.2964040953266767E-8</c:v>
                </c:pt>
                <c:pt idx="13">
                  <c:v>4.2964040953266766E-7</c:v>
                </c:pt>
                <c:pt idx="14">
                  <c:v>4.2964040953266771E-6</c:v>
                </c:pt>
                <c:pt idx="15">
                  <c:v>4.2964040953266769E-5</c:v>
                </c:pt>
                <c:pt idx="16">
                  <c:v>4.2964040953266767E-4</c:v>
                </c:pt>
                <c:pt idx="17">
                  <c:v>4.2964040953266764E-3</c:v>
                </c:pt>
                <c:pt idx="18">
                  <c:v>4.2964040953266766E-2</c:v>
                </c:pt>
                <c:pt idx="19">
                  <c:v>0.42964040953266769</c:v>
                </c:pt>
                <c:pt idx="20">
                  <c:v>4.2964040953266771</c:v>
                </c:pt>
                <c:pt idx="21">
                  <c:v>42.964040953266768</c:v>
                </c:pt>
                <c:pt idx="22">
                  <c:v>429.64040953266766</c:v>
                </c:pt>
                <c:pt idx="23">
                  <c:v>4296.4040953266767</c:v>
                </c:pt>
                <c:pt idx="24">
                  <c:v>42964.040953266769</c:v>
                </c:pt>
                <c:pt idx="25">
                  <c:v>429640.40953266766</c:v>
                </c:pt>
                <c:pt idx="26">
                  <c:v>4296404.095326677</c:v>
                </c:pt>
                <c:pt idx="27">
                  <c:v>42964040.95326677</c:v>
                </c:pt>
                <c:pt idx="28">
                  <c:v>429640409.5326677</c:v>
                </c:pt>
                <c:pt idx="29">
                  <c:v>4296404095.3266764</c:v>
                </c:pt>
                <c:pt idx="30">
                  <c:v>42964040953.266769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9.199935895207601E-18</c:v>
                </c:pt>
                <c:pt idx="1">
                  <c:v>9.1999358952075998E-17</c:v>
                </c:pt>
                <c:pt idx="2">
                  <c:v>9.1999358952076003E-16</c:v>
                </c:pt>
                <c:pt idx="3">
                  <c:v>9.1999358952075991E-15</c:v>
                </c:pt>
                <c:pt idx="4">
                  <c:v>9.1999358952075988E-14</c:v>
                </c:pt>
                <c:pt idx="5">
                  <c:v>9.1999358952076008E-13</c:v>
                </c:pt>
                <c:pt idx="6">
                  <c:v>9.1999358952075996E-12</c:v>
                </c:pt>
                <c:pt idx="7">
                  <c:v>9.1999358952076002E-11</c:v>
                </c:pt>
                <c:pt idx="8">
                  <c:v>9.199935895207599E-10</c:v>
                </c:pt>
                <c:pt idx="9">
                  <c:v>9.1999358952075992E-9</c:v>
                </c:pt>
                <c:pt idx="10">
                  <c:v>9.1999358952076008E-8</c:v>
                </c:pt>
                <c:pt idx="11">
                  <c:v>9.1999358952076E-7</c:v>
                </c:pt>
                <c:pt idx="12">
                  <c:v>9.1999358952075994E-6</c:v>
                </c:pt>
                <c:pt idx="13">
                  <c:v>9.1999358952076001E-5</c:v>
                </c:pt>
                <c:pt idx="14">
                  <c:v>9.1999358952076003E-4</c:v>
                </c:pt>
                <c:pt idx="15">
                  <c:v>9.1999358952076001E-3</c:v>
                </c:pt>
                <c:pt idx="16">
                  <c:v>9.1999358952075991E-2</c:v>
                </c:pt>
                <c:pt idx="17">
                  <c:v>0.91999358952075994</c:v>
                </c:pt>
                <c:pt idx="18">
                  <c:v>9.1999358952076005</c:v>
                </c:pt>
                <c:pt idx="19">
                  <c:v>91.999358952075994</c:v>
                </c:pt>
                <c:pt idx="20">
                  <c:v>919.99358952076</c:v>
                </c:pt>
                <c:pt idx="21">
                  <c:v>9199.9358952076</c:v>
                </c:pt>
                <c:pt idx="22">
                  <c:v>91999.358952076</c:v>
                </c:pt>
                <c:pt idx="23">
                  <c:v>919993.58952076</c:v>
                </c:pt>
                <c:pt idx="24">
                  <c:v>9199935.8952075988</c:v>
                </c:pt>
                <c:pt idx="25">
                  <c:v>91999358.952076003</c:v>
                </c:pt>
                <c:pt idx="26">
                  <c:v>919993589.52075994</c:v>
                </c:pt>
                <c:pt idx="27">
                  <c:v>9199935895.2075996</c:v>
                </c:pt>
                <c:pt idx="28">
                  <c:v>91999358952.076004</c:v>
                </c:pt>
                <c:pt idx="29">
                  <c:v>919993589520.76001</c:v>
                </c:pt>
                <c:pt idx="30">
                  <c:v>9199935895207.5996</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5.6215515730344847E-13</c:v>
                </c:pt>
                <c:pt idx="1">
                  <c:v>5.6215515730344837E-12</c:v>
                </c:pt>
                <c:pt idx="2">
                  <c:v>5.6215515730344843E-11</c:v>
                </c:pt>
                <c:pt idx="3">
                  <c:v>5.6215515730344838E-10</c:v>
                </c:pt>
                <c:pt idx="4">
                  <c:v>5.6215515730344836E-9</c:v>
                </c:pt>
                <c:pt idx="5">
                  <c:v>5.6215515730344841E-8</c:v>
                </c:pt>
                <c:pt idx="6">
                  <c:v>5.6215515730344845E-7</c:v>
                </c:pt>
                <c:pt idx="7">
                  <c:v>5.6215515730344836E-6</c:v>
                </c:pt>
                <c:pt idx="8">
                  <c:v>5.6215515730344833E-5</c:v>
                </c:pt>
                <c:pt idx="9">
                  <c:v>5.6215515730344832E-4</c:v>
                </c:pt>
                <c:pt idx="10">
                  <c:v>5.6215515730344843E-3</c:v>
                </c:pt>
                <c:pt idx="11">
                  <c:v>5.6215515730344841E-2</c:v>
                </c:pt>
                <c:pt idx="12">
                  <c:v>0.56215515730344845</c:v>
                </c:pt>
                <c:pt idx="13">
                  <c:v>5.6215515730344841</c:v>
                </c:pt>
                <c:pt idx="14">
                  <c:v>56.215515730344841</c:v>
                </c:pt>
                <c:pt idx="15">
                  <c:v>562.15515730344839</c:v>
                </c:pt>
                <c:pt idx="16">
                  <c:v>5621.5515730344841</c:v>
                </c:pt>
                <c:pt idx="17">
                  <c:v>56215.515730344836</c:v>
                </c:pt>
                <c:pt idx="18">
                  <c:v>562155.15730344842</c:v>
                </c:pt>
                <c:pt idx="19">
                  <c:v>5621551.5730344839</c:v>
                </c:pt>
                <c:pt idx="20">
                  <c:v>56215515.730344839</c:v>
                </c:pt>
                <c:pt idx="21">
                  <c:v>562155157.30344844</c:v>
                </c:pt>
                <c:pt idx="22">
                  <c:v>5621551573.0344839</c:v>
                </c:pt>
                <c:pt idx="23">
                  <c:v>56215515730.344841</c:v>
                </c:pt>
                <c:pt idx="24">
                  <c:v>562155157303.44836</c:v>
                </c:pt>
                <c:pt idx="25">
                  <c:v>5621551573034.4834</c:v>
                </c:pt>
                <c:pt idx="26">
                  <c:v>56215515730344.836</c:v>
                </c:pt>
                <c:pt idx="27">
                  <c:v>562155157303448.37</c:v>
                </c:pt>
                <c:pt idx="28">
                  <c:v>5621551573034484</c:v>
                </c:pt>
                <c:pt idx="29">
                  <c:v>5.621551573034484E+16</c:v>
                </c:pt>
                <c:pt idx="30">
                  <c:v>5.6215515730344838E+17</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2.5051150593613507E-6</c:v>
                </c:pt>
                <c:pt idx="1">
                  <c:v>2.5051150593613502E-5</c:v>
                </c:pt>
                <c:pt idx="2">
                  <c:v>2.5051150593613503E-4</c:v>
                </c:pt>
                <c:pt idx="3">
                  <c:v>2.5051150593613501E-3</c:v>
                </c:pt>
                <c:pt idx="4">
                  <c:v>2.50511505936135E-2</c:v>
                </c:pt>
                <c:pt idx="5">
                  <c:v>0.25051150593613503</c:v>
                </c:pt>
                <c:pt idx="6">
                  <c:v>2.5051150593613505</c:v>
                </c:pt>
                <c:pt idx="7">
                  <c:v>25.051150593613503</c:v>
                </c:pt>
                <c:pt idx="8">
                  <c:v>250.51150593613502</c:v>
                </c:pt>
                <c:pt idx="9">
                  <c:v>2505.1150593613502</c:v>
                </c:pt>
                <c:pt idx="10">
                  <c:v>25051.150593613504</c:v>
                </c:pt>
                <c:pt idx="11">
                  <c:v>250511.50593613504</c:v>
                </c:pt>
                <c:pt idx="12">
                  <c:v>2505115.0593613503</c:v>
                </c:pt>
                <c:pt idx="13">
                  <c:v>25051150.593613505</c:v>
                </c:pt>
                <c:pt idx="14">
                  <c:v>250511505.93613505</c:v>
                </c:pt>
                <c:pt idx="15">
                  <c:v>2505115059.3613505</c:v>
                </c:pt>
                <c:pt idx="16">
                  <c:v>25051150593.613503</c:v>
                </c:pt>
                <c:pt idx="17">
                  <c:v>250511505936.13504</c:v>
                </c:pt>
                <c:pt idx="18">
                  <c:v>2505115059361.3501</c:v>
                </c:pt>
                <c:pt idx="19">
                  <c:v>25051150593613.504</c:v>
                </c:pt>
                <c:pt idx="20">
                  <c:v>250511505936135.03</c:v>
                </c:pt>
                <c:pt idx="21">
                  <c:v>2505115059361350.5</c:v>
                </c:pt>
                <c:pt idx="22">
                  <c:v>2.5051150593613504E+16</c:v>
                </c:pt>
                <c:pt idx="23">
                  <c:v>2.5051150593613504E+17</c:v>
                </c:pt>
                <c:pt idx="24">
                  <c:v>2.5051150593613501E+18</c:v>
                </c:pt>
                <c:pt idx="25">
                  <c:v>2.5051150593613505E+19</c:v>
                </c:pt>
                <c:pt idx="26">
                  <c:v>2.5051150593613503E+20</c:v>
                </c:pt>
                <c:pt idx="27">
                  <c:v>2.5051150593613502E+21</c:v>
                </c:pt>
                <c:pt idx="28">
                  <c:v>2.5051150593613502E+22</c:v>
                </c:pt>
                <c:pt idx="29">
                  <c:v>2.5051150593613502E+23</c:v>
                </c:pt>
                <c:pt idx="30">
                  <c:v>2.5051150593613502E+24</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2.2226793364704287</c:v>
                </c:pt>
                <c:pt idx="1">
                  <c:v>22.226793364704285</c:v>
                </c:pt>
                <c:pt idx="2">
                  <c:v>222.26793364704287</c:v>
                </c:pt>
                <c:pt idx="3">
                  <c:v>2222.6793364704286</c:v>
                </c:pt>
                <c:pt idx="4">
                  <c:v>22226.793364704285</c:v>
                </c:pt>
                <c:pt idx="5">
                  <c:v>222267.93364704287</c:v>
                </c:pt>
                <c:pt idx="6">
                  <c:v>2222679.3364704289</c:v>
                </c:pt>
                <c:pt idx="7">
                  <c:v>22226793.364704289</c:v>
                </c:pt>
                <c:pt idx="8">
                  <c:v>222267933.64704284</c:v>
                </c:pt>
                <c:pt idx="9">
                  <c:v>2222679336.4704285</c:v>
                </c:pt>
                <c:pt idx="10">
                  <c:v>22226793364.704288</c:v>
                </c:pt>
                <c:pt idx="11">
                  <c:v>222267933647.04288</c:v>
                </c:pt>
                <c:pt idx="12">
                  <c:v>2222679336470.4287</c:v>
                </c:pt>
                <c:pt idx="13">
                  <c:v>22226793364704.285</c:v>
                </c:pt>
                <c:pt idx="14">
                  <c:v>222267933647042.87</c:v>
                </c:pt>
                <c:pt idx="15">
                  <c:v>2222679336470428.7</c:v>
                </c:pt>
                <c:pt idx="16">
                  <c:v>2.2226793364704288E+16</c:v>
                </c:pt>
                <c:pt idx="17">
                  <c:v>2.2226793364704285E+17</c:v>
                </c:pt>
                <c:pt idx="18">
                  <c:v>2.2226793364704287E+18</c:v>
                </c:pt>
                <c:pt idx="19">
                  <c:v>2.2226793364704285E+19</c:v>
                </c:pt>
                <c:pt idx="20">
                  <c:v>2.2226793364704287E+20</c:v>
                </c:pt>
                <c:pt idx="21">
                  <c:v>2.2226793364704285E+21</c:v>
                </c:pt>
                <c:pt idx="22">
                  <c:v>2.2226793364704285E+22</c:v>
                </c:pt>
                <c:pt idx="23">
                  <c:v>2.2226793364704287E+23</c:v>
                </c:pt>
                <c:pt idx="24">
                  <c:v>2.2226793364704286E+24</c:v>
                </c:pt>
                <c:pt idx="25">
                  <c:v>2.2226793364704288E+25</c:v>
                </c:pt>
                <c:pt idx="26">
                  <c:v>2.2226793364704286E+26</c:v>
                </c:pt>
                <c:pt idx="27">
                  <c:v>2.2226793364704286E+27</c:v>
                </c:pt>
                <c:pt idx="28">
                  <c:v>2.2226793364704285E+28</c:v>
                </c:pt>
                <c:pt idx="29">
                  <c:v>2.2226793364704285E+29</c:v>
                </c:pt>
                <c:pt idx="30">
                  <c:v>2.2226793364704287E+30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51079552"/>
        <c:axId val="451077984"/>
      </c:scatterChart>
      <c:valAx>
        <c:axId val="45107955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7984"/>
        <c:crosses val="autoZero"/>
        <c:crossBetween val="midCat"/>
      </c:valAx>
      <c:valAx>
        <c:axId val="451077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55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1.0455603766040573E-24</c:v>
                </c:pt>
                <c:pt idx="1">
                  <c:v>1.0455603766040574E-23</c:v>
                </c:pt>
                <c:pt idx="2">
                  <c:v>1.0455603766040573E-22</c:v>
                </c:pt>
                <c:pt idx="3">
                  <c:v>1.0455603766040574E-21</c:v>
                </c:pt>
                <c:pt idx="4">
                  <c:v>1.0455603766040572E-20</c:v>
                </c:pt>
                <c:pt idx="5">
                  <c:v>1.0455603766040573E-19</c:v>
                </c:pt>
                <c:pt idx="6">
                  <c:v>1.0455603766040573E-18</c:v>
                </c:pt>
                <c:pt idx="7">
                  <c:v>1.0455603766040574E-17</c:v>
                </c:pt>
                <c:pt idx="8">
                  <c:v>1.0455603766040572E-16</c:v>
                </c:pt>
                <c:pt idx="9">
                  <c:v>1.0455603766040572E-15</c:v>
                </c:pt>
                <c:pt idx="10">
                  <c:v>1.0455603766040574E-14</c:v>
                </c:pt>
                <c:pt idx="11">
                  <c:v>1.0455603766040573E-13</c:v>
                </c:pt>
                <c:pt idx="12">
                  <c:v>1.0455603766040573E-12</c:v>
                </c:pt>
                <c:pt idx="13">
                  <c:v>1.0455603766040574E-11</c:v>
                </c:pt>
                <c:pt idx="14">
                  <c:v>1.0455603766040574E-10</c:v>
                </c:pt>
                <c:pt idx="15">
                  <c:v>1.0455603766040572E-9</c:v>
                </c:pt>
                <c:pt idx="16">
                  <c:v>1.0455603766040574E-8</c:v>
                </c:pt>
                <c:pt idx="17">
                  <c:v>1.0455603766040573E-7</c:v>
                </c:pt>
                <c:pt idx="18">
                  <c:v>1.0455603766040574E-6</c:v>
                </c:pt>
                <c:pt idx="19">
                  <c:v>1.0455603766040574E-5</c:v>
                </c:pt>
                <c:pt idx="20">
                  <c:v>1.0455603766040573E-4</c:v>
                </c:pt>
                <c:pt idx="21">
                  <c:v>1.0455603766040573E-3</c:v>
                </c:pt>
                <c:pt idx="22">
                  <c:v>1.0455603766040574E-2</c:v>
                </c:pt>
                <c:pt idx="23">
                  <c:v>0.10455603766040573</c:v>
                </c:pt>
                <c:pt idx="24">
                  <c:v>1.0455603766040573</c:v>
                </c:pt>
                <c:pt idx="25">
                  <c:v>10.455603766040573</c:v>
                </c:pt>
                <c:pt idx="26">
                  <c:v>104.55603766040574</c:v>
                </c:pt>
                <c:pt idx="27">
                  <c:v>1045.5603766040574</c:v>
                </c:pt>
                <c:pt idx="28">
                  <c:v>10455.603766040573</c:v>
                </c:pt>
                <c:pt idx="29">
                  <c:v>104556.03766040572</c:v>
                </c:pt>
                <c:pt idx="30">
                  <c:v>1045560.3766040573</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4.2964040953266768E-20</c:v>
                </c:pt>
                <c:pt idx="1">
                  <c:v>4.2964040953266769E-19</c:v>
                </c:pt>
                <c:pt idx="2">
                  <c:v>4.2964040953266768E-18</c:v>
                </c:pt>
                <c:pt idx="3">
                  <c:v>4.2964040953266765E-17</c:v>
                </c:pt>
                <c:pt idx="4">
                  <c:v>4.2964040953266765E-16</c:v>
                </c:pt>
                <c:pt idx="5">
                  <c:v>4.296404095326677E-15</c:v>
                </c:pt>
                <c:pt idx="6">
                  <c:v>4.2964040953266768E-14</c:v>
                </c:pt>
                <c:pt idx="7">
                  <c:v>4.2964040953266768E-13</c:v>
                </c:pt>
                <c:pt idx="8">
                  <c:v>4.2964040953266768E-12</c:v>
                </c:pt>
                <c:pt idx="9">
                  <c:v>4.2964040953266763E-11</c:v>
                </c:pt>
                <c:pt idx="10">
                  <c:v>4.2964040953266771E-10</c:v>
                </c:pt>
                <c:pt idx="11">
                  <c:v>4.2964040953266767E-9</c:v>
                </c:pt>
                <c:pt idx="12">
                  <c:v>4.2964040953266767E-8</c:v>
                </c:pt>
                <c:pt idx="13">
                  <c:v>4.2964040953266766E-7</c:v>
                </c:pt>
                <c:pt idx="14">
                  <c:v>4.2964040953266771E-6</c:v>
                </c:pt>
                <c:pt idx="15">
                  <c:v>4.2964040953266769E-5</c:v>
                </c:pt>
                <c:pt idx="16">
                  <c:v>4.2964040953266767E-4</c:v>
                </c:pt>
                <c:pt idx="17">
                  <c:v>4.2964040953266764E-3</c:v>
                </c:pt>
                <c:pt idx="18">
                  <c:v>4.2964040953266766E-2</c:v>
                </c:pt>
                <c:pt idx="19">
                  <c:v>0.42964040953266769</c:v>
                </c:pt>
                <c:pt idx="20">
                  <c:v>4.2964040953266771</c:v>
                </c:pt>
                <c:pt idx="21">
                  <c:v>42.964040953266768</c:v>
                </c:pt>
                <c:pt idx="22">
                  <c:v>429.64040953266766</c:v>
                </c:pt>
                <c:pt idx="23">
                  <c:v>4296.4040953266767</c:v>
                </c:pt>
                <c:pt idx="24">
                  <c:v>42964.040953266769</c:v>
                </c:pt>
                <c:pt idx="25">
                  <c:v>429640.40953266766</c:v>
                </c:pt>
                <c:pt idx="26">
                  <c:v>4296404.095326677</c:v>
                </c:pt>
                <c:pt idx="27">
                  <c:v>42964040.95326677</c:v>
                </c:pt>
                <c:pt idx="28">
                  <c:v>429640409.5326677</c:v>
                </c:pt>
                <c:pt idx="29">
                  <c:v>4296404095.3266764</c:v>
                </c:pt>
                <c:pt idx="30">
                  <c:v>42964040953.266769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9.199935895207601E-18</c:v>
                </c:pt>
                <c:pt idx="1">
                  <c:v>9.1999358952075998E-17</c:v>
                </c:pt>
                <c:pt idx="2">
                  <c:v>9.1999358952076003E-16</c:v>
                </c:pt>
                <c:pt idx="3">
                  <c:v>9.1999358952075991E-15</c:v>
                </c:pt>
                <c:pt idx="4">
                  <c:v>9.1999358952075988E-14</c:v>
                </c:pt>
                <c:pt idx="5">
                  <c:v>9.1999358952076008E-13</c:v>
                </c:pt>
                <c:pt idx="6">
                  <c:v>9.1999358952075996E-12</c:v>
                </c:pt>
                <c:pt idx="7">
                  <c:v>9.1999358952076002E-11</c:v>
                </c:pt>
                <c:pt idx="8">
                  <c:v>9.199935895207599E-10</c:v>
                </c:pt>
                <c:pt idx="9">
                  <c:v>9.1999358952075992E-9</c:v>
                </c:pt>
                <c:pt idx="10">
                  <c:v>9.1999358952076008E-8</c:v>
                </c:pt>
                <c:pt idx="11">
                  <c:v>9.1999358952076E-7</c:v>
                </c:pt>
                <c:pt idx="12">
                  <c:v>9.1999358952075994E-6</c:v>
                </c:pt>
                <c:pt idx="13">
                  <c:v>9.1999358952076001E-5</c:v>
                </c:pt>
                <c:pt idx="14">
                  <c:v>9.1999358952076003E-4</c:v>
                </c:pt>
                <c:pt idx="15">
                  <c:v>9.1999358952076001E-3</c:v>
                </c:pt>
                <c:pt idx="16">
                  <c:v>9.1999358952075991E-2</c:v>
                </c:pt>
                <c:pt idx="17">
                  <c:v>0.91999358952075994</c:v>
                </c:pt>
                <c:pt idx="18">
                  <c:v>9.1999358952076005</c:v>
                </c:pt>
                <c:pt idx="19">
                  <c:v>91.999358952075994</c:v>
                </c:pt>
                <c:pt idx="20">
                  <c:v>919.99358952076</c:v>
                </c:pt>
                <c:pt idx="21">
                  <c:v>9199.9358952076</c:v>
                </c:pt>
                <c:pt idx="22">
                  <c:v>91999.358952076</c:v>
                </c:pt>
                <c:pt idx="23">
                  <c:v>919993.58952076</c:v>
                </c:pt>
                <c:pt idx="24">
                  <c:v>9199935.8952075988</c:v>
                </c:pt>
                <c:pt idx="25">
                  <c:v>91999358.952076003</c:v>
                </c:pt>
                <c:pt idx="26">
                  <c:v>919993589.52075994</c:v>
                </c:pt>
                <c:pt idx="27">
                  <c:v>9199935895.2075996</c:v>
                </c:pt>
                <c:pt idx="28">
                  <c:v>91999358952.076004</c:v>
                </c:pt>
                <c:pt idx="29">
                  <c:v>919993589520.76001</c:v>
                </c:pt>
                <c:pt idx="30">
                  <c:v>9199935895207.5996</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5.6215515730344847E-13</c:v>
                </c:pt>
                <c:pt idx="1">
                  <c:v>5.6215515730344837E-12</c:v>
                </c:pt>
                <c:pt idx="2">
                  <c:v>5.6215515730344843E-11</c:v>
                </c:pt>
                <c:pt idx="3">
                  <c:v>5.6215515730344838E-10</c:v>
                </c:pt>
                <c:pt idx="4">
                  <c:v>5.6215515730344836E-9</c:v>
                </c:pt>
                <c:pt idx="5">
                  <c:v>5.6215515730344841E-8</c:v>
                </c:pt>
                <c:pt idx="6">
                  <c:v>5.6215515730344845E-7</c:v>
                </c:pt>
                <c:pt idx="7">
                  <c:v>5.6215515730344836E-6</c:v>
                </c:pt>
                <c:pt idx="8">
                  <c:v>5.6215515730344833E-5</c:v>
                </c:pt>
                <c:pt idx="9">
                  <c:v>5.6215515730344832E-4</c:v>
                </c:pt>
                <c:pt idx="10">
                  <c:v>5.6215515730344843E-3</c:v>
                </c:pt>
                <c:pt idx="11">
                  <c:v>5.6215515730344841E-2</c:v>
                </c:pt>
                <c:pt idx="12">
                  <c:v>0.56215515730344845</c:v>
                </c:pt>
                <c:pt idx="13">
                  <c:v>5.6215515730344841</c:v>
                </c:pt>
                <c:pt idx="14">
                  <c:v>56.215515730344841</c:v>
                </c:pt>
                <c:pt idx="15">
                  <c:v>562.15515730344839</c:v>
                </c:pt>
                <c:pt idx="16">
                  <c:v>5621.5515730344841</c:v>
                </c:pt>
                <c:pt idx="17">
                  <c:v>56215.515730344836</c:v>
                </c:pt>
                <c:pt idx="18">
                  <c:v>562155.15730344842</c:v>
                </c:pt>
                <c:pt idx="19">
                  <c:v>5621551.5730344839</c:v>
                </c:pt>
                <c:pt idx="20">
                  <c:v>56215515.730344839</c:v>
                </c:pt>
                <c:pt idx="21">
                  <c:v>562155157.30344844</c:v>
                </c:pt>
                <c:pt idx="22">
                  <c:v>5621551573.0344839</c:v>
                </c:pt>
                <c:pt idx="23">
                  <c:v>56215515730.344841</c:v>
                </c:pt>
                <c:pt idx="24">
                  <c:v>562155157303.44836</c:v>
                </c:pt>
                <c:pt idx="25">
                  <c:v>5621551573034.4834</c:v>
                </c:pt>
                <c:pt idx="26">
                  <c:v>56215515730344.836</c:v>
                </c:pt>
                <c:pt idx="27">
                  <c:v>562155157303448.37</c:v>
                </c:pt>
                <c:pt idx="28">
                  <c:v>5621551573034484</c:v>
                </c:pt>
                <c:pt idx="29">
                  <c:v>5.621551573034484E+16</c:v>
                </c:pt>
                <c:pt idx="30">
                  <c:v>5.6215515730344838E+17</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2.5051150593613507E-6</c:v>
                </c:pt>
                <c:pt idx="1">
                  <c:v>2.5051150593613502E-5</c:v>
                </c:pt>
                <c:pt idx="2">
                  <c:v>2.5051150593613503E-4</c:v>
                </c:pt>
                <c:pt idx="3">
                  <c:v>2.5051150593613501E-3</c:v>
                </c:pt>
                <c:pt idx="4">
                  <c:v>2.50511505936135E-2</c:v>
                </c:pt>
                <c:pt idx="5">
                  <c:v>0.25051150593613503</c:v>
                </c:pt>
                <c:pt idx="6">
                  <c:v>2.5051150593613505</c:v>
                </c:pt>
                <c:pt idx="7">
                  <c:v>25.051150593613503</c:v>
                </c:pt>
                <c:pt idx="8">
                  <c:v>250.51150593613502</c:v>
                </c:pt>
                <c:pt idx="9">
                  <c:v>2505.1150593613502</c:v>
                </c:pt>
                <c:pt idx="10">
                  <c:v>25051.150593613504</c:v>
                </c:pt>
                <c:pt idx="11">
                  <c:v>250511.50593613504</c:v>
                </c:pt>
                <c:pt idx="12">
                  <c:v>2505115.0593613503</c:v>
                </c:pt>
                <c:pt idx="13">
                  <c:v>25051150.593613505</c:v>
                </c:pt>
                <c:pt idx="14">
                  <c:v>250511505.93613505</c:v>
                </c:pt>
                <c:pt idx="15">
                  <c:v>2505115059.3613505</c:v>
                </c:pt>
                <c:pt idx="16">
                  <c:v>25051150593.613503</c:v>
                </c:pt>
                <c:pt idx="17">
                  <c:v>250511505936.13504</c:v>
                </c:pt>
                <c:pt idx="18">
                  <c:v>2505115059361.3501</c:v>
                </c:pt>
                <c:pt idx="19">
                  <c:v>25051150593613.504</c:v>
                </c:pt>
                <c:pt idx="20">
                  <c:v>250511505936135.03</c:v>
                </c:pt>
                <c:pt idx="21">
                  <c:v>2505115059361350.5</c:v>
                </c:pt>
                <c:pt idx="22">
                  <c:v>2.5051150593613504E+16</c:v>
                </c:pt>
                <c:pt idx="23">
                  <c:v>2.5051150593613504E+17</c:v>
                </c:pt>
                <c:pt idx="24">
                  <c:v>2.5051150593613501E+18</c:v>
                </c:pt>
                <c:pt idx="25">
                  <c:v>2.5051150593613505E+19</c:v>
                </c:pt>
                <c:pt idx="26">
                  <c:v>2.5051150593613503E+20</c:v>
                </c:pt>
                <c:pt idx="27">
                  <c:v>2.5051150593613502E+21</c:v>
                </c:pt>
                <c:pt idx="28">
                  <c:v>2.5051150593613502E+22</c:v>
                </c:pt>
                <c:pt idx="29">
                  <c:v>2.5051150593613502E+23</c:v>
                </c:pt>
                <c:pt idx="30">
                  <c:v>2.5051150593613502E+24</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2.2226793364704287</c:v>
                </c:pt>
                <c:pt idx="1">
                  <c:v>22.226793364704285</c:v>
                </c:pt>
                <c:pt idx="2">
                  <c:v>222.26793364704287</c:v>
                </c:pt>
                <c:pt idx="3">
                  <c:v>2222.6793364704286</c:v>
                </c:pt>
                <c:pt idx="4">
                  <c:v>22226.793364704285</c:v>
                </c:pt>
                <c:pt idx="5">
                  <c:v>222267.93364704287</c:v>
                </c:pt>
                <c:pt idx="6">
                  <c:v>2222679.3364704289</c:v>
                </c:pt>
                <c:pt idx="7">
                  <c:v>22226793.364704289</c:v>
                </c:pt>
                <c:pt idx="8">
                  <c:v>222267933.64704284</c:v>
                </c:pt>
                <c:pt idx="9">
                  <c:v>2222679336.4704285</c:v>
                </c:pt>
                <c:pt idx="10">
                  <c:v>22226793364.704288</c:v>
                </c:pt>
                <c:pt idx="11">
                  <c:v>222267933647.04288</c:v>
                </c:pt>
                <c:pt idx="12">
                  <c:v>2222679336470.4287</c:v>
                </c:pt>
                <c:pt idx="13">
                  <c:v>22226793364704.285</c:v>
                </c:pt>
                <c:pt idx="14">
                  <c:v>222267933647042.87</c:v>
                </c:pt>
                <c:pt idx="15">
                  <c:v>2222679336470428.7</c:v>
                </c:pt>
                <c:pt idx="16">
                  <c:v>2.2226793364704288E+16</c:v>
                </c:pt>
                <c:pt idx="17">
                  <c:v>2.2226793364704285E+17</c:v>
                </c:pt>
                <c:pt idx="18">
                  <c:v>2.2226793364704287E+18</c:v>
                </c:pt>
                <c:pt idx="19">
                  <c:v>2.2226793364704285E+19</c:v>
                </c:pt>
                <c:pt idx="20">
                  <c:v>2.2226793364704287E+20</c:v>
                </c:pt>
                <c:pt idx="21">
                  <c:v>2.2226793364704285E+21</c:v>
                </c:pt>
                <c:pt idx="22">
                  <c:v>2.2226793364704285E+22</c:v>
                </c:pt>
                <c:pt idx="23">
                  <c:v>2.2226793364704287E+23</c:v>
                </c:pt>
                <c:pt idx="24">
                  <c:v>2.2226793364704286E+24</c:v>
                </c:pt>
                <c:pt idx="25">
                  <c:v>2.2226793364704288E+25</c:v>
                </c:pt>
                <c:pt idx="26">
                  <c:v>2.2226793364704286E+26</c:v>
                </c:pt>
                <c:pt idx="27">
                  <c:v>2.2226793364704286E+27</c:v>
                </c:pt>
                <c:pt idx="28">
                  <c:v>2.2226793364704285E+28</c:v>
                </c:pt>
                <c:pt idx="29">
                  <c:v>2.2226793364704285E+29</c:v>
                </c:pt>
                <c:pt idx="30">
                  <c:v>2.2226793364704287E+30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51077592"/>
        <c:axId val="451079160"/>
      </c:scatterChart>
      <c:valAx>
        <c:axId val="4510775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160"/>
        <c:crosses val="autoZero"/>
        <c:crossBetween val="midCat"/>
      </c:valAx>
      <c:valAx>
        <c:axId val="451079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759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-20.678712849703782</c:v>
                </c:pt>
                <c:pt idx="1">
                  <c:v>-20.467272602442662</c:v>
                </c:pt>
                <c:pt idx="2">
                  <c:v>-20.255629169824111</c:v>
                </c:pt>
                <c:pt idx="3">
                  <c:v>-20.043579366490697</c:v>
                </c:pt>
                <c:pt idx="4">
                  <c:v>-19.830920007084988</c:v>
                </c:pt>
                <c:pt idx="5">
                  <c:v>-19.617447906249545</c:v>
                </c:pt>
                <c:pt idx="6">
                  <c:v>-19.402959878626937</c:v>
                </c:pt>
                <c:pt idx="7">
                  <c:v>-19.18725273885974</c:v>
                </c:pt>
                <c:pt idx="8">
                  <c:v>-18.970123301590515</c:v>
                </c:pt>
                <c:pt idx="9">
                  <c:v>-18.751368381461827</c:v>
                </c:pt>
                <c:pt idx="10">
                  <c:v>-18.530784793116251</c:v>
                </c:pt>
                <c:pt idx="11">
                  <c:v>-18.308169351196351</c:v>
                </c:pt>
                <c:pt idx="12">
                  <c:v>-18.083318870344691</c:v>
                </c:pt>
                <c:pt idx="13">
                  <c:v>-17.856030165203844</c:v>
                </c:pt>
                <c:pt idx="14">
                  <c:v>-17.626100050416376</c:v>
                </c:pt>
                <c:pt idx="15">
                  <c:v>-17.393325340624852</c:v>
                </c:pt>
                <c:pt idx="16">
                  <c:v>-17.157502850471843</c:v>
                </c:pt>
                <c:pt idx="17">
                  <c:v>-16.918429394599912</c:v>
                </c:pt>
                <c:pt idx="18">
                  <c:v>-16.675901787651632</c:v>
                </c:pt>
                <c:pt idx="19">
                  <c:v>-16.429716844269571</c:v>
                </c:pt>
                <c:pt idx="20">
                  <c:v>-16.179671379096291</c:v>
                </c:pt>
                <c:pt idx="21">
                  <c:v>-15.925562206774361</c:v>
                </c:pt>
                <c:pt idx="22">
                  <c:v>-15.667186141946353</c:v>
                </c:pt>
                <c:pt idx="23">
                  <c:v>-15.40433999925483</c:v>
                </c:pt>
                <c:pt idx="24">
                  <c:v>-15.13682059334236</c:v>
                </c:pt>
                <c:pt idx="25">
                  <c:v>-14.864424738851511</c:v>
                </c:pt>
                <c:pt idx="26">
                  <c:v>-14.586949250424855</c:v>
                </c:pt>
                <c:pt idx="27">
                  <c:v>-14.304190942704954</c:v>
                </c:pt>
                <c:pt idx="28">
                  <c:v>-14.015946630334376</c:v>
                </c:pt>
                <c:pt idx="29">
                  <c:v>-13.722013127955691</c:v>
                </c:pt>
                <c:pt idx="30">
                  <c:v>-13.422187250211465</c:v>
                </c:pt>
                <c:pt idx="31">
                  <c:v>-13.116265811744269</c:v>
                </c:pt>
                <c:pt idx="32">
                  <c:v>-12.804045627196663</c:v>
                </c:pt>
                <c:pt idx="33">
                  <c:v>-12.48532351121122</c:v>
                </c:pt>
                <c:pt idx="34">
                  <c:v>-12.159896278430509</c:v>
                </c:pt>
                <c:pt idx="35">
                  <c:v>-11.827560743497093</c:v>
                </c:pt>
                <c:pt idx="36">
                  <c:v>-11.488113721053546</c:v>
                </c:pt>
                <c:pt idx="37">
                  <c:v>-11.141352025742428</c:v>
                </c:pt>
                <c:pt idx="38">
                  <c:v>-10.787072472206312</c:v>
                </c:pt>
                <c:pt idx="39">
                  <c:v>-10.425071875087761</c:v>
                </c:pt>
                <c:pt idx="40">
                  <c:v>-10.055147049029348</c:v>
                </c:pt>
                <c:pt idx="41">
                  <c:v>-9.8881016062672078</c:v>
                </c:pt>
                <c:pt idx="42">
                  <c:v>-9.7134086615431841</c:v>
                </c:pt>
                <c:pt idx="43">
                  <c:v>-9.5315481271926927</c:v>
                </c:pt>
                <c:pt idx="44">
                  <c:v>-9.3429999155511467</c:v>
                </c:pt>
                <c:pt idx="45">
                  <c:v>-9.1482439389539572</c:v>
                </c:pt>
                <c:pt idx="46">
                  <c:v>-8.9477601097365458</c:v>
                </c:pt>
                <c:pt idx="47">
                  <c:v>-8.7420283402343202</c:v>
                </c:pt>
                <c:pt idx="48">
                  <c:v>-8.5315285427826968</c:v>
                </c:pt>
                <c:pt idx="49">
                  <c:v>-8.3167406297170903</c:v>
                </c:pt>
                <c:pt idx="50">
                  <c:v>-8.0981445133729153</c:v>
                </c:pt>
                <c:pt idx="51">
                  <c:v>-7.8762201060855839</c:v>
                </c:pt>
                <c:pt idx="52">
                  <c:v>-7.6514473201905124</c:v>
                </c:pt>
                <c:pt idx="53">
                  <c:v>-7.4243060680231139</c:v>
                </c:pt>
                <c:pt idx="54">
                  <c:v>-7.1952762619188029</c:v>
                </c:pt>
                <c:pt idx="55">
                  <c:v>-6.9648378142129941</c:v>
                </c:pt>
                <c:pt idx="56">
                  <c:v>-6.7334706372411013</c:v>
                </c:pt>
                <c:pt idx="57">
                  <c:v>-6.50165464333854</c:v>
                </c:pt>
                <c:pt idx="58">
                  <c:v>-6.2698697448407206</c:v>
                </c:pt>
                <c:pt idx="59">
                  <c:v>-6.038595854083062</c:v>
                </c:pt>
                <c:pt idx="60">
                  <c:v>-5.8083128834009754</c:v>
                </c:pt>
                <c:pt idx="61">
                  <c:v>-5.5795007451298764</c:v>
                </c:pt>
                <c:pt idx="62">
                  <c:v>-5.3526393516051787</c:v>
                </c:pt>
                <c:pt idx="63">
                  <c:v>-5.1282086151622961</c:v>
                </c:pt>
                <c:pt idx="64">
                  <c:v>-4.9066884481366442</c:v>
                </c:pt>
                <c:pt idx="65">
                  <c:v>-4.6885587628636349</c:v>
                </c:pt>
                <c:pt idx="66">
                  <c:v>-4.4741880498046553</c:v>
                </c:pt>
                <c:pt idx="67">
                  <c:v>-4.2634991119249595</c:v>
                </c:pt>
                <c:pt idx="68">
                  <c:v>-4.0563033303157807</c:v>
                </c:pt>
                <c:pt idx="69">
                  <c:v>-3.8524120860683428</c:v>
                </c:pt>
                <c:pt idx="70">
                  <c:v>-3.6516367602738771</c:v>
                </c:pt>
                <c:pt idx="71">
                  <c:v>-3.4537887340236111</c:v>
                </c:pt>
                <c:pt idx="72">
                  <c:v>-3.2586793884087721</c:v>
                </c:pt>
                <c:pt idx="73">
                  <c:v>-3.0661201045205901</c:v>
                </c:pt>
                <c:pt idx="74">
                  <c:v>-2.8759222634502914</c:v>
                </c:pt>
                <c:pt idx="75">
                  <c:v>-2.6878972462891051</c:v>
                </c:pt>
                <c:pt idx="76">
                  <c:v>-2.5018564341282592</c:v>
                </c:pt>
                <c:pt idx="77">
                  <c:v>-2.3176112080589828</c:v>
                </c:pt>
                <c:pt idx="78">
                  <c:v>-2.1349729491725036</c:v>
                </c:pt>
                <c:pt idx="79">
                  <c:v>-1.953753038560049</c:v>
                </c:pt>
                <c:pt idx="80">
                  <c:v>-1.7737628573128481</c:v>
                </c:pt>
                <c:pt idx="81">
                  <c:v>-1.5948137865221292</c:v>
                </c:pt>
                <c:pt idx="82">
                  <c:v>-1.4167172072791205</c:v>
                </c:pt>
                <c:pt idx="83">
                  <c:v>-1.2392845006750501</c:v>
                </c:pt>
                <c:pt idx="84">
                  <c:v>-1.0623270478011462</c:v>
                </c:pt>
                <c:pt idx="85">
                  <c:v>-0.88565622974863667</c:v>
                </c:pt>
                <c:pt idx="86">
                  <c:v>-0.70908342760875043</c:v>
                </c:pt>
                <c:pt idx="87">
                  <c:v>-0.53242002247271536</c:v>
                </c:pt>
                <c:pt idx="88">
                  <c:v>-0.35547739543175982</c:v>
                </c:pt>
                <c:pt idx="89">
                  <c:v>-0.17806692757711193</c:v>
                </c:pt>
                <c:pt idx="90">
                  <c:v>0</c:v>
                </c:pt>
                <c:pt idx="91">
                  <c:v>0.17890270867155644</c:v>
                </c:pt>
                <c:pt idx="92">
                  <c:v>0.35878332966237259</c:v>
                </c:pt>
                <c:pt idx="93">
                  <c:v>0.53977469666047218</c:v>
                </c:pt>
                <c:pt idx="94">
                  <c:v>0.72200964335387929</c:v>
                </c:pt>
                <c:pt idx="95">
                  <c:v>0.9056210034306178</c:v>
                </c:pt>
                <c:pt idx="96">
                  <c:v>1.0907416105787113</c:v>
                </c:pt>
                <c:pt idx="97">
                  <c:v>1.277504298486184</c:v>
                </c:pt>
                <c:pt idx="98">
                  <c:v>1.4660419008410595</c:v>
                </c:pt>
                <c:pt idx="99">
                  <c:v>1.6564872513313618</c:v>
                </c:pt>
                <c:pt idx="100">
                  <c:v>1.8489731836451149</c:v>
                </c:pt>
                <c:pt idx="101">
                  <c:v>2.0436325314703421</c:v>
                </c:pt>
                <c:pt idx="102">
                  <c:v>2.2405981284950678</c:v>
                </c:pt>
                <c:pt idx="103">
                  <c:v>2.4400028084073164</c:v>
                </c:pt>
                <c:pt idx="104">
                  <c:v>2.6419794048951104</c:v>
                </c:pt>
                <c:pt idx="105">
                  <c:v>2.8466607516464748</c:v>
                </c:pt>
                <c:pt idx="106">
                  <c:v>3.0541796823494329</c:v>
                </c:pt>
                <c:pt idx="107">
                  <c:v>3.2646690306920085</c:v>
                </c:pt>
                <c:pt idx="108">
                  <c:v>3.4782616303622267</c:v>
                </c:pt>
                <c:pt idx="109">
                  <c:v>3.6950903150481094</c:v>
                </c:pt>
                <c:pt idx="110">
                  <c:v>3.9152879184376821</c:v>
                </c:pt>
                <c:pt idx="111">
                  <c:v>4.1389872742189677</c:v>
                </c:pt>
                <c:pt idx="112">
                  <c:v>4.3663212160799896</c:v>
                </c:pt>
                <c:pt idx="113">
                  <c:v>4.597422577708774</c:v>
                </c:pt>
                <c:pt idx="114">
                  <c:v>4.8324241927933418</c:v>
                </c:pt>
                <c:pt idx="115">
                  <c:v>5.0714588950217188</c:v>
                </c:pt>
                <c:pt idx="116">
                  <c:v>5.3146595180819292</c:v>
                </c:pt>
                <c:pt idx="117">
                  <c:v>5.5621588956619954</c:v>
                </c:pt>
                <c:pt idx="118">
                  <c:v>5.8140898614499417</c:v>
                </c:pt>
                <c:pt idx="119">
                  <c:v>6.0705852491337922</c:v>
                </c:pt>
                <c:pt idx="120">
                  <c:v>6.3317778924015711</c:v>
                </c:pt>
                <c:pt idx="121">
                  <c:v>6.5977626616588001</c:v>
                </c:pt>
                <c:pt idx="122">
                  <c:v>6.8684825741810069</c:v>
                </c:pt>
                <c:pt idx="123">
                  <c:v>7.1438426839612124</c:v>
                </c:pt>
                <c:pt idx="124">
                  <c:v>7.4237480449924407</c:v>
                </c:pt>
                <c:pt idx="125">
                  <c:v>7.7081037112677162</c:v>
                </c:pt>
                <c:pt idx="126">
                  <c:v>7.9968147367800615</c:v>
                </c:pt>
                <c:pt idx="127">
                  <c:v>8.2897861755225009</c:v>
                </c:pt>
                <c:pt idx="128">
                  <c:v>8.5869230814880595</c:v>
                </c:pt>
                <c:pt idx="129">
                  <c:v>8.8881305086697591</c:v>
                </c:pt>
                <c:pt idx="130">
                  <c:v>9.193313511060623</c:v>
                </c:pt>
                <c:pt idx="131">
                  <c:v>9.5023771426536783</c:v>
                </c:pt>
                <c:pt idx="132">
                  <c:v>9.8152264574419448</c:v>
                </c:pt>
                <c:pt idx="133">
                  <c:v>10.131766509418446</c:v>
                </c:pt>
                <c:pt idx="134">
                  <c:v>10.451902352576209</c:v>
                </c:pt>
                <c:pt idx="135">
                  <c:v>10.775539040908255</c:v>
                </c:pt>
                <c:pt idx="136">
                  <c:v>11.102581628407609</c:v>
                </c:pt>
                <c:pt idx="137">
                  <c:v>11.432935169067294</c:v>
                </c:pt>
                <c:pt idx="138">
                  <c:v>11.766504716880334</c:v>
                </c:pt>
                <c:pt idx="139">
                  <c:v>12.103195325839753</c:v>
                </c:pt>
                <c:pt idx="140">
                  <c:v>12.442912049938574</c:v>
                </c:pt>
                <c:pt idx="141">
                  <c:v>12.785559943169822</c:v>
                </c:pt>
                <c:pt idx="142">
                  <c:v>13.131044059526518</c:v>
                </c:pt>
                <c:pt idx="143">
                  <c:v>13.479269453001688</c:v>
                </c:pt>
                <c:pt idx="144">
                  <c:v>13.830141177588356</c:v>
                </c:pt>
                <c:pt idx="145">
                  <c:v>14.183564287279543</c:v>
                </c:pt>
                <c:pt idx="146">
                  <c:v>14.539443836068276</c:v>
                </c:pt>
                <c:pt idx="147">
                  <c:v>14.897684877947576</c:v>
                </c:pt>
                <c:pt idx="148">
                  <c:v>15.25819246691047</c:v>
                </c:pt>
                <c:pt idx="149">
                  <c:v>15.620871656949978</c:v>
                </c:pt>
                <c:pt idx="150">
                  <c:v>15.985627502059126</c:v>
                </c:pt>
                <c:pt idx="151">
                  <c:v>16.352365056230937</c:v>
                </c:pt>
                <c:pt idx="152">
                  <c:v>16.720989373458433</c:v>
                </c:pt>
                <c:pt idx="153">
                  <c:v>17.091405507734642</c:v>
                </c:pt>
                <c:pt idx="154">
                  <c:v>17.463518513052584</c:v>
                </c:pt>
                <c:pt idx="155">
                  <c:v>17.837233443405285</c:v>
                </c:pt>
                <c:pt idx="156">
                  <c:v>18.212455352785764</c:v>
                </c:pt>
                <c:pt idx="157">
                  <c:v>18.589089295187051</c:v>
                </c:pt>
                <c:pt idx="158">
                  <c:v>18.967040324602166</c:v>
                </c:pt>
                <c:pt idx="159">
                  <c:v>19.346213495024138</c:v>
                </c:pt>
                <c:pt idx="160">
                  <c:v>19.72651386044598</c:v>
                </c:pt>
                <c:pt idx="161">
                  <c:v>20.107846474860725</c:v>
                </c:pt>
                <c:pt idx="162">
                  <c:v>20.490116392261395</c:v>
                </c:pt>
                <c:pt idx="163">
                  <c:v>20.873228666641012</c:v>
                </c:pt>
                <c:pt idx="164">
                  <c:v>21.2570883519926</c:v>
                </c:pt>
                <c:pt idx="165">
                  <c:v>21.641600502309181</c:v>
                </c:pt>
                <c:pt idx="166">
                  <c:v>22.026683341066096</c:v>
                </c:pt>
                <c:pt idx="167">
                  <c:v>22.412307769667947</c:v>
                </c:pt>
                <c:pt idx="168">
                  <c:v>22.798457859001637</c:v>
                </c:pt>
                <c:pt idx="169">
                  <c:v>23.185117679954093</c:v>
                </c:pt>
                <c:pt idx="170">
                  <c:v>23.572271303412222</c:v>
                </c:pt>
                <c:pt idx="171">
                  <c:v>23.959902800262938</c:v>
                </c:pt>
                <c:pt idx="172">
                  <c:v>24.347996241393155</c:v>
                </c:pt>
                <c:pt idx="173">
                  <c:v>24.736535697689781</c:v>
                </c:pt>
                <c:pt idx="174">
                  <c:v>25.125505240039743</c:v>
                </c:pt>
                <c:pt idx="175">
                  <c:v>25.514888939329946</c:v>
                </c:pt>
                <c:pt idx="176">
                  <c:v>25.904670866447304</c:v>
                </c:pt>
                <c:pt idx="177">
                  <c:v>26.294835092278735</c:v>
                </c:pt>
                <c:pt idx="178">
                  <c:v>26.685365687711148</c:v>
                </c:pt>
                <c:pt idx="179">
                  <c:v>27.076246723631456</c:v>
                </c:pt>
                <c:pt idx="180">
                  <c:v>27.467462270926575</c:v>
                </c:pt>
                <c:pt idx="181">
                  <c:v>27.85899640048342</c:v>
                </c:pt>
                <c:pt idx="182">
                  <c:v>28.250833183188909</c:v>
                </c:pt>
                <c:pt idx="183">
                  <c:v>28.642956689929942</c:v>
                </c:pt>
                <c:pt idx="184">
                  <c:v>29.035350991593443</c:v>
                </c:pt>
                <c:pt idx="185">
                  <c:v>29.428000159066329</c:v>
                </c:pt>
                <c:pt idx="186">
                  <c:v>29.820888263235503</c:v>
                </c:pt>
                <c:pt idx="187">
                  <c:v>30.213999374987889</c:v>
                </c:pt>
                <c:pt idx="188">
                  <c:v>30.607317565210394</c:v>
                </c:pt>
                <c:pt idx="189">
                  <c:v>31.000826904789935</c:v>
                </c:pt>
                <c:pt idx="190">
                  <c:v>31.394511464613419</c:v>
                </c:pt>
                <c:pt idx="191">
                  <c:v>31.788355315567774</c:v>
                </c:pt>
                <c:pt idx="192">
                  <c:v>32.182342528539898</c:v>
                </c:pt>
                <c:pt idx="193">
                  <c:v>32.576457174416717</c:v>
                </c:pt>
                <c:pt idx="194">
                  <c:v>32.970683324085144</c:v>
                </c:pt>
                <c:pt idx="195">
                  <c:v>33.365005048432074</c:v>
                </c:pt>
                <c:pt idx="196">
                  <c:v>33.759406418344447</c:v>
                </c:pt>
                <c:pt idx="197">
                  <c:v>34.153871504709159</c:v>
                </c:pt>
                <c:pt idx="198">
                  <c:v>34.548384378413132</c:v>
                </c:pt>
                <c:pt idx="199">
                  <c:v>34.942929110343286</c:v>
                </c:pt>
                <c:pt idx="200">
                  <c:v>35.337489771386515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-20.678712849703782</c:v>
                </c:pt>
                <c:pt idx="1">
                  <c:v>-10.055147049029348</c:v>
                </c:pt>
                <c:pt idx="2">
                  <c:v>-4.6885587628636358</c:v>
                </c:pt>
                <c:pt idx="3">
                  <c:v>0</c:v>
                </c:pt>
                <c:pt idx="4">
                  <c:v>6.3317778924015702</c:v>
                </c:pt>
                <c:pt idx="5">
                  <c:v>21.641600502309181</c:v>
                </c:pt>
                <c:pt idx="6">
                  <c:v>35.337489771386515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-20.550543778063499</c:v>
                </c:pt>
                <c:pt idx="1">
                  <c:v>-20.394268745896362</c:v>
                </c:pt>
                <c:pt idx="2">
                  <c:v>-20.228596369842272</c:v>
                </c:pt>
                <c:pt idx="3">
                  <c:v>-20.053929866556317</c:v>
                </c:pt>
                <c:pt idx="4">
                  <c:v>-19.870671010958166</c:v>
                </c:pt>
                <c:pt idx="5">
                  <c:v>-19.679219620509052</c:v>
                </c:pt>
                <c:pt idx="6">
                  <c:v>-19.479973058445662</c:v>
                </c:pt>
                <c:pt idx="7">
                  <c:v>-19.273325755752783</c:v>
                </c:pt>
                <c:pt idx="8">
                  <c:v>-19.059668751656012</c:v>
                </c:pt>
                <c:pt idx="9">
                  <c:v>-18.839389252415209</c:v>
                </c:pt>
                <c:pt idx="10">
                  <c:v>-18.612870208198881</c:v>
                </c:pt>
                <c:pt idx="11">
                  <c:v>-18.380489907819193</c:v>
                </c:pt>
                <c:pt idx="12">
                  <c:v>-18.14262159110654</c:v>
                </c:pt>
                <c:pt idx="13">
                  <c:v>-17.899633078702397</c:v>
                </c:pt>
                <c:pt idx="14">
                  <c:v>-17.651886419048314</c:v>
                </c:pt>
                <c:pt idx="15">
                  <c:v>-17.399737552348412</c:v>
                </c:pt>
                <c:pt idx="16">
                  <c:v>-17.14353599128253</c:v>
                </c:pt>
                <c:pt idx="17">
                  <c:v>-16.883624518246044</c:v>
                </c:pt>
                <c:pt idx="18">
                  <c:v>-16.620338898892371</c:v>
                </c:pt>
                <c:pt idx="19">
                  <c:v>-16.354007611753261</c:v>
                </c:pt>
                <c:pt idx="20">
                  <c:v>-16.084951593711676</c:v>
                </c:pt>
                <c:pt idx="21">
                  <c:v>-15.813484001101243</c:v>
                </c:pt>
                <c:pt idx="22">
                  <c:v>-15.53990998620605</c:v>
                </c:pt>
                <c:pt idx="23">
                  <c:v>-15.264526488933697</c:v>
                </c:pt>
                <c:pt idx="24">
                  <c:v>-14.987622043434095</c:v>
                </c:pt>
                <c:pt idx="25">
                  <c:v>-14.709476599436044</c:v>
                </c:pt>
                <c:pt idx="26">
                  <c:v>-14.430361358072897</c:v>
                </c:pt>
                <c:pt idx="27">
                  <c:v>-14.150538621968179</c:v>
                </c:pt>
                <c:pt idx="28">
                  <c:v>-13.870261659351479</c:v>
                </c:pt>
                <c:pt idx="29">
                  <c:v>-13.589774581974313</c:v>
                </c:pt>
                <c:pt idx="30">
                  <c:v>-13.309312236595188</c:v>
                </c:pt>
                <c:pt idx="31">
                  <c:v>-13.029100109802529</c:v>
                </c:pt>
                <c:pt idx="32">
                  <c:v>-12.749354245943492</c:v>
                </c:pt>
                <c:pt idx="33">
                  <c:v>-12.470281177926296</c:v>
                </c:pt>
                <c:pt idx="34">
                  <c:v>-12.192077870663029</c:v>
                </c:pt>
                <c:pt idx="35">
                  <c:v>-11.914931676919389</c:v>
                </c:pt>
                <c:pt idx="36">
                  <c:v>-11.639020305337233</c:v>
                </c:pt>
                <c:pt idx="37">
                  <c:v>-11.364511800395338</c:v>
                </c:pt>
                <c:pt idx="38">
                  <c:v>-11.091564534073138</c:v>
                </c:pt>
                <c:pt idx="39">
                  <c:v>-10.820327208981688</c:v>
                </c:pt>
                <c:pt idx="40">
                  <c:v>-10.550938872725574</c:v>
                </c:pt>
                <c:pt idx="41">
                  <c:v>-10.283528943258942</c:v>
                </c:pt>
                <c:pt idx="42">
                  <c:v>-10.01821724499818</c:v>
                </c:pt>
                <c:pt idx="43">
                  <c:v>-9.7551140554534062</c:v>
                </c:pt>
                <c:pt idx="44">
                  <c:v>-9.4943201621401965</c:v>
                </c:pt>
                <c:pt idx="45">
                  <c:v>-9.2359269295325497</c:v>
                </c:pt>
                <c:pt idx="46">
                  <c:v>-8.9800163758174545</c:v>
                </c:pt>
                <c:pt idx="47">
                  <c:v>-8.7266612592109887</c:v>
                </c:pt>
                <c:pt idx="48">
                  <c:v>-8.4759251735951917</c:v>
                </c:pt>
                <c:pt idx="49">
                  <c:v>-8.2278626532344958</c:v>
                </c:pt>
                <c:pt idx="50">
                  <c:v>-7.9825192863299703</c:v>
                </c:pt>
                <c:pt idx="51">
                  <c:v>-7.7399318371689549</c:v>
                </c:pt>
                <c:pt idx="52">
                  <c:v>-7.5001283766272735</c:v>
                </c:pt>
                <c:pt idx="53">
                  <c:v>-7.2631284207805642</c:v>
                </c:pt>
                <c:pt idx="54">
                  <c:v>-7.028943077380732</c:v>
                </c:pt>
                <c:pt idx="55">
                  <c:v>-6.7975751999529992</c:v>
                </c:pt>
                <c:pt idx="56">
                  <c:v>-6.5690195492684769</c:v>
                </c:pt>
                <c:pt idx="57">
                  <c:v>-6.3432629619466194</c:v>
                </c:pt>
                <c:pt idx="58">
                  <c:v>-6.1202845259413738</c:v>
                </c:pt>
                <c:pt idx="59">
                  <c:v>-5.9000557626643149</c:v>
                </c:pt>
                <c:pt idx="60">
                  <c:v>-5.6825408154974495</c:v>
                </c:pt>
                <c:pt idx="61">
                  <c:v>-5.4676966444479183</c:v>
                </c:pt>
                <c:pt idx="62">
                  <c:v>-5.2554732266961359</c:v>
                </c:pt>
                <c:pt idx="63">
                  <c:v>-5.0458137627885424</c:v>
                </c:pt>
                <c:pt idx="64">
                  <c:v>-4.8386548882254017</c:v>
                </c:pt>
                <c:pt idx="65">
                  <c:v>-4.633926890193659</c:v>
                </c:pt>
                <c:pt idx="66">
                  <c:v>-4.4315539291943047</c:v>
                </c:pt>
                <c:pt idx="67">
                  <c:v>-4.2314542653130696</c:v>
                </c:pt>
                <c:pt idx="68">
                  <c:v>-4.033540488882819</c:v>
                </c:pt>
                <c:pt idx="69">
                  <c:v>-3.8377197552854203</c:v>
                </c:pt>
                <c:pt idx="70">
                  <c:v>-3.6438940236402799</c:v>
                </c:pt>
                <c:pt idx="71">
                  <c:v>-3.4519602991262754</c:v>
                </c:pt>
                <c:pt idx="72">
                  <c:v>-3.2618108786831783</c:v>
                </c:pt>
                <c:pt idx="73">
                  <c:v>-3.0733335998381661</c:v>
                </c:pt>
                <c:pt idx="74">
                  <c:v>-2.8864120924024488</c:v>
                </c:pt>
                <c:pt idx="75">
                  <c:v>-2.700926032782498</c:v>
                </c:pt>
                <c:pt idx="76">
                  <c:v>-2.5167514006498086</c:v>
                </c:pt>
                <c:pt idx="77">
                  <c:v>-2.3337607377125749</c:v>
                </c:pt>
                <c:pt idx="78">
                  <c:v>-2.1518234083321301</c:v>
                </c:pt>
                <c:pt idx="79">
                  <c:v>-1.970805861726413</c:v>
                </c:pt>
                <c:pt idx="80">
                  <c:v>-1.7905718955022278</c:v>
                </c:pt>
                <c:pt idx="81">
                  <c:v>-1.6109829202574544</c:v>
                </c:pt>
                <c:pt idx="82">
                  <c:v>-1.4318982249938748</c:v>
                </c:pt>
                <c:pt idx="83">
                  <c:v>-1.2531752430806853</c:v>
                </c:pt>
                <c:pt idx="84">
                  <c:v>-1.0746698185082502</c:v>
                </c:pt>
                <c:pt idx="85">
                  <c:v>-0.89623647217107771</c:v>
                </c:pt>
                <c:pt idx="86">
                  <c:v>-0.71772866791846723</c:v>
                </c:pt>
                <c:pt idx="87">
                  <c:v>-0.53899907811071257</c:v>
                </c:pt>
                <c:pt idx="88">
                  <c:v>-0.35989984841821859</c:v>
                </c:pt>
                <c:pt idx="89">
                  <c:v>-0.18028286160031196</c:v>
                </c:pt>
                <c:pt idx="90">
                  <c:v>0</c:v>
                </c:pt>
                <c:pt idx="91">
                  <c:v>0.1810965935096279</c:v>
                </c:pt>
                <c:pt idx="92">
                  <c:v>0.36315425639221027</c:v>
                </c:pt>
                <c:pt idx="93">
                  <c:v>0.54631954939353577</c:v>
                </c:pt>
                <c:pt idx="94">
                  <c:v>0.73073800183152759</c:v>
                </c:pt>
                <c:pt idx="95">
                  <c:v>0.91655385949729384</c:v>
                </c:pt>
                <c:pt idx="96">
                  <c:v>1.1039098354342896</c:v>
                </c:pt>
                <c:pt idx="97">
                  <c:v>1.2929468638631889</c:v>
                </c:pt>
                <c:pt idx="98">
                  <c:v>1.4838038575206205</c:v>
                </c:pt>
                <c:pt idx="99">
                  <c:v>1.6766174686804549</c:v>
                </c:pt>
                <c:pt idx="100">
                  <c:v>1.8715218541268976</c:v>
                </c:pt>
                <c:pt idx="101">
                  <c:v>2.0686484443491775</c:v>
                </c:pt>
                <c:pt idx="102">
                  <c:v>2.2681257172281759</c:v>
                </c:pt>
                <c:pt idx="103">
                  <c:v>2.4700789764858979</c:v>
                </c:pt>
                <c:pt idx="104">
                  <c:v>2.6746301351692079</c:v>
                </c:pt>
                <c:pt idx="105">
                  <c:v>2.8818975044398525</c:v>
                </c:pt>
                <c:pt idx="106">
                  <c:v>3.0919955879432828</c:v>
                </c:pt>
                <c:pt idx="107">
                  <c:v>3.3050348820293762</c:v>
                </c:pt>
                <c:pt idx="108">
                  <c:v>3.5211216820987064</c:v>
                </c:pt>
                <c:pt idx="109">
                  <c:v>3.7403578953485415</c:v>
                </c:pt>
                <c:pt idx="110">
                  <c:v>3.962840860193301</c:v>
                </c:pt>
                <c:pt idx="111">
                  <c:v>4.1886631726347749</c:v>
                </c:pt>
                <c:pt idx="112">
                  <c:v>4.4179125198579259</c:v>
                </c:pt>
                <c:pt idx="113">
                  <c:v>4.6506715213286727</c:v>
                </c:pt>
                <c:pt idx="114">
                  <c:v>4.8870175776705729</c:v>
                </c:pt>
                <c:pt idx="115">
                  <c:v>5.1270227275979101</c:v>
                </c:pt>
                <c:pt idx="116">
                  <c:v>5.3707535131831987</c:v>
                </c:pt>
                <c:pt idx="117">
                  <c:v>5.6182708537376929</c:v>
                </c:pt>
                <c:pt idx="118">
                  <c:v>5.8696299285840361</c:v>
                </c:pt>
                <c:pt idx="119">
                  <c:v>6.1248800690007412</c:v>
                </c:pt>
                <c:pt idx="120">
                  <c:v>6.3840646596186952</c:v>
                </c:pt>
                <c:pt idx="121">
                  <c:v>6.6472210495505051</c:v>
                </c:pt>
                <c:pt idx="122">
                  <c:v>6.9143804735339902</c:v>
                </c:pt>
                <c:pt idx="123">
                  <c:v>7.1855679833717172</c:v>
                </c:pt>
                <c:pt idx="124">
                  <c:v>7.4608023899489666</c:v>
                </c:pt>
                <c:pt idx="125">
                  <c:v>7.7400962161131597</c:v>
                </c:pt>
                <c:pt idx="126">
                  <c:v>8.0234556606982164</c:v>
                </c:pt>
                <c:pt idx="127">
                  <c:v>8.310880573977963</c:v>
                </c:pt>
                <c:pt idx="128">
                  <c:v>8.6023644448331726</c:v>
                </c:pt>
                <c:pt idx="129">
                  <c:v>8.8978943999174334</c:v>
                </c:pt>
                <c:pt idx="130">
                  <c:v>9.1974512151075807</c:v>
                </c:pt>
                <c:pt idx="131">
                  <c:v>9.5010093395249235</c:v>
                </c:pt>
                <c:pt idx="132">
                  <c:v>9.8085369324140874</c:v>
                </c:pt>
                <c:pt idx="133">
                  <c:v>10.119995913166917</c:v>
                </c:pt>
                <c:pt idx="134">
                  <c:v>10.435342024779233</c:v>
                </c:pt>
                <c:pt idx="135">
                  <c:v>10.754524911029023</c:v>
                </c:pt>
                <c:pt idx="136">
                  <c:v>11.077488207665011</c:v>
                </c:pt>
                <c:pt idx="137">
                  <c:v>11.404169647895189</c:v>
                </c:pt>
                <c:pt idx="138">
                  <c:v>11.734501182465461</c:v>
                </c:pt>
                <c:pt idx="139">
                  <c:v>12.068409114618996</c:v>
                </c:pt>
                <c:pt idx="140">
                  <c:v>12.405814250227568</c:v>
                </c:pt>
                <c:pt idx="141">
                  <c:v>12.746632063386592</c:v>
                </c:pt>
                <c:pt idx="142">
                  <c:v>13.090772877766197</c:v>
                </c:pt>
                <c:pt idx="143">
                  <c:v>13.438142064011213</c:v>
                </c:pt>
                <c:pt idx="144">
                  <c:v>13.788640253483418</c:v>
                </c:pt>
                <c:pt idx="145">
                  <c:v>14.14216356864006</c:v>
                </c:pt>
                <c:pt idx="146">
                  <c:v>14.498603870343162</c:v>
                </c:pt>
                <c:pt idx="147">
                  <c:v>14.85784902239463</c:v>
                </c:pt>
                <c:pt idx="148">
                  <c:v>15.219783173592775</c:v>
                </c:pt>
                <c:pt idx="149">
                  <c:v>15.584287057606467</c:v>
                </c:pt>
                <c:pt idx="150">
                  <c:v>15.951238310963504</c:v>
                </c:pt>
                <c:pt idx="151">
                  <c:v>16.320511809450611</c:v>
                </c:pt>
                <c:pt idx="152">
                  <c:v>16.691980023222694</c:v>
                </c:pt>
                <c:pt idx="153">
                  <c:v>17.065513390919836</c:v>
                </c:pt>
                <c:pt idx="154">
                  <c:v>17.440980713090894</c:v>
                </c:pt>
                <c:pt idx="155">
                  <c:v>17.81824956522313</c:v>
                </c:pt>
                <c:pt idx="156">
                  <c:v>18.197186730677863</c:v>
                </c:pt>
                <c:pt idx="157">
                  <c:v>18.577658653832767</c:v>
                </c:pt>
                <c:pt idx="158">
                  <c:v>18.959531913731791</c:v>
                </c:pt>
                <c:pt idx="159">
                  <c:v>19.342673718544493</c:v>
                </c:pt>
                <c:pt idx="160">
                  <c:v>19.726952421136847</c:v>
                </c:pt>
                <c:pt idx="161">
                  <c:v>20.112238056056356</c:v>
                </c:pt>
                <c:pt idx="162">
                  <c:v>20.498402898234737</c:v>
                </c:pt>
                <c:pt idx="163">
                  <c:v>20.885322043712002</c:v>
                </c:pt>
                <c:pt idx="164">
                  <c:v>21.272874012686355</c:v>
                </c:pt>
                <c:pt idx="165">
                  <c:v>21.660941375194884</c:v>
                </c:pt>
                <c:pt idx="166">
                  <c:v>22.04941139973041</c:v>
                </c:pt>
                <c:pt idx="167">
                  <c:v>22.438176725100686</c:v>
                </c:pt>
                <c:pt idx="168">
                  <c:v>22.827136055836423</c:v>
                </c:pt>
                <c:pt idx="169">
                  <c:v>23.216194881455362</c:v>
                </c:pt>
                <c:pt idx="170">
                  <c:v>23.605266219890002</c:v>
                </c:pt>
                <c:pt idx="171">
                  <c:v>23.994271385387293</c:v>
                </c:pt>
                <c:pt idx="172">
                  <c:v>24.383140781189013</c:v>
                </c:pt>
                <c:pt idx="173">
                  <c:v>24.771814717302249</c:v>
                </c:pt>
                <c:pt idx="174">
                  <c:v>25.160244253669735</c:v>
                </c:pt>
                <c:pt idx="175">
                  <c:v>25.548392069050664</c:v>
                </c:pt>
                <c:pt idx="176">
                  <c:v>25.936233355922766</c:v>
                </c:pt>
                <c:pt idx="177">
                  <c:v>26.323756741717286</c:v>
                </c:pt>
                <c:pt idx="178">
                  <c:v>26.710965236698961</c:v>
                </c:pt>
                <c:pt idx="179">
                  <c:v>27.097877208803602</c:v>
                </c:pt>
                <c:pt idx="180">
                  <c:v>27.484527385746354</c:v>
                </c:pt>
                <c:pt idx="181">
                  <c:v>27.870967884714563</c:v>
                </c:pt>
                <c:pt idx="182">
                  <c:v>28.257269269959444</c:v>
                </c:pt>
                <c:pt idx="183">
                  <c:v>28.643521638601122</c:v>
                </c:pt>
                <c:pt idx="184">
                  <c:v>29.029835734963044</c:v>
                </c:pt>
                <c:pt idx="185">
                  <c:v>29.416344093750915</c:v>
                </c:pt>
                <c:pt idx="186">
                  <c:v>29.803202212393295</c:v>
                </c:pt>
                <c:pt idx="187">
                  <c:v>30.190589752860383</c:v>
                </c:pt>
                <c:pt idx="188">
                  <c:v>30.57871177327895</c:v>
                </c:pt>
                <c:pt idx="189">
                  <c:v>30.967799989661362</c:v>
                </c:pt>
                <c:pt idx="190">
                  <c:v>31.358114068067117</c:v>
                </c:pt>
                <c:pt idx="191">
                  <c:v>31.749942947516786</c:v>
                </c:pt>
                <c:pt idx="192">
                  <c:v>32.143606193977348</c:v>
                </c:pt>
                <c:pt idx="193">
                  <c:v>32.539455385739771</c:v>
                </c:pt>
                <c:pt idx="194">
                  <c:v>32.937875530509594</c:v>
                </c:pt>
                <c:pt idx="195">
                  <c:v>33.339286514531629</c:v>
                </c:pt>
                <c:pt idx="196">
                  <c:v>33.744144584071293</c:v>
                </c:pt>
                <c:pt idx="197">
                  <c:v>34.152943859574563</c:v>
                </c:pt>
                <c:pt idx="198">
                  <c:v>34.566217882829882</c:v>
                </c:pt>
                <c:pt idx="199">
                  <c:v>34.98454119745567</c:v>
                </c:pt>
                <c:pt idx="200">
                  <c:v>35.408530963037357</c:v>
                </c:pt>
              </c:numCache>
            </c:numRef>
          </c:yVal>
          <c:smooth val="1"/>
        </c:ser>
        <c:dLbls>
          <c:showLegendKey val="0"/>
          <c:showVal val="0"/>
          <c:showCatName val="0"/>
          <c:showSerName val="0"/>
          <c:showPercent val="0"/>
          <c:showBubbleSize val="0"/>
        </c:dLbls>
        <c:axId val="659054448"/>
        <c:axId val="659056800"/>
      </c:scatterChart>
      <c:valAx>
        <c:axId val="65905444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056800"/>
        <c:crossesAt val="-1000"/>
        <c:crossBetween val="midCat"/>
      </c:valAx>
      <c:valAx>
        <c:axId val="65905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05444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0.18066511940073032</v>
      </c>
      <c r="D59" s="55">
        <v>1</v>
      </c>
    </row>
    <row r="60" spans="1:4" s="11" customFormat="1" x14ac:dyDescent="0.25">
      <c r="A60" s="54">
        <v>2</v>
      </c>
      <c r="B60" s="56">
        <f>'Shiftfunktion bestimmen'!N2</f>
        <v>4.0688761884168074E-4</v>
      </c>
      <c r="D60" s="55">
        <v>2</v>
      </c>
    </row>
    <row r="61" spans="1:4" s="11" customFormat="1" x14ac:dyDescent="0.25">
      <c r="A61" s="54">
        <v>3</v>
      </c>
      <c r="B61" s="56">
        <f>'Shiftfunktion bestimmen'!N3</f>
        <v>2.4610305707248392E-5</v>
      </c>
      <c r="D61" s="55">
        <v>3</v>
      </c>
    </row>
    <row r="62" spans="1:4" s="11" customFormat="1" x14ac:dyDescent="0.25">
      <c r="A62" s="54">
        <v>4</v>
      </c>
      <c r="B62" s="56">
        <f>'Shiftfunktion bestimmen'!N4</f>
        <v>-2.1667070481069028E-8</v>
      </c>
      <c r="D62" s="55">
        <v>4</v>
      </c>
    </row>
    <row r="63" spans="1:4" s="11" customFormat="1" x14ac:dyDescent="0.25">
      <c r="A63" s="54">
        <v>5</v>
      </c>
      <c r="B63" s="56">
        <f>'Shiftfunktion bestimmen'!N5</f>
        <v>-2.1515203586211635E-9</v>
      </c>
      <c r="D63" s="55">
        <v>5</v>
      </c>
    </row>
    <row r="64" spans="1:4" s="11" customFormat="1" x14ac:dyDescent="0.25">
      <c r="A64" s="54">
        <v>6</v>
      </c>
      <c r="B64" s="56">
        <f>'Shiftfunktion bestimmen'!N6</f>
        <v>2.8867709659472057E-12</v>
      </c>
      <c r="D64" s="55">
        <v>6</v>
      </c>
    </row>
    <row r="65" spans="1:5" s="11" customFormat="1" x14ac:dyDescent="0.25">
      <c r="A65" s="54">
        <v>7</v>
      </c>
      <c r="B65" s="56">
        <f>'Shiftfunktion bestimmen'!N7</f>
        <v>5.2713587331994581E-14</v>
      </c>
      <c r="D65" s="55">
        <v>7</v>
      </c>
    </row>
    <row r="66" spans="1:5" x14ac:dyDescent="0.25">
      <c r="A66" s="54">
        <v>8</v>
      </c>
      <c r="B66" s="56">
        <f>'Shiftfunktion bestimmen'!N8</f>
        <v>1.3620116750076639E-17</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2.724629633608853E-3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9.0451871452635561E-3</v>
      </c>
      <c r="D76" s="51">
        <v>3</v>
      </c>
      <c r="E76" s="56">
        <f>'Mastercurve bestimmen'!A20</f>
        <v>4.3276437088188502E-13</v>
      </c>
    </row>
    <row r="77" spans="1:5" x14ac:dyDescent="0.25">
      <c r="A77" s="50">
        <f t="shared" si="0"/>
        <v>4</v>
      </c>
      <c r="B77" s="56">
        <f>'Mastercurve bestimmen'!C21</f>
        <v>3.4814234608867525E-2</v>
      </c>
      <c r="D77" s="51">
        <v>4</v>
      </c>
      <c r="E77" s="56">
        <f>'Mastercurve bestimmen'!A21</f>
        <v>4.7973886968128502E-12</v>
      </c>
    </row>
    <row r="78" spans="1:5" x14ac:dyDescent="0.25">
      <c r="A78" s="50">
        <f t="shared" si="0"/>
        <v>5</v>
      </c>
      <c r="B78" s="56">
        <f>'Mastercurve bestimmen'!C22</f>
        <v>1.6737347405566028E-2</v>
      </c>
      <c r="D78" s="51">
        <v>5</v>
      </c>
      <c r="E78" s="56">
        <f>'Mastercurve bestimmen'!A22</f>
        <v>5.31812225239524E-11</v>
      </c>
    </row>
    <row r="79" spans="1:5" x14ac:dyDescent="0.25">
      <c r="A79" s="50">
        <f t="shared" si="0"/>
        <v>6</v>
      </c>
      <c r="B79" s="56">
        <f>'Mastercurve bestimmen'!C23</f>
        <v>1.9251005169364045E-2</v>
      </c>
      <c r="D79" s="51">
        <v>6</v>
      </c>
      <c r="E79" s="56">
        <f>'Mastercurve bestimmen'!A23</f>
        <v>5.8953789402578301E-10</v>
      </c>
    </row>
    <row r="80" spans="1:5" x14ac:dyDescent="0.25">
      <c r="A80" s="50">
        <f t="shared" si="0"/>
        <v>7</v>
      </c>
      <c r="B80" s="56">
        <f>'Mastercurve bestimmen'!C24</f>
        <v>2.190122208641376E-2</v>
      </c>
      <c r="D80" s="51">
        <v>7</v>
      </c>
      <c r="E80" s="56">
        <f>'Mastercurve bestimmen'!A24</f>
        <v>6.5352940755699598E-9</v>
      </c>
    </row>
    <row r="81" spans="1:5" x14ac:dyDescent="0.25">
      <c r="A81" s="50">
        <f t="shared" si="0"/>
        <v>8</v>
      </c>
      <c r="B81" s="56">
        <f>'Mastercurve bestimmen'!C25</f>
        <v>2.2497281457411155E-2</v>
      </c>
      <c r="D81" s="51">
        <v>8</v>
      </c>
      <c r="E81" s="56">
        <f>'Mastercurve bestimmen'!A25</f>
        <v>7.2446689325643296E-8</v>
      </c>
    </row>
    <row r="82" spans="1:5" x14ac:dyDescent="0.25">
      <c r="A82" s="50">
        <f t="shared" si="0"/>
        <v>9</v>
      </c>
      <c r="B82" s="56">
        <f>'Mastercurve bestimmen'!C26</f>
        <v>2.6719174389677101E-2</v>
      </c>
      <c r="D82" s="51">
        <f>A82</f>
        <v>9</v>
      </c>
      <c r="E82" s="56">
        <f>'Mastercurve bestimmen'!A26</f>
        <v>8.03104303120212E-7</v>
      </c>
    </row>
    <row r="83" spans="1:5" x14ac:dyDescent="0.25">
      <c r="A83" s="50">
        <f t="shared" si="0"/>
        <v>10</v>
      </c>
      <c r="B83" s="56">
        <f>'Mastercurve bestimmen'!C27</f>
        <v>2.8269244352707574E-2</v>
      </c>
      <c r="C83" s="11"/>
      <c r="D83" s="51">
        <f t="shared" ref="D83:D104" si="1">A83</f>
        <v>10</v>
      </c>
      <c r="E83" s="56">
        <f>'Mastercurve bestimmen'!A27</f>
        <v>8.9027742702096099E-6</v>
      </c>
    </row>
    <row r="84" spans="1:5" x14ac:dyDescent="0.25">
      <c r="A84" s="50">
        <f t="shared" si="0"/>
        <v>11</v>
      </c>
      <c r="B84" s="56">
        <f>'Mastercurve bestimmen'!C28</f>
        <v>2.8789242104317232E-2</v>
      </c>
      <c r="C84" s="11"/>
      <c r="D84" s="51">
        <f t="shared" si="1"/>
        <v>11</v>
      </c>
      <c r="E84" s="56">
        <f>'Mastercurve bestimmen'!A28</f>
        <v>9.86912775817142E-5</v>
      </c>
    </row>
    <row r="85" spans="1:5" x14ac:dyDescent="0.25">
      <c r="A85" s="50">
        <f t="shared" si="0"/>
        <v>12</v>
      </c>
      <c r="B85" s="56">
        <f>'Mastercurve bestimmen'!C29</f>
        <v>2.5595411660203616E-2</v>
      </c>
      <c r="C85" s="11"/>
      <c r="D85" s="51">
        <f t="shared" si="1"/>
        <v>12</v>
      </c>
      <c r="E85" s="56">
        <f>'Mastercurve bestimmen'!A29</f>
        <v>1.0940374286813801E-3</v>
      </c>
    </row>
    <row r="86" spans="1:5" x14ac:dyDescent="0.25">
      <c r="A86" s="50">
        <f t="shared" si="0"/>
        <v>13</v>
      </c>
      <c r="B86" s="56">
        <f>'Mastercurve bestimmen'!C30</f>
        <v>3.1571984224505523E-2</v>
      </c>
      <c r="C86" s="11"/>
      <c r="D86" s="51">
        <f t="shared" si="1"/>
        <v>13</v>
      </c>
      <c r="E86" s="56">
        <f>'Mastercurve bestimmen'!A30</f>
        <v>1.2127899493091E-2</v>
      </c>
    </row>
    <row r="87" spans="1:5" x14ac:dyDescent="0.25">
      <c r="A87" s="50">
        <f t="shared" si="0"/>
        <v>14</v>
      </c>
      <c r="B87" s="56">
        <f>'Mastercurve bestimmen'!C31</f>
        <v>4.0619048192840942E-2</v>
      </c>
      <c r="C87" s="11"/>
      <c r="D87" s="51">
        <f t="shared" si="1"/>
        <v>14</v>
      </c>
      <c r="E87" s="56">
        <f>'Mastercurve bestimmen'!A31</f>
        <v>0.13444324870292301</v>
      </c>
    </row>
    <row r="88" spans="1:5" x14ac:dyDescent="0.25">
      <c r="A88" s="50">
        <f t="shared" si="0"/>
        <v>15</v>
      </c>
      <c r="B88" s="56">
        <f>'Mastercurve bestimmen'!C32</f>
        <v>3.7761220679273885E-2</v>
      </c>
      <c r="C88" s="11"/>
      <c r="D88" s="51">
        <f t="shared" si="1"/>
        <v>15</v>
      </c>
      <c r="E88" s="56">
        <f>'Mastercurve bestimmen'!A32</f>
        <v>1.49036419143257</v>
      </c>
    </row>
    <row r="89" spans="1:5" x14ac:dyDescent="0.25">
      <c r="A89" s="50">
        <f t="shared" si="0"/>
        <v>16</v>
      </c>
      <c r="B89" s="56">
        <f>'Mastercurve bestimmen'!C33</f>
        <v>3.2047185254004913E-2</v>
      </c>
      <c r="C89" s="11"/>
      <c r="D89" s="51">
        <f t="shared" si="1"/>
        <v>16</v>
      </c>
      <c r="E89" s="56">
        <f>'Mastercurve bestimmen'!A33</f>
        <v>16.521360830937301</v>
      </c>
    </row>
    <row r="90" spans="1:5" x14ac:dyDescent="0.25">
      <c r="A90" s="50">
        <f t="shared" si="0"/>
        <v>17</v>
      </c>
      <c r="B90" s="56">
        <f>'Mastercurve bestimmen'!C34</f>
        <v>5.5060207151423582E-2</v>
      </c>
      <c r="C90" s="11"/>
      <c r="D90" s="51">
        <f t="shared" si="1"/>
        <v>17</v>
      </c>
      <c r="E90" s="56">
        <f>'Mastercurve bestimmen'!A34</f>
        <v>183.146753843879</v>
      </c>
    </row>
    <row r="91" spans="1:5" x14ac:dyDescent="0.25">
      <c r="A91" s="50">
        <f t="shared" si="0"/>
        <v>18</v>
      </c>
      <c r="B91" s="56">
        <f>'Mastercurve bestimmen'!C35</f>
        <v>5.5367146096233756E-2</v>
      </c>
      <c r="C91" s="11"/>
      <c r="D91" s="51">
        <f t="shared" si="1"/>
        <v>18</v>
      </c>
      <c r="E91" s="56">
        <f>'Mastercurve bestimmen'!A35</f>
        <v>2030.26456396616</v>
      </c>
    </row>
    <row r="92" spans="1:5" x14ac:dyDescent="0.25">
      <c r="A92" s="50">
        <f t="shared" si="0"/>
        <v>19</v>
      </c>
      <c r="B92" s="56">
        <f>'Mastercurve bestimmen'!C36</f>
        <v>4.7007838258753223E-2</v>
      </c>
      <c r="C92" s="11"/>
      <c r="D92" s="51">
        <f t="shared" si="1"/>
        <v>19</v>
      </c>
      <c r="E92" s="56">
        <f>'Mastercurve bestimmen'!A36</f>
        <v>22506.400540467101</v>
      </c>
    </row>
    <row r="93" spans="1:5" x14ac:dyDescent="0.25">
      <c r="A93" s="50">
        <f t="shared" si="0"/>
        <v>20</v>
      </c>
      <c r="B93" s="56">
        <f>'Mastercurve bestimmen'!C37</f>
        <v>4.3271313852142758E-2</v>
      </c>
      <c r="C93" s="11"/>
      <c r="D93" s="51">
        <f t="shared" si="1"/>
        <v>20</v>
      </c>
      <c r="E93" s="56">
        <f>'Mastercurve bestimmen'!A37</f>
        <v>249493.62476110301</v>
      </c>
    </row>
    <row r="94" spans="1:5" x14ac:dyDescent="0.25">
      <c r="A94" s="50">
        <f t="shared" si="0"/>
        <v>21</v>
      </c>
      <c r="B94" s="56">
        <f>'Mastercurve bestimmen'!C38</f>
        <v>2.2304524360839302E-2</v>
      </c>
      <c r="C94" s="11"/>
      <c r="D94" s="51">
        <f t="shared" si="1"/>
        <v>21</v>
      </c>
      <c r="E94" s="56">
        <f>'Mastercurve bestimmen'!A38</f>
        <v>2765749.6224023802</v>
      </c>
    </row>
    <row r="95" spans="1:5" x14ac:dyDescent="0.25">
      <c r="A95" s="50">
        <f t="shared" si="0"/>
        <v>22</v>
      </c>
      <c r="B95" s="56">
        <f>'Mastercurve bestimmen'!C39</f>
        <v>3.1643216322297517E-2</v>
      </c>
      <c r="C95" s="11"/>
      <c r="D95" s="51">
        <f t="shared" si="1"/>
        <v>22</v>
      </c>
      <c r="E95" s="56">
        <f>'Mastercurve bestimmen'!A39</f>
        <v>10000000</v>
      </c>
    </row>
    <row r="96" spans="1:5" x14ac:dyDescent="0.25">
      <c r="A96" s="50">
        <f t="shared" si="0"/>
        <v>23</v>
      </c>
      <c r="B96" s="56">
        <f>'Mastercurve bestimmen'!C40</f>
        <v>3.5141037946940686E-2</v>
      </c>
      <c r="C96" s="11"/>
      <c r="D96" s="51">
        <f t="shared" si="1"/>
        <v>23</v>
      </c>
      <c r="E96" s="56">
        <f>'Mastercurve bestimmen'!A40</f>
        <v>100000000</v>
      </c>
    </row>
    <row r="97" spans="1:5" x14ac:dyDescent="0.25">
      <c r="A97" s="50">
        <f t="shared" si="0"/>
        <v>24</v>
      </c>
      <c r="B97" s="56">
        <f>'Mastercurve bestimmen'!C41</f>
        <v>3.5593088100758001E-2</v>
      </c>
      <c r="C97" s="11"/>
      <c r="D97" s="51">
        <f t="shared" si="1"/>
        <v>24</v>
      </c>
      <c r="E97" s="56">
        <f>'Mastercurve bestimmen'!A41</f>
        <v>1000000000</v>
      </c>
    </row>
    <row r="98" spans="1:5" x14ac:dyDescent="0.25">
      <c r="A98" s="50">
        <f t="shared" si="0"/>
        <v>25</v>
      </c>
      <c r="B98" s="56">
        <f>'Mastercurve bestimmen'!C42</f>
        <v>3.9001792876272805E-2</v>
      </c>
      <c r="C98" s="11"/>
      <c r="D98" s="51">
        <f t="shared" si="1"/>
        <v>25</v>
      </c>
      <c r="E98" s="56">
        <f>'Mastercurve bestimmen'!A42</f>
        <v>10000000000</v>
      </c>
    </row>
    <row r="99" spans="1:5" x14ac:dyDescent="0.25">
      <c r="A99" s="50">
        <f t="shared" si="0"/>
        <v>26</v>
      </c>
      <c r="B99" s="56">
        <f>'Mastercurve bestimmen'!C43</f>
        <v>4.5862342503385417E-2</v>
      </c>
      <c r="C99" s="11"/>
      <c r="D99" s="51">
        <f t="shared" si="1"/>
        <v>26</v>
      </c>
      <c r="E99" s="56">
        <f>'Mastercurve bestimmen'!A43</f>
        <v>100000000000</v>
      </c>
    </row>
    <row r="100" spans="1:5" x14ac:dyDescent="0.25">
      <c r="A100" s="50">
        <f t="shared" si="0"/>
        <v>27</v>
      </c>
      <c r="B100" s="56">
        <f>'Mastercurve bestimmen'!C44</f>
        <v>5.0364270464190349E-2</v>
      </c>
      <c r="C100" s="11"/>
      <c r="D100" s="51">
        <f t="shared" si="1"/>
        <v>27</v>
      </c>
      <c r="E100" s="56">
        <f>'Mastercurve bestimmen'!A44</f>
        <v>1000000000000</v>
      </c>
    </row>
    <row r="101" spans="1:5" x14ac:dyDescent="0.25">
      <c r="A101" s="50">
        <f t="shared" si="0"/>
        <v>28</v>
      </c>
      <c r="B101" s="56">
        <f>'Mastercurve bestimmen'!C45</f>
        <v>4.7472549330169547E-2</v>
      </c>
      <c r="C101" s="11"/>
      <c r="D101" s="51">
        <f t="shared" si="1"/>
        <v>28</v>
      </c>
      <c r="E101" s="56">
        <f>'Mastercurve bestimmen'!A45</f>
        <v>10000000000000</v>
      </c>
    </row>
    <row r="102" spans="1:5" x14ac:dyDescent="0.25">
      <c r="A102" s="50">
        <f t="shared" si="0"/>
        <v>29</v>
      </c>
      <c r="B102" s="56">
        <f>'Mastercurve bestimmen'!C46</f>
        <v>3.4265272438938038E-2</v>
      </c>
      <c r="C102" s="11"/>
      <c r="D102" s="51">
        <f t="shared" si="1"/>
        <v>29</v>
      </c>
      <c r="E102" s="56">
        <f>'Mastercurve bestimmen'!A46</f>
        <v>100000000000000</v>
      </c>
    </row>
    <row r="103" spans="1:5" x14ac:dyDescent="0.25">
      <c r="A103" s="50">
        <f t="shared" si="0"/>
        <v>30</v>
      </c>
      <c r="B103" s="56">
        <f>'Mastercurve bestimmen'!C47</f>
        <v>1.7817533491132281E-2</v>
      </c>
      <c r="C103" s="11"/>
      <c r="D103" s="51">
        <f t="shared" si="1"/>
        <v>30</v>
      </c>
      <c r="E103" s="56">
        <f>'Mastercurve bestimmen'!A47</f>
        <v>1000000000000000</v>
      </c>
    </row>
    <row r="104" spans="1:5" x14ac:dyDescent="0.25">
      <c r="A104" s="50">
        <f t="shared" si="0"/>
        <v>31</v>
      </c>
      <c r="B104" s="56">
        <f>'Mastercurve bestimmen'!C48</f>
        <v>3.0591851493341829E-2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6172.4582725066966</v>
      </c>
      <c r="G16" s="26">
        <f>INDEX(Comparison!$AM$3:$AS$33,G14,$B$3)</f>
        <v>6171.4179467154336</v>
      </c>
      <c r="H16" s="26">
        <f>INDEX(Comparison!$AM$3:$AS$33,H14,$B$3)</f>
        <v>6160.9029577093925</v>
      </c>
      <c r="I16" s="26">
        <f>INDEX(Comparison!$AM$3:$AS$33,I14,$B$3)</f>
        <v>6080.1494402060262</v>
      </c>
      <c r="J16" s="26">
        <f>INDEX(Comparison!$AM$3:$AS$33,J14,$B$3)</f>
        <v>5909.4727930371473</v>
      </c>
      <c r="K16" s="26">
        <f>INDEX(Comparison!$AM$3:$AS$33,K14,$B$3)</f>
        <v>5793.8515184178423</v>
      </c>
      <c r="L16" s="26">
        <f>INDEX(Comparison!$AM$3:$AS$33,L14,$B$3)</f>
        <v>5680.232087661574</v>
      </c>
      <c r="M16" s="26">
        <f>INDEX(Comparison!$AM$3:$AS$33,M14,$B$3)</f>
        <v>5553.2872228346014</v>
      </c>
      <c r="N16" s="26">
        <f>INDEX(Comparison!$AM$3:$AS$33,N14,$B$3)</f>
        <v>5418.4008813428445</v>
      </c>
      <c r="O16" s="26">
        <f>INDEX(Comparison!$AM$3:$AS$33,O14,$B$3)</f>
        <v>5266.5010696158342</v>
      </c>
      <c r="P16" s="26">
        <f>INDEX(Comparison!$AM$3:$AS$33,P14,$B$3)</f>
        <v>5102.6301031593184</v>
      </c>
      <c r="Q16" s="26">
        <f>INDEX(Comparison!$AM$3:$AS$33,Q14,$B$3)</f>
        <v>4935.1703334559215</v>
      </c>
      <c r="R16" s="26">
        <f>INDEX(Comparison!$AM$3:$AS$33,R14,$B$3)</f>
        <v>4773.9141111745284</v>
      </c>
      <c r="S16" s="26">
        <f>INDEX(Comparison!$AM$3:$AS$33,S14,$B$3)</f>
        <v>4598.1434168288733</v>
      </c>
      <c r="T16" s="26">
        <f>INDEX(Comparison!$AM$3:$AS$33,T14,$B$3)</f>
        <v>4383.948625533154</v>
      </c>
      <c r="U16" s="26">
        <f>INDEX(Comparison!$AM$3:$AS$33,U14,$B$3)</f>
        <v>4152.9128127042486</v>
      </c>
      <c r="V16" s="26">
        <f>INDEX(Comparison!$AM$3:$AS$33,V14,$B$3)</f>
        <v>3937.3787582645855</v>
      </c>
      <c r="W16" s="26">
        <f>INDEX(Comparison!$AM$3:$AS$33,W14,$B$3)</f>
        <v>3687.7590044854528</v>
      </c>
      <c r="X16" s="26">
        <f>INDEX(Comparison!$AM$3:$AS$33,X14,$B$3)</f>
        <v>3362.1408606761684</v>
      </c>
      <c r="Y16" s="26">
        <f>INDEX(Comparison!$AM$3:$AS$33,Y14,$B$3)</f>
        <v>3051.8261997186564</v>
      </c>
      <c r="Z16" s="26">
        <f>INDEX(Comparison!$AM$3:$AS$33,Z14,$B$3)</f>
        <v>2781.8342661671418</v>
      </c>
      <c r="AA16" s="26">
        <f>INDEX(Comparison!$AM$3:$AS$33,AA14,$B$3)</f>
        <v>2548.0002478694637</v>
      </c>
      <c r="AB16" s="26">
        <f>INDEX(Comparison!$AM$3:$AS$33,AB14,$B$3)</f>
        <v>2324.6967439739478</v>
      </c>
      <c r="AC16" s="26">
        <f>INDEX(Comparison!$AM$3:$AS$33,AC14,$B$3)</f>
        <v>2110.9011240283112</v>
      </c>
      <c r="AD16" s="26">
        <f>INDEX(Comparison!$AM$3:$AS$33,AD14,$B$3)</f>
        <v>1889.1026777393556</v>
      </c>
      <c r="AE16" s="26">
        <f>INDEX(Comparison!$AM$3:$AS$33,AE14,$B$3)</f>
        <v>1651.1191781124999</v>
      </c>
      <c r="AF16" s="26">
        <f>INDEX(Comparison!$AM$3:$AS$33,AF14,$B$3)</f>
        <v>1380.4414853809117</v>
      </c>
      <c r="AG16" s="26">
        <f>INDEX(Comparison!$AM$3:$AS$33,AG14,$B$3)</f>
        <v>1081.4922585918935</v>
      </c>
      <c r="AH16" s="26">
        <f>INDEX(Comparison!$AM$3:$AS$33,AH14,$B$3)</f>
        <v>789.75528719390093</v>
      </c>
      <c r="AI16" s="26">
        <f>INDEX(Comparison!$AM$3:$AS$33,AI14,$B$3)</f>
        <v>556.62130157468891</v>
      </c>
      <c r="AJ16" s="26">
        <f>INDEX(Comparison!$AM$3:$AS$33,AJ14,$B$3)</f>
        <v>403.21517792249892</v>
      </c>
    </row>
    <row r="17" spans="1:36" x14ac:dyDescent="0.25">
      <c r="A17" s="14" t="s">
        <v>20</v>
      </c>
      <c r="B17" s="105">
        <v>5.5737674480131519E-2</v>
      </c>
      <c r="C17" s="18">
        <f t="shared" ref="C17:C48" si="3">ABS(B17/$B$49)</f>
        <v>3.0892596949155148E-2</v>
      </c>
      <c r="D17" s="66"/>
      <c r="E17" s="65" t="s">
        <v>22</v>
      </c>
      <c r="F17" s="27">
        <f>($C$17+SUM(F18:F48))*$B$51</f>
        <v>6173.9046135816479</v>
      </c>
      <c r="G17" s="27">
        <f t="shared" ref="G17:M17" si="4">($C$17+SUM(G18:G48))*$B$51</f>
        <v>6172.3312882105174</v>
      </c>
      <c r="H17" s="27">
        <f t="shared" si="4"/>
        <v>6157.8641096309348</v>
      </c>
      <c r="I17" s="27">
        <f t="shared" si="4"/>
        <v>6080.9281792358552</v>
      </c>
      <c r="J17" s="27">
        <f t="shared" si="4"/>
        <v>5909.3606415546228</v>
      </c>
      <c r="K17" s="27">
        <f t="shared" si="4"/>
        <v>5793.8667366856271</v>
      </c>
      <c r="L17" s="27">
        <f t="shared" si="4"/>
        <v>5680.2273289336881</v>
      </c>
      <c r="M17" s="27">
        <f t="shared" si="4"/>
        <v>5553.2931810006148</v>
      </c>
      <c r="N17" s="27">
        <f t="shared" ref="N17" si="5">($C$17+SUM(N18:N48))*$B$51</f>
        <v>5418.3888613252939</v>
      </c>
      <c r="O17" s="27">
        <f t="shared" ref="O17" si="6">($C$17+SUM(O18:O48))*$B$51</f>
        <v>5266.5297759211244</v>
      </c>
      <c r="P17" s="27">
        <f t="shared" ref="P17" si="7">($C$17+SUM(P18:P48))*$B$51</f>
        <v>5102.5689570135119</v>
      </c>
      <c r="Q17" s="27">
        <f t="shared" ref="Q17" si="8">($C$17+SUM(Q18:Q48))*$B$51</f>
        <v>4935.2712683659574</v>
      </c>
      <c r="R17" s="27">
        <f t="shared" ref="R17" si="9">($C$17+SUM(R18:R48))*$B$51</f>
        <v>4773.784556129599</v>
      </c>
      <c r="S17" s="27">
        <f t="shared" ref="S17:T17" si="10">($C$17+SUM(S18:S48))*$B$51</f>
        <v>4598.2788297202487</v>
      </c>
      <c r="T17" s="27">
        <f t="shared" si="10"/>
        <v>4383.8268796256434</v>
      </c>
      <c r="U17" s="27">
        <f t="shared" ref="U17" si="11">($C$17+SUM(U18:U48))*$B$51</f>
        <v>4153.0122982841449</v>
      </c>
      <c r="V17" s="27">
        <f t="shared" ref="V17" si="12">($C$17+SUM(V18:V48))*$B$51</f>
        <v>3937.3036380413641</v>
      </c>
      <c r="W17" s="27">
        <f t="shared" ref="W17" si="13">($C$17+SUM(W18:W48))*$B$51</f>
        <v>3687.8107504146938</v>
      </c>
      <c r="X17" s="27">
        <f t="shared" ref="X17" si="14">($C$17+SUM(X18:X48))*$B$51</f>
        <v>3362.1117437417547</v>
      </c>
      <c r="Y17" s="27">
        <f t="shared" ref="Y17" si="15">($C$17+SUM(Y18:Y48))*$B$51</f>
        <v>3051.8377446941754</v>
      </c>
      <c r="Z17" s="27">
        <f t="shared" ref="Z17:AA17" si="16">($C$17+SUM(Z18:Z48))*$B$51</f>
        <v>2781.8340810801142</v>
      </c>
      <c r="AA17" s="27">
        <f t="shared" si="16"/>
        <v>2547.995143449898</v>
      </c>
      <c r="AB17" s="27">
        <f t="shared" ref="AB17" si="17">($C$17+SUM(AB18:AB48))*$B$51</f>
        <v>2324.7063490857859</v>
      </c>
      <c r="AC17" s="27">
        <f t="shared" ref="AC17" si="18">($C$17+SUM(AC18:AC48))*$B$51</f>
        <v>2110.8895492200577</v>
      </c>
      <c r="AD17" s="27">
        <f t="shared" ref="AD17" si="19">($C$17+SUM(AD18:AD48))*$B$51</f>
        <v>1889.1090964058376</v>
      </c>
      <c r="AE17" s="27">
        <f t="shared" ref="AE17" si="20">($C$17+SUM(AE18:AE48))*$B$51</f>
        <v>1651.1223504671821</v>
      </c>
      <c r="AF17" s="27">
        <f t="shared" ref="AF17" si="21">($C$17+SUM(AF18:AF48))*$B$51</f>
        <v>1380.4340860089612</v>
      </c>
      <c r="AG17" s="27">
        <f t="shared" ref="AG17:AH17" si="22">($C$17+SUM(AG18:AG48))*$B$51</f>
        <v>1081.4996193099159</v>
      </c>
      <c r="AH17" s="27">
        <f t="shared" si="22"/>
        <v>789.74890475439133</v>
      </c>
      <c r="AI17" s="27">
        <f t="shared" ref="AI17" si="23">($C$17+SUM(AI18:AI48))*$B$51</f>
        <v>556.62618133496085</v>
      </c>
      <c r="AJ17" s="27">
        <f t="shared" ref="AJ17" si="24">($C$17+SUM(AJ18:AJ48))*$B$51</f>
        <v>403.21346720289654</v>
      </c>
    </row>
    <row r="18" spans="1:36" x14ac:dyDescent="0.25">
      <c r="A18" s="3">
        <f>0.000000000000001/10^5</f>
        <v>1.0000000000000001E-20</v>
      </c>
      <c r="B18" s="106">
        <v>4.9158871248978454E-3</v>
      </c>
      <c r="C18" s="18">
        <f t="shared" si="3"/>
        <v>2.724629633608853E-3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1.6319692952468275E-2</v>
      </c>
      <c r="C20" s="18">
        <f t="shared" si="3"/>
        <v>9.0451871452635561E-3</v>
      </c>
      <c r="D20" s="17"/>
      <c r="F20" s="3">
        <f t="shared" si="25"/>
        <v>9.0243103233204058E-3</v>
      </c>
      <c r="G20" s="3">
        <f t="shared" si="25"/>
        <v>8.8385739557263164E-3</v>
      </c>
      <c r="H20" s="3">
        <f t="shared" si="25"/>
        <v>7.1790006075166442E-3</v>
      </c>
      <c r="I20" s="3">
        <f t="shared" si="25"/>
        <v>8.9718476264921047E-4</v>
      </c>
      <c r="J20" s="3">
        <f t="shared" si="25"/>
        <v>8.3379805851782463E-13</v>
      </c>
      <c r="K20" s="3">
        <f t="shared" si="25"/>
        <v>4.0072901023418814E-103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6.2813251961229333E-2</v>
      </c>
      <c r="C21" s="18">
        <f t="shared" si="3"/>
        <v>3.4814234608867525E-2</v>
      </c>
      <c r="D21" s="17"/>
      <c r="F21" s="3">
        <f t="shared" si="25"/>
        <v>3.4806978451694483E-2</v>
      </c>
      <c r="G21" s="3">
        <f t="shared" si="25"/>
        <v>3.4741741055733362E-2</v>
      </c>
      <c r="H21" s="3">
        <f t="shared" si="25"/>
        <v>3.4096054382853389E-2</v>
      </c>
      <c r="I21" s="3">
        <f t="shared" si="25"/>
        <v>2.8263737166852276E-2</v>
      </c>
      <c r="J21" s="3">
        <f t="shared" si="25"/>
        <v>4.3299630793127682E-3</v>
      </c>
      <c r="K21" s="3">
        <f t="shared" si="25"/>
        <v>3.0834028356032336E-11</v>
      </c>
      <c r="L21" s="3">
        <f t="shared" si="25"/>
        <v>1.0339296975983772E-92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3.0198200005254857E-2</v>
      </c>
      <c r="C22" s="18">
        <f t="shared" si="3"/>
        <v>1.6737347405566028E-2</v>
      </c>
      <c r="D22" s="17"/>
      <c r="F22" s="3">
        <f t="shared" si="25"/>
        <v>1.6737032685647028E-2</v>
      </c>
      <c r="G22" s="3">
        <f t="shared" si="25"/>
        <v>1.6734200472664613E-2</v>
      </c>
      <c r="H22" s="3">
        <f t="shared" si="25"/>
        <v>1.6705904688895264E-2</v>
      </c>
      <c r="I22" s="3">
        <f t="shared" si="25"/>
        <v>1.6425565034223242E-2</v>
      </c>
      <c r="J22" s="3">
        <f t="shared" si="25"/>
        <v>1.3868308873159764E-2</v>
      </c>
      <c r="K22" s="3">
        <f t="shared" si="25"/>
        <v>2.5530268439919626E-3</v>
      </c>
      <c r="L22" s="3">
        <f t="shared" si="25"/>
        <v>1.1412325166599282E-10</v>
      </c>
      <c r="M22" s="3">
        <f t="shared" si="25"/>
        <v>3.635479484053376E-84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3.4733443138864596E-2</v>
      </c>
      <c r="C23" s="18">
        <f t="shared" si="3"/>
        <v>1.9251005169364045E-2</v>
      </c>
      <c r="D23" s="17"/>
      <c r="F23" s="3">
        <f t="shared" si="25"/>
        <v>1.9250972514993501E-2</v>
      </c>
      <c r="G23" s="3">
        <f t="shared" si="25"/>
        <v>1.9250678628151115E-2</v>
      </c>
      <c r="H23" s="3">
        <f t="shared" si="25"/>
        <v>1.9247740006473446E-2</v>
      </c>
      <c r="I23" s="3">
        <f t="shared" si="25"/>
        <v>1.9218378450381456E-2</v>
      </c>
      <c r="J23" s="3">
        <f t="shared" si="25"/>
        <v>1.8927215085066736E-2</v>
      </c>
      <c r="K23" s="3">
        <f t="shared" si="25"/>
        <v>1.6247497477876342E-2</v>
      </c>
      <c r="L23" s="3">
        <f t="shared" si="25"/>
        <v>3.5300762521960336E-3</v>
      </c>
      <c r="M23" s="3">
        <f t="shared" si="25"/>
        <v>8.2748507621589603E-10</v>
      </c>
      <c r="N23" s="3">
        <f t="shared" si="25"/>
        <v>4.1449663009041992E-76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3.9515071827037881E-2</v>
      </c>
      <c r="C24" s="18">
        <f t="shared" si="3"/>
        <v>2.190122208641376E-2</v>
      </c>
      <c r="D24" s="17"/>
      <c r="F24" s="3">
        <f t="shared" si="25"/>
        <v>2.1901218735191894E-2</v>
      </c>
      <c r="G24" s="3">
        <f t="shared" si="25"/>
        <v>2.1901188574218168E-2</v>
      </c>
      <c r="H24" s="3">
        <f t="shared" si="25"/>
        <v>2.1900886966765388E-2</v>
      </c>
      <c r="I24" s="3">
        <f t="shared" si="25"/>
        <v>2.1897871120671809E-2</v>
      </c>
      <c r="J24" s="3">
        <f t="shared" si="25"/>
        <v>2.1867735491524619E-2</v>
      </c>
      <c r="K24" s="3">
        <f t="shared" si="25"/>
        <v>2.1568650787912445E-2</v>
      </c>
      <c r="L24" s="3">
        <f t="shared" si="25"/>
        <v>1.8793802021699738E-2</v>
      </c>
      <c r="M24" s="3">
        <f t="shared" si="25"/>
        <v>4.741670089205282E-3</v>
      </c>
      <c r="N24" s="3">
        <f t="shared" si="25"/>
        <v>4.9556222728438915E-9</v>
      </c>
      <c r="O24" s="3">
        <f t="shared" si="25"/>
        <v>7.7048966905131628E-69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4.0590506282942154E-2</v>
      </c>
      <c r="C25" s="18">
        <f t="shared" si="3"/>
        <v>2.2497281457411155E-2</v>
      </c>
      <c r="D25" s="17"/>
      <c r="F25" s="3">
        <f t="shared" si="25"/>
        <v>2.2497281146875481E-2</v>
      </c>
      <c r="G25" s="3">
        <f t="shared" si="25"/>
        <v>2.2497278352054634E-2</v>
      </c>
      <c r="H25" s="3">
        <f t="shared" si="25"/>
        <v>2.2497250403865247E-2</v>
      </c>
      <c r="I25" s="3">
        <f t="shared" si="25"/>
        <v>2.2496970923880918E-2</v>
      </c>
      <c r="J25" s="3">
        <f t="shared" si="25"/>
        <v>2.2494176314987135E-2</v>
      </c>
      <c r="K25" s="3">
        <f t="shared" si="25"/>
        <v>2.2466249312223366E-2</v>
      </c>
      <c r="L25" s="3">
        <f t="shared" si="25"/>
        <v>2.2188879158139489E-2</v>
      </c>
      <c r="M25" s="3">
        <f t="shared" si="25"/>
        <v>1.9596714904581317E-2</v>
      </c>
      <c r="N25" s="3">
        <f t="shared" si="25"/>
        <v>5.6579925300794236E-3</v>
      </c>
      <c r="O25" s="3">
        <f t="shared" si="25"/>
        <v>2.277473446871467E-8</v>
      </c>
      <c r="P25" s="3">
        <f t="shared" si="25"/>
        <v>2.5430965398552621E-62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4.8207816486286609E-2</v>
      </c>
      <c r="C26" s="18">
        <f t="shared" si="3"/>
        <v>2.6719174389677101E-2</v>
      </c>
      <c r="D26" s="17"/>
      <c r="F26" s="3">
        <f t="shared" si="25"/>
        <v>2.6719174356407232E-2</v>
      </c>
      <c r="G26" s="3">
        <f t="shared" si="25"/>
        <v>2.671917405697842E-2</v>
      </c>
      <c r="H26" s="3">
        <f t="shared" si="25"/>
        <v>2.6719171062690481E-2</v>
      </c>
      <c r="I26" s="3">
        <f t="shared" si="25"/>
        <v>2.6719141119829523E-2</v>
      </c>
      <c r="J26" s="3">
        <f t="shared" si="25"/>
        <v>2.6718841693065501E-2</v>
      </c>
      <c r="K26" s="3">
        <f t="shared" si="25"/>
        <v>2.6715847609972209E-2</v>
      </c>
      <c r="L26" s="3">
        <f t="shared" si="25"/>
        <v>2.6685925226082697E-2</v>
      </c>
      <c r="M26" s="3">
        <f t="shared" si="25"/>
        <v>2.6388538465499219E-2</v>
      </c>
      <c r="N26" s="3">
        <f t="shared" si="25"/>
        <v>2.3590984399435487E-2</v>
      </c>
      <c r="O26" s="3">
        <f t="shared" si="25"/>
        <v>7.6922488138971281E-3</v>
      </c>
      <c r="P26" s="3">
        <f t="shared" si="25"/>
        <v>1.0450231816885603E-7</v>
      </c>
      <c r="Q26" s="3">
        <f t="shared" si="25"/>
        <v>2.2379580125375907E-56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5.1004515487119068E-2</v>
      </c>
      <c r="C27" s="18">
        <f t="shared" si="3"/>
        <v>2.8269244352707574E-2</v>
      </c>
      <c r="D27" s="17"/>
      <c r="F27" s="3">
        <f t="shared" si="25"/>
        <v>2.8269244349532246E-2</v>
      </c>
      <c r="G27" s="3">
        <f t="shared" si="25"/>
        <v>2.8269244320954276E-2</v>
      </c>
      <c r="H27" s="3">
        <f t="shared" si="25"/>
        <v>2.8269244035174598E-2</v>
      </c>
      <c r="I27" s="3">
        <f t="shared" si="25"/>
        <v>2.8269241177377964E-2</v>
      </c>
      <c r="J27" s="3">
        <f t="shared" si="25"/>
        <v>2.8269212599427506E-2</v>
      </c>
      <c r="K27" s="3">
        <f t="shared" si="25"/>
        <v>2.8268926821511917E-2</v>
      </c>
      <c r="L27" s="3">
        <f t="shared" si="25"/>
        <v>2.8266069201244751E-2</v>
      </c>
      <c r="M27" s="3">
        <f t="shared" si="25"/>
        <v>2.8237508881506099E-2</v>
      </c>
      <c r="N27" s="3">
        <f t="shared" si="25"/>
        <v>2.7953488052589986E-2</v>
      </c>
      <c r="O27" s="3">
        <f t="shared" si="25"/>
        <v>2.5265754568615774E-2</v>
      </c>
      <c r="P27" s="3">
        <f t="shared" si="25"/>
        <v>9.1937974765338871E-3</v>
      </c>
      <c r="Q27" s="3">
        <f t="shared" si="25"/>
        <v>3.7421529103001307E-7</v>
      </c>
      <c r="R27" s="3">
        <f t="shared" si="25"/>
        <v>4.6707594024997031E-51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5.1942716489039434E-2</v>
      </c>
      <c r="C28" s="18">
        <f t="shared" si="3"/>
        <v>2.8789242104317232E-2</v>
      </c>
      <c r="D28" s="17"/>
      <c r="F28" s="3">
        <f t="shared" si="25"/>
        <v>2.8789242104025524E-2</v>
      </c>
      <c r="G28" s="3">
        <f t="shared" si="25"/>
        <v>2.8789242101400131E-2</v>
      </c>
      <c r="H28" s="3">
        <f t="shared" si="25"/>
        <v>2.8789242075146222E-2</v>
      </c>
      <c r="I28" s="3">
        <f t="shared" si="25"/>
        <v>2.8789241812607138E-2</v>
      </c>
      <c r="J28" s="3">
        <f t="shared" si="25"/>
        <v>2.8789239187216414E-2</v>
      </c>
      <c r="K28" s="3">
        <f t="shared" si="25"/>
        <v>2.8789212933322365E-2</v>
      </c>
      <c r="L28" s="3">
        <f t="shared" si="25"/>
        <v>2.8788950395698648E-2</v>
      </c>
      <c r="M28" s="3">
        <f t="shared" si="25"/>
        <v>2.8786325151136719E-2</v>
      </c>
      <c r="N28" s="3">
        <f t="shared" si="25"/>
        <v>2.8760085868599513E-2</v>
      </c>
      <c r="O28" s="3">
        <f t="shared" si="25"/>
        <v>2.8499004920816966E-2</v>
      </c>
      <c r="P28" s="3">
        <f t="shared" si="25"/>
        <v>2.601506263082316E-2</v>
      </c>
      <c r="Q28" s="3">
        <f t="shared" si="25"/>
        <v>1.0451452964916803E-2</v>
      </c>
      <c r="R28" s="3">
        <f t="shared" si="25"/>
        <v>1.1447077332925832E-6</v>
      </c>
      <c r="S28" s="3">
        <f t="shared" si="25"/>
        <v>2.8436365023506681E-46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4.6180278260497851E-2</v>
      </c>
      <c r="C29" s="18">
        <f t="shared" si="3"/>
        <v>2.5595411660203616E-2</v>
      </c>
      <c r="D29" s="17"/>
      <c r="F29" s="3">
        <f t="shared" si="25"/>
        <v>2.5595411660180221E-2</v>
      </c>
      <c r="G29" s="3">
        <f t="shared" si="25"/>
        <v>2.5595411659969661E-2</v>
      </c>
      <c r="H29" s="3">
        <f t="shared" si="25"/>
        <v>2.5595411657864078E-2</v>
      </c>
      <c r="I29" s="3">
        <f t="shared" si="25"/>
        <v>2.5595411636808243E-2</v>
      </c>
      <c r="J29" s="3">
        <f t="shared" si="25"/>
        <v>2.5595411426249905E-2</v>
      </c>
      <c r="K29" s="3">
        <f t="shared" si="25"/>
        <v>2.5595409320666611E-2</v>
      </c>
      <c r="L29" s="3">
        <f t="shared" si="25"/>
        <v>2.5595388264843193E-2</v>
      </c>
      <c r="M29" s="3">
        <f t="shared" si="25"/>
        <v>2.5595177707561662E-2</v>
      </c>
      <c r="N29" s="3">
        <f t="shared" si="25"/>
        <v>2.55930722300108E-2</v>
      </c>
      <c r="O29" s="3">
        <f t="shared" si="25"/>
        <v>2.5572026978046319E-2</v>
      </c>
      <c r="P29" s="3">
        <f t="shared" si="25"/>
        <v>2.5362523920433925E-2</v>
      </c>
      <c r="Q29" s="3">
        <f t="shared" si="25"/>
        <v>2.3359612096140476E-2</v>
      </c>
      <c r="R29" s="3">
        <f t="shared" si="25"/>
        <v>1.0261177434981119E-2</v>
      </c>
      <c r="S29" s="3">
        <f t="shared" si="25"/>
        <v>2.7448139020783558E-6</v>
      </c>
      <c r="T29" s="3">
        <f t="shared" si="25"/>
        <v>5.1483726818710226E-42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5.6963452515618372E-2</v>
      </c>
      <c r="C30" s="18">
        <f t="shared" si="3"/>
        <v>3.1571984224505523E-2</v>
      </c>
      <c r="D30" s="17"/>
      <c r="F30" s="3">
        <f t="shared" si="25"/>
        <v>3.1571984224502921E-2</v>
      </c>
      <c r="G30" s="3">
        <f t="shared" si="25"/>
        <v>3.1571984224479488E-2</v>
      </c>
      <c r="H30" s="3">
        <f t="shared" si="25"/>
        <v>3.1571984224245196E-2</v>
      </c>
      <c r="I30" s="3">
        <f t="shared" si="25"/>
        <v>3.1571984221902272E-2</v>
      </c>
      <c r="J30" s="3">
        <f t="shared" si="25"/>
        <v>3.1571984198472999E-2</v>
      </c>
      <c r="K30" s="3">
        <f t="shared" si="25"/>
        <v>3.1571983964180275E-2</v>
      </c>
      <c r="L30" s="3">
        <f t="shared" si="25"/>
        <v>3.1571981621253166E-2</v>
      </c>
      <c r="M30" s="3">
        <f t="shared" si="25"/>
        <v>3.1571958191991628E-2</v>
      </c>
      <c r="N30" s="3">
        <f t="shared" si="25"/>
        <v>3.1571723900332485E-2</v>
      </c>
      <c r="O30" s="3">
        <f t="shared" si="25"/>
        <v>3.1569381079364682E-2</v>
      </c>
      <c r="P30" s="3">
        <f t="shared" si="25"/>
        <v>3.1545962429423091E-2</v>
      </c>
      <c r="Q30" s="3">
        <f t="shared" si="25"/>
        <v>3.1312729284003436E-2</v>
      </c>
      <c r="R30" s="3">
        <f t="shared" si="25"/>
        <v>2.9073166722080705E-2</v>
      </c>
      <c r="S30" s="3">
        <f t="shared" si="25"/>
        <v>1.3842243787879882E-2</v>
      </c>
      <c r="T30" s="3">
        <f t="shared" si="25"/>
        <v>8.2860594126941993E-6</v>
      </c>
      <c r="U30" s="3">
        <f t="shared" si="25"/>
        <v>4.8951221718012242E-38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7.3286531708279035E-2</v>
      </c>
      <c r="C31" s="18">
        <f t="shared" si="3"/>
        <v>4.0619048192840942E-2</v>
      </c>
      <c r="D31" s="17"/>
      <c r="F31" s="3">
        <f t="shared" si="25"/>
        <v>4.0619048192840637E-2</v>
      </c>
      <c r="G31" s="3">
        <f t="shared" si="25"/>
        <v>4.0619048192837924E-2</v>
      </c>
      <c r="H31" s="3">
        <f t="shared" si="25"/>
        <v>4.0619048192810731E-2</v>
      </c>
      <c r="I31" s="3">
        <f t="shared" si="25"/>
        <v>4.0619048192538816E-2</v>
      </c>
      <c r="J31" s="3">
        <f t="shared" si="25"/>
        <v>4.0619048189819665E-2</v>
      </c>
      <c r="K31" s="3">
        <f t="shared" si="25"/>
        <v>4.0619048162628159E-2</v>
      </c>
      <c r="L31" s="3">
        <f t="shared" si="25"/>
        <v>4.0619047890713106E-2</v>
      </c>
      <c r="M31" s="3">
        <f t="shared" si="25"/>
        <v>4.0619045171562666E-2</v>
      </c>
      <c r="N31" s="3">
        <f t="shared" si="25"/>
        <v>4.0619017980068284E-2</v>
      </c>
      <c r="O31" s="3">
        <f t="shared" si="25"/>
        <v>4.0618746066125609E-2</v>
      </c>
      <c r="P31" s="3">
        <f t="shared" si="25"/>
        <v>4.0616027026811191E-2</v>
      </c>
      <c r="Q31" s="3">
        <f t="shared" si="25"/>
        <v>4.058884664241922E-2</v>
      </c>
      <c r="R31" s="3">
        <f t="shared" si="25"/>
        <v>4.031804119910691E-2</v>
      </c>
      <c r="S31" s="3">
        <f t="shared" si="25"/>
        <v>3.7707397564168806E-2</v>
      </c>
      <c r="T31" s="3">
        <f t="shared" si="25"/>
        <v>1.9306249573856515E-2</v>
      </c>
      <c r="U31" s="3">
        <f t="shared" si="25"/>
        <v>2.3900747152296776E-5</v>
      </c>
      <c r="V31" s="3">
        <f t="shared" si="26"/>
        <v>2.0209105525890358E-34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6.8130323574216015E-2</v>
      </c>
      <c r="C32" s="18">
        <f t="shared" si="3"/>
        <v>3.7761220679273885E-2</v>
      </c>
      <c r="D32" s="17"/>
      <c r="F32" s="3">
        <f t="shared" si="25"/>
        <v>3.7761220679273858E-2</v>
      </c>
      <c r="G32" s="3">
        <f t="shared" si="25"/>
        <v>3.7761220679273635E-2</v>
      </c>
      <c r="H32" s="3">
        <f t="shared" si="25"/>
        <v>3.7761220679271353E-2</v>
      </c>
      <c r="I32" s="3">
        <f t="shared" si="25"/>
        <v>3.7761220679248544E-2</v>
      </c>
      <c r="J32" s="3">
        <f t="shared" si="25"/>
        <v>3.7761220679020518E-2</v>
      </c>
      <c r="K32" s="3">
        <f t="shared" si="25"/>
        <v>3.7761220676740197E-2</v>
      </c>
      <c r="L32" s="3">
        <f t="shared" si="25"/>
        <v>3.7761220653936979E-2</v>
      </c>
      <c r="M32" s="3">
        <f t="shared" si="25"/>
        <v>3.776122042590481E-2</v>
      </c>
      <c r="N32" s="3">
        <f t="shared" si="25"/>
        <v>3.7761218145583156E-2</v>
      </c>
      <c r="O32" s="3">
        <f t="shared" si="25"/>
        <v>3.7761195342374203E-2</v>
      </c>
      <c r="P32" s="3">
        <f t="shared" si="25"/>
        <v>3.7760967311042067E-2</v>
      </c>
      <c r="Q32" s="3">
        <f t="shared" si="25"/>
        <v>3.7758687073455977E-2</v>
      </c>
      <c r="R32" s="3">
        <f t="shared" si="25"/>
        <v>3.7735892269429416E-2</v>
      </c>
      <c r="S32" s="3">
        <f t="shared" si="25"/>
        <v>3.7508699723514227E-2</v>
      </c>
      <c r="T32" s="3">
        <f t="shared" si="25"/>
        <v>3.5310662578521258E-2</v>
      </c>
      <c r="U32" s="3">
        <f t="shared" si="25"/>
        <v>1.9303872649333517E-2</v>
      </c>
      <c r="V32" s="3">
        <f t="shared" si="26"/>
        <v>4.6028859410966783E-5</v>
      </c>
      <c r="W32" s="3">
        <f t="shared" si="26"/>
        <v>2.7345628403529901E-31</v>
      </c>
      <c r="X32" s="3">
        <f t="shared" si="26"/>
        <v>1.4978380349599944E-293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5.7820829457364442E-2</v>
      </c>
      <c r="C33" s="18">
        <f t="shared" si="3"/>
        <v>3.2047185254004913E-2</v>
      </c>
      <c r="D33" s="17"/>
      <c r="F33" s="3">
        <f t="shared" si="25"/>
        <v>3.2047185254004906E-2</v>
      </c>
      <c r="G33" s="3">
        <f t="shared" si="25"/>
        <v>3.2047185254004892E-2</v>
      </c>
      <c r="H33" s="3">
        <f t="shared" si="25"/>
        <v>3.2047185254004719E-2</v>
      </c>
      <c r="I33" s="3">
        <f t="shared" si="25"/>
        <v>3.2047185254002977E-2</v>
      </c>
      <c r="J33" s="3">
        <f t="shared" si="25"/>
        <v>3.2047185253985512E-2</v>
      </c>
      <c r="K33" s="3">
        <f t="shared" si="25"/>
        <v>3.2047185253810936E-2</v>
      </c>
      <c r="L33" s="3">
        <f t="shared" si="25"/>
        <v>3.2047185252065173E-2</v>
      </c>
      <c r="M33" s="3">
        <f t="shared" si="25"/>
        <v>3.2047185234607485E-2</v>
      </c>
      <c r="N33" s="3">
        <f t="shared" si="25"/>
        <v>3.2047185060030667E-2</v>
      </c>
      <c r="O33" s="3">
        <f t="shared" si="25"/>
        <v>3.2047183314262505E-2</v>
      </c>
      <c r="P33" s="3">
        <f t="shared" si="25"/>
        <v>3.2047165856586089E-2</v>
      </c>
      <c r="Q33" s="3">
        <f t="shared" si="25"/>
        <v>3.2046991280345022E-2</v>
      </c>
      <c r="R33" s="3">
        <f t="shared" si="25"/>
        <v>3.204524557023853E-2</v>
      </c>
      <c r="S33" s="3">
        <f t="shared" si="25"/>
        <v>3.2027793698535603E-2</v>
      </c>
      <c r="T33" s="3">
        <f t="shared" si="25"/>
        <v>3.1853796865227491E-2</v>
      </c>
      <c r="U33" s="3">
        <f t="shared" ref="P33:AE48" si="27">$C33*EXP(-U$15/$A33)</f>
        <v>3.0164980161465085E-2</v>
      </c>
      <c r="V33" s="3">
        <f t="shared" si="27"/>
        <v>1.7495301146378549E-2</v>
      </c>
      <c r="W33" s="3">
        <f t="shared" si="27"/>
        <v>7.5353808296735461E-5</v>
      </c>
      <c r="X33" s="3">
        <f t="shared" si="27"/>
        <v>1.6555528211894937E-28</v>
      </c>
      <c r="Y33" s="3">
        <f t="shared" si="27"/>
        <v>4.3383181608442892E-265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9.9341855528225068E-2</v>
      </c>
      <c r="C34" s="18">
        <f t="shared" si="3"/>
        <v>5.5060207151423582E-2</v>
      </c>
      <c r="D34" s="17"/>
      <c r="F34" s="3">
        <f t="shared" ref="F34:O48" si="28">$C34*EXP(-F$15/$A34)</f>
        <v>5.5060207151423582E-2</v>
      </c>
      <c r="G34" s="3">
        <f t="shared" si="28"/>
        <v>5.5060207151423582E-2</v>
      </c>
      <c r="H34" s="3">
        <f t="shared" si="28"/>
        <v>5.5060207151423554E-2</v>
      </c>
      <c r="I34" s="3">
        <f t="shared" si="28"/>
        <v>5.5060207151423284E-2</v>
      </c>
      <c r="J34" s="3">
        <f t="shared" si="28"/>
        <v>5.5060207151420577E-2</v>
      </c>
      <c r="K34" s="3">
        <f t="shared" si="28"/>
        <v>5.5060207151393516E-2</v>
      </c>
      <c r="L34" s="3">
        <f t="shared" si="28"/>
        <v>5.5060207151122947E-2</v>
      </c>
      <c r="M34" s="3">
        <f t="shared" si="28"/>
        <v>5.5060207148417237E-2</v>
      </c>
      <c r="N34" s="3">
        <f t="shared" si="28"/>
        <v>5.5060207121360144E-2</v>
      </c>
      <c r="O34" s="3">
        <f t="shared" si="28"/>
        <v>5.5060206850789217E-2</v>
      </c>
      <c r="P34" s="3">
        <f t="shared" si="27"/>
        <v>5.5060204145080067E-2</v>
      </c>
      <c r="Q34" s="3">
        <f t="shared" si="27"/>
        <v>5.5060177087995772E-2</v>
      </c>
      <c r="R34" s="3">
        <f t="shared" si="27"/>
        <v>5.50599065178842E-2</v>
      </c>
      <c r="S34" s="3">
        <f t="shared" si="27"/>
        <v>5.5057200889895519E-2</v>
      </c>
      <c r="T34" s="3">
        <f t="shared" si="27"/>
        <v>5.5030151921388881E-2</v>
      </c>
      <c r="U34" s="3">
        <f t="shared" si="27"/>
        <v>5.4760392046715158E-2</v>
      </c>
      <c r="V34" s="3">
        <f t="shared" si="27"/>
        <v>5.2134464649330158E-2</v>
      </c>
      <c r="W34" s="3">
        <f t="shared" si="27"/>
        <v>3.1893972385057881E-2</v>
      </c>
      <c r="X34" s="3">
        <f t="shared" si="27"/>
        <v>2.3417771805162165E-4</v>
      </c>
      <c r="Y34" s="3">
        <f t="shared" si="27"/>
        <v>1.0663877020886488E-25</v>
      </c>
      <c r="Z34" s="3">
        <f t="shared" si="27"/>
        <v>4.088939749021356E-239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9.9895647202627252E-2</v>
      </c>
      <c r="C35" s="18">
        <f t="shared" si="3"/>
        <v>5.5367146096233756E-2</v>
      </c>
      <c r="D35" s="17"/>
      <c r="F35" s="3">
        <f t="shared" si="28"/>
        <v>5.5367146096233756E-2</v>
      </c>
      <c r="G35" s="3">
        <f t="shared" si="28"/>
        <v>5.5367146096233756E-2</v>
      </c>
      <c r="H35" s="3">
        <f t="shared" si="28"/>
        <v>5.5367146096233756E-2</v>
      </c>
      <c r="I35" s="3">
        <f t="shared" si="28"/>
        <v>5.5367146096233728E-2</v>
      </c>
      <c r="J35" s="3">
        <f t="shared" si="28"/>
        <v>5.5367146096233485E-2</v>
      </c>
      <c r="K35" s="3">
        <f t="shared" si="28"/>
        <v>5.5367146096231029E-2</v>
      </c>
      <c r="L35" s="3">
        <f t="shared" si="28"/>
        <v>5.5367146096206486E-2</v>
      </c>
      <c r="M35" s="3">
        <f t="shared" si="28"/>
        <v>5.5367146095961044E-2</v>
      </c>
      <c r="N35" s="3">
        <f t="shared" si="28"/>
        <v>5.5367146093506667E-2</v>
      </c>
      <c r="O35" s="3">
        <f t="shared" si="28"/>
        <v>5.5367146068962855E-2</v>
      </c>
      <c r="P35" s="3">
        <f t="shared" si="27"/>
        <v>5.5367145823524734E-2</v>
      </c>
      <c r="Q35" s="3">
        <f t="shared" si="27"/>
        <v>5.5367143369143612E-2</v>
      </c>
      <c r="R35" s="3">
        <f t="shared" si="27"/>
        <v>5.5367118825338402E-2</v>
      </c>
      <c r="S35" s="3">
        <f t="shared" si="27"/>
        <v>5.5366873387884687E-2</v>
      </c>
      <c r="T35" s="3">
        <f t="shared" si="27"/>
        <v>5.5364419073186802E-2</v>
      </c>
      <c r="U35" s="3">
        <f t="shared" si="27"/>
        <v>5.5339881909158804E-2</v>
      </c>
      <c r="V35" s="3">
        <f t="shared" si="27"/>
        <v>5.5095107583812204E-2</v>
      </c>
      <c r="W35" s="3">
        <f t="shared" si="27"/>
        <v>5.2706127627763909E-2</v>
      </c>
      <c r="X35" s="3">
        <f t="shared" si="27"/>
        <v>3.3833104350088544E-2</v>
      </c>
      <c r="Y35" s="3">
        <f t="shared" si="27"/>
        <v>4.0192890242179378E-4</v>
      </c>
      <c r="Z35" s="3">
        <f t="shared" si="27"/>
        <v>2.2502103924007743E-23</v>
      </c>
      <c r="AA35" s="3">
        <f t="shared" si="27"/>
        <v>6.8070982016056034E-216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8.4813445473470125E-2</v>
      </c>
      <c r="C36" s="18">
        <f t="shared" si="3"/>
        <v>4.7007838258753223E-2</v>
      </c>
      <c r="D36" s="17"/>
      <c r="F36" s="3">
        <f t="shared" si="28"/>
        <v>4.7007838258753223E-2</v>
      </c>
      <c r="G36" s="3">
        <f t="shared" si="28"/>
        <v>4.7007838258753223E-2</v>
      </c>
      <c r="H36" s="3">
        <f t="shared" si="28"/>
        <v>4.7007838258753223E-2</v>
      </c>
      <c r="I36" s="3">
        <f t="shared" si="28"/>
        <v>4.7007838258753223E-2</v>
      </c>
      <c r="J36" s="3">
        <f t="shared" si="28"/>
        <v>4.7007838258753203E-2</v>
      </c>
      <c r="K36" s="3">
        <f t="shared" si="28"/>
        <v>4.7007838258753015E-2</v>
      </c>
      <c r="L36" s="3">
        <f t="shared" si="28"/>
        <v>4.7007838258751135E-2</v>
      </c>
      <c r="M36" s="3">
        <f t="shared" si="28"/>
        <v>4.7007838258732337E-2</v>
      </c>
      <c r="N36" s="3">
        <f t="shared" si="28"/>
        <v>4.7007838258544356E-2</v>
      </c>
      <c r="O36" s="3">
        <f t="shared" si="28"/>
        <v>4.7007838256664582E-2</v>
      </c>
      <c r="P36" s="3">
        <f t="shared" si="27"/>
        <v>4.7007838237866792E-2</v>
      </c>
      <c r="Q36" s="3">
        <f t="shared" si="27"/>
        <v>4.7007838049888916E-2</v>
      </c>
      <c r="R36" s="3">
        <f t="shared" si="27"/>
        <v>4.7007836170110166E-2</v>
      </c>
      <c r="S36" s="3">
        <f t="shared" si="27"/>
        <v>4.7007817372326836E-2</v>
      </c>
      <c r="T36" s="3">
        <f t="shared" si="27"/>
        <v>4.700762939490695E-2</v>
      </c>
      <c r="U36" s="3">
        <f t="shared" si="27"/>
        <v>4.7005749662050782E-2</v>
      </c>
      <c r="V36" s="3">
        <f t="shared" si="27"/>
        <v>4.6986956467146755E-2</v>
      </c>
      <c r="W36" s="3">
        <f t="shared" si="27"/>
        <v>4.6799437272918423E-2</v>
      </c>
      <c r="X36" s="3">
        <f t="shared" si="27"/>
        <v>4.496491658570953E-2</v>
      </c>
      <c r="Y36" s="3">
        <f t="shared" si="27"/>
        <v>3.0144313827906288E-2</v>
      </c>
      <c r="Z36" s="3">
        <f t="shared" si="27"/>
        <v>5.5274077954669599E-4</v>
      </c>
      <c r="AA36" s="3">
        <f t="shared" si="27"/>
        <v>2.3751035489409054E-21</v>
      </c>
      <c r="AB36" s="3">
        <f t="shared" si="27"/>
        <v>5.0967457275140724E-195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7.8071856820191937E-2</v>
      </c>
      <c r="C37" s="18">
        <f t="shared" si="3"/>
        <v>4.3271313852142758E-2</v>
      </c>
      <c r="D37" s="17"/>
      <c r="F37" s="3">
        <f t="shared" si="28"/>
        <v>4.3271313852142758E-2</v>
      </c>
      <c r="G37" s="3">
        <f t="shared" si="28"/>
        <v>4.3271313852142758E-2</v>
      </c>
      <c r="H37" s="3">
        <f t="shared" si="28"/>
        <v>4.3271313852142758E-2</v>
      </c>
      <c r="I37" s="3">
        <f t="shared" si="28"/>
        <v>4.3271313852142758E-2</v>
      </c>
      <c r="J37" s="3">
        <f t="shared" si="28"/>
        <v>4.3271313852142758E-2</v>
      </c>
      <c r="K37" s="3">
        <f t="shared" si="28"/>
        <v>4.3271313852142737E-2</v>
      </c>
      <c r="L37" s="3">
        <f t="shared" si="28"/>
        <v>4.3271313852142584E-2</v>
      </c>
      <c r="M37" s="3">
        <f t="shared" si="28"/>
        <v>4.3271313852141023E-2</v>
      </c>
      <c r="N37" s="3">
        <f t="shared" si="28"/>
        <v>4.3271313852125418E-2</v>
      </c>
      <c r="O37" s="3">
        <f t="shared" si="28"/>
        <v>4.327131385196932E-2</v>
      </c>
      <c r="P37" s="3">
        <f t="shared" si="27"/>
        <v>4.3271313850408395E-2</v>
      </c>
      <c r="Q37" s="3">
        <f t="shared" si="27"/>
        <v>4.3271313834799104E-2</v>
      </c>
      <c r="R37" s="3">
        <f t="shared" si="27"/>
        <v>4.3271313678706208E-2</v>
      </c>
      <c r="S37" s="3">
        <f t="shared" si="27"/>
        <v>4.327131211777728E-2</v>
      </c>
      <c r="T37" s="3">
        <f t="shared" si="27"/>
        <v>4.3271296508491104E-2</v>
      </c>
      <c r="U37" s="3">
        <f t="shared" si="27"/>
        <v>4.3271140415939026E-2</v>
      </c>
      <c r="V37" s="3">
        <f t="shared" si="27"/>
        <v>4.3269579521386915E-2</v>
      </c>
      <c r="W37" s="3">
        <f t="shared" si="27"/>
        <v>4.325397367231873E-2</v>
      </c>
      <c r="X37" s="3">
        <f t="shared" si="27"/>
        <v>4.3098224414042374E-2</v>
      </c>
      <c r="Y37" s="3">
        <f t="shared" si="27"/>
        <v>4.1571246290476864E-2</v>
      </c>
      <c r="Z37" s="3">
        <f t="shared" si="27"/>
        <v>2.8982090581079367E-2</v>
      </c>
      <c r="AA37" s="3">
        <f t="shared" si="27"/>
        <v>7.8613359726040807E-4</v>
      </c>
      <c r="AB37" s="3">
        <f t="shared" si="27"/>
        <v>1.6949731979074356E-19</v>
      </c>
      <c r="AC37" s="3">
        <f t="shared" si="27"/>
        <v>3.6798288067241725E-176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4.0242726123179605E-2</v>
      </c>
      <c r="C38" s="18">
        <f t="shared" si="3"/>
        <v>2.2304524360839302E-2</v>
      </c>
      <c r="D38" s="17"/>
      <c r="F38" s="3">
        <f t="shared" si="28"/>
        <v>2.2304524360839302E-2</v>
      </c>
      <c r="G38" s="3">
        <f t="shared" si="28"/>
        <v>2.2304524360839302E-2</v>
      </c>
      <c r="H38" s="3">
        <f t="shared" si="28"/>
        <v>2.2304524360839302E-2</v>
      </c>
      <c r="I38" s="3">
        <f t="shared" si="28"/>
        <v>2.2304524360839302E-2</v>
      </c>
      <c r="J38" s="3">
        <f t="shared" si="28"/>
        <v>2.2304524360839302E-2</v>
      </c>
      <c r="K38" s="3">
        <f t="shared" si="28"/>
        <v>2.2304524360839302E-2</v>
      </c>
      <c r="L38" s="3">
        <f t="shared" si="28"/>
        <v>2.2304524360839295E-2</v>
      </c>
      <c r="M38" s="3">
        <f t="shared" si="28"/>
        <v>2.2304524360839219E-2</v>
      </c>
      <c r="N38" s="3">
        <f t="shared" si="28"/>
        <v>2.2304524360838494E-2</v>
      </c>
      <c r="O38" s="3">
        <f t="shared" si="28"/>
        <v>2.2304524360831236E-2</v>
      </c>
      <c r="P38" s="3">
        <f t="shared" si="27"/>
        <v>2.2304524360758655E-2</v>
      </c>
      <c r="Q38" s="3">
        <f t="shared" si="27"/>
        <v>2.2304524360032846E-2</v>
      </c>
      <c r="R38" s="3">
        <f t="shared" si="27"/>
        <v>2.2304524352774753E-2</v>
      </c>
      <c r="S38" s="3">
        <f t="shared" si="27"/>
        <v>2.2304524280193808E-2</v>
      </c>
      <c r="T38" s="3">
        <f t="shared" si="27"/>
        <v>2.2304523554384378E-2</v>
      </c>
      <c r="U38" s="3">
        <f t="shared" si="27"/>
        <v>2.2304516296291394E-2</v>
      </c>
      <c r="V38" s="3">
        <f t="shared" si="27"/>
        <v>2.2304443715491448E-2</v>
      </c>
      <c r="W38" s="3">
        <f t="shared" si="27"/>
        <v>2.2303717920481955E-2</v>
      </c>
      <c r="X38" s="3">
        <f t="shared" si="27"/>
        <v>2.2296461269230627E-2</v>
      </c>
      <c r="Y38" s="3">
        <f t="shared" si="27"/>
        <v>2.2224024484829158E-2</v>
      </c>
      <c r="Z38" s="3">
        <f t="shared" si="27"/>
        <v>2.1512474607823552E-2</v>
      </c>
      <c r="AA38" s="3">
        <f t="shared" si="27"/>
        <v>1.5536994400369729E-2</v>
      </c>
      <c r="AB38" s="3">
        <f t="shared" si="27"/>
        <v>5.9997533126037535E-4</v>
      </c>
      <c r="AC38" s="3">
        <f t="shared" si="27"/>
        <v>4.4238179238705623E-18</v>
      </c>
      <c r="AD38" s="3">
        <f t="shared" si="27"/>
        <v>2.1010468720060649E-159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5.7091972351157018E-2</v>
      </c>
      <c r="C39" s="18">
        <f t="shared" si="3"/>
        <v>3.1643216322297517E-2</v>
      </c>
      <c r="D39" s="17"/>
      <c r="F39" s="3">
        <f t="shared" si="28"/>
        <v>3.1643216322297517E-2</v>
      </c>
      <c r="G39" s="3">
        <f t="shared" si="28"/>
        <v>3.1643216322297517E-2</v>
      </c>
      <c r="H39" s="3">
        <f t="shared" si="28"/>
        <v>3.1643216322297517E-2</v>
      </c>
      <c r="I39" s="3">
        <f t="shared" si="28"/>
        <v>3.1643216322297517E-2</v>
      </c>
      <c r="J39" s="3">
        <f t="shared" si="28"/>
        <v>3.1643216322297517E-2</v>
      </c>
      <c r="K39" s="3">
        <f t="shared" si="28"/>
        <v>3.1643216322297517E-2</v>
      </c>
      <c r="L39" s="3">
        <f t="shared" si="28"/>
        <v>3.164321632229751E-2</v>
      </c>
      <c r="M39" s="3">
        <f t="shared" si="28"/>
        <v>3.1643216322297482E-2</v>
      </c>
      <c r="N39" s="3">
        <f t="shared" si="28"/>
        <v>3.1643216322297198E-2</v>
      </c>
      <c r="O39" s="3">
        <f t="shared" si="28"/>
        <v>3.1643216322294353E-2</v>
      </c>
      <c r="P39" s="3">
        <f t="shared" si="27"/>
        <v>3.1643216322265875E-2</v>
      </c>
      <c r="Q39" s="3">
        <f t="shared" si="27"/>
        <v>3.1643216321981082E-2</v>
      </c>
      <c r="R39" s="3">
        <f t="shared" si="27"/>
        <v>3.1643216319133194E-2</v>
      </c>
      <c r="S39" s="3">
        <f t="shared" si="27"/>
        <v>3.1643216290654301E-2</v>
      </c>
      <c r="T39" s="3">
        <f t="shared" si="27"/>
        <v>3.1643216005865359E-2</v>
      </c>
      <c r="U39" s="3">
        <f t="shared" si="27"/>
        <v>3.1643213157976045E-2</v>
      </c>
      <c r="V39" s="3">
        <f t="shared" si="27"/>
        <v>3.1643184679097019E-2</v>
      </c>
      <c r="W39" s="3">
        <f t="shared" si="27"/>
        <v>3.1642899891716446E-2</v>
      </c>
      <c r="X39" s="3">
        <f t="shared" si="27"/>
        <v>3.1640052158876095E-2</v>
      </c>
      <c r="Y39" s="3">
        <f t="shared" si="27"/>
        <v>3.1611588922310828E-2</v>
      </c>
      <c r="Z39" s="3">
        <f t="shared" si="27"/>
        <v>3.1328361059179619E-2</v>
      </c>
      <c r="AA39" s="3">
        <f t="shared" si="27"/>
        <v>2.8631966155421015E-2</v>
      </c>
      <c r="AB39" s="3">
        <f t="shared" si="27"/>
        <v>1.1640888737513873E-2</v>
      </c>
      <c r="AC39" s="3">
        <f t="shared" si="27"/>
        <v>1.4365997984914217E-6</v>
      </c>
      <c r="AD39" s="3">
        <f t="shared" si="27"/>
        <v>1.1771516884460938E-45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6.3402883778409413E-2</v>
      </c>
      <c r="C40" s="18">
        <f t="shared" si="3"/>
        <v>3.5141037946940686E-2</v>
      </c>
      <c r="D40" s="17"/>
      <c r="F40" s="3">
        <f t="shared" si="28"/>
        <v>3.5141037946940686E-2</v>
      </c>
      <c r="G40" s="3">
        <f t="shared" si="28"/>
        <v>3.5141037946940686E-2</v>
      </c>
      <c r="H40" s="3">
        <f t="shared" si="28"/>
        <v>3.5141037946940686E-2</v>
      </c>
      <c r="I40" s="3">
        <f t="shared" si="28"/>
        <v>3.5141037946940686E-2</v>
      </c>
      <c r="J40" s="3">
        <f t="shared" si="28"/>
        <v>3.5141037946940686E-2</v>
      </c>
      <c r="K40" s="3">
        <f t="shared" si="28"/>
        <v>3.5141037946940686E-2</v>
      </c>
      <c r="L40" s="3">
        <f t="shared" si="28"/>
        <v>3.5141037946940686E-2</v>
      </c>
      <c r="M40" s="3">
        <f t="shared" si="28"/>
        <v>3.5141037946940679E-2</v>
      </c>
      <c r="N40" s="3">
        <f t="shared" si="28"/>
        <v>3.5141037946940651E-2</v>
      </c>
      <c r="O40" s="3">
        <f t="shared" si="28"/>
        <v>3.5141037946940332E-2</v>
      </c>
      <c r="P40" s="3">
        <f t="shared" si="27"/>
        <v>3.5141037946937168E-2</v>
      </c>
      <c r="Q40" s="3">
        <f t="shared" si="27"/>
        <v>3.5141037946905547E-2</v>
      </c>
      <c r="R40" s="3">
        <f t="shared" si="27"/>
        <v>3.5141037946589272E-2</v>
      </c>
      <c r="S40" s="3">
        <f t="shared" si="27"/>
        <v>3.514103794342658E-2</v>
      </c>
      <c r="T40" s="3">
        <f t="shared" si="27"/>
        <v>3.514103791179965E-2</v>
      </c>
      <c r="U40" s="3">
        <f t="shared" si="27"/>
        <v>3.5141037595530306E-2</v>
      </c>
      <c r="V40" s="3">
        <f t="shared" si="27"/>
        <v>3.5141034432837066E-2</v>
      </c>
      <c r="W40" s="3">
        <f t="shared" si="27"/>
        <v>3.5141002805920307E-2</v>
      </c>
      <c r="X40" s="3">
        <f t="shared" si="27"/>
        <v>3.5140686538318262E-2</v>
      </c>
      <c r="Y40" s="3">
        <f t="shared" si="27"/>
        <v>3.5137524018845324E-2</v>
      </c>
      <c r="Z40" s="3">
        <f t="shared" si="27"/>
        <v>3.5105914473657344E-2</v>
      </c>
      <c r="AA40" s="3">
        <f t="shared" si="27"/>
        <v>3.4791378777141835E-2</v>
      </c>
      <c r="AB40" s="3">
        <f t="shared" si="27"/>
        <v>3.1796926043013485E-2</v>
      </c>
      <c r="AC40" s="3">
        <f t="shared" si="27"/>
        <v>1.2927665402104988E-2</v>
      </c>
      <c r="AD40" s="3">
        <f t="shared" si="27"/>
        <v>1.595400654571922E-6</v>
      </c>
      <c r="AE40" s="3">
        <f t="shared" si="27"/>
        <v>1.3072733103885061E-45</v>
      </c>
      <c r="AF40" s="3">
        <f t="shared" si="29"/>
        <v>0</v>
      </c>
      <c r="AG40" s="3">
        <f t="shared" si="29"/>
        <v>0</v>
      </c>
      <c r="AH40" s="3">
        <f t="shared" si="29"/>
        <v>0</v>
      </c>
      <c r="AI40" s="3">
        <f t="shared" si="29"/>
        <v>0</v>
      </c>
      <c r="AJ40" s="3">
        <f t="shared" si="29"/>
        <v>0</v>
      </c>
    </row>
    <row r="41" spans="1:36" x14ac:dyDescent="0.25">
      <c r="A41" s="3">
        <f t="shared" si="30"/>
        <v>1000000000</v>
      </c>
      <c r="B41" s="106">
        <v>6.4218490972703643E-2</v>
      </c>
      <c r="C41" s="18">
        <f t="shared" si="3"/>
        <v>3.5593088100758001E-2</v>
      </c>
      <c r="D41" s="17"/>
      <c r="F41" s="3">
        <f t="shared" si="28"/>
        <v>3.5593088100758001E-2</v>
      </c>
      <c r="G41" s="3">
        <f t="shared" si="28"/>
        <v>3.5593088100758001E-2</v>
      </c>
      <c r="H41" s="3">
        <f t="shared" si="28"/>
        <v>3.5593088100758001E-2</v>
      </c>
      <c r="I41" s="3">
        <f t="shared" si="28"/>
        <v>3.5593088100758001E-2</v>
      </c>
      <c r="J41" s="3">
        <f t="shared" si="28"/>
        <v>3.5593088100758001E-2</v>
      </c>
      <c r="K41" s="3">
        <f t="shared" si="28"/>
        <v>3.5593088100758001E-2</v>
      </c>
      <c r="L41" s="3">
        <f t="shared" si="28"/>
        <v>3.5593088100758001E-2</v>
      </c>
      <c r="M41" s="3">
        <f t="shared" si="28"/>
        <v>3.5593088100758001E-2</v>
      </c>
      <c r="N41" s="3">
        <f t="shared" si="28"/>
        <v>3.5593088100757994E-2</v>
      </c>
      <c r="O41" s="3">
        <f t="shared" si="28"/>
        <v>3.5593088100757966E-2</v>
      </c>
      <c r="P41" s="3">
        <f t="shared" si="27"/>
        <v>3.5593088100757647E-2</v>
      </c>
      <c r="Q41" s="3">
        <f t="shared" si="27"/>
        <v>3.5593088100754441E-2</v>
      </c>
      <c r="R41" s="3">
        <f t="shared" si="27"/>
        <v>3.5593088100722411E-2</v>
      </c>
      <c r="S41" s="3">
        <f t="shared" si="27"/>
        <v>3.559308810040207E-2</v>
      </c>
      <c r="T41" s="3">
        <f t="shared" si="27"/>
        <v>3.5593088097198688E-2</v>
      </c>
      <c r="U41" s="3">
        <f t="shared" si="27"/>
        <v>3.5593088065164917E-2</v>
      </c>
      <c r="V41" s="3">
        <f t="shared" si="27"/>
        <v>3.5593087744827119E-2</v>
      </c>
      <c r="W41" s="3">
        <f t="shared" si="27"/>
        <v>3.5593084541449369E-2</v>
      </c>
      <c r="X41" s="3">
        <f t="shared" si="27"/>
        <v>3.5593052507687697E-2</v>
      </c>
      <c r="Y41" s="3">
        <f t="shared" si="27"/>
        <v>3.5592732171656642E-2</v>
      </c>
      <c r="Z41" s="3">
        <f t="shared" si="27"/>
        <v>3.5589528969907434E-2</v>
      </c>
      <c r="AA41" s="3">
        <f t="shared" si="27"/>
        <v>3.5557512803270595E-2</v>
      </c>
      <c r="AB41" s="3">
        <f t="shared" si="27"/>
        <v>3.5238930956774953E-2</v>
      </c>
      <c r="AC41" s="3">
        <f t="shared" si="27"/>
        <v>3.2205957937016305E-2</v>
      </c>
      <c r="AD41" s="3">
        <f t="shared" si="27"/>
        <v>1.3093965360072768E-2</v>
      </c>
      <c r="AE41" s="3">
        <f t="shared" si="27"/>
        <v>1.6159236998043486E-6</v>
      </c>
      <c r="AF41" s="3">
        <f t="shared" si="29"/>
        <v>1.3240899195602292E-45</v>
      </c>
      <c r="AG41" s="3">
        <f t="shared" si="29"/>
        <v>0</v>
      </c>
      <c r="AH41" s="3">
        <f t="shared" si="29"/>
        <v>0</v>
      </c>
      <c r="AI41" s="3">
        <f t="shared" si="29"/>
        <v>0</v>
      </c>
      <c r="AJ41" s="3">
        <f t="shared" si="29"/>
        <v>0</v>
      </c>
    </row>
    <row r="42" spans="1:36" x14ac:dyDescent="0.25">
      <c r="A42" s="3">
        <f t="shared" si="30"/>
        <v>10000000000</v>
      </c>
      <c r="B42" s="106">
        <v>7.0368614171773508E-2</v>
      </c>
      <c r="C42" s="18">
        <f t="shared" si="3"/>
        <v>3.9001792876272805E-2</v>
      </c>
      <c r="D42" s="17"/>
      <c r="F42" s="3">
        <f t="shared" si="28"/>
        <v>3.9001792876272805E-2</v>
      </c>
      <c r="G42" s="3">
        <f t="shared" si="28"/>
        <v>3.9001792876272805E-2</v>
      </c>
      <c r="H42" s="3">
        <f t="shared" si="28"/>
        <v>3.9001792876272805E-2</v>
      </c>
      <c r="I42" s="3">
        <f t="shared" si="28"/>
        <v>3.9001792876272805E-2</v>
      </c>
      <c r="J42" s="3">
        <f t="shared" si="28"/>
        <v>3.9001792876272805E-2</v>
      </c>
      <c r="K42" s="3">
        <f t="shared" si="28"/>
        <v>3.9001792876272805E-2</v>
      </c>
      <c r="L42" s="3">
        <f t="shared" si="28"/>
        <v>3.9001792876272805E-2</v>
      </c>
      <c r="M42" s="3">
        <f t="shared" si="28"/>
        <v>3.9001792876272805E-2</v>
      </c>
      <c r="N42" s="3">
        <f t="shared" si="28"/>
        <v>3.9001792876272805E-2</v>
      </c>
      <c r="O42" s="3">
        <f t="shared" si="28"/>
        <v>3.9001792876272798E-2</v>
      </c>
      <c r="P42" s="3">
        <f t="shared" si="27"/>
        <v>3.9001792876272763E-2</v>
      </c>
      <c r="Q42" s="3">
        <f t="shared" si="27"/>
        <v>3.9001792876272416E-2</v>
      </c>
      <c r="R42" s="3">
        <f t="shared" si="27"/>
        <v>3.9001792876268905E-2</v>
      </c>
      <c r="S42" s="3">
        <f t="shared" si="27"/>
        <v>3.9001792876233801E-2</v>
      </c>
      <c r="T42" s="3">
        <f t="shared" si="27"/>
        <v>3.9001792875882783E-2</v>
      </c>
      <c r="U42" s="3">
        <f t="shared" si="27"/>
        <v>3.9001792872372626E-2</v>
      </c>
      <c r="V42" s="3">
        <f t="shared" si="27"/>
        <v>3.900179283727101E-2</v>
      </c>
      <c r="W42" s="3">
        <f t="shared" si="27"/>
        <v>3.9001792486254877E-2</v>
      </c>
      <c r="X42" s="3">
        <f t="shared" si="27"/>
        <v>3.9001788976093715E-2</v>
      </c>
      <c r="Y42" s="3">
        <f t="shared" si="27"/>
        <v>3.9001753874499431E-2</v>
      </c>
      <c r="Z42" s="3">
        <f t="shared" si="27"/>
        <v>3.9001402860294125E-2</v>
      </c>
      <c r="AA42" s="3">
        <f t="shared" si="27"/>
        <v>3.8997892891987643E-2</v>
      </c>
      <c r="AB42" s="3">
        <f t="shared" si="27"/>
        <v>3.8962810577794299E-2</v>
      </c>
      <c r="AC42" s="3">
        <f t="shared" si="27"/>
        <v>3.8613718553073377E-2</v>
      </c>
      <c r="AD42" s="3">
        <f t="shared" si="27"/>
        <v>3.5290281564939963E-2</v>
      </c>
      <c r="AE42" s="3">
        <f t="shared" si="27"/>
        <v>1.4347957768007579E-2</v>
      </c>
      <c r="AF42" s="3">
        <f t="shared" si="29"/>
        <v>1.7706786571937675E-6</v>
      </c>
      <c r="AG42" s="3">
        <f t="shared" si="29"/>
        <v>1.4508963270076304E-45</v>
      </c>
      <c r="AH42" s="3">
        <f t="shared" si="29"/>
        <v>0</v>
      </c>
      <c r="AI42" s="3">
        <f t="shared" si="29"/>
        <v>0</v>
      </c>
      <c r="AJ42" s="3">
        <f t="shared" si="29"/>
        <v>0</v>
      </c>
    </row>
    <row r="43" spans="1:36" x14ac:dyDescent="0.25">
      <c r="A43" s="3">
        <f t="shared" si="30"/>
        <v>100000000000</v>
      </c>
      <c r="B43" s="106">
        <v>8.2746695642235579E-2</v>
      </c>
      <c r="C43" s="18">
        <f t="shared" si="3"/>
        <v>4.5862342503385417E-2</v>
      </c>
      <c r="D43" s="17"/>
      <c r="F43" s="3">
        <f t="shared" si="28"/>
        <v>4.5862342503385417E-2</v>
      </c>
      <c r="G43" s="3">
        <f t="shared" si="28"/>
        <v>4.5862342503385417E-2</v>
      </c>
      <c r="H43" s="3">
        <f t="shared" si="28"/>
        <v>4.5862342503385417E-2</v>
      </c>
      <c r="I43" s="3">
        <f t="shared" si="28"/>
        <v>4.5862342503385417E-2</v>
      </c>
      <c r="J43" s="3">
        <f t="shared" si="28"/>
        <v>4.5862342503385417E-2</v>
      </c>
      <c r="K43" s="3">
        <f t="shared" si="28"/>
        <v>4.5862342503385417E-2</v>
      </c>
      <c r="L43" s="3">
        <f t="shared" si="28"/>
        <v>4.5862342503385417E-2</v>
      </c>
      <c r="M43" s="3">
        <f t="shared" si="28"/>
        <v>4.5862342503385417E-2</v>
      </c>
      <c r="N43" s="3">
        <f t="shared" si="28"/>
        <v>4.5862342503385417E-2</v>
      </c>
      <c r="O43" s="3">
        <f t="shared" si="28"/>
        <v>4.5862342503385417E-2</v>
      </c>
      <c r="P43" s="3">
        <f t="shared" si="27"/>
        <v>4.586234250338541E-2</v>
      </c>
      <c r="Q43" s="3">
        <f t="shared" si="27"/>
        <v>4.5862342503385368E-2</v>
      </c>
      <c r="R43" s="3">
        <f t="shared" si="27"/>
        <v>4.5862342503384959E-2</v>
      </c>
      <c r="S43" s="3">
        <f t="shared" si="27"/>
        <v>4.586234250338083E-2</v>
      </c>
      <c r="T43" s="3">
        <f t="shared" si="27"/>
        <v>4.5862342503339558E-2</v>
      </c>
      <c r="U43" s="3">
        <f t="shared" si="27"/>
        <v>4.5862342502926791E-2</v>
      </c>
      <c r="V43" s="3">
        <f t="shared" si="27"/>
        <v>4.5862342498799183E-2</v>
      </c>
      <c r="W43" s="3">
        <f t="shared" si="27"/>
        <v>4.5862342457523075E-2</v>
      </c>
      <c r="X43" s="3">
        <f t="shared" si="27"/>
        <v>4.5862342044761993E-2</v>
      </c>
      <c r="Y43" s="3">
        <f t="shared" si="27"/>
        <v>4.58623379171514E-2</v>
      </c>
      <c r="Z43" s="3">
        <f t="shared" si="27"/>
        <v>4.5862296641065843E-2</v>
      </c>
      <c r="AA43" s="3">
        <f t="shared" si="27"/>
        <v>4.5861883882253492E-2</v>
      </c>
      <c r="AB43" s="3">
        <f t="shared" si="27"/>
        <v>4.5857756498439151E-2</v>
      </c>
      <c r="AC43" s="3">
        <f t="shared" si="27"/>
        <v>4.5816503084411472E-2</v>
      </c>
      <c r="AD43" s="3">
        <f t="shared" si="27"/>
        <v>4.5406004570824138E-2</v>
      </c>
      <c r="AE43" s="3">
        <f t="shared" si="27"/>
        <v>4.1497963575844107E-2</v>
      </c>
      <c r="AF43" s="3">
        <f t="shared" si="29"/>
        <v>1.6871812930958716E-2</v>
      </c>
      <c r="AG43" s="3">
        <f t="shared" si="29"/>
        <v>2.0821471283967216E-6</v>
      </c>
      <c r="AH43" s="3">
        <f t="shared" si="29"/>
        <v>1.7061139855088337E-45</v>
      </c>
      <c r="AI43" s="3">
        <f t="shared" si="29"/>
        <v>0</v>
      </c>
      <c r="AJ43" s="3">
        <f t="shared" si="29"/>
        <v>0</v>
      </c>
    </row>
    <row r="44" spans="1:36" x14ac:dyDescent="0.25">
      <c r="A44" s="3">
        <f t="shared" si="30"/>
        <v>1000000000000</v>
      </c>
      <c r="B44" s="106">
        <v>9.0869256384711772E-2</v>
      </c>
      <c r="C44" s="18">
        <f t="shared" si="3"/>
        <v>5.0364270464190349E-2</v>
      </c>
      <c r="D44" s="17"/>
      <c r="F44" s="3">
        <f t="shared" si="28"/>
        <v>5.0364270464190349E-2</v>
      </c>
      <c r="G44" s="3">
        <f t="shared" si="28"/>
        <v>5.0364270464190349E-2</v>
      </c>
      <c r="H44" s="3">
        <f t="shared" si="28"/>
        <v>5.0364270464190349E-2</v>
      </c>
      <c r="I44" s="3">
        <f t="shared" si="28"/>
        <v>5.0364270464190349E-2</v>
      </c>
      <c r="J44" s="3">
        <f t="shared" si="28"/>
        <v>5.0364270464190349E-2</v>
      </c>
      <c r="K44" s="3">
        <f t="shared" si="28"/>
        <v>5.0364270464190349E-2</v>
      </c>
      <c r="L44" s="3">
        <f t="shared" si="28"/>
        <v>5.0364270464190349E-2</v>
      </c>
      <c r="M44" s="3">
        <f t="shared" si="28"/>
        <v>5.0364270464190349E-2</v>
      </c>
      <c r="N44" s="3">
        <f t="shared" si="28"/>
        <v>5.0364270464190349E-2</v>
      </c>
      <c r="O44" s="3">
        <f t="shared" si="28"/>
        <v>5.0364270464190349E-2</v>
      </c>
      <c r="P44" s="3">
        <f t="shared" si="27"/>
        <v>5.0364270464190349E-2</v>
      </c>
      <c r="Q44" s="3">
        <f t="shared" si="27"/>
        <v>5.0364270464190342E-2</v>
      </c>
      <c r="R44" s="3">
        <f t="shared" si="27"/>
        <v>5.03642704641903E-2</v>
      </c>
      <c r="S44" s="3">
        <f t="shared" si="27"/>
        <v>5.0364270464189842E-2</v>
      </c>
      <c r="T44" s="3">
        <f t="shared" si="27"/>
        <v>5.0364270464185311E-2</v>
      </c>
      <c r="U44" s="3">
        <f t="shared" si="27"/>
        <v>5.0364270464139986E-2</v>
      </c>
      <c r="V44" s="3">
        <f t="shared" si="27"/>
        <v>5.0364270463686703E-2</v>
      </c>
      <c r="W44" s="3">
        <f t="shared" si="27"/>
        <v>5.0364270459153919E-2</v>
      </c>
      <c r="X44" s="3">
        <f t="shared" si="27"/>
        <v>5.036427041382608E-2</v>
      </c>
      <c r="Y44" s="3">
        <f t="shared" si="27"/>
        <v>5.0364269960547645E-2</v>
      </c>
      <c r="Z44" s="3">
        <f t="shared" si="27"/>
        <v>5.0364265427763559E-2</v>
      </c>
      <c r="AA44" s="3">
        <f t="shared" si="27"/>
        <v>5.0364220099945067E-2</v>
      </c>
      <c r="AB44" s="3">
        <f t="shared" si="27"/>
        <v>5.0363766824003911E-2</v>
      </c>
      <c r="AC44" s="3">
        <f t="shared" si="27"/>
        <v>5.0359234288956889E-2</v>
      </c>
      <c r="AD44" s="3">
        <f t="shared" si="27"/>
        <v>5.0313931367469443E-2</v>
      </c>
      <c r="AE44" s="3">
        <f t="shared" si="27"/>
        <v>4.9863137599969791E-2</v>
      </c>
      <c r="AF44" s="3">
        <f t="shared" si="29"/>
        <v>4.557147644808273E-2</v>
      </c>
      <c r="AG44" s="3">
        <f t="shared" si="29"/>
        <v>1.8527979673373725E-2</v>
      </c>
      <c r="AH44" s="3">
        <f t="shared" si="29"/>
        <v>2.2865343416130325E-6</v>
      </c>
      <c r="AI44" s="3">
        <f t="shared" si="29"/>
        <v>1.8735891260365027E-45</v>
      </c>
      <c r="AJ44" s="3">
        <f t="shared" si="29"/>
        <v>0</v>
      </c>
    </row>
    <row r="45" spans="1:36" x14ac:dyDescent="0.25">
      <c r="A45" s="3">
        <f t="shared" si="30"/>
        <v>10000000000000</v>
      </c>
      <c r="B45" s="106">
        <v>8.5651896008028514E-2</v>
      </c>
      <c r="C45" s="18">
        <f t="shared" si="3"/>
        <v>4.7472549330169547E-2</v>
      </c>
      <c r="D45" s="17"/>
      <c r="F45" s="3">
        <f t="shared" si="28"/>
        <v>4.7472549330169547E-2</v>
      </c>
      <c r="G45" s="3">
        <f t="shared" si="28"/>
        <v>4.7472549330169547E-2</v>
      </c>
      <c r="H45" s="3">
        <f t="shared" si="28"/>
        <v>4.7472549330169547E-2</v>
      </c>
      <c r="I45" s="3">
        <f t="shared" si="28"/>
        <v>4.7472549330169547E-2</v>
      </c>
      <c r="J45" s="3">
        <f t="shared" si="28"/>
        <v>4.7472549330169547E-2</v>
      </c>
      <c r="K45" s="3">
        <f t="shared" si="28"/>
        <v>4.7472549330169547E-2</v>
      </c>
      <c r="L45" s="3">
        <f t="shared" si="28"/>
        <v>4.7472549330169547E-2</v>
      </c>
      <c r="M45" s="3">
        <f t="shared" si="28"/>
        <v>4.7472549330169547E-2</v>
      </c>
      <c r="N45" s="3">
        <f t="shared" si="28"/>
        <v>4.7472549330169547E-2</v>
      </c>
      <c r="O45" s="3">
        <f t="shared" si="28"/>
        <v>4.7472549330169547E-2</v>
      </c>
      <c r="P45" s="3">
        <f t="shared" si="27"/>
        <v>4.7472549330169547E-2</v>
      </c>
      <c r="Q45" s="3">
        <f t="shared" si="27"/>
        <v>4.7472549330169547E-2</v>
      </c>
      <c r="R45" s="3">
        <f t="shared" si="27"/>
        <v>4.747254933016954E-2</v>
      </c>
      <c r="S45" s="3">
        <f t="shared" si="27"/>
        <v>4.7472549330169499E-2</v>
      </c>
      <c r="T45" s="3">
        <f t="shared" si="27"/>
        <v>4.7472549330169075E-2</v>
      </c>
      <c r="U45" s="3">
        <f t="shared" si="27"/>
        <v>4.7472549330164801E-2</v>
      </c>
      <c r="V45" s="3">
        <f t="shared" si="27"/>
        <v>4.7472549330122078E-2</v>
      </c>
      <c r="W45" s="3">
        <f t="shared" si="27"/>
        <v>4.7472549329694823E-2</v>
      </c>
      <c r="X45" s="3">
        <f t="shared" si="27"/>
        <v>4.7472549325422289E-2</v>
      </c>
      <c r="Y45" s="3">
        <f t="shared" si="27"/>
        <v>4.7472549282697001E-2</v>
      </c>
      <c r="Z45" s="3">
        <f t="shared" si="27"/>
        <v>4.7472548855444059E-2</v>
      </c>
      <c r="AA45" s="3">
        <f t="shared" si="27"/>
        <v>4.7472544582914854E-2</v>
      </c>
      <c r="AB45" s="3">
        <f t="shared" si="27"/>
        <v>4.7472501857643956E-2</v>
      </c>
      <c r="AC45" s="3">
        <f t="shared" si="27"/>
        <v>4.7472074607049865E-2</v>
      </c>
      <c r="AD45" s="3">
        <f t="shared" si="27"/>
        <v>4.7467802312591366E-2</v>
      </c>
      <c r="AE45" s="3">
        <f t="shared" si="27"/>
        <v>4.7425100509203927E-2</v>
      </c>
      <c r="AF45" s="3">
        <f t="shared" si="29"/>
        <v>4.7000189571983542E-2</v>
      </c>
      <c r="AG45" s="3">
        <f t="shared" si="29"/>
        <v>4.295493896349533E-2</v>
      </c>
      <c r="AH45" s="3">
        <f t="shared" si="29"/>
        <v>1.7464174918566503E-2</v>
      </c>
      <c r="AI45" s="3">
        <f t="shared" si="29"/>
        <v>2.1552504052357948E-6</v>
      </c>
      <c r="AJ45" s="3">
        <f t="shared" si="29"/>
        <v>1.7660149028362778E-45</v>
      </c>
    </row>
    <row r="46" spans="1:36" x14ac:dyDescent="0.25">
      <c r="A46" s="3">
        <f t="shared" si="30"/>
        <v>100000000000000</v>
      </c>
      <c r="B46" s="106">
        <v>6.1822792182797758E-2</v>
      </c>
      <c r="C46" s="18">
        <f t="shared" si="3"/>
        <v>3.4265272438938038E-2</v>
      </c>
      <c r="D46" s="17"/>
      <c r="F46" s="3">
        <f t="shared" si="28"/>
        <v>3.4265272438938038E-2</v>
      </c>
      <c r="G46" s="3">
        <f t="shared" si="28"/>
        <v>3.4265272438938038E-2</v>
      </c>
      <c r="H46" s="3">
        <f t="shared" si="28"/>
        <v>3.4265272438938038E-2</v>
      </c>
      <c r="I46" s="3">
        <f t="shared" si="28"/>
        <v>3.4265272438938038E-2</v>
      </c>
      <c r="J46" s="3">
        <f t="shared" si="28"/>
        <v>3.4265272438938038E-2</v>
      </c>
      <c r="K46" s="3">
        <f t="shared" si="28"/>
        <v>3.4265272438938038E-2</v>
      </c>
      <c r="L46" s="3">
        <f t="shared" si="28"/>
        <v>3.4265272438938038E-2</v>
      </c>
      <c r="M46" s="3">
        <f t="shared" si="28"/>
        <v>3.4265272438938038E-2</v>
      </c>
      <c r="N46" s="3">
        <f t="shared" si="28"/>
        <v>3.4265272438938038E-2</v>
      </c>
      <c r="O46" s="3">
        <f t="shared" si="28"/>
        <v>3.4265272438938038E-2</v>
      </c>
      <c r="P46" s="3">
        <f t="shared" si="27"/>
        <v>3.4265272438938038E-2</v>
      </c>
      <c r="Q46" s="3">
        <f t="shared" si="27"/>
        <v>3.4265272438938038E-2</v>
      </c>
      <c r="R46" s="3">
        <f t="shared" si="27"/>
        <v>3.4265272438938038E-2</v>
      </c>
      <c r="S46" s="3">
        <f t="shared" si="27"/>
        <v>3.4265272438938031E-2</v>
      </c>
      <c r="T46" s="3">
        <f t="shared" si="27"/>
        <v>3.4265272438938003E-2</v>
      </c>
      <c r="U46" s="3">
        <f t="shared" si="27"/>
        <v>3.4265272438937698E-2</v>
      </c>
      <c r="V46" s="3">
        <f t="shared" si="27"/>
        <v>3.426527243893461E-2</v>
      </c>
      <c r="W46" s="3">
        <f t="shared" si="27"/>
        <v>3.4265272438903774E-2</v>
      </c>
      <c r="X46" s="3">
        <f t="shared" si="27"/>
        <v>3.4265272438595389E-2</v>
      </c>
      <c r="Y46" s="3">
        <f t="shared" si="27"/>
        <v>3.4265272435511508E-2</v>
      </c>
      <c r="Z46" s="3">
        <f t="shared" si="27"/>
        <v>3.4265272404672767E-2</v>
      </c>
      <c r="AA46" s="3">
        <f t="shared" si="27"/>
        <v>3.4265272096285312E-2</v>
      </c>
      <c r="AB46" s="3">
        <f t="shared" si="27"/>
        <v>3.4265269012410969E-2</v>
      </c>
      <c r="AC46" s="3">
        <f t="shared" si="27"/>
        <v>3.4265238173682731E-2</v>
      </c>
      <c r="AD46" s="3">
        <f t="shared" si="27"/>
        <v>3.4264929787926904E-2</v>
      </c>
      <c r="AE46" s="3">
        <f t="shared" si="27"/>
        <v>3.4261846083014795E-2</v>
      </c>
      <c r="AF46" s="3">
        <f t="shared" si="29"/>
        <v>3.4231024293425873E-2</v>
      </c>
      <c r="AG46" s="3">
        <f t="shared" si="29"/>
        <v>3.3924327281540559E-2</v>
      </c>
      <c r="AH46" s="3">
        <f t="shared" si="29"/>
        <v>3.100450064194742E-2</v>
      </c>
      <c r="AI46" s="3">
        <f t="shared" si="29"/>
        <v>1.2605489276423751E-2</v>
      </c>
      <c r="AJ46" s="3">
        <f t="shared" si="29"/>
        <v>1.5556409620201951E-6</v>
      </c>
    </row>
    <row r="47" spans="1:36" x14ac:dyDescent="0.25">
      <c r="A47" s="3">
        <f t="shared" si="30"/>
        <v>1000000000000000</v>
      </c>
      <c r="B47" s="106">
        <v>3.214711548537301E-2</v>
      </c>
      <c r="C47" s="18">
        <f t="shared" si="3"/>
        <v>1.7817533491132281E-2</v>
      </c>
      <c r="D47" s="17"/>
      <c r="F47" s="3">
        <f t="shared" si="28"/>
        <v>1.7817533491132281E-2</v>
      </c>
      <c r="G47" s="3">
        <f t="shared" si="28"/>
        <v>1.7817533491132281E-2</v>
      </c>
      <c r="H47" s="3">
        <f t="shared" si="28"/>
        <v>1.7817533491132281E-2</v>
      </c>
      <c r="I47" s="3">
        <f t="shared" si="28"/>
        <v>1.7817533491132281E-2</v>
      </c>
      <c r="J47" s="3">
        <f t="shared" si="28"/>
        <v>1.7817533491132281E-2</v>
      </c>
      <c r="K47" s="3">
        <f t="shared" si="28"/>
        <v>1.7817533491132281E-2</v>
      </c>
      <c r="L47" s="3">
        <f t="shared" si="28"/>
        <v>1.7817533491132281E-2</v>
      </c>
      <c r="M47" s="3">
        <f t="shared" si="28"/>
        <v>1.7817533491132281E-2</v>
      </c>
      <c r="N47" s="3">
        <f t="shared" si="28"/>
        <v>1.7817533491132281E-2</v>
      </c>
      <c r="O47" s="3">
        <f t="shared" si="28"/>
        <v>1.7817533491132281E-2</v>
      </c>
      <c r="P47" s="3">
        <f t="shared" si="27"/>
        <v>1.7817533491132281E-2</v>
      </c>
      <c r="Q47" s="3">
        <f t="shared" si="27"/>
        <v>1.7817533491132281E-2</v>
      </c>
      <c r="R47" s="3">
        <f t="shared" si="27"/>
        <v>1.7817533491132281E-2</v>
      </c>
      <c r="S47" s="3">
        <f t="shared" si="27"/>
        <v>1.7817533491132281E-2</v>
      </c>
      <c r="T47" s="3">
        <f t="shared" si="27"/>
        <v>1.7817533491132277E-2</v>
      </c>
      <c r="U47" s="3">
        <f t="shared" si="27"/>
        <v>1.7817533491132263E-2</v>
      </c>
      <c r="V47" s="3">
        <f t="shared" si="27"/>
        <v>1.7817533491132104E-2</v>
      </c>
      <c r="W47" s="3">
        <f t="shared" si="27"/>
        <v>1.7817533491130497E-2</v>
      </c>
      <c r="X47" s="3">
        <f t="shared" si="27"/>
        <v>1.7817533491114465E-2</v>
      </c>
      <c r="Y47" s="3">
        <f t="shared" si="27"/>
        <v>1.7817533490954104E-2</v>
      </c>
      <c r="Z47" s="3">
        <f t="shared" si="27"/>
        <v>1.7817533489350529E-2</v>
      </c>
      <c r="AA47" s="3">
        <f t="shared" si="27"/>
        <v>1.7817533473314748E-2</v>
      </c>
      <c r="AB47" s="3">
        <f t="shared" si="27"/>
        <v>1.7817533312956949E-2</v>
      </c>
      <c r="AC47" s="3">
        <f t="shared" si="27"/>
        <v>1.7817531709379022E-2</v>
      </c>
      <c r="AD47" s="3">
        <f t="shared" si="27"/>
        <v>1.78175156736077E-2</v>
      </c>
      <c r="AE47" s="3">
        <f t="shared" si="27"/>
        <v>1.7817355316688242E-2</v>
      </c>
      <c r="AF47" s="3">
        <f t="shared" si="29"/>
        <v>1.7815751826867867E-2</v>
      </c>
      <c r="AG47" s="3">
        <f t="shared" si="29"/>
        <v>1.7799724863439049E-2</v>
      </c>
      <c r="AH47" s="3">
        <f t="shared" si="29"/>
        <v>1.7640246070715751E-2</v>
      </c>
      <c r="AI47" s="3">
        <f t="shared" si="29"/>
        <v>1.6121970999885368E-2</v>
      </c>
      <c r="AJ47" s="3">
        <f t="shared" si="29"/>
        <v>6.5547042637712017E-3</v>
      </c>
    </row>
    <row r="48" spans="1:36" x14ac:dyDescent="0.25">
      <c r="A48" s="3">
        <f t="shared" si="30"/>
        <v>1E+16</v>
      </c>
      <c r="B48" s="106">
        <v>5.519505734939658E-2</v>
      </c>
      <c r="C48" s="18">
        <f t="shared" si="3"/>
        <v>3.0591851493341829E-2</v>
      </c>
      <c r="D48" s="17"/>
      <c r="F48" s="3">
        <f t="shared" si="28"/>
        <v>3.0591851493341829E-2</v>
      </c>
      <c r="G48" s="3">
        <f t="shared" si="28"/>
        <v>3.0591851493341829E-2</v>
      </c>
      <c r="H48" s="3">
        <f t="shared" si="28"/>
        <v>3.0591851493341829E-2</v>
      </c>
      <c r="I48" s="3">
        <f t="shared" si="28"/>
        <v>3.0591851493341829E-2</v>
      </c>
      <c r="J48" s="3">
        <f t="shared" si="28"/>
        <v>3.0591851493341829E-2</v>
      </c>
      <c r="K48" s="3">
        <f t="shared" si="28"/>
        <v>3.0591851493341829E-2</v>
      </c>
      <c r="L48" s="3">
        <f t="shared" si="28"/>
        <v>3.0591851493341829E-2</v>
      </c>
      <c r="M48" s="3">
        <f t="shared" si="28"/>
        <v>3.0591851493341829E-2</v>
      </c>
      <c r="N48" s="3">
        <f t="shared" si="28"/>
        <v>3.0591851493341829E-2</v>
      </c>
      <c r="O48" s="3">
        <f t="shared" si="28"/>
        <v>3.0591851493341829E-2</v>
      </c>
      <c r="P48" s="3">
        <f t="shared" si="27"/>
        <v>3.0591851493341829E-2</v>
      </c>
      <c r="Q48" s="3">
        <f t="shared" si="27"/>
        <v>3.0591851493341829E-2</v>
      </c>
      <c r="R48" s="3">
        <f t="shared" si="27"/>
        <v>3.0591851493341829E-2</v>
      </c>
      <c r="S48" s="3">
        <f t="shared" si="27"/>
        <v>3.0591851493341829E-2</v>
      </c>
      <c r="T48" s="3">
        <f t="shared" si="27"/>
        <v>3.0591851493341829E-2</v>
      </c>
      <c r="U48" s="3">
        <f t="shared" si="27"/>
        <v>3.0591851493341825E-2</v>
      </c>
      <c r="V48" s="3">
        <f t="shared" si="27"/>
        <v>3.0591851493341798E-2</v>
      </c>
      <c r="W48" s="3">
        <f t="shared" si="27"/>
        <v>3.0591851493341524E-2</v>
      </c>
      <c r="X48" s="3">
        <f t="shared" si="27"/>
        <v>3.0591851493338769E-2</v>
      </c>
      <c r="Y48" s="3">
        <f t="shared" si="27"/>
        <v>3.0591851493311239E-2</v>
      </c>
      <c r="Z48" s="3">
        <f t="shared" si="27"/>
        <v>3.059185149303591E-2</v>
      </c>
      <c r="AA48" s="3">
        <f t="shared" si="27"/>
        <v>3.0591851490282644E-2</v>
      </c>
      <c r="AB48" s="3">
        <f t="shared" si="27"/>
        <v>3.0591851462749977E-2</v>
      </c>
      <c r="AC48" s="3">
        <f t="shared" si="27"/>
        <v>3.0591851187423316E-2</v>
      </c>
      <c r="AD48" s="3">
        <f t="shared" si="27"/>
        <v>3.0591848434156833E-2</v>
      </c>
      <c r="AE48" s="3">
        <f t="shared" si="27"/>
        <v>3.0591820901505633E-2</v>
      </c>
      <c r="AF48" s="3">
        <f t="shared" si="29"/>
        <v>3.0591545576356481E-2</v>
      </c>
      <c r="AG48" s="3">
        <f t="shared" si="29"/>
        <v>3.0588792461146652E-2</v>
      </c>
      <c r="AH48" s="3">
        <f t="shared" si="29"/>
        <v>3.0561274932676866E-2</v>
      </c>
      <c r="AI48" s="3">
        <f t="shared" si="29"/>
        <v>3.0287457485062317E-2</v>
      </c>
      <c r="AJ48" s="3">
        <f t="shared" si="29"/>
        <v>2.7680651918174932E-2</v>
      </c>
    </row>
    <row r="49" spans="1:36" x14ac:dyDescent="0.25">
      <c r="B49" s="16">
        <f>SUM(B17:B48)</f>
        <v>1.8042404972255282</v>
      </c>
      <c r="C49" s="18">
        <f>SUM(C17:C48)</f>
        <v>0.99999999999999989</v>
      </c>
      <c r="F49" s="3">
        <f t="shared" ref="F49:AJ49" si="31">F16-F17</f>
        <v>-1.4463410749513059</v>
      </c>
      <c r="G49" s="3">
        <f t="shared" si="31"/>
        <v>-0.91334149508384144</v>
      </c>
      <c r="H49" s="3">
        <f t="shared" si="31"/>
        <v>3.0388480784577041</v>
      </c>
      <c r="I49" s="3">
        <f t="shared" si="31"/>
        <v>-0.778739029829012</v>
      </c>
      <c r="J49" s="3">
        <f t="shared" si="31"/>
        <v>0.1121514825244958</v>
      </c>
      <c r="K49" s="3">
        <f t="shared" si="31"/>
        <v>-1.5218267784803174E-2</v>
      </c>
      <c r="L49" s="3">
        <f t="shared" si="31"/>
        <v>4.7587278859282378E-3</v>
      </c>
      <c r="M49" s="3">
        <f t="shared" si="31"/>
        <v>-5.9581660134426784E-3</v>
      </c>
      <c r="N49" s="3">
        <f t="shared" si="31"/>
        <v>1.202001755063975E-2</v>
      </c>
      <c r="O49" s="3">
        <f t="shared" si="31"/>
        <v>-2.8706305290143064E-2</v>
      </c>
      <c r="P49" s="3">
        <f t="shared" si="31"/>
        <v>6.1146145806560526E-2</v>
      </c>
      <c r="Q49" s="3">
        <f t="shared" si="31"/>
        <v>-0.10093491003590316</v>
      </c>
      <c r="R49" s="3">
        <f t="shared" si="31"/>
        <v>0.12955504492947512</v>
      </c>
      <c r="S49" s="3">
        <f t="shared" si="31"/>
        <v>-0.13541289137538115</v>
      </c>
      <c r="T49" s="3">
        <f t="shared" si="31"/>
        <v>0.12174590751055803</v>
      </c>
      <c r="U49" s="3">
        <f t="shared" si="31"/>
        <v>-9.9485579896281706E-2</v>
      </c>
      <c r="V49" s="3">
        <f t="shared" si="31"/>
        <v>7.512022322134726E-2</v>
      </c>
      <c r="W49" s="3">
        <f t="shared" si="31"/>
        <v>-5.1745929240951227E-2</v>
      </c>
      <c r="X49" s="3">
        <f t="shared" si="31"/>
        <v>2.9116934413650597E-2</v>
      </c>
      <c r="Y49" s="3">
        <f t="shared" si="31"/>
        <v>-1.1544975518972933E-2</v>
      </c>
      <c r="Z49" s="3">
        <f t="shared" si="31"/>
        <v>1.8508702760300366E-4</v>
      </c>
      <c r="AA49" s="3">
        <f t="shared" si="31"/>
        <v>5.1044195656686497E-3</v>
      </c>
      <c r="AB49" s="3">
        <f t="shared" si="31"/>
        <v>-9.6051118380273692E-3</v>
      </c>
      <c r="AC49" s="3">
        <f t="shared" si="31"/>
        <v>1.1574808253499214E-2</v>
      </c>
      <c r="AD49" s="3">
        <f t="shared" si="31"/>
        <v>-6.4186664819771977E-3</v>
      </c>
      <c r="AE49" s="3">
        <f t="shared" si="31"/>
        <v>-3.1723546821922355E-3</v>
      </c>
      <c r="AF49" s="3">
        <f t="shared" si="31"/>
        <v>7.3993719504414912E-3</v>
      </c>
      <c r="AG49" s="3">
        <f t="shared" si="31"/>
        <v>-7.3607180224826152E-3</v>
      </c>
      <c r="AH49" s="3">
        <f t="shared" si="31"/>
        <v>6.382439509593496E-3</v>
      </c>
      <c r="AI49" s="3">
        <f t="shared" si="31"/>
        <v>-4.8797602719332644E-3</v>
      </c>
      <c r="AJ49" s="3">
        <f t="shared" si="31"/>
        <v>1.7107196023857796E-3</v>
      </c>
    </row>
    <row r="50" spans="1:36" x14ac:dyDescent="0.25">
      <c r="F50" s="57">
        <f t="shared" ref="F50:AJ50" si="32">F49/F17</f>
        <v>-2.3426683200928895E-4</v>
      </c>
      <c r="G50" s="57">
        <f t="shared" si="32"/>
        <v>-1.4797350505608352E-4</v>
      </c>
      <c r="H50" s="57">
        <f t="shared" si="32"/>
        <v>4.9349060394251445E-4</v>
      </c>
      <c r="I50" s="57">
        <f t="shared" si="32"/>
        <v>-1.2806252711356153E-4</v>
      </c>
      <c r="J50" s="57">
        <f t="shared" si="32"/>
        <v>1.8978615340523744E-5</v>
      </c>
      <c r="K50" s="57">
        <f t="shared" si="32"/>
        <v>-2.6266168133353999E-6</v>
      </c>
      <c r="L50" s="57">
        <f t="shared" si="32"/>
        <v>8.3777067542498563E-7</v>
      </c>
      <c r="M50" s="57">
        <f t="shared" si="32"/>
        <v>-1.0729067994874191E-6</v>
      </c>
      <c r="N50" s="57">
        <f t="shared" si="32"/>
        <v>2.2183748450456825E-6</v>
      </c>
      <c r="O50" s="57">
        <f t="shared" si="32"/>
        <v>-5.4507059698760152E-6</v>
      </c>
      <c r="P50" s="57">
        <f t="shared" si="32"/>
        <v>1.1983404109123264E-5</v>
      </c>
      <c r="Q50" s="57">
        <f t="shared" si="32"/>
        <v>-2.0451745111332488E-5</v>
      </c>
      <c r="R50" s="57">
        <f t="shared" si="32"/>
        <v>2.7138854593495389E-5</v>
      </c>
      <c r="S50" s="57">
        <f t="shared" si="32"/>
        <v>-2.9448603790653434E-5</v>
      </c>
      <c r="T50" s="57">
        <f t="shared" si="32"/>
        <v>2.7771604776727523E-5</v>
      </c>
      <c r="U50" s="57">
        <f t="shared" si="32"/>
        <v>-2.3955041004185104E-5</v>
      </c>
      <c r="V50" s="57">
        <f t="shared" si="32"/>
        <v>1.9079103398465931E-5</v>
      </c>
      <c r="W50" s="57">
        <f t="shared" si="32"/>
        <v>-1.4031611908266282E-5</v>
      </c>
      <c r="X50" s="57">
        <f t="shared" si="32"/>
        <v>8.6603113260137614E-6</v>
      </c>
      <c r="Y50" s="57">
        <f t="shared" si="32"/>
        <v>-3.7829584941219918E-6</v>
      </c>
      <c r="Z50" s="57">
        <f t="shared" si="32"/>
        <v>6.653417213550679E-8</v>
      </c>
      <c r="AA50" s="57">
        <f t="shared" si="32"/>
        <v>2.0033082004848095E-6</v>
      </c>
      <c r="AB50" s="57">
        <f t="shared" si="32"/>
        <v>-4.1317527445153133E-6</v>
      </c>
      <c r="AC50" s="57">
        <f t="shared" si="32"/>
        <v>5.4833793922452894E-6</v>
      </c>
      <c r="AD50" s="57">
        <f t="shared" si="32"/>
        <v>-3.397721441386927E-6</v>
      </c>
      <c r="AE50" s="57">
        <f t="shared" si="32"/>
        <v>-1.9213322872739402E-6</v>
      </c>
      <c r="AF50" s="57">
        <f t="shared" si="32"/>
        <v>5.360177661096567E-6</v>
      </c>
      <c r="AG50" s="57">
        <f t="shared" si="32"/>
        <v>-6.8060292311331074E-6</v>
      </c>
      <c r="AH50" s="57">
        <f t="shared" si="32"/>
        <v>8.0816060284102681E-6</v>
      </c>
      <c r="AI50" s="57">
        <f t="shared" si="32"/>
        <v>-8.7666740005475449E-6</v>
      </c>
      <c r="AJ50" s="57">
        <f t="shared" si="32"/>
        <v>4.2427144466505316E-6</v>
      </c>
    </row>
    <row r="51" spans="1:36" x14ac:dyDescent="0.25">
      <c r="A51" s="13" t="s">
        <v>21</v>
      </c>
      <c r="B51" s="3">
        <f>STUTT!D8</f>
        <v>6190.9489999999996</v>
      </c>
      <c r="E51" s="11" t="s">
        <v>24</v>
      </c>
      <c r="F51" s="20">
        <f t="shared" ref="F51:AJ51" si="33">(F16-F17)^2</f>
        <v>2.0919025050912992</v>
      </c>
      <c r="G51" s="20">
        <f t="shared" si="33"/>
        <v>0.83419268664198676</v>
      </c>
      <c r="H51" s="20">
        <f t="shared" si="33"/>
        <v>9.2345976439460813</v>
      </c>
      <c r="I51" s="20">
        <f t="shared" si="33"/>
        <v>0.60643447657903082</v>
      </c>
      <c r="J51" s="20">
        <f t="shared" si="33"/>
        <v>1.2577955032442288E-2</v>
      </c>
      <c r="K51" s="20">
        <f t="shared" si="33"/>
        <v>2.3159567436997812E-4</v>
      </c>
      <c r="L51" s="20">
        <f t="shared" si="33"/>
        <v>2.2645491092311037E-5</v>
      </c>
      <c r="M51" s="20">
        <f t="shared" si="33"/>
        <v>3.5499742243743417E-5</v>
      </c>
      <c r="N51" s="20">
        <f t="shared" si="33"/>
        <v>1.4448082191768761E-4</v>
      </c>
      <c r="O51" s="20">
        <f t="shared" si="33"/>
        <v>8.2405196341089567E-4</v>
      </c>
      <c r="P51" s="20">
        <f t="shared" si="33"/>
        <v>3.7388511469971593E-3</v>
      </c>
      <c r="Q51" s="20">
        <f t="shared" si="33"/>
        <v>1.0187856063955864E-2</v>
      </c>
      <c r="R51" s="20">
        <f t="shared" si="33"/>
        <v>1.6784509666678316E-2</v>
      </c>
      <c r="S51" s="20">
        <f t="shared" si="33"/>
        <v>1.8336651150640773E-2</v>
      </c>
      <c r="T51" s="20">
        <f t="shared" si="33"/>
        <v>1.482206599556935E-2</v>
      </c>
      <c r="U51" s="20">
        <f t="shared" si="33"/>
        <v>9.8973806072994511E-3</v>
      </c>
      <c r="V51" s="20">
        <f t="shared" si="33"/>
        <v>5.6430479368250403E-3</v>
      </c>
      <c r="W51" s="20">
        <f t="shared" si="33"/>
        <v>2.6776411930095312E-3</v>
      </c>
      <c r="X51" s="20">
        <f t="shared" si="33"/>
        <v>8.4779586964883042E-4</v>
      </c>
      <c r="Y51" s="20">
        <f t="shared" si="33"/>
        <v>1.3328645973368435E-4</v>
      </c>
      <c r="Z51" s="20">
        <f t="shared" si="33"/>
        <v>3.4257207786915039E-8</v>
      </c>
      <c r="AA51" s="20">
        <f t="shared" si="33"/>
        <v>2.6055099102380928E-5</v>
      </c>
      <c r="AB51" s="20">
        <f t="shared" si="33"/>
        <v>9.2258173421013508E-5</v>
      </c>
      <c r="AC51" s="20">
        <f t="shared" si="33"/>
        <v>1.339761861052735E-4</v>
      </c>
      <c r="AD51" s="20">
        <f t="shared" si="33"/>
        <v>4.1199279406857537E-5</v>
      </c>
      <c r="AE51" s="20">
        <f t="shared" si="33"/>
        <v>1.0063834229627E-5</v>
      </c>
      <c r="AF51" s="20">
        <f t="shared" si="33"/>
        <v>5.4750705260980315E-5</v>
      </c>
      <c r="AG51" s="20">
        <f t="shared" si="33"/>
        <v>5.4180169806500383E-5</v>
      </c>
      <c r="AH51" s="20">
        <f t="shared" si="33"/>
        <v>4.0735534093620068E-5</v>
      </c>
      <c r="AI51" s="20">
        <f t="shared" si="33"/>
        <v>2.3812060311538206E-5</v>
      </c>
      <c r="AJ51" s="20">
        <f t="shared" si="33"/>
        <v>2.9265615579869597E-6</v>
      </c>
    </row>
    <row r="52" spans="1:36" x14ac:dyDescent="0.25">
      <c r="A52" s="13"/>
    </row>
    <row r="53" spans="1:36" x14ac:dyDescent="0.25">
      <c r="E53" s="118" t="s">
        <v>25</v>
      </c>
      <c r="F53" s="118"/>
      <c r="G53" s="104">
        <f>SUM(F51:AJ51)</f>
        <v>12.864512618934739</v>
      </c>
      <c r="I53" s="3">
        <f>G53+C123</f>
        <v>12.864512618934739</v>
      </c>
      <c r="K53" s="3">
        <f>SUM(Z51:AJ51)</f>
        <v>4.7999186050356525E-4</v>
      </c>
    </row>
    <row r="55" spans="1:36" x14ac:dyDescent="0.25">
      <c r="E55" s="30" t="s">
        <v>30</v>
      </c>
      <c r="F55" s="31">
        <f t="shared" ref="F55:AJ55" si="34">ABS(F17-F16)/F16</f>
        <v>2.3432172581766721E-4</v>
      </c>
      <c r="G55" s="31">
        <f t="shared" si="34"/>
        <v>1.4799540445481287E-4</v>
      </c>
      <c r="H55" s="31">
        <f t="shared" si="34"/>
        <v>4.9324719108829139E-4</v>
      </c>
      <c r="I55" s="31">
        <f t="shared" si="34"/>
        <v>1.2807892922490807E-4</v>
      </c>
      <c r="J55" s="31">
        <f t="shared" si="34"/>
        <v>1.8978255159519239E-5</v>
      </c>
      <c r="K55" s="31">
        <f t="shared" si="34"/>
        <v>2.6266237124694053E-6</v>
      </c>
      <c r="L55" s="31">
        <f t="shared" si="34"/>
        <v>8.3776997356586901E-7</v>
      </c>
      <c r="M55" s="31">
        <f t="shared" si="34"/>
        <v>1.0729079506176545E-6</v>
      </c>
      <c r="N55" s="31">
        <f t="shared" si="34"/>
        <v>2.2183699238696463E-6</v>
      </c>
      <c r="O55" s="31">
        <f t="shared" si="34"/>
        <v>5.450735680233527E-6</v>
      </c>
      <c r="P55" s="31">
        <f t="shared" si="34"/>
        <v>1.1983260508870042E-5</v>
      </c>
      <c r="Q55" s="31">
        <f t="shared" si="34"/>
        <v>2.0452163393765193E-5</v>
      </c>
      <c r="R55" s="31">
        <f t="shared" si="34"/>
        <v>2.713811809605444E-5</v>
      </c>
      <c r="S55" s="31">
        <f t="shared" si="34"/>
        <v>2.944947103645783E-5</v>
      </c>
      <c r="T55" s="31">
        <f t="shared" si="34"/>
        <v>2.7770833536114236E-5</v>
      </c>
      <c r="U55" s="31">
        <f t="shared" si="34"/>
        <v>2.3955614861921401E-5</v>
      </c>
      <c r="V55" s="31">
        <f t="shared" si="34"/>
        <v>1.9078739393224333E-5</v>
      </c>
      <c r="W55" s="31">
        <f t="shared" si="34"/>
        <v>1.4031808797161694E-5</v>
      </c>
      <c r="X55" s="31">
        <f t="shared" si="34"/>
        <v>8.6602363256710246E-6</v>
      </c>
      <c r="Y55" s="31">
        <f t="shared" si="34"/>
        <v>3.7829728049510974E-6</v>
      </c>
      <c r="Z55" s="31">
        <f t="shared" si="34"/>
        <v>6.6534167708711027E-8</v>
      </c>
      <c r="AA55" s="31">
        <f t="shared" si="34"/>
        <v>2.0033041872491035E-6</v>
      </c>
      <c r="AB55" s="31">
        <f t="shared" si="34"/>
        <v>4.1317698159665902E-6</v>
      </c>
      <c r="AC55" s="31">
        <f t="shared" si="34"/>
        <v>5.4833493249606009E-6</v>
      </c>
      <c r="AD55" s="31">
        <f t="shared" si="34"/>
        <v>3.3977329859371456E-6</v>
      </c>
      <c r="AE55" s="31">
        <f t="shared" si="34"/>
        <v>1.921335978798791E-6</v>
      </c>
      <c r="AF55" s="31">
        <f t="shared" si="34"/>
        <v>5.3601489297460138E-6</v>
      </c>
      <c r="AG55" s="31">
        <f t="shared" si="34"/>
        <v>6.8060755534822731E-6</v>
      </c>
      <c r="AH55" s="31">
        <f t="shared" si="34"/>
        <v>8.0815407165820941E-6</v>
      </c>
      <c r="AI55" s="31">
        <f t="shared" si="34"/>
        <v>8.7667508557943414E-6</v>
      </c>
      <c r="AJ55" s="31">
        <f t="shared" si="34"/>
        <v>4.2426964461010274E-6</v>
      </c>
    </row>
    <row r="56" spans="1:36" x14ac:dyDescent="0.25">
      <c r="E56" s="13" t="s">
        <v>31</v>
      </c>
      <c r="F56" s="32">
        <f>AVERAGE(F55:AJ55)</f>
        <v>4.1012657119434597E-5</v>
      </c>
    </row>
    <row r="57" spans="1:36" x14ac:dyDescent="0.25">
      <c r="A57" s="42"/>
      <c r="B57" s="15"/>
      <c r="C57" s="15"/>
      <c r="D57" s="15"/>
      <c r="F57" s="60">
        <f>AVERAGE(S55:X55)</f>
        <v>2.0491117325091754E-5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-20.678712849703782</v>
      </c>
    </row>
    <row r="119" spans="1:14" x14ac:dyDescent="0.25">
      <c r="L119" s="11">
        <f>L118+1</f>
        <v>2</v>
      </c>
      <c r="M119" s="11">
        <f t="shared" ref="M119:M124" si="35">INDEX($B$125:$K$126,1,L119)</f>
        <v>0</v>
      </c>
      <c r="N119" s="11">
        <f t="shared" ref="N119:N124" si="36">IF(L119=$B$3,0,INDEX($B$125:$K$126,2,L119))</f>
        <v>-10.055147049029348</v>
      </c>
    </row>
    <row r="120" spans="1:14" x14ac:dyDescent="0.25">
      <c r="L120" s="11">
        <f t="shared" ref="L120:L124" si="37">L119+1</f>
        <v>3</v>
      </c>
      <c r="M120" s="11">
        <f t="shared" si="35"/>
        <v>25</v>
      </c>
      <c r="N120" s="11">
        <f t="shared" si="36"/>
        <v>-4.6885587628636358</v>
      </c>
    </row>
    <row r="121" spans="1:14" x14ac:dyDescent="0.25">
      <c r="A121" s="103">
        <f>(A165+A204+A243+A282+A321+A360+A399)*10^9</f>
        <v>3662228137274404</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6.3317778924015702</v>
      </c>
    </row>
    <row r="123" spans="1:14" x14ac:dyDescent="0.25">
      <c r="A123" s="118"/>
      <c r="B123" s="118"/>
      <c r="C123" s="3"/>
      <c r="D123" s="3"/>
      <c r="E123" s="3"/>
      <c r="F123" s="3"/>
      <c r="G123" s="3"/>
      <c r="H123" s="3"/>
      <c r="I123" s="3"/>
      <c r="J123" s="3"/>
      <c r="K123" s="3"/>
      <c r="L123" s="11">
        <f t="shared" si="37"/>
        <v>6</v>
      </c>
      <c r="M123" s="11">
        <f t="shared" si="35"/>
        <v>125</v>
      </c>
      <c r="N123" s="11">
        <f t="shared" si="36"/>
        <v>21.641600502309181</v>
      </c>
    </row>
    <row r="124" spans="1:14" x14ac:dyDescent="0.25">
      <c r="B124" s="3"/>
      <c r="C124" s="3"/>
      <c r="D124" s="3"/>
      <c r="E124" s="3"/>
      <c r="F124" s="3"/>
      <c r="G124" s="3"/>
      <c r="H124" s="3"/>
      <c r="I124" s="3"/>
      <c r="J124" s="3"/>
      <c r="K124" s="3"/>
      <c r="L124" s="11">
        <f t="shared" si="37"/>
        <v>7</v>
      </c>
      <c r="M124" s="11">
        <f t="shared" si="35"/>
        <v>160</v>
      </c>
      <c r="N124" s="11">
        <f t="shared" si="36"/>
        <v>35.337489771386515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-20.678712849703782</v>
      </c>
      <c r="C126" s="107">
        <v>-10.055147049029348</v>
      </c>
      <c r="D126" s="107">
        <v>-4.6885587628636358</v>
      </c>
      <c r="E126" s="107">
        <v>-6.2064010374214313E-5</v>
      </c>
      <c r="F126" s="107">
        <v>6.3317778924015702</v>
      </c>
      <c r="G126" s="107">
        <v>21.641600502309181</v>
      </c>
      <c r="H126" s="107">
        <v>35.337489771386515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6190.9472364362628</v>
      </c>
      <c r="C131" s="27">
        <f t="shared" ref="C131:AF131" si="40">($C$17+SUM(C132:C162))*$B$51</f>
        <v>6190.9313726574819</v>
      </c>
      <c r="D131" s="27">
        <f t="shared" si="40"/>
        <v>6190.7735532058223</v>
      </c>
      <c r="E131" s="27">
        <f t="shared" si="40"/>
        <v>6189.2744133913402</v>
      </c>
      <c r="F131" s="27">
        <f t="shared" si="40"/>
        <v>6180.009984397765</v>
      </c>
      <c r="G131" s="27">
        <f t="shared" si="40"/>
        <v>6174.0814240126228</v>
      </c>
      <c r="H131" s="27">
        <f t="shared" si="40"/>
        <v>6174.0807723559201</v>
      </c>
      <c r="I131" s="27">
        <f t="shared" si="40"/>
        <v>6174.079111524431</v>
      </c>
      <c r="J131" s="27">
        <f t="shared" si="40"/>
        <v>6174.062504711379</v>
      </c>
      <c r="K131" s="27">
        <f t="shared" si="40"/>
        <v>6173.8965866482085</v>
      </c>
      <c r="L131" s="27">
        <f t="shared" si="40"/>
        <v>6172.2522960474153</v>
      </c>
      <c r="M131" s="27">
        <f t="shared" si="40"/>
        <v>6157.1884021846663</v>
      </c>
      <c r="N131" s="27">
        <f t="shared" si="40"/>
        <v>6078.6219357711288</v>
      </c>
      <c r="O131" s="27">
        <f t="shared" si="40"/>
        <v>5906.0986499018309</v>
      </c>
      <c r="P131" s="27">
        <f t="shared" si="40"/>
        <v>5791.6918456062349</v>
      </c>
      <c r="Q131" s="27">
        <f t="shared" si="40"/>
        <v>5677.6969555145115</v>
      </c>
      <c r="R131" s="27">
        <f t="shared" si="40"/>
        <v>5550.4533125819989</v>
      </c>
      <c r="S131" s="27">
        <f t="shared" si="40"/>
        <v>5415.3301090658679</v>
      </c>
      <c r="T131" s="27">
        <f t="shared" si="40"/>
        <v>5263.0159942711907</v>
      </c>
      <c r="U131" s="27">
        <f t="shared" si="40"/>
        <v>5098.9136861427869</v>
      </c>
      <c r="V131" s="27">
        <f t="shared" si="40"/>
        <v>4931.6680852419822</v>
      </c>
      <c r="W131" s="27">
        <f t="shared" si="40"/>
        <v>4770.4235041130669</v>
      </c>
      <c r="X131" s="27">
        <f t="shared" si="40"/>
        <v>4594.2462930839429</v>
      </c>
      <c r="Y131" s="27">
        <f t="shared" si="40"/>
        <v>4379.0972831441386</v>
      </c>
      <c r="Z131" s="27">
        <f t="shared" si="40"/>
        <v>4148.7647112612958</v>
      </c>
      <c r="AA131" s="27">
        <f t="shared" si="40"/>
        <v>3933.397630055119</v>
      </c>
      <c r="AB131" s="27">
        <f t="shared" si="40"/>
        <v>3682.0516775590331</v>
      </c>
      <c r="AC131" s="27">
        <f t="shared" si="40"/>
        <v>3356.5294579331789</v>
      </c>
      <c r="AD131" s="27">
        <f t="shared" si="40"/>
        <v>3047.0954740938014</v>
      </c>
      <c r="AE131" s="27">
        <f t="shared" si="40"/>
        <v>2777.6415844390062</v>
      </c>
      <c r="AF131" s="27">
        <f t="shared" si="40"/>
        <v>2544.6961250922063</v>
      </c>
    </row>
    <row r="132" spans="1:33" x14ac:dyDescent="0.25">
      <c r="B132" s="3">
        <f t="shared" ref="B132:Z133" si="41">$C18*EXP(-B$129/$A18/EXP(-$B$126))</f>
        <v>2.7243447720225297E-3</v>
      </c>
      <c r="C132" s="3">
        <f t="shared" ref="C132:AF132" si="42">$C18*EXP(-C$129/$A18/EXP(-$B$126))</f>
        <v>2.721782357581914E-3</v>
      </c>
      <c r="D132" s="3">
        <f t="shared" si="42"/>
        <v>2.6962903958403553E-3</v>
      </c>
      <c r="E132" s="3">
        <f t="shared" si="42"/>
        <v>2.4541401780955752E-3</v>
      </c>
      <c r="F132" s="3">
        <f t="shared" si="42"/>
        <v>9.5769313375285332E-4</v>
      </c>
      <c r="G132" s="3">
        <f t="shared" si="42"/>
        <v>7.8432571707366575E-8</v>
      </c>
      <c r="H132" s="3">
        <f t="shared" si="42"/>
        <v>1.0646264952170994E-48</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9.0451871452417038E-3</v>
      </c>
      <c r="C134" s="3">
        <f t="shared" si="44"/>
        <v>9.0451871450450243E-3</v>
      </c>
      <c r="D134" s="3">
        <f t="shared" si="44"/>
        <v>9.0451871430782347E-3</v>
      </c>
      <c r="E134" s="3">
        <f t="shared" si="44"/>
        <v>9.0451871234103493E-3</v>
      </c>
      <c r="F134" s="3">
        <f t="shared" si="44"/>
        <v>9.0451869267314904E-3</v>
      </c>
      <c r="G134" s="3">
        <f t="shared" si="44"/>
        <v>9.0451849599431436E-3</v>
      </c>
      <c r="H134" s="3">
        <f t="shared" si="44"/>
        <v>9.0451652920831883E-3</v>
      </c>
      <c r="I134" s="3">
        <f t="shared" si="44"/>
        <v>9.0449686158357422E-3</v>
      </c>
      <c r="J134" s="3">
        <f t="shared" si="44"/>
        <v>9.0430020885528036E-3</v>
      </c>
      <c r="K134" s="3">
        <f t="shared" si="44"/>
        <v>9.0233603159656922E-3</v>
      </c>
      <c r="L134" s="3">
        <f t="shared" si="44"/>
        <v>8.8292738171505767E-3</v>
      </c>
      <c r="M134" s="3">
        <f t="shared" si="44"/>
        <v>7.1038182864443357E-3</v>
      </c>
      <c r="N134" s="3">
        <f t="shared" si="44"/>
        <v>8.0753327383839145E-4</v>
      </c>
      <c r="O134" s="3">
        <f t="shared" si="44"/>
        <v>2.9096868410248096E-13</v>
      </c>
      <c r="P134" s="3">
        <f t="shared" si="44"/>
        <v>1.0732588738890005E-107</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3.4814234608859941E-2</v>
      </c>
      <c r="C135" s="3">
        <f t="shared" si="47"/>
        <v>3.4814234608791648E-2</v>
      </c>
      <c r="D135" s="3">
        <f t="shared" si="47"/>
        <v>3.4814234608108771E-2</v>
      </c>
      <c r="E135" s="3">
        <f t="shared" si="47"/>
        <v>3.4814234601279984E-2</v>
      </c>
      <c r="F135" s="3">
        <f t="shared" si="47"/>
        <v>3.4814234532992115E-2</v>
      </c>
      <c r="G135" s="3">
        <f t="shared" si="47"/>
        <v>3.4814233850113417E-2</v>
      </c>
      <c r="H135" s="3">
        <f t="shared" si="47"/>
        <v>3.4814227021327179E-2</v>
      </c>
      <c r="I135" s="3">
        <f t="shared" si="47"/>
        <v>3.4814158733538499E-2</v>
      </c>
      <c r="J135" s="3">
        <f t="shared" si="47"/>
        <v>3.4813475863018681E-2</v>
      </c>
      <c r="K135" s="3">
        <f t="shared" si="47"/>
        <v>3.4806647894464963E-2</v>
      </c>
      <c r="L135" s="3">
        <f t="shared" si="47"/>
        <v>3.4738441819944885E-2</v>
      </c>
      <c r="M135" s="3">
        <f t="shared" si="47"/>
        <v>3.4063689032221178E-2</v>
      </c>
      <c r="N135" s="3">
        <f t="shared" si="47"/>
        <v>2.7996589498845759E-2</v>
      </c>
      <c r="O135" s="3">
        <f t="shared" si="47"/>
        <v>3.9376728388173538E-3</v>
      </c>
      <c r="P135" s="3">
        <f t="shared" si="47"/>
        <v>1.1928467043022192E-11</v>
      </c>
      <c r="Q135" s="3">
        <f t="shared" si="47"/>
        <v>7.7630911433034643E-97</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1.6737347405565699E-2</v>
      </c>
      <c r="C136" s="3">
        <f t="shared" si="49"/>
        <v>1.6737347405562736E-2</v>
      </c>
      <c r="D136" s="3">
        <f t="shared" si="49"/>
        <v>1.6737347405533124E-2</v>
      </c>
      <c r="E136" s="3">
        <f t="shared" si="49"/>
        <v>1.6737347405236965E-2</v>
      </c>
      <c r="F136" s="3">
        <f t="shared" si="49"/>
        <v>1.6737347402275411E-2</v>
      </c>
      <c r="G136" s="3">
        <f t="shared" si="49"/>
        <v>1.6737347372659851E-2</v>
      </c>
      <c r="H136" s="3">
        <f t="shared" si="49"/>
        <v>1.6737347076504261E-2</v>
      </c>
      <c r="I136" s="3">
        <f t="shared" si="49"/>
        <v>1.6737344114948642E-2</v>
      </c>
      <c r="J136" s="3">
        <f t="shared" si="49"/>
        <v>1.6737314499421296E-2</v>
      </c>
      <c r="K136" s="3">
        <f t="shared" si="49"/>
        <v>1.6737018347029946E-2</v>
      </c>
      <c r="L136" s="3">
        <f t="shared" si="49"/>
        <v>1.6734057111310041E-2</v>
      </c>
      <c r="M136" s="3">
        <f t="shared" si="49"/>
        <v>1.6704473554613197E-2</v>
      </c>
      <c r="N136" s="3">
        <f t="shared" si="49"/>
        <v>1.6411499271404791E-2</v>
      </c>
      <c r="O136" s="3">
        <f t="shared" si="49"/>
        <v>1.3750006482468219E-2</v>
      </c>
      <c r="P136" s="3">
        <f t="shared" si="49"/>
        <v>2.3434158013316653E-3</v>
      </c>
      <c r="Q136" s="3">
        <f t="shared" si="49"/>
        <v>4.8452240548246526E-11</v>
      </c>
      <c r="R136" s="3">
        <f t="shared" si="49"/>
        <v>6.9176561572361765E-88</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1.9251005169364011E-2</v>
      </c>
      <c r="C137" s="3">
        <f t="shared" si="51"/>
        <v>1.9251005169363702E-2</v>
      </c>
      <c r="D137" s="3">
        <f t="shared" si="51"/>
        <v>1.9251005169360631E-2</v>
      </c>
      <c r="E137" s="3">
        <f t="shared" si="51"/>
        <v>1.9251005169329906E-2</v>
      </c>
      <c r="F137" s="3">
        <f t="shared" si="51"/>
        <v>1.9251005169022624E-2</v>
      </c>
      <c r="G137" s="3">
        <f t="shared" si="51"/>
        <v>1.9251005165949828E-2</v>
      </c>
      <c r="H137" s="3">
        <f t="shared" si="51"/>
        <v>1.9251005135221901E-2</v>
      </c>
      <c r="I137" s="3">
        <f t="shared" si="51"/>
        <v>1.9251004827942599E-2</v>
      </c>
      <c r="J137" s="3">
        <f t="shared" si="51"/>
        <v>1.9251001755149856E-2</v>
      </c>
      <c r="K137" s="3">
        <f t="shared" si="51"/>
        <v>1.9250971027249399E-2</v>
      </c>
      <c r="L137" s="3">
        <f t="shared" si="51"/>
        <v>1.9250663750942407E-2</v>
      </c>
      <c r="M137" s="3">
        <f t="shared" si="51"/>
        <v>1.924759125761373E-2</v>
      </c>
      <c r="N137" s="3">
        <f t="shared" si="51"/>
        <v>1.9216893282530581E-2</v>
      </c>
      <c r="O137" s="3">
        <f t="shared" si="51"/>
        <v>1.8912593498724539E-2</v>
      </c>
      <c r="P137" s="3">
        <f t="shared" si="51"/>
        <v>1.6122418307498488E-2</v>
      </c>
      <c r="Q137" s="3">
        <f t="shared" si="51"/>
        <v>3.2675418205395878E-3</v>
      </c>
      <c r="R137" s="3">
        <f t="shared" si="51"/>
        <v>3.8205936681852337E-10</v>
      </c>
      <c r="S137" s="3">
        <f t="shared" si="51"/>
        <v>1.824852724635728E-79</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2.1901222086413756E-2</v>
      </c>
      <c r="C138" s="3">
        <f t="shared" si="53"/>
        <v>2.1901222086413725E-2</v>
      </c>
      <c r="D138" s="3">
        <f t="shared" si="53"/>
        <v>2.1901222086413409E-2</v>
      </c>
      <c r="E138" s="3">
        <f t="shared" si="53"/>
        <v>2.1901222086410255E-2</v>
      </c>
      <c r="F138" s="3">
        <f t="shared" si="53"/>
        <v>2.1901222086378722E-2</v>
      </c>
      <c r="G138" s="3">
        <f t="shared" si="53"/>
        <v>2.190122208606337E-2</v>
      </c>
      <c r="H138" s="3">
        <f t="shared" si="53"/>
        <v>2.1901222082909854E-2</v>
      </c>
      <c r="I138" s="3">
        <f t="shared" si="53"/>
        <v>2.1901222051374708E-2</v>
      </c>
      <c r="J138" s="3">
        <f t="shared" si="53"/>
        <v>2.1901221736023255E-2</v>
      </c>
      <c r="K138" s="3">
        <f t="shared" si="53"/>
        <v>2.1901218582508975E-2</v>
      </c>
      <c r="L138" s="3">
        <f t="shared" si="53"/>
        <v>2.1901187047391139E-2</v>
      </c>
      <c r="M138" s="3">
        <f t="shared" si="53"/>
        <v>2.1900871698710134E-2</v>
      </c>
      <c r="N138" s="3">
        <f t="shared" si="53"/>
        <v>2.1897718461622966E-2</v>
      </c>
      <c r="O138" s="3">
        <f t="shared" si="53"/>
        <v>2.1866211049739018E-2</v>
      </c>
      <c r="P138" s="3">
        <f t="shared" si="53"/>
        <v>2.1553619583686106E-2</v>
      </c>
      <c r="Q138" s="3">
        <f t="shared" si="53"/>
        <v>1.866323789454084E-2</v>
      </c>
      <c r="R138" s="3">
        <f t="shared" si="53"/>
        <v>4.4223669643788203E-3</v>
      </c>
      <c r="S138" s="3">
        <f t="shared" si="53"/>
        <v>2.4679288184960023E-9</v>
      </c>
      <c r="T138" s="3">
        <f t="shared" si="53"/>
        <v>7.2295481000914479E-72</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2.2497281457411155E-2</v>
      </c>
      <c r="C139" s="3">
        <f t="shared" si="55"/>
        <v>2.2497281457411152E-2</v>
      </c>
      <c r="D139" s="3">
        <f t="shared" si="55"/>
        <v>2.2497281457411124E-2</v>
      </c>
      <c r="E139" s="3">
        <f t="shared" si="55"/>
        <v>2.2497281457410829E-2</v>
      </c>
      <c r="F139" s="3">
        <f t="shared" si="55"/>
        <v>2.2497281457407908E-2</v>
      </c>
      <c r="G139" s="3">
        <f t="shared" si="55"/>
        <v>2.2497281457378688E-2</v>
      </c>
      <c r="H139" s="3">
        <f t="shared" si="55"/>
        <v>2.249728145708647E-2</v>
      </c>
      <c r="I139" s="3">
        <f t="shared" si="55"/>
        <v>2.2497281454164318E-2</v>
      </c>
      <c r="J139" s="3">
        <f t="shared" si="55"/>
        <v>2.2497281424942776E-2</v>
      </c>
      <c r="K139" s="3">
        <f t="shared" si="55"/>
        <v>2.2497281132727361E-2</v>
      </c>
      <c r="L139" s="3">
        <f t="shared" si="55"/>
        <v>2.2497278210573433E-2</v>
      </c>
      <c r="M139" s="3">
        <f t="shared" si="55"/>
        <v>2.2497248989055019E-2</v>
      </c>
      <c r="N139" s="3">
        <f t="shared" si="55"/>
        <v>2.2496956775958424E-2</v>
      </c>
      <c r="O139" s="3">
        <f t="shared" si="55"/>
        <v>2.249403485373731E-2</v>
      </c>
      <c r="P139" s="3">
        <f t="shared" si="55"/>
        <v>2.246483649597943E-2</v>
      </c>
      <c r="Q139" s="3">
        <f t="shared" si="55"/>
        <v>2.2174929371224537E-2</v>
      </c>
      <c r="R139" s="3">
        <f t="shared" si="55"/>
        <v>1.9473861512273909E-2</v>
      </c>
      <c r="S139" s="3">
        <f t="shared" si="55"/>
        <v>5.3131294449529701E-3</v>
      </c>
      <c r="T139" s="3">
        <f t="shared" si="55"/>
        <v>1.2143212451057721E-8</v>
      </c>
      <c r="U139" s="3">
        <f t="shared" si="55"/>
        <v>4.7224303070762671E-65</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2.6719174389677101E-2</v>
      </c>
      <c r="C140" s="3">
        <f t="shared" si="57"/>
        <v>2.6719174389677101E-2</v>
      </c>
      <c r="D140" s="3">
        <f t="shared" si="57"/>
        <v>2.6719174389677098E-2</v>
      </c>
      <c r="E140" s="3">
        <f t="shared" si="57"/>
        <v>2.6719174389677067E-2</v>
      </c>
      <c r="F140" s="3">
        <f t="shared" si="57"/>
        <v>2.6719174389676754E-2</v>
      </c>
      <c r="G140" s="3">
        <f t="shared" si="57"/>
        <v>2.6719174389673622E-2</v>
      </c>
      <c r="H140" s="3">
        <f t="shared" si="57"/>
        <v>2.6719174389642317E-2</v>
      </c>
      <c r="I140" s="3">
        <f t="shared" si="57"/>
        <v>2.6719174389329244E-2</v>
      </c>
      <c r="J140" s="3">
        <f t="shared" si="57"/>
        <v>2.6719174386198537E-2</v>
      </c>
      <c r="K140" s="3">
        <f t="shared" si="57"/>
        <v>2.6719174354891444E-2</v>
      </c>
      <c r="L140" s="3">
        <f t="shared" si="57"/>
        <v>2.6719174041820545E-2</v>
      </c>
      <c r="M140" s="3">
        <f t="shared" si="57"/>
        <v>2.6719170911111728E-2</v>
      </c>
      <c r="N140" s="3">
        <f t="shared" si="57"/>
        <v>2.6719139604043724E-2</v>
      </c>
      <c r="O140" s="3">
        <f t="shared" si="57"/>
        <v>2.6718826535381251E-2</v>
      </c>
      <c r="P140" s="3">
        <f t="shared" si="57"/>
        <v>2.6715696050502148E-2</v>
      </c>
      <c r="Q140" s="3">
        <f t="shared" si="57"/>
        <v>2.6684411367531205E-2</v>
      </c>
      <c r="R140" s="3">
        <f t="shared" si="57"/>
        <v>2.6373572404628554E-2</v>
      </c>
      <c r="S140" s="3">
        <f t="shared" si="57"/>
        <v>2.3457530854457152E-2</v>
      </c>
      <c r="T140" s="3">
        <f t="shared" si="57"/>
        <v>7.268012269935141E-3</v>
      </c>
      <c r="U140" s="3">
        <f t="shared" si="57"/>
        <v>5.9258302632292053E-8</v>
      </c>
      <c r="V140" s="3">
        <f t="shared" si="57"/>
        <v>7.6928057331889988E-59</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2.8269244352707574E-2</v>
      </c>
      <c r="C141" s="3">
        <f t="shared" si="59"/>
        <v>2.8269244352707574E-2</v>
      </c>
      <c r="D141" s="3">
        <f t="shared" si="59"/>
        <v>2.8269244352707574E-2</v>
      </c>
      <c r="E141" s="3">
        <f t="shared" si="59"/>
        <v>2.826924435270757E-2</v>
      </c>
      <c r="F141" s="3">
        <f t="shared" si="59"/>
        <v>2.8269244352707539E-2</v>
      </c>
      <c r="G141" s="3">
        <f t="shared" si="59"/>
        <v>2.8269244352707241E-2</v>
      </c>
      <c r="H141" s="3">
        <f t="shared" si="59"/>
        <v>2.8269244352704254E-2</v>
      </c>
      <c r="I141" s="3">
        <f t="shared" si="59"/>
        <v>2.8269244352674375E-2</v>
      </c>
      <c r="J141" s="3">
        <f t="shared" si="59"/>
        <v>2.8269244352375576E-2</v>
      </c>
      <c r="K141" s="3">
        <f t="shared" si="59"/>
        <v>2.8269244349387577E-2</v>
      </c>
      <c r="L141" s="3">
        <f t="shared" si="59"/>
        <v>2.8269244319507583E-2</v>
      </c>
      <c r="M141" s="3">
        <f t="shared" si="59"/>
        <v>2.8269244020707674E-2</v>
      </c>
      <c r="N141" s="3">
        <f t="shared" si="59"/>
        <v>2.826924103270876E-2</v>
      </c>
      <c r="O141" s="3">
        <f t="shared" si="59"/>
        <v>2.8269211152736961E-2</v>
      </c>
      <c r="P141" s="3">
        <f t="shared" si="59"/>
        <v>2.8268912354756009E-2</v>
      </c>
      <c r="Q141" s="3">
        <f t="shared" si="59"/>
        <v>2.8265924548642803E-2</v>
      </c>
      <c r="R141" s="3">
        <f t="shared" si="59"/>
        <v>2.8236063850348853E-2</v>
      </c>
      <c r="S141" s="3">
        <f t="shared" si="59"/>
        <v>2.7939186380079285E-2</v>
      </c>
      <c r="T141" s="3">
        <f t="shared" si="59"/>
        <v>2.5136786133897842E-2</v>
      </c>
      <c r="U141" s="3">
        <f t="shared" si="59"/>
        <v>8.7351366477982344E-3</v>
      </c>
      <c r="V141" s="3">
        <f t="shared" si="59"/>
        <v>2.2432063944484392E-7</v>
      </c>
      <c r="W141" s="3">
        <f t="shared" si="59"/>
        <v>2.7981084607055755E-53</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2.8789242104317232E-2</v>
      </c>
      <c r="C142" s="3">
        <f t="shared" si="61"/>
        <v>2.8789242104317232E-2</v>
      </c>
      <c r="D142" s="3">
        <f t="shared" si="61"/>
        <v>2.8789242104317232E-2</v>
      </c>
      <c r="E142" s="3">
        <f t="shared" si="61"/>
        <v>2.8789242104317232E-2</v>
      </c>
      <c r="F142" s="3">
        <f t="shared" si="61"/>
        <v>2.8789242104317228E-2</v>
      </c>
      <c r="G142" s="3">
        <f t="shared" si="61"/>
        <v>2.87892421043172E-2</v>
      </c>
      <c r="H142" s="3">
        <f t="shared" si="61"/>
        <v>2.8789242104316926E-2</v>
      </c>
      <c r="I142" s="3">
        <f t="shared" si="61"/>
        <v>2.8789242104314182E-2</v>
      </c>
      <c r="J142" s="3">
        <f t="shared" si="61"/>
        <v>2.8789242104286732E-2</v>
      </c>
      <c r="K142" s="3">
        <f t="shared" si="61"/>
        <v>2.8789242104012229E-2</v>
      </c>
      <c r="L142" s="3">
        <f t="shared" si="61"/>
        <v>2.8789242101267227E-2</v>
      </c>
      <c r="M142" s="3">
        <f t="shared" si="61"/>
        <v>2.8789242073817178E-2</v>
      </c>
      <c r="N142" s="3">
        <f t="shared" si="61"/>
        <v>2.8789241799316717E-2</v>
      </c>
      <c r="O142" s="3">
        <f t="shared" si="61"/>
        <v>2.8789239054312209E-2</v>
      </c>
      <c r="P142" s="3">
        <f t="shared" si="61"/>
        <v>2.8789211604281554E-2</v>
      </c>
      <c r="Q142" s="3">
        <f t="shared" si="61"/>
        <v>2.8788937105414528E-2</v>
      </c>
      <c r="R142" s="3">
        <f t="shared" si="61"/>
        <v>2.8786192260690895E-2</v>
      </c>
      <c r="S142" s="3">
        <f t="shared" si="61"/>
        <v>2.8758758203044115E-2</v>
      </c>
      <c r="T142" s="3">
        <f t="shared" si="61"/>
        <v>2.8485851521966681E-2</v>
      </c>
      <c r="U142" s="3">
        <f t="shared" si="61"/>
        <v>2.5895242070712417E-2</v>
      </c>
      <c r="V142" s="3">
        <f t="shared" si="61"/>
        <v>9.9799338907887898E-3</v>
      </c>
      <c r="W142" s="3">
        <f t="shared" si="61"/>
        <v>7.2144720778390435E-7</v>
      </c>
      <c r="X142" s="3">
        <f t="shared" si="61"/>
        <v>2.8117291382345856E-48</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2.5595411660203616E-2</v>
      </c>
      <c r="C143" s="3">
        <f t="shared" si="63"/>
        <v>2.5595411660203616E-2</v>
      </c>
      <c r="D143" s="3">
        <f t="shared" si="63"/>
        <v>2.5595411660203616E-2</v>
      </c>
      <c r="E143" s="3">
        <f t="shared" si="63"/>
        <v>2.5595411660203616E-2</v>
      </c>
      <c r="F143" s="3">
        <f t="shared" si="63"/>
        <v>2.5595411660203616E-2</v>
      </c>
      <c r="G143" s="3">
        <f t="shared" si="63"/>
        <v>2.5595411660203612E-2</v>
      </c>
      <c r="H143" s="3">
        <f t="shared" si="63"/>
        <v>2.5595411660203592E-2</v>
      </c>
      <c r="I143" s="3">
        <f t="shared" si="63"/>
        <v>2.5595411660203373E-2</v>
      </c>
      <c r="J143" s="3">
        <f t="shared" si="63"/>
        <v>2.559541166020117E-2</v>
      </c>
      <c r="K143" s="3">
        <f t="shared" si="63"/>
        <v>2.5595411660179156E-2</v>
      </c>
      <c r="L143" s="3">
        <f t="shared" si="63"/>
        <v>2.5595411659959003E-2</v>
      </c>
      <c r="M143" s="3">
        <f t="shared" si="63"/>
        <v>2.5595411657757489E-2</v>
      </c>
      <c r="N143" s="3">
        <f t="shared" si="63"/>
        <v>2.5595411635742343E-2</v>
      </c>
      <c r="O143" s="3">
        <f t="shared" si="63"/>
        <v>2.5595411415590887E-2</v>
      </c>
      <c r="P143" s="3">
        <f t="shared" si="63"/>
        <v>2.559540921407643E-2</v>
      </c>
      <c r="Q143" s="3">
        <f t="shared" si="63"/>
        <v>2.559538719894227E-2</v>
      </c>
      <c r="R143" s="3">
        <f t="shared" si="63"/>
        <v>2.559516704864212E-2</v>
      </c>
      <c r="S143" s="3">
        <f t="shared" si="63"/>
        <v>2.5592965649783216E-2</v>
      </c>
      <c r="T143" s="3">
        <f t="shared" si="63"/>
        <v>2.5570962072138912E-2</v>
      </c>
      <c r="U143" s="3">
        <f t="shared" si="63"/>
        <v>2.5351964084550701E-2</v>
      </c>
      <c r="V143" s="3">
        <f t="shared" si="63"/>
        <v>2.3262535001044488E-2</v>
      </c>
      <c r="W143" s="3">
        <f t="shared" si="63"/>
        <v>9.8426337740254808E-3</v>
      </c>
      <c r="X143" s="3">
        <f t="shared" si="63"/>
        <v>1.8098983808296352E-6</v>
      </c>
      <c r="Y143" s="3">
        <f t="shared" si="63"/>
        <v>7.9998684475335333E-44</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3.1571984224505523E-2</v>
      </c>
      <c r="C144" s="3">
        <f t="shared" si="65"/>
        <v>3.1571984224505523E-2</v>
      </c>
      <c r="D144" s="3">
        <f t="shared" si="65"/>
        <v>3.1571984224505523E-2</v>
      </c>
      <c r="E144" s="3">
        <f t="shared" si="65"/>
        <v>3.1571984224505523E-2</v>
      </c>
      <c r="F144" s="3">
        <f t="shared" si="65"/>
        <v>3.1571984224505523E-2</v>
      </c>
      <c r="G144" s="3">
        <f t="shared" si="65"/>
        <v>3.1571984224505523E-2</v>
      </c>
      <c r="H144" s="3">
        <f t="shared" si="65"/>
        <v>3.1571984224505516E-2</v>
      </c>
      <c r="I144" s="3">
        <f t="shared" si="65"/>
        <v>3.1571984224505495E-2</v>
      </c>
      <c r="J144" s="3">
        <f t="shared" si="65"/>
        <v>3.1571984224505252E-2</v>
      </c>
      <c r="K144" s="3">
        <f t="shared" si="65"/>
        <v>3.1571984224502796E-2</v>
      </c>
      <c r="L144" s="3">
        <f t="shared" si="65"/>
        <v>3.1571984224478301E-2</v>
      </c>
      <c r="M144" s="3">
        <f t="shared" si="65"/>
        <v>3.1571984224233338E-2</v>
      </c>
      <c r="N144" s="3">
        <f t="shared" si="65"/>
        <v>3.1571984221783665E-2</v>
      </c>
      <c r="O144" s="3">
        <f t="shared" si="65"/>
        <v>3.1571984197286948E-2</v>
      </c>
      <c r="P144" s="3">
        <f t="shared" si="65"/>
        <v>3.1571983952319763E-2</v>
      </c>
      <c r="Q144" s="3">
        <f t="shared" si="65"/>
        <v>3.1571981502648012E-2</v>
      </c>
      <c r="R144" s="3">
        <f t="shared" si="65"/>
        <v>3.1571957005941002E-2</v>
      </c>
      <c r="S144" s="3">
        <f t="shared" si="65"/>
        <v>3.1571712039916246E-2</v>
      </c>
      <c r="T144" s="3">
        <f t="shared" si="65"/>
        <v>3.1569262484203969E-2</v>
      </c>
      <c r="U144" s="3">
        <f t="shared" si="65"/>
        <v>3.1544777377606352E-2</v>
      </c>
      <c r="V144" s="3">
        <f t="shared" si="65"/>
        <v>3.1300968370195678E-2</v>
      </c>
      <c r="W144" s="3">
        <f t="shared" si="65"/>
        <v>2.8964153654102535E-2</v>
      </c>
      <c r="X144" s="3">
        <f t="shared" si="65"/>
        <v>1.3331884213402902E-2</v>
      </c>
      <c r="Y144" s="3">
        <f t="shared" si="65"/>
        <v>5.6911291029218898E-6</v>
      </c>
      <c r="Z144" s="3">
        <f t="shared" si="65"/>
        <v>1.1435824516745182E-39</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4.0619048192840942E-2</v>
      </c>
      <c r="C145" s="3">
        <f t="shared" si="68"/>
        <v>4.0619048192840942E-2</v>
      </c>
      <c r="D145" s="3">
        <f t="shared" si="68"/>
        <v>4.0619048192840942E-2</v>
      </c>
      <c r="E145" s="3">
        <f t="shared" si="68"/>
        <v>4.0619048192840942E-2</v>
      </c>
      <c r="F145" s="3">
        <f t="shared" si="68"/>
        <v>4.0619048192840942E-2</v>
      </c>
      <c r="G145" s="3">
        <f t="shared" si="68"/>
        <v>4.0619048192840942E-2</v>
      </c>
      <c r="H145" s="3">
        <f t="shared" si="68"/>
        <v>4.0619048192840942E-2</v>
      </c>
      <c r="I145" s="3">
        <f t="shared" si="68"/>
        <v>4.0619048192840936E-2</v>
      </c>
      <c r="J145" s="3">
        <f t="shared" si="68"/>
        <v>4.0619048192840908E-2</v>
      </c>
      <c r="K145" s="3">
        <f t="shared" si="68"/>
        <v>4.061904819284063E-2</v>
      </c>
      <c r="L145" s="3">
        <f t="shared" si="68"/>
        <v>4.0619048192837785E-2</v>
      </c>
      <c r="M145" s="3">
        <f t="shared" si="68"/>
        <v>4.061904819280935E-2</v>
      </c>
      <c r="N145" s="3">
        <f t="shared" si="68"/>
        <v>4.0619048192525049E-2</v>
      </c>
      <c r="O145" s="3">
        <f t="shared" si="68"/>
        <v>4.0619048189682011E-2</v>
      </c>
      <c r="P145" s="3">
        <f t="shared" si="68"/>
        <v>4.0619048161251656E-2</v>
      </c>
      <c r="Q145" s="3">
        <f t="shared" si="68"/>
        <v>4.0619047876948047E-2</v>
      </c>
      <c r="R145" s="3">
        <f t="shared" si="68"/>
        <v>4.0619045033912095E-2</v>
      </c>
      <c r="S145" s="3">
        <f t="shared" si="68"/>
        <v>4.0619016603563519E-2</v>
      </c>
      <c r="T145" s="3">
        <f t="shared" si="68"/>
        <v>4.0618732301172203E-2</v>
      </c>
      <c r="U145" s="3">
        <f t="shared" si="68"/>
        <v>4.061588938670134E-2</v>
      </c>
      <c r="V145" s="3">
        <f t="shared" si="68"/>
        <v>4.0587471183388436E-2</v>
      </c>
      <c r="W145" s="3">
        <f t="shared" si="68"/>
        <v>4.0304380461606594E-2</v>
      </c>
      <c r="X145" s="3">
        <f t="shared" si="68"/>
        <v>3.7579830311593967E-2</v>
      </c>
      <c r="Y145" s="3">
        <f t="shared" si="68"/>
        <v>1.866295738470759E-2</v>
      </c>
      <c r="Z145" s="3">
        <f t="shared" si="68"/>
        <v>1.7030874975085168E-5</v>
      </c>
      <c r="AA145" s="3">
        <f t="shared" ref="AA145" si="69">$C31*EXP(-AA$129/$A31/EXP(-$B$126))</f>
        <v>6.8202756029429021E-36</v>
      </c>
      <c r="AB145" s="3">
        <f t="shared" si="67"/>
        <v>0</v>
      </c>
      <c r="AC145" s="3">
        <f t="shared" si="67"/>
        <v>0</v>
      </c>
      <c r="AD145" s="3">
        <f t="shared" si="67"/>
        <v>0</v>
      </c>
      <c r="AE145" s="3">
        <f t="shared" si="67"/>
        <v>0</v>
      </c>
      <c r="AF145" s="3">
        <f t="shared" si="67"/>
        <v>0</v>
      </c>
    </row>
    <row r="146" spans="1:32" x14ac:dyDescent="0.25">
      <c r="B146" s="3">
        <f t="shared" ref="B146:Z146" si="70">$C32*EXP(-B$129/$A32/EXP(-$B$126))</f>
        <v>3.7761220679273885E-2</v>
      </c>
      <c r="C146" s="3">
        <f t="shared" si="70"/>
        <v>3.7761220679273885E-2</v>
      </c>
      <c r="D146" s="3">
        <f t="shared" si="70"/>
        <v>3.7761220679273885E-2</v>
      </c>
      <c r="E146" s="3">
        <f t="shared" si="70"/>
        <v>3.7761220679273885E-2</v>
      </c>
      <c r="F146" s="3">
        <f t="shared" si="70"/>
        <v>3.7761220679273885E-2</v>
      </c>
      <c r="G146" s="3">
        <f t="shared" si="70"/>
        <v>3.7761220679273885E-2</v>
      </c>
      <c r="H146" s="3">
        <f t="shared" si="70"/>
        <v>3.7761220679273885E-2</v>
      </c>
      <c r="I146" s="3">
        <f t="shared" si="70"/>
        <v>3.7761220679273885E-2</v>
      </c>
      <c r="J146" s="3">
        <f t="shared" si="70"/>
        <v>3.7761220679273878E-2</v>
      </c>
      <c r="K146" s="3">
        <f t="shared" si="70"/>
        <v>3.7761220679273858E-2</v>
      </c>
      <c r="L146" s="3">
        <f t="shared" si="70"/>
        <v>3.7761220679273622E-2</v>
      </c>
      <c r="M146" s="3">
        <f t="shared" si="70"/>
        <v>3.7761220679271235E-2</v>
      </c>
      <c r="N146" s="3">
        <f t="shared" si="70"/>
        <v>3.7761220679247393E-2</v>
      </c>
      <c r="O146" s="3">
        <f t="shared" si="70"/>
        <v>3.7761220679008972E-2</v>
      </c>
      <c r="P146" s="3">
        <f t="shared" si="70"/>
        <v>3.7761220676624761E-2</v>
      </c>
      <c r="Q146" s="3">
        <f t="shared" si="70"/>
        <v>3.7761220652782618E-2</v>
      </c>
      <c r="R146" s="3">
        <f t="shared" si="70"/>
        <v>3.776122041436121E-2</v>
      </c>
      <c r="S146" s="3">
        <f t="shared" si="70"/>
        <v>3.7761218030147252E-2</v>
      </c>
      <c r="T146" s="3">
        <f t="shared" si="70"/>
        <v>3.7761194188015913E-2</v>
      </c>
      <c r="U146" s="3">
        <f t="shared" si="70"/>
        <v>3.7760955767530496E-2</v>
      </c>
      <c r="V146" s="3">
        <f t="shared" si="70"/>
        <v>3.7758571645469745E-2</v>
      </c>
      <c r="W146" s="3">
        <f t="shared" si="70"/>
        <v>3.7734738702271432E-2</v>
      </c>
      <c r="X146" s="3">
        <f t="shared" si="70"/>
        <v>3.7497235080743513E-2</v>
      </c>
      <c r="Y146" s="3">
        <f t="shared" si="70"/>
        <v>3.520288284247932E-2</v>
      </c>
      <c r="Z146" s="3">
        <f t="shared" si="70"/>
        <v>1.872268273455005E-2</v>
      </c>
      <c r="AA146" s="3">
        <f t="shared" ref="AA146" si="71">$C32*EXP(-AA$129/$A32/EXP(-$B$126))</f>
        <v>3.3905219120755105E-5</v>
      </c>
      <c r="AB146" s="3">
        <f t="shared" si="67"/>
        <v>1.2860306812446642E-32</v>
      </c>
      <c r="AC146" s="3">
        <f t="shared" si="67"/>
        <v>7.9268214040126303E-307</v>
      </c>
      <c r="AD146" s="3">
        <f t="shared" si="67"/>
        <v>0</v>
      </c>
      <c r="AE146" s="3">
        <f t="shared" si="67"/>
        <v>0</v>
      </c>
      <c r="AF146" s="3">
        <f t="shared" si="67"/>
        <v>0</v>
      </c>
    </row>
    <row r="147" spans="1:32" x14ac:dyDescent="0.25">
      <c r="B147" s="3">
        <f t="shared" ref="B147:Z147" si="72">$C33*EXP(-B$129/$A33/EXP(-$B$126))</f>
        <v>3.2047185254004913E-2</v>
      </c>
      <c r="C147" s="3">
        <f t="shared" si="72"/>
        <v>3.2047185254004913E-2</v>
      </c>
      <c r="D147" s="3">
        <f t="shared" si="72"/>
        <v>3.2047185254004913E-2</v>
      </c>
      <c r="E147" s="3">
        <f t="shared" si="72"/>
        <v>3.2047185254004913E-2</v>
      </c>
      <c r="F147" s="3">
        <f t="shared" si="72"/>
        <v>3.2047185254004913E-2</v>
      </c>
      <c r="G147" s="3">
        <f t="shared" si="72"/>
        <v>3.2047185254004913E-2</v>
      </c>
      <c r="H147" s="3">
        <f t="shared" si="72"/>
        <v>3.2047185254004913E-2</v>
      </c>
      <c r="I147" s="3">
        <f t="shared" si="72"/>
        <v>3.2047185254004913E-2</v>
      </c>
      <c r="J147" s="3">
        <f t="shared" si="72"/>
        <v>3.2047185254004913E-2</v>
      </c>
      <c r="K147" s="3">
        <f t="shared" si="72"/>
        <v>3.2047185254004906E-2</v>
      </c>
      <c r="L147" s="3">
        <f t="shared" si="72"/>
        <v>3.2047185254004892E-2</v>
      </c>
      <c r="M147" s="3">
        <f t="shared" si="72"/>
        <v>3.2047185254004712E-2</v>
      </c>
      <c r="N147" s="3">
        <f t="shared" si="72"/>
        <v>3.2047185254002887E-2</v>
      </c>
      <c r="O147" s="3">
        <f t="shared" si="72"/>
        <v>3.2047185253984631E-2</v>
      </c>
      <c r="P147" s="3">
        <f t="shared" si="72"/>
        <v>3.2047185253802103E-2</v>
      </c>
      <c r="Q147" s="3">
        <f t="shared" si="72"/>
        <v>3.2047185251976792E-2</v>
      </c>
      <c r="R147" s="3">
        <f t="shared" si="72"/>
        <v>3.2047185233723734E-2</v>
      </c>
      <c r="S147" s="3">
        <f t="shared" si="72"/>
        <v>3.2047185051193132E-2</v>
      </c>
      <c r="T147" s="3">
        <f t="shared" si="72"/>
        <v>3.2047183225887108E-2</v>
      </c>
      <c r="U147" s="3">
        <f t="shared" si="72"/>
        <v>3.2047164972832665E-2</v>
      </c>
      <c r="V147" s="3">
        <f t="shared" si="72"/>
        <v>3.2046982442859993E-2</v>
      </c>
      <c r="W147" s="3">
        <f t="shared" si="72"/>
        <v>3.2045157200311959E-2</v>
      </c>
      <c r="X147" s="3">
        <f t="shared" si="72"/>
        <v>3.2026910491493567E-2</v>
      </c>
      <c r="Y147" s="3">
        <f t="shared" si="72"/>
        <v>3.1845013866606868E-2</v>
      </c>
      <c r="Z147" s="3">
        <f t="shared" si="72"/>
        <v>3.0081909847626234E-2</v>
      </c>
      <c r="AA147" s="3">
        <f t="shared" ref="AA147" si="73">$C33*EXP(-AA$129/$A33/EXP(-$B$126))</f>
        <v>1.7019430979273553E-2</v>
      </c>
      <c r="AB147" s="3">
        <f t="shared" si="67"/>
        <v>5.7192797738578799E-5</v>
      </c>
      <c r="AC147" s="3">
        <f t="shared" si="67"/>
        <v>1.0502783168296881E-29</v>
      </c>
      <c r="AD147" s="3">
        <f t="shared" si="67"/>
        <v>4.5807329842710854E-277</v>
      </c>
      <c r="AE147" s="3">
        <f t="shared" si="67"/>
        <v>0</v>
      </c>
      <c r="AF147" s="3">
        <f t="shared" si="67"/>
        <v>0</v>
      </c>
    </row>
    <row r="148" spans="1:32" x14ac:dyDescent="0.25">
      <c r="B148" s="3">
        <f t="shared" ref="B148:Z148" si="74">$C34*EXP(-B$129/$A34/EXP(-$B$126))</f>
        <v>5.5060207151423582E-2</v>
      </c>
      <c r="C148" s="3">
        <f t="shared" si="74"/>
        <v>5.5060207151423582E-2</v>
      </c>
      <c r="D148" s="3">
        <f t="shared" si="74"/>
        <v>5.5060207151423582E-2</v>
      </c>
      <c r="E148" s="3">
        <f t="shared" si="74"/>
        <v>5.5060207151423582E-2</v>
      </c>
      <c r="F148" s="3">
        <f t="shared" si="74"/>
        <v>5.5060207151423582E-2</v>
      </c>
      <c r="G148" s="3">
        <f t="shared" si="74"/>
        <v>5.5060207151423582E-2</v>
      </c>
      <c r="H148" s="3">
        <f t="shared" si="74"/>
        <v>5.5060207151423582E-2</v>
      </c>
      <c r="I148" s="3">
        <f t="shared" si="74"/>
        <v>5.5060207151423582E-2</v>
      </c>
      <c r="J148" s="3">
        <f t="shared" si="74"/>
        <v>5.5060207151423582E-2</v>
      </c>
      <c r="K148" s="3">
        <f t="shared" si="74"/>
        <v>5.5060207151423582E-2</v>
      </c>
      <c r="L148" s="3">
        <f t="shared" si="74"/>
        <v>5.5060207151423575E-2</v>
      </c>
      <c r="M148" s="3">
        <f t="shared" si="74"/>
        <v>5.5060207151423554E-2</v>
      </c>
      <c r="N148" s="3">
        <f t="shared" si="74"/>
        <v>5.506020715142327E-2</v>
      </c>
      <c r="O148" s="3">
        <f t="shared" si="74"/>
        <v>5.5060207151420439E-2</v>
      </c>
      <c r="P148" s="3">
        <f t="shared" si="74"/>
        <v>5.5060207151392149E-2</v>
      </c>
      <c r="Q148" s="3">
        <f t="shared" si="74"/>
        <v>5.506020715110925E-2</v>
      </c>
      <c r="R148" s="3">
        <f t="shared" si="74"/>
        <v>5.506020714828027E-2</v>
      </c>
      <c r="S148" s="3">
        <f t="shared" si="74"/>
        <v>5.5060207119990441E-2</v>
      </c>
      <c r="T148" s="3">
        <f t="shared" si="74"/>
        <v>5.5060206837092208E-2</v>
      </c>
      <c r="U148" s="3">
        <f t="shared" si="74"/>
        <v>5.5060204008109924E-2</v>
      </c>
      <c r="V148" s="3">
        <f t="shared" si="74"/>
        <v>5.5060175718295072E-2</v>
      </c>
      <c r="W148" s="3">
        <f t="shared" si="74"/>
        <v>5.5059892820946019E-2</v>
      </c>
      <c r="X148" s="3">
        <f t="shared" si="74"/>
        <v>5.5057063927397711E-2</v>
      </c>
      <c r="Y148" s="3">
        <f t="shared" si="74"/>
        <v>5.5028782984616192E-2</v>
      </c>
      <c r="Z148" s="3">
        <f t="shared" si="74"/>
        <v>5.4746771309593385E-2</v>
      </c>
      <c r="AA148" s="3">
        <f>$C34*EXP(-AA$129/$A34/EXP(-$B$126))</f>
        <v>5.2004933885879207E-2</v>
      </c>
      <c r="AB148" s="3">
        <f t="shared" si="67"/>
        <v>3.1110351425784243E-2</v>
      </c>
      <c r="AC148" s="3">
        <f t="shared" si="67"/>
        <v>1.8260329115135098E-4</v>
      </c>
      <c r="AD148" s="3">
        <f t="shared" si="67"/>
        <v>8.8622794198010314E-27</v>
      </c>
      <c r="AE148" s="3">
        <f t="shared" si="67"/>
        <v>6.4256019614405723E-250</v>
      </c>
      <c r="AF148" s="3">
        <f t="shared" si="67"/>
        <v>0</v>
      </c>
    </row>
    <row r="149" spans="1:32" x14ac:dyDescent="0.25">
      <c r="B149" s="3">
        <f t="shared" ref="B149:Z149" si="75">$C35*EXP(-B$129/$A35/EXP(-$B$126))</f>
        <v>5.5367146096233756E-2</v>
      </c>
      <c r="C149" s="3">
        <f t="shared" si="75"/>
        <v>5.5367146096233756E-2</v>
      </c>
      <c r="D149" s="3">
        <f t="shared" si="75"/>
        <v>5.5367146096233756E-2</v>
      </c>
      <c r="E149" s="3">
        <f t="shared" si="75"/>
        <v>5.5367146096233756E-2</v>
      </c>
      <c r="F149" s="3">
        <f t="shared" si="75"/>
        <v>5.5367146096233756E-2</v>
      </c>
      <c r="G149" s="3">
        <f t="shared" si="75"/>
        <v>5.5367146096233756E-2</v>
      </c>
      <c r="H149" s="3">
        <f t="shared" si="75"/>
        <v>5.5367146096233756E-2</v>
      </c>
      <c r="I149" s="3">
        <f t="shared" si="75"/>
        <v>5.5367146096233756E-2</v>
      </c>
      <c r="J149" s="3">
        <f t="shared" si="75"/>
        <v>5.5367146096233756E-2</v>
      </c>
      <c r="K149" s="3">
        <f t="shared" si="75"/>
        <v>5.5367146096233756E-2</v>
      </c>
      <c r="L149" s="3">
        <f t="shared" si="75"/>
        <v>5.5367146096233756E-2</v>
      </c>
      <c r="M149" s="3">
        <f t="shared" si="75"/>
        <v>5.5367146096233756E-2</v>
      </c>
      <c r="N149" s="3">
        <f t="shared" si="75"/>
        <v>5.5367146096233728E-2</v>
      </c>
      <c r="O149" s="3">
        <f t="shared" si="75"/>
        <v>5.5367146096233472E-2</v>
      </c>
      <c r="P149" s="3">
        <f t="shared" si="75"/>
        <v>5.5367146096230904E-2</v>
      </c>
      <c r="Q149" s="3">
        <f t="shared" si="75"/>
        <v>5.5367146096205237E-2</v>
      </c>
      <c r="R149" s="3">
        <f t="shared" si="75"/>
        <v>5.5367146095948623E-2</v>
      </c>
      <c r="S149" s="3">
        <f t="shared" si="75"/>
        <v>5.5367146093382419E-2</v>
      </c>
      <c r="T149" s="3">
        <f t="shared" si="75"/>
        <v>5.5367146067720377E-2</v>
      </c>
      <c r="U149" s="3">
        <f t="shared" si="75"/>
        <v>5.5367145811100013E-2</v>
      </c>
      <c r="V149" s="3">
        <f t="shared" si="75"/>
        <v>5.5367143244896368E-2</v>
      </c>
      <c r="W149" s="3">
        <f t="shared" si="75"/>
        <v>5.5367117582866464E-2</v>
      </c>
      <c r="X149" s="3">
        <f t="shared" si="75"/>
        <v>5.536686096322159E-2</v>
      </c>
      <c r="Y149" s="3">
        <f t="shared" si="75"/>
        <v>5.5364294832188958E-2</v>
      </c>
      <c r="Z149" s="3">
        <f t="shared" si="75"/>
        <v>5.5338640062349211E-2</v>
      </c>
      <c r="AA149" s="3">
        <f t="shared" ref="AA149" si="76">$C35*EXP(-AA$129/$A35/EXP(-$B$126))</f>
        <v>5.5082745292368784E-2</v>
      </c>
      <c r="AB149" s="3">
        <f t="shared" si="67"/>
        <v>5.2587984468658401E-2</v>
      </c>
      <c r="AC149" s="3">
        <f t="shared" si="67"/>
        <v>3.3082324315662978E-2</v>
      </c>
      <c r="AD149" s="3">
        <f t="shared" si="67"/>
        <v>3.2113741215873329E-4</v>
      </c>
      <c r="AE149" s="3">
        <f t="shared" si="67"/>
        <v>2.385831610466632E-24</v>
      </c>
      <c r="AF149" s="3">
        <f t="shared" si="67"/>
        <v>1.2221616120922448E-225</v>
      </c>
    </row>
    <row r="150" spans="1:32" x14ac:dyDescent="0.25">
      <c r="B150" s="3">
        <f t="shared" ref="B150:Z150" si="77">$C36*EXP(-B$129/$A36/EXP(-$B$126))</f>
        <v>4.7007838258753223E-2</v>
      </c>
      <c r="C150" s="3">
        <f t="shared" si="77"/>
        <v>4.7007838258753223E-2</v>
      </c>
      <c r="D150" s="3">
        <f t="shared" si="77"/>
        <v>4.7007838258753223E-2</v>
      </c>
      <c r="E150" s="3">
        <f t="shared" si="77"/>
        <v>4.7007838258753223E-2</v>
      </c>
      <c r="F150" s="3">
        <f t="shared" si="77"/>
        <v>4.7007838258753223E-2</v>
      </c>
      <c r="G150" s="3">
        <f t="shared" si="77"/>
        <v>4.7007838258753223E-2</v>
      </c>
      <c r="H150" s="3">
        <f t="shared" si="77"/>
        <v>4.7007838258753223E-2</v>
      </c>
      <c r="I150" s="3">
        <f t="shared" si="77"/>
        <v>4.7007838258753223E-2</v>
      </c>
      <c r="J150" s="3">
        <f t="shared" si="77"/>
        <v>4.7007838258753223E-2</v>
      </c>
      <c r="K150" s="3">
        <f t="shared" si="77"/>
        <v>4.7007838258753223E-2</v>
      </c>
      <c r="L150" s="3">
        <f t="shared" si="77"/>
        <v>4.7007838258753223E-2</v>
      </c>
      <c r="M150" s="3">
        <f t="shared" si="77"/>
        <v>4.7007838258753223E-2</v>
      </c>
      <c r="N150" s="3">
        <f t="shared" si="77"/>
        <v>4.7007838258753223E-2</v>
      </c>
      <c r="O150" s="3">
        <f t="shared" si="77"/>
        <v>4.7007838258753203E-2</v>
      </c>
      <c r="P150" s="3">
        <f t="shared" si="77"/>
        <v>4.7007838258753001E-2</v>
      </c>
      <c r="Q150" s="3">
        <f t="shared" si="77"/>
        <v>4.7007838258751045E-2</v>
      </c>
      <c r="R150" s="3">
        <f t="shared" si="77"/>
        <v>4.7007838258731387E-2</v>
      </c>
      <c r="S150" s="3">
        <f t="shared" si="77"/>
        <v>4.7007838258534843E-2</v>
      </c>
      <c r="T150" s="3">
        <f t="shared" si="77"/>
        <v>4.7007838256569422E-2</v>
      </c>
      <c r="U150" s="3">
        <f t="shared" si="77"/>
        <v>4.7007838236915199E-2</v>
      </c>
      <c r="V150" s="3">
        <f t="shared" si="77"/>
        <v>4.7007838040372979E-2</v>
      </c>
      <c r="W150" s="3">
        <f t="shared" si="77"/>
        <v>4.7007836074950807E-2</v>
      </c>
      <c r="X150" s="3">
        <f t="shared" si="77"/>
        <v>4.7007816420733609E-2</v>
      </c>
      <c r="Y150" s="3">
        <f t="shared" si="77"/>
        <v>4.7007619879013557E-2</v>
      </c>
      <c r="Z150" s="3">
        <f t="shared" si="77"/>
        <v>4.7005654507008741E-2</v>
      </c>
      <c r="AA150" s="3">
        <f t="shared" ref="AA150" si="78">$C36*EXP(-AA$129/$A36/EXP(-$B$126))</f>
        <v>4.6986005305826861E-2</v>
      </c>
      <c r="AB150" s="3">
        <f t="shared" si="67"/>
        <v>4.6789964482349608E-2</v>
      </c>
      <c r="AC150" s="3">
        <f t="shared" si="67"/>
        <v>4.4873984835487532E-2</v>
      </c>
      <c r="AD150" s="3">
        <f t="shared" si="67"/>
        <v>2.9540228478175831E-2</v>
      </c>
      <c r="AE150" s="3">
        <f t="shared" si="67"/>
        <v>4.5144617935111863E-4</v>
      </c>
      <c r="AF150" s="3">
        <f t="shared" si="67"/>
        <v>3.137092326440652E-22</v>
      </c>
    </row>
    <row r="151" spans="1:32" x14ac:dyDescent="0.25">
      <c r="B151" s="3">
        <f t="shared" ref="B151:Z151" si="79">$C37*EXP(-B$129/$A37/EXP(-$B$126))</f>
        <v>4.3271313852142758E-2</v>
      </c>
      <c r="C151" s="3">
        <f t="shared" si="79"/>
        <v>4.3271313852142758E-2</v>
      </c>
      <c r="D151" s="3">
        <f t="shared" si="79"/>
        <v>4.3271313852142758E-2</v>
      </c>
      <c r="E151" s="3">
        <f t="shared" si="79"/>
        <v>4.3271313852142758E-2</v>
      </c>
      <c r="F151" s="3">
        <f t="shared" si="79"/>
        <v>4.3271313852142758E-2</v>
      </c>
      <c r="G151" s="3">
        <f t="shared" si="79"/>
        <v>4.3271313852142758E-2</v>
      </c>
      <c r="H151" s="3">
        <f t="shared" si="79"/>
        <v>4.3271313852142758E-2</v>
      </c>
      <c r="I151" s="3">
        <f t="shared" si="79"/>
        <v>4.3271313852142758E-2</v>
      </c>
      <c r="J151" s="3">
        <f t="shared" si="79"/>
        <v>4.3271313852142758E-2</v>
      </c>
      <c r="K151" s="3">
        <f t="shared" si="79"/>
        <v>4.3271313852142758E-2</v>
      </c>
      <c r="L151" s="3">
        <f t="shared" si="79"/>
        <v>4.3271313852142758E-2</v>
      </c>
      <c r="M151" s="3">
        <f t="shared" si="79"/>
        <v>4.3271313852142758E-2</v>
      </c>
      <c r="N151" s="3">
        <f t="shared" si="79"/>
        <v>4.3271313852142758E-2</v>
      </c>
      <c r="O151" s="3">
        <f t="shared" si="79"/>
        <v>4.3271313852142758E-2</v>
      </c>
      <c r="P151" s="3">
        <f t="shared" si="79"/>
        <v>4.3271313852142737E-2</v>
      </c>
      <c r="Q151" s="3">
        <f t="shared" si="79"/>
        <v>4.3271313852142577E-2</v>
      </c>
      <c r="R151" s="3">
        <f t="shared" si="79"/>
        <v>4.3271313852140947E-2</v>
      </c>
      <c r="S151" s="3">
        <f t="shared" si="79"/>
        <v>4.327131385212462E-2</v>
      </c>
      <c r="T151" s="3">
        <f t="shared" si="79"/>
        <v>4.3271313851961417E-2</v>
      </c>
      <c r="U151" s="3">
        <f t="shared" si="79"/>
        <v>4.3271313850329375E-2</v>
      </c>
      <c r="V151" s="3">
        <f t="shared" si="79"/>
        <v>4.3271313834008916E-2</v>
      </c>
      <c r="W151" s="3">
        <f t="shared" si="79"/>
        <v>4.3271313670804369E-2</v>
      </c>
      <c r="X151" s="3">
        <f t="shared" si="79"/>
        <v>4.327131203875894E-2</v>
      </c>
      <c r="Y151" s="3">
        <f t="shared" si="79"/>
        <v>4.3271295718307963E-2</v>
      </c>
      <c r="Z151" s="3">
        <f t="shared" si="79"/>
        <v>4.327113251413682E-2</v>
      </c>
      <c r="AA151" s="3">
        <f t="shared" ref="AA151" si="80">$C37*EXP(-AA$129/$A37/EXP(-$B$126))</f>
        <v>4.3269500506280201E-2</v>
      </c>
      <c r="AB151" s="3">
        <f t="shared" si="67"/>
        <v>4.3253183812722598E-2</v>
      </c>
      <c r="AC151" s="3">
        <f t="shared" si="67"/>
        <v>4.309035490610276E-2</v>
      </c>
      <c r="AD151" s="3">
        <f t="shared" si="67"/>
        <v>4.1495401732943256E-2</v>
      </c>
      <c r="AE151" s="3">
        <f t="shared" si="67"/>
        <v>2.8457647644487476E-2</v>
      </c>
      <c r="AF151" s="3">
        <f t="shared" si="67"/>
        <v>6.5492148819652101E-4</v>
      </c>
    </row>
    <row r="152" spans="1:32" x14ac:dyDescent="0.25">
      <c r="B152" s="3">
        <f t="shared" ref="B152:Z152" si="81">$C38*EXP(-B$129/$A38/EXP(-$B$126))</f>
        <v>2.2304524360839302E-2</v>
      </c>
      <c r="C152" s="3">
        <f t="shared" si="81"/>
        <v>2.2304524360839302E-2</v>
      </c>
      <c r="D152" s="3">
        <f t="shared" si="81"/>
        <v>2.2304524360839302E-2</v>
      </c>
      <c r="E152" s="3">
        <f t="shared" si="81"/>
        <v>2.2304524360839302E-2</v>
      </c>
      <c r="F152" s="3">
        <f t="shared" si="81"/>
        <v>2.2304524360839302E-2</v>
      </c>
      <c r="G152" s="3">
        <f t="shared" si="81"/>
        <v>2.2304524360839302E-2</v>
      </c>
      <c r="H152" s="3">
        <f t="shared" si="81"/>
        <v>2.2304524360839302E-2</v>
      </c>
      <c r="I152" s="3">
        <f t="shared" si="81"/>
        <v>2.2304524360839302E-2</v>
      </c>
      <c r="J152" s="3">
        <f t="shared" si="81"/>
        <v>2.2304524360839302E-2</v>
      </c>
      <c r="K152" s="3">
        <f t="shared" si="81"/>
        <v>2.2304524360839302E-2</v>
      </c>
      <c r="L152" s="3">
        <f t="shared" si="81"/>
        <v>2.2304524360839302E-2</v>
      </c>
      <c r="M152" s="3">
        <f t="shared" si="81"/>
        <v>2.2304524360839302E-2</v>
      </c>
      <c r="N152" s="3">
        <f t="shared" si="81"/>
        <v>2.2304524360839302E-2</v>
      </c>
      <c r="O152" s="3">
        <f t="shared" si="81"/>
        <v>2.2304524360839302E-2</v>
      </c>
      <c r="P152" s="3">
        <f t="shared" si="81"/>
        <v>2.2304524360839302E-2</v>
      </c>
      <c r="Q152" s="3">
        <f t="shared" si="81"/>
        <v>2.2304524360839295E-2</v>
      </c>
      <c r="R152" s="3">
        <f t="shared" si="81"/>
        <v>2.2304524360839219E-2</v>
      </c>
      <c r="S152" s="3">
        <f t="shared" si="81"/>
        <v>2.2304524360838459E-2</v>
      </c>
      <c r="T152" s="3">
        <f t="shared" si="81"/>
        <v>2.2304524360830871E-2</v>
      </c>
      <c r="U152" s="3">
        <f t="shared" si="81"/>
        <v>2.2304524360754981E-2</v>
      </c>
      <c r="V152" s="3">
        <f t="shared" si="81"/>
        <v>2.2304524359996105E-2</v>
      </c>
      <c r="W152" s="3">
        <f t="shared" si="81"/>
        <v>2.2304524352407328E-2</v>
      </c>
      <c r="X152" s="3">
        <f t="shared" si="81"/>
        <v>2.230452427651957E-2</v>
      </c>
      <c r="Y152" s="3">
        <f t="shared" si="81"/>
        <v>2.2304523517641991E-2</v>
      </c>
      <c r="Z152" s="3">
        <f t="shared" si="81"/>
        <v>2.2304515928867626E-2</v>
      </c>
      <c r="AA152" s="3">
        <f t="shared" ref="AA152" si="82">$C38*EXP(-AA$129/$A38/EXP(-$B$126))</f>
        <v>2.2304440041265972E-2</v>
      </c>
      <c r="AB152" s="3">
        <f t="shared" si="67"/>
        <v>2.2303681179450051E-2</v>
      </c>
      <c r="AC152" s="3">
        <f t="shared" si="67"/>
        <v>2.2296093981173451E-2</v>
      </c>
      <c r="AD152" s="3">
        <f t="shared" si="67"/>
        <v>2.2220363808086077E-2</v>
      </c>
      <c r="AE152" s="3">
        <f t="shared" si="67"/>
        <v>2.1477066138314009E-2</v>
      </c>
      <c r="AF152" s="3">
        <f t="shared" si="67"/>
        <v>1.528314900943553E-2</v>
      </c>
    </row>
    <row r="153" spans="1:32" x14ac:dyDescent="0.25">
      <c r="B153" s="3">
        <f t="shared" ref="B153:Z153" si="83">$C39*EXP(-B$129/$A39/EXP(-$B$126))</f>
        <v>3.1643216322297517E-2</v>
      </c>
      <c r="C153" s="3">
        <f t="shared" si="83"/>
        <v>3.1643216322297517E-2</v>
      </c>
      <c r="D153" s="3">
        <f t="shared" si="83"/>
        <v>3.1643216322297517E-2</v>
      </c>
      <c r="E153" s="3">
        <f t="shared" si="83"/>
        <v>3.1643216322297517E-2</v>
      </c>
      <c r="F153" s="3">
        <f t="shared" si="83"/>
        <v>3.1643216322297517E-2</v>
      </c>
      <c r="G153" s="3">
        <f t="shared" si="83"/>
        <v>3.1643216322297517E-2</v>
      </c>
      <c r="H153" s="3">
        <f t="shared" si="83"/>
        <v>3.1643216322297517E-2</v>
      </c>
      <c r="I153" s="3">
        <f t="shared" si="83"/>
        <v>3.1643216322297517E-2</v>
      </c>
      <c r="J153" s="3">
        <f t="shared" si="83"/>
        <v>3.1643216322297517E-2</v>
      </c>
      <c r="K153" s="3">
        <f t="shared" si="83"/>
        <v>3.1643216322297517E-2</v>
      </c>
      <c r="L153" s="3">
        <f t="shared" si="83"/>
        <v>3.1643216322297517E-2</v>
      </c>
      <c r="M153" s="3">
        <f t="shared" si="83"/>
        <v>3.1643216322297517E-2</v>
      </c>
      <c r="N153" s="3">
        <f t="shared" si="83"/>
        <v>3.1643216322297517E-2</v>
      </c>
      <c r="O153" s="3">
        <f t="shared" si="83"/>
        <v>3.1643216322297517E-2</v>
      </c>
      <c r="P153" s="3">
        <f t="shared" si="83"/>
        <v>3.1643216322297517E-2</v>
      </c>
      <c r="Q153" s="3">
        <f t="shared" si="83"/>
        <v>3.164321632229751E-2</v>
      </c>
      <c r="R153" s="3">
        <f t="shared" si="83"/>
        <v>3.1643216322297482E-2</v>
      </c>
      <c r="S153" s="3">
        <f t="shared" si="83"/>
        <v>3.1643216322297184E-2</v>
      </c>
      <c r="T153" s="3">
        <f t="shared" si="83"/>
        <v>3.1643216322294207E-2</v>
      </c>
      <c r="U153" s="3">
        <f t="shared" si="83"/>
        <v>3.1643216322264432E-2</v>
      </c>
      <c r="V153" s="3">
        <f t="shared" si="83"/>
        <v>3.1643216321966663E-2</v>
      </c>
      <c r="W153" s="3">
        <f t="shared" si="83"/>
        <v>3.1643216318989024E-2</v>
      </c>
      <c r="X153" s="3">
        <f t="shared" si="83"/>
        <v>3.1643216289212621E-2</v>
      </c>
      <c r="Y153" s="3">
        <f t="shared" si="83"/>
        <v>3.1643215991448585E-2</v>
      </c>
      <c r="Z153" s="3">
        <f t="shared" si="83"/>
        <v>3.1643213013808374E-2</v>
      </c>
      <c r="AA153" s="3">
        <f t="shared" ref="AA153" si="84">$C39*EXP(-AA$129/$A39/EXP(-$B$126))</f>
        <v>3.1643183237421636E-2</v>
      </c>
      <c r="AB153" s="3">
        <f t="shared" si="67"/>
        <v>3.1642885475095375E-2</v>
      </c>
      <c r="AC153" s="3">
        <f t="shared" si="67"/>
        <v>3.1639908005935267E-2</v>
      </c>
      <c r="AD153" s="3">
        <f t="shared" si="67"/>
        <v>3.1610148719222825E-2</v>
      </c>
      <c r="AE153" s="3">
        <f t="shared" si="67"/>
        <v>3.1314090990892447E-2</v>
      </c>
      <c r="AF153" s="3">
        <f t="shared" si="67"/>
        <v>2.8501814552263086E-2</v>
      </c>
    </row>
    <row r="154" spans="1:32" x14ac:dyDescent="0.25">
      <c r="B154" s="3">
        <f t="shared" ref="B154:Z154" si="85">$C40*EXP(-B$129/$A40/EXP(-$B$126))</f>
        <v>3.5141037946940686E-2</v>
      </c>
      <c r="C154" s="3">
        <f t="shared" si="85"/>
        <v>3.5141037946940686E-2</v>
      </c>
      <c r="D154" s="3">
        <f t="shared" si="85"/>
        <v>3.5141037946940686E-2</v>
      </c>
      <c r="E154" s="3">
        <f t="shared" si="85"/>
        <v>3.5141037946940686E-2</v>
      </c>
      <c r="F154" s="3">
        <f t="shared" si="85"/>
        <v>3.5141037946940686E-2</v>
      </c>
      <c r="G154" s="3">
        <f t="shared" si="85"/>
        <v>3.5141037946940686E-2</v>
      </c>
      <c r="H154" s="3">
        <f t="shared" si="85"/>
        <v>3.5141037946940686E-2</v>
      </c>
      <c r="I154" s="3">
        <f t="shared" si="85"/>
        <v>3.5141037946940686E-2</v>
      </c>
      <c r="J154" s="3">
        <f t="shared" si="85"/>
        <v>3.5141037946940686E-2</v>
      </c>
      <c r="K154" s="3">
        <f t="shared" si="85"/>
        <v>3.5141037946940686E-2</v>
      </c>
      <c r="L154" s="3">
        <f t="shared" si="85"/>
        <v>3.5141037946940686E-2</v>
      </c>
      <c r="M154" s="3">
        <f t="shared" si="85"/>
        <v>3.5141037946940686E-2</v>
      </c>
      <c r="N154" s="3">
        <f t="shared" si="85"/>
        <v>3.5141037946940686E-2</v>
      </c>
      <c r="O154" s="3">
        <f t="shared" si="85"/>
        <v>3.5141037946940686E-2</v>
      </c>
      <c r="P154" s="3">
        <f t="shared" si="85"/>
        <v>3.5141037946940686E-2</v>
      </c>
      <c r="Q154" s="3">
        <f t="shared" si="85"/>
        <v>3.5141037946940686E-2</v>
      </c>
      <c r="R154" s="3">
        <f t="shared" si="85"/>
        <v>3.5141037946940679E-2</v>
      </c>
      <c r="S154" s="3">
        <f t="shared" si="85"/>
        <v>3.5141037946940651E-2</v>
      </c>
      <c r="T154" s="3">
        <f t="shared" si="85"/>
        <v>3.5141037946940318E-2</v>
      </c>
      <c r="U154" s="3">
        <f t="shared" si="85"/>
        <v>3.5141037946937008E-2</v>
      </c>
      <c r="V154" s="3">
        <f t="shared" si="85"/>
        <v>3.5141037946903944E-2</v>
      </c>
      <c r="W154" s="3">
        <f t="shared" si="85"/>
        <v>3.5141037946573264E-2</v>
      </c>
      <c r="X154" s="3">
        <f t="shared" si="85"/>
        <v>3.5141037943266479E-2</v>
      </c>
      <c r="Y154" s="3">
        <f t="shared" si="85"/>
        <v>3.5141037910198604E-2</v>
      </c>
      <c r="Z154" s="3">
        <f t="shared" si="85"/>
        <v>3.5141037579519918E-2</v>
      </c>
      <c r="AA154" s="3">
        <f t="shared" ref="AA154:AF154" si="86">$C40*EXP(-AA$129/$A40/EXP(-$B$126))</f>
        <v>3.5141034272733192E-2</v>
      </c>
      <c r="AB154" s="3">
        <f t="shared" si="86"/>
        <v>3.5141001204883025E-2</v>
      </c>
      <c r="AC154" s="3">
        <f t="shared" si="86"/>
        <v>3.5140670528092784E-2</v>
      </c>
      <c r="AD154" s="3">
        <f t="shared" si="86"/>
        <v>3.5137363931327284E-2</v>
      </c>
      <c r="AE154" s="3">
        <f t="shared" si="86"/>
        <v>3.5104315071407856E-2</v>
      </c>
      <c r="AF154" s="3">
        <f t="shared" si="86"/>
        <v>3.4775531304303504E-2</v>
      </c>
    </row>
    <row r="155" spans="1:32" x14ac:dyDescent="0.25">
      <c r="B155" s="3">
        <f t="shared" ref="B155:Z155" si="87">$C41*EXP(-B$129/$A41/EXP(-$B$126))</f>
        <v>3.5593088100758001E-2</v>
      </c>
      <c r="C155" s="3">
        <f t="shared" si="87"/>
        <v>3.5593088100758001E-2</v>
      </c>
      <c r="D155" s="3">
        <f t="shared" si="87"/>
        <v>3.5593088100758001E-2</v>
      </c>
      <c r="E155" s="3">
        <f t="shared" si="87"/>
        <v>3.5593088100758001E-2</v>
      </c>
      <c r="F155" s="3">
        <f t="shared" si="87"/>
        <v>3.5593088100758001E-2</v>
      </c>
      <c r="G155" s="3">
        <f t="shared" si="87"/>
        <v>3.5593088100758001E-2</v>
      </c>
      <c r="H155" s="3">
        <f t="shared" si="87"/>
        <v>3.5593088100758001E-2</v>
      </c>
      <c r="I155" s="3">
        <f t="shared" si="87"/>
        <v>3.5593088100758001E-2</v>
      </c>
      <c r="J155" s="3">
        <f t="shared" si="87"/>
        <v>3.5593088100758001E-2</v>
      </c>
      <c r="K155" s="3">
        <f t="shared" si="87"/>
        <v>3.5593088100758001E-2</v>
      </c>
      <c r="L155" s="3">
        <f t="shared" si="87"/>
        <v>3.5593088100758001E-2</v>
      </c>
      <c r="M155" s="3">
        <f t="shared" si="87"/>
        <v>3.5593088100758001E-2</v>
      </c>
      <c r="N155" s="3">
        <f t="shared" si="87"/>
        <v>3.5593088100758001E-2</v>
      </c>
      <c r="O155" s="3">
        <f t="shared" si="87"/>
        <v>3.5593088100758001E-2</v>
      </c>
      <c r="P155" s="3">
        <f t="shared" si="87"/>
        <v>3.5593088100758001E-2</v>
      </c>
      <c r="Q155" s="3">
        <f t="shared" si="87"/>
        <v>3.5593088100758001E-2</v>
      </c>
      <c r="R155" s="3">
        <f t="shared" si="87"/>
        <v>3.5593088100758001E-2</v>
      </c>
      <c r="S155" s="3">
        <f t="shared" si="87"/>
        <v>3.5593088100757994E-2</v>
      </c>
      <c r="T155" s="3">
        <f t="shared" si="87"/>
        <v>3.5593088100757966E-2</v>
      </c>
      <c r="U155" s="3">
        <f t="shared" si="87"/>
        <v>3.5593088100757626E-2</v>
      </c>
      <c r="V155" s="3">
        <f t="shared" si="87"/>
        <v>3.5593088100754282E-2</v>
      </c>
      <c r="W155" s="3">
        <f t="shared" si="87"/>
        <v>3.5593088100720788E-2</v>
      </c>
      <c r="X155" s="3">
        <f t="shared" si="87"/>
        <v>3.5593088100385854E-2</v>
      </c>
      <c r="Y155" s="3">
        <f t="shared" si="87"/>
        <v>3.5593088097036527E-2</v>
      </c>
      <c r="Z155" s="3">
        <f t="shared" si="87"/>
        <v>3.5593088063543277E-2</v>
      </c>
      <c r="AA155" s="3">
        <f t="shared" ref="AA155:AF155" si="88">$C41*EXP(-AA$129/$A41/EXP(-$B$126))</f>
        <v>3.5593087728610778E-2</v>
      </c>
      <c r="AB155" s="3">
        <f t="shared" si="88"/>
        <v>3.559308437928594E-2</v>
      </c>
      <c r="AC155" s="3">
        <f t="shared" si="88"/>
        <v>3.5593050886054856E-2</v>
      </c>
      <c r="AD155" s="3">
        <f t="shared" si="88"/>
        <v>3.5592715955477514E-2</v>
      </c>
      <c r="AE155" s="3">
        <f t="shared" si="88"/>
        <v>3.5589366823042506E-2</v>
      </c>
      <c r="AF155" s="3">
        <f t="shared" si="88"/>
        <v>3.5555892826499833E-2</v>
      </c>
    </row>
    <row r="156" spans="1:32" x14ac:dyDescent="0.25">
      <c r="B156" s="3">
        <f t="shared" ref="B156:Z156" si="89">$C42*EXP(-B$129/$A42/EXP(-$B$126))</f>
        <v>3.9001792876272805E-2</v>
      </c>
      <c r="C156" s="3">
        <f t="shared" si="89"/>
        <v>3.9001792876272805E-2</v>
      </c>
      <c r="D156" s="3">
        <f t="shared" si="89"/>
        <v>3.9001792876272805E-2</v>
      </c>
      <c r="E156" s="3">
        <f t="shared" si="89"/>
        <v>3.9001792876272805E-2</v>
      </c>
      <c r="F156" s="3">
        <f t="shared" si="89"/>
        <v>3.9001792876272805E-2</v>
      </c>
      <c r="G156" s="3">
        <f t="shared" si="89"/>
        <v>3.9001792876272805E-2</v>
      </c>
      <c r="H156" s="3">
        <f t="shared" si="89"/>
        <v>3.9001792876272805E-2</v>
      </c>
      <c r="I156" s="3">
        <f t="shared" si="89"/>
        <v>3.9001792876272805E-2</v>
      </c>
      <c r="J156" s="3">
        <f t="shared" si="89"/>
        <v>3.9001792876272805E-2</v>
      </c>
      <c r="K156" s="3">
        <f t="shared" si="89"/>
        <v>3.9001792876272805E-2</v>
      </c>
      <c r="L156" s="3">
        <f t="shared" si="89"/>
        <v>3.9001792876272805E-2</v>
      </c>
      <c r="M156" s="3">
        <f t="shared" si="89"/>
        <v>3.9001792876272805E-2</v>
      </c>
      <c r="N156" s="3">
        <f t="shared" si="89"/>
        <v>3.9001792876272805E-2</v>
      </c>
      <c r="O156" s="3">
        <f t="shared" si="89"/>
        <v>3.9001792876272805E-2</v>
      </c>
      <c r="P156" s="3">
        <f t="shared" si="89"/>
        <v>3.9001792876272805E-2</v>
      </c>
      <c r="Q156" s="3">
        <f t="shared" si="89"/>
        <v>3.9001792876272805E-2</v>
      </c>
      <c r="R156" s="3">
        <f t="shared" si="89"/>
        <v>3.9001792876272805E-2</v>
      </c>
      <c r="S156" s="3">
        <f t="shared" si="89"/>
        <v>3.9001792876272805E-2</v>
      </c>
      <c r="T156" s="3">
        <f t="shared" si="89"/>
        <v>3.9001792876272798E-2</v>
      </c>
      <c r="U156" s="3">
        <f t="shared" si="89"/>
        <v>3.9001792876272763E-2</v>
      </c>
      <c r="V156" s="3">
        <f t="shared" si="89"/>
        <v>3.9001792876272395E-2</v>
      </c>
      <c r="W156" s="3">
        <f t="shared" si="89"/>
        <v>3.9001792876268725E-2</v>
      </c>
      <c r="X156" s="3">
        <f t="shared" si="89"/>
        <v>3.9001792876232025E-2</v>
      </c>
      <c r="Y156" s="3">
        <f t="shared" si="89"/>
        <v>3.9001792875865013E-2</v>
      </c>
      <c r="Z156" s="3">
        <f t="shared" si="89"/>
        <v>3.9001792872194935E-2</v>
      </c>
      <c r="AA156" s="3">
        <f t="shared" ref="AA156:AF156" si="90">$C42*EXP(-AA$129/$A42/EXP(-$B$126))</f>
        <v>3.9001792835494077E-2</v>
      </c>
      <c r="AB156" s="3">
        <f t="shared" si="90"/>
        <v>3.9001792468485515E-2</v>
      </c>
      <c r="AC156" s="3">
        <f t="shared" si="90"/>
        <v>3.9001788798400092E-2</v>
      </c>
      <c r="AD156" s="3">
        <f t="shared" si="90"/>
        <v>3.9001752097564873E-2</v>
      </c>
      <c r="AE156" s="3">
        <f t="shared" si="90"/>
        <v>3.9001385091112152E-2</v>
      </c>
      <c r="AF156" s="3">
        <f t="shared" si="90"/>
        <v>3.8997715216523697E-2</v>
      </c>
    </row>
    <row r="157" spans="1:32" x14ac:dyDescent="0.25">
      <c r="B157" s="3">
        <f t="shared" ref="B157:Z157" si="91">$C43*EXP(-B$129/$A43/EXP(-$B$126))</f>
        <v>4.5862342503385417E-2</v>
      </c>
      <c r="C157" s="3">
        <f t="shared" si="91"/>
        <v>4.5862342503385417E-2</v>
      </c>
      <c r="D157" s="3">
        <f t="shared" si="91"/>
        <v>4.5862342503385417E-2</v>
      </c>
      <c r="E157" s="3">
        <f t="shared" si="91"/>
        <v>4.5862342503385417E-2</v>
      </c>
      <c r="F157" s="3">
        <f t="shared" si="91"/>
        <v>4.5862342503385417E-2</v>
      </c>
      <c r="G157" s="3">
        <f t="shared" si="91"/>
        <v>4.5862342503385417E-2</v>
      </c>
      <c r="H157" s="3">
        <f t="shared" si="91"/>
        <v>4.5862342503385417E-2</v>
      </c>
      <c r="I157" s="3">
        <f t="shared" si="91"/>
        <v>4.5862342503385417E-2</v>
      </c>
      <c r="J157" s="3">
        <f t="shared" si="91"/>
        <v>4.5862342503385417E-2</v>
      </c>
      <c r="K157" s="3">
        <f t="shared" si="91"/>
        <v>4.5862342503385417E-2</v>
      </c>
      <c r="L157" s="3">
        <f t="shared" si="91"/>
        <v>4.5862342503385417E-2</v>
      </c>
      <c r="M157" s="3">
        <f t="shared" si="91"/>
        <v>4.5862342503385417E-2</v>
      </c>
      <c r="N157" s="3">
        <f t="shared" si="91"/>
        <v>4.5862342503385417E-2</v>
      </c>
      <c r="O157" s="3">
        <f t="shared" si="91"/>
        <v>4.5862342503385417E-2</v>
      </c>
      <c r="P157" s="3">
        <f t="shared" si="91"/>
        <v>4.5862342503385417E-2</v>
      </c>
      <c r="Q157" s="3">
        <f t="shared" si="91"/>
        <v>4.5862342503385417E-2</v>
      </c>
      <c r="R157" s="3">
        <f t="shared" si="91"/>
        <v>4.5862342503385417E-2</v>
      </c>
      <c r="S157" s="3">
        <f t="shared" si="91"/>
        <v>4.5862342503385417E-2</v>
      </c>
      <c r="T157" s="3">
        <f t="shared" si="91"/>
        <v>4.5862342503385417E-2</v>
      </c>
      <c r="U157" s="3">
        <f t="shared" si="91"/>
        <v>4.586234250338541E-2</v>
      </c>
      <c r="V157" s="3">
        <f t="shared" si="91"/>
        <v>4.5862342503385368E-2</v>
      </c>
      <c r="W157" s="3">
        <f t="shared" si="91"/>
        <v>4.5862342503384938E-2</v>
      </c>
      <c r="X157" s="3">
        <f t="shared" si="91"/>
        <v>4.5862342503380622E-2</v>
      </c>
      <c r="Y157" s="3">
        <f t="shared" si="91"/>
        <v>4.5862342503337462E-2</v>
      </c>
      <c r="Z157" s="3">
        <f t="shared" si="91"/>
        <v>4.5862342502905898E-2</v>
      </c>
      <c r="AA157" s="3">
        <f t="shared" ref="AA157:AF157" si="92">$C43*EXP(-AA$129/$A43/EXP(-$B$126))</f>
        <v>4.5862342498590232E-2</v>
      </c>
      <c r="AB157" s="3">
        <f t="shared" si="92"/>
        <v>4.5862342455433566E-2</v>
      </c>
      <c r="AC157" s="3">
        <f t="shared" si="92"/>
        <v>4.5862342023866937E-2</v>
      </c>
      <c r="AD157" s="3">
        <f t="shared" si="92"/>
        <v>4.5862337708200862E-2</v>
      </c>
      <c r="AE157" s="3">
        <f t="shared" si="92"/>
        <v>4.5862294551562384E-2</v>
      </c>
      <c r="AF157" s="3">
        <f t="shared" si="92"/>
        <v>4.5861862987411239E-2</v>
      </c>
    </row>
    <row r="158" spans="1:32" x14ac:dyDescent="0.25">
      <c r="B158" s="3">
        <f t="shared" ref="B158:Z158" si="93">$C44*EXP(-B$129/$A44/EXP(-$B$126))</f>
        <v>5.0364270464190349E-2</v>
      </c>
      <c r="C158" s="3">
        <f t="shared" si="93"/>
        <v>5.0364270464190349E-2</v>
      </c>
      <c r="D158" s="3">
        <f t="shared" si="93"/>
        <v>5.0364270464190349E-2</v>
      </c>
      <c r="E158" s="3">
        <f t="shared" si="93"/>
        <v>5.0364270464190349E-2</v>
      </c>
      <c r="F158" s="3">
        <f t="shared" si="93"/>
        <v>5.0364270464190349E-2</v>
      </c>
      <c r="G158" s="3">
        <f t="shared" si="93"/>
        <v>5.0364270464190349E-2</v>
      </c>
      <c r="H158" s="3">
        <f t="shared" si="93"/>
        <v>5.0364270464190349E-2</v>
      </c>
      <c r="I158" s="3">
        <f t="shared" si="93"/>
        <v>5.0364270464190349E-2</v>
      </c>
      <c r="J158" s="3">
        <f t="shared" si="93"/>
        <v>5.0364270464190349E-2</v>
      </c>
      <c r="K158" s="3">
        <f t="shared" si="93"/>
        <v>5.0364270464190349E-2</v>
      </c>
      <c r="L158" s="3">
        <f t="shared" si="93"/>
        <v>5.0364270464190349E-2</v>
      </c>
      <c r="M158" s="3">
        <f t="shared" si="93"/>
        <v>5.0364270464190349E-2</v>
      </c>
      <c r="N158" s="3">
        <f t="shared" si="93"/>
        <v>5.0364270464190349E-2</v>
      </c>
      <c r="O158" s="3">
        <f t="shared" si="93"/>
        <v>5.0364270464190349E-2</v>
      </c>
      <c r="P158" s="3">
        <f t="shared" si="93"/>
        <v>5.0364270464190349E-2</v>
      </c>
      <c r="Q158" s="3">
        <f t="shared" si="93"/>
        <v>5.0364270464190349E-2</v>
      </c>
      <c r="R158" s="3">
        <f t="shared" si="93"/>
        <v>5.0364270464190349E-2</v>
      </c>
      <c r="S158" s="3">
        <f t="shared" si="93"/>
        <v>5.0364270464190349E-2</v>
      </c>
      <c r="T158" s="3">
        <f t="shared" si="93"/>
        <v>5.0364270464190349E-2</v>
      </c>
      <c r="U158" s="3">
        <f t="shared" si="93"/>
        <v>5.0364270464190349E-2</v>
      </c>
      <c r="V158" s="3">
        <f t="shared" si="93"/>
        <v>5.0364270464190342E-2</v>
      </c>
      <c r="W158" s="3">
        <f t="shared" si="93"/>
        <v>5.03642704641903E-2</v>
      </c>
      <c r="X158" s="3">
        <f t="shared" si="93"/>
        <v>5.0364270464189821E-2</v>
      </c>
      <c r="Y158" s="3">
        <f t="shared" si="93"/>
        <v>5.0364270464185082E-2</v>
      </c>
      <c r="Z158" s="3">
        <f t="shared" si="93"/>
        <v>5.0364270464137689E-2</v>
      </c>
      <c r="AA158" s="3">
        <f t="shared" ref="AA158:AF158" si="94">$C44*EXP(-AA$129/$A44/EXP(-$B$126))</f>
        <v>5.0364270463663756E-2</v>
      </c>
      <c r="AB158" s="3">
        <f t="shared" si="94"/>
        <v>5.0364270458924464E-2</v>
      </c>
      <c r="AC158" s="3">
        <f t="shared" si="94"/>
        <v>5.0364270411531464E-2</v>
      </c>
      <c r="AD158" s="3">
        <f t="shared" si="94"/>
        <v>5.0364269937601493E-2</v>
      </c>
      <c r="AE158" s="3">
        <f t="shared" si="94"/>
        <v>5.0364265198302068E-2</v>
      </c>
      <c r="AF158" s="3">
        <f t="shared" si="94"/>
        <v>5.0364217805332283E-2</v>
      </c>
    </row>
    <row r="159" spans="1:32" x14ac:dyDescent="0.25">
      <c r="A159" s="11" t="s">
        <v>75</v>
      </c>
      <c r="B159" s="3">
        <f t="shared" ref="B159:Z159" si="95">$C45*EXP(-B$129/$A45/EXP(-$B$126))</f>
        <v>4.7472549330169547E-2</v>
      </c>
      <c r="C159" s="3">
        <f t="shared" si="95"/>
        <v>4.7472549330169547E-2</v>
      </c>
      <c r="D159" s="3">
        <f t="shared" si="95"/>
        <v>4.7472549330169547E-2</v>
      </c>
      <c r="E159" s="3">
        <f t="shared" si="95"/>
        <v>4.7472549330169547E-2</v>
      </c>
      <c r="F159" s="3">
        <f t="shared" si="95"/>
        <v>4.7472549330169547E-2</v>
      </c>
      <c r="G159" s="3">
        <f t="shared" si="95"/>
        <v>4.7472549330169547E-2</v>
      </c>
      <c r="H159" s="3">
        <f t="shared" si="95"/>
        <v>4.7472549330169547E-2</v>
      </c>
      <c r="I159" s="3">
        <f t="shared" si="95"/>
        <v>4.7472549330169547E-2</v>
      </c>
      <c r="J159" s="3">
        <f t="shared" si="95"/>
        <v>4.7472549330169547E-2</v>
      </c>
      <c r="K159" s="3">
        <f t="shared" si="95"/>
        <v>4.7472549330169547E-2</v>
      </c>
      <c r="L159" s="3">
        <f t="shared" si="95"/>
        <v>4.7472549330169547E-2</v>
      </c>
      <c r="M159" s="3">
        <f t="shared" si="95"/>
        <v>4.7472549330169547E-2</v>
      </c>
      <c r="N159" s="3">
        <f t="shared" si="95"/>
        <v>4.7472549330169547E-2</v>
      </c>
      <c r="O159" s="3">
        <f t="shared" si="95"/>
        <v>4.7472549330169547E-2</v>
      </c>
      <c r="P159" s="3">
        <f t="shared" si="95"/>
        <v>4.7472549330169547E-2</v>
      </c>
      <c r="Q159" s="3">
        <f t="shared" si="95"/>
        <v>4.7472549330169547E-2</v>
      </c>
      <c r="R159" s="3">
        <f t="shared" si="95"/>
        <v>4.7472549330169547E-2</v>
      </c>
      <c r="S159" s="3">
        <f t="shared" si="95"/>
        <v>4.7472549330169547E-2</v>
      </c>
      <c r="T159" s="3">
        <f t="shared" si="95"/>
        <v>4.7472549330169547E-2</v>
      </c>
      <c r="U159" s="3">
        <f t="shared" si="95"/>
        <v>4.7472549330169547E-2</v>
      </c>
      <c r="V159" s="3">
        <f t="shared" si="95"/>
        <v>4.7472549330169547E-2</v>
      </c>
      <c r="W159" s="3">
        <f t="shared" si="95"/>
        <v>4.747254933016954E-2</v>
      </c>
      <c r="X159" s="3">
        <f t="shared" si="95"/>
        <v>4.7472549330169499E-2</v>
      </c>
      <c r="Y159" s="3">
        <f t="shared" si="95"/>
        <v>4.7472549330169055E-2</v>
      </c>
      <c r="Z159" s="3">
        <f t="shared" si="95"/>
        <v>4.7472549330164579E-2</v>
      </c>
      <c r="AA159" s="3">
        <f t="shared" ref="AA159:AF159" si="96">$C45*EXP(-AA$129/$A45/EXP(-$B$126))</f>
        <v>4.7472549330119906E-2</v>
      </c>
      <c r="AB159" s="3">
        <f t="shared" si="96"/>
        <v>4.7472549329673194E-2</v>
      </c>
      <c r="AC159" s="3">
        <f t="shared" si="96"/>
        <v>4.7472549325206004E-2</v>
      </c>
      <c r="AD159" s="3">
        <f t="shared" si="96"/>
        <v>4.7472549280534126E-2</v>
      </c>
      <c r="AE159" s="3">
        <f t="shared" si="96"/>
        <v>4.7472548833815381E-2</v>
      </c>
      <c r="AF159" s="3">
        <f t="shared" si="96"/>
        <v>4.747254436662815E-2</v>
      </c>
    </row>
    <row r="160" spans="1:32" x14ac:dyDescent="0.25">
      <c r="B160" s="3">
        <f t="shared" ref="B160:Z160" si="97">$C46*EXP(-B$129/$A46/EXP(-$B$126))</f>
        <v>3.4265272438938038E-2</v>
      </c>
      <c r="C160" s="3">
        <f t="shared" si="97"/>
        <v>3.4265272438938038E-2</v>
      </c>
      <c r="D160" s="3">
        <f t="shared" si="97"/>
        <v>3.4265272438938038E-2</v>
      </c>
      <c r="E160" s="3">
        <f t="shared" si="97"/>
        <v>3.4265272438938038E-2</v>
      </c>
      <c r="F160" s="3">
        <f t="shared" si="97"/>
        <v>3.4265272438938038E-2</v>
      </c>
      <c r="G160" s="3">
        <f t="shared" si="97"/>
        <v>3.4265272438938038E-2</v>
      </c>
      <c r="H160" s="3">
        <f t="shared" si="97"/>
        <v>3.4265272438938038E-2</v>
      </c>
      <c r="I160" s="3">
        <f t="shared" si="97"/>
        <v>3.4265272438938038E-2</v>
      </c>
      <c r="J160" s="3">
        <f t="shared" si="97"/>
        <v>3.4265272438938038E-2</v>
      </c>
      <c r="K160" s="3">
        <f t="shared" si="97"/>
        <v>3.4265272438938038E-2</v>
      </c>
      <c r="L160" s="3">
        <f t="shared" si="97"/>
        <v>3.4265272438938038E-2</v>
      </c>
      <c r="M160" s="3">
        <f t="shared" si="97"/>
        <v>3.4265272438938038E-2</v>
      </c>
      <c r="N160" s="3">
        <f t="shared" si="97"/>
        <v>3.4265272438938038E-2</v>
      </c>
      <c r="O160" s="3">
        <f t="shared" si="97"/>
        <v>3.4265272438938038E-2</v>
      </c>
      <c r="P160" s="3">
        <f t="shared" si="97"/>
        <v>3.4265272438938038E-2</v>
      </c>
      <c r="Q160" s="3">
        <f t="shared" si="97"/>
        <v>3.4265272438938038E-2</v>
      </c>
      <c r="R160" s="3">
        <f t="shared" si="97"/>
        <v>3.4265272438938038E-2</v>
      </c>
      <c r="S160" s="3">
        <f t="shared" si="97"/>
        <v>3.4265272438938038E-2</v>
      </c>
      <c r="T160" s="3">
        <f t="shared" si="97"/>
        <v>3.4265272438938038E-2</v>
      </c>
      <c r="U160" s="3">
        <f t="shared" si="97"/>
        <v>3.4265272438938038E-2</v>
      </c>
      <c r="V160" s="3">
        <f t="shared" si="97"/>
        <v>3.4265272438938038E-2</v>
      </c>
      <c r="W160" s="3">
        <f t="shared" si="97"/>
        <v>3.4265272438938038E-2</v>
      </c>
      <c r="X160" s="3">
        <f t="shared" si="97"/>
        <v>3.4265272438938031E-2</v>
      </c>
      <c r="Y160" s="3">
        <f t="shared" si="97"/>
        <v>3.4265272438938003E-2</v>
      </c>
      <c r="Z160" s="3">
        <f t="shared" si="97"/>
        <v>3.4265272438937677E-2</v>
      </c>
      <c r="AA160" s="3">
        <f t="shared" ref="AA160:AF160" si="98">$C46*EXP(-AA$129/$A46/EXP(-$B$126))</f>
        <v>3.4265272438934458E-2</v>
      </c>
      <c r="AB160" s="3">
        <f t="shared" si="98"/>
        <v>3.4265272438902213E-2</v>
      </c>
      <c r="AC160" s="3">
        <f t="shared" si="98"/>
        <v>3.4265272438579776E-2</v>
      </c>
      <c r="AD160" s="3">
        <f t="shared" si="98"/>
        <v>3.4265272435355397E-2</v>
      </c>
      <c r="AE160" s="3">
        <f t="shared" si="98"/>
        <v>3.4265272403111627E-2</v>
      </c>
      <c r="AF160" s="3">
        <f t="shared" si="98"/>
        <v>3.4265272080673925E-2</v>
      </c>
    </row>
    <row r="161" spans="1:34" x14ac:dyDescent="0.25">
      <c r="A161" s="11" t="s">
        <v>75</v>
      </c>
      <c r="B161" s="3">
        <f t="shared" ref="B161:Z161" si="99">$C47*EXP(-B$129/$A47/EXP(-$B$126))</f>
        <v>1.7817533491132281E-2</v>
      </c>
      <c r="C161" s="3">
        <f t="shared" si="99"/>
        <v>1.7817533491132281E-2</v>
      </c>
      <c r="D161" s="3">
        <f t="shared" si="99"/>
        <v>1.7817533491132281E-2</v>
      </c>
      <c r="E161" s="3">
        <f t="shared" si="99"/>
        <v>1.7817533491132281E-2</v>
      </c>
      <c r="F161" s="3">
        <f t="shared" si="99"/>
        <v>1.7817533491132281E-2</v>
      </c>
      <c r="G161" s="3">
        <f t="shared" si="99"/>
        <v>1.7817533491132281E-2</v>
      </c>
      <c r="H161" s="3">
        <f t="shared" si="99"/>
        <v>1.7817533491132281E-2</v>
      </c>
      <c r="I161" s="3">
        <f t="shared" si="99"/>
        <v>1.7817533491132281E-2</v>
      </c>
      <c r="J161" s="3">
        <f t="shared" si="99"/>
        <v>1.7817533491132281E-2</v>
      </c>
      <c r="K161" s="3">
        <f t="shared" si="99"/>
        <v>1.7817533491132281E-2</v>
      </c>
      <c r="L161" s="3">
        <f t="shared" si="99"/>
        <v>1.7817533491132281E-2</v>
      </c>
      <c r="M161" s="3">
        <f t="shared" si="99"/>
        <v>1.7817533491132281E-2</v>
      </c>
      <c r="N161" s="3">
        <f t="shared" si="99"/>
        <v>1.7817533491132281E-2</v>
      </c>
      <c r="O161" s="3">
        <f t="shared" si="99"/>
        <v>1.7817533491132281E-2</v>
      </c>
      <c r="P161" s="3">
        <f t="shared" si="99"/>
        <v>1.7817533491132281E-2</v>
      </c>
      <c r="Q161" s="3">
        <f t="shared" si="99"/>
        <v>1.7817533491132281E-2</v>
      </c>
      <c r="R161" s="3">
        <f t="shared" si="99"/>
        <v>1.7817533491132281E-2</v>
      </c>
      <c r="S161" s="3">
        <f t="shared" si="99"/>
        <v>1.7817533491132281E-2</v>
      </c>
      <c r="T161" s="3">
        <f t="shared" si="99"/>
        <v>1.7817533491132281E-2</v>
      </c>
      <c r="U161" s="3">
        <f t="shared" si="99"/>
        <v>1.7817533491132281E-2</v>
      </c>
      <c r="V161" s="3">
        <f t="shared" si="99"/>
        <v>1.7817533491132281E-2</v>
      </c>
      <c r="W161" s="3">
        <f t="shared" si="99"/>
        <v>1.7817533491132281E-2</v>
      </c>
      <c r="X161" s="3">
        <f t="shared" si="99"/>
        <v>1.7817533491132281E-2</v>
      </c>
      <c r="Y161" s="3">
        <f t="shared" si="99"/>
        <v>1.7817533491132277E-2</v>
      </c>
      <c r="Z161" s="3">
        <f t="shared" si="99"/>
        <v>1.7817533491132263E-2</v>
      </c>
      <c r="AA161" s="3">
        <f t="shared" ref="AA161:AF161" si="100">$C47*EXP(-AA$129/$A47/EXP(-$B$126))</f>
        <v>1.7817533491132093E-2</v>
      </c>
      <c r="AB161" s="3">
        <f t="shared" si="100"/>
        <v>1.7817533491130418E-2</v>
      </c>
      <c r="AC161" s="3">
        <f t="shared" si="100"/>
        <v>1.781753349111365E-2</v>
      </c>
      <c r="AD161" s="3">
        <f t="shared" si="100"/>
        <v>1.7817533490945989E-2</v>
      </c>
      <c r="AE161" s="3">
        <f t="shared" si="100"/>
        <v>1.7817533489269351E-2</v>
      </c>
      <c r="AF161" s="3">
        <f t="shared" si="100"/>
        <v>1.7817533472502974E-2</v>
      </c>
    </row>
    <row r="162" spans="1:34" x14ac:dyDescent="0.25">
      <c r="B162" s="3">
        <f t="shared" ref="B162:Z162" si="101">$C48*EXP(-B$129/$A48/EXP(-$B$126))</f>
        <v>3.0591851493341829E-2</v>
      </c>
      <c r="C162" s="3">
        <f t="shared" si="101"/>
        <v>3.0591851493341829E-2</v>
      </c>
      <c r="D162" s="3">
        <f t="shared" si="101"/>
        <v>3.0591851493341829E-2</v>
      </c>
      <c r="E162" s="3">
        <f t="shared" si="101"/>
        <v>3.0591851493341829E-2</v>
      </c>
      <c r="F162" s="3">
        <f t="shared" si="101"/>
        <v>3.0591851493341829E-2</v>
      </c>
      <c r="G162" s="3">
        <f t="shared" si="101"/>
        <v>3.0591851493341829E-2</v>
      </c>
      <c r="H162" s="3">
        <f t="shared" si="101"/>
        <v>3.0591851493341829E-2</v>
      </c>
      <c r="I162" s="3">
        <f t="shared" si="101"/>
        <v>3.0591851493341829E-2</v>
      </c>
      <c r="J162" s="3">
        <f t="shared" si="101"/>
        <v>3.0591851493341829E-2</v>
      </c>
      <c r="K162" s="3">
        <f t="shared" si="101"/>
        <v>3.0591851493341829E-2</v>
      </c>
      <c r="L162" s="3">
        <f t="shared" si="101"/>
        <v>3.0591851493341829E-2</v>
      </c>
      <c r="M162" s="3">
        <f t="shared" si="101"/>
        <v>3.0591851493341829E-2</v>
      </c>
      <c r="N162" s="3">
        <f t="shared" si="101"/>
        <v>3.0591851493341829E-2</v>
      </c>
      <c r="O162" s="3">
        <f t="shared" si="101"/>
        <v>3.0591851493341829E-2</v>
      </c>
      <c r="P162" s="3">
        <f t="shared" si="101"/>
        <v>3.0591851493341829E-2</v>
      </c>
      <c r="Q162" s="3">
        <f t="shared" si="101"/>
        <v>3.0591851493341829E-2</v>
      </c>
      <c r="R162" s="3">
        <f t="shared" si="101"/>
        <v>3.0591851493341829E-2</v>
      </c>
      <c r="S162" s="3">
        <f t="shared" si="101"/>
        <v>3.0591851493341829E-2</v>
      </c>
      <c r="T162" s="3">
        <f t="shared" si="101"/>
        <v>3.0591851493341829E-2</v>
      </c>
      <c r="U162" s="3">
        <f t="shared" si="101"/>
        <v>3.0591851493341829E-2</v>
      </c>
      <c r="V162" s="3">
        <f t="shared" si="101"/>
        <v>3.0591851493341829E-2</v>
      </c>
      <c r="W162" s="3">
        <f t="shared" si="101"/>
        <v>3.0591851493341829E-2</v>
      </c>
      <c r="X162" s="3">
        <f t="shared" si="101"/>
        <v>3.0591851493341829E-2</v>
      </c>
      <c r="Y162" s="3">
        <f t="shared" si="101"/>
        <v>3.0591851493341829E-2</v>
      </c>
      <c r="Z162" s="3">
        <f t="shared" si="101"/>
        <v>3.0591851493341825E-2</v>
      </c>
      <c r="AA162" s="3">
        <f t="shared" ref="AA162:AF162" si="102">$C48*EXP(-AA$129/$A48/EXP(-$B$126))</f>
        <v>3.0591851493341798E-2</v>
      </c>
      <c r="AB162" s="3">
        <f t="shared" si="102"/>
        <v>3.059185149334151E-2</v>
      </c>
      <c r="AC162" s="3">
        <f t="shared" si="102"/>
        <v>3.059185149333863E-2</v>
      </c>
      <c r="AD162" s="3">
        <f t="shared" si="102"/>
        <v>3.0591851493309841E-2</v>
      </c>
      <c r="AE162" s="3">
        <f t="shared" si="102"/>
        <v>3.059185149302197E-2</v>
      </c>
      <c r="AF162" s="3">
        <f t="shared" si="102"/>
        <v>3.0591851490143266E-2</v>
      </c>
    </row>
    <row r="163" spans="1:34" x14ac:dyDescent="0.25">
      <c r="A163" s="79">
        <f>AVERAGE(B163:AF163)</f>
        <v>3.7670423500666045E-2</v>
      </c>
      <c r="B163" s="80">
        <f>IF($A$64&lt;=B129,IF($B$64&gt;=B129,ABS((B131-B130)/B130),0),0)</f>
        <v>7.3366357764826405E-3</v>
      </c>
      <c r="C163" s="80">
        <f t="shared" ref="C163:AF163" si="103">IF($A$64&lt;=C129,IF($B$64&gt;=C129,ABS((C131-C130)/C130),0),0)</f>
        <v>7.3472417538975546E-3</v>
      </c>
      <c r="D163" s="80">
        <f t="shared" si="103"/>
        <v>7.3675266617903015E-3</v>
      </c>
      <c r="E163" s="80">
        <f t="shared" si="103"/>
        <v>7.6064177808368326E-3</v>
      </c>
      <c r="F163" s="80">
        <f t="shared" si="103"/>
        <v>9.0913898922768809E-3</v>
      </c>
      <c r="G163" s="80">
        <f t="shared" si="103"/>
        <v>1.0041829131276783E-2</v>
      </c>
      <c r="H163" s="80">
        <f t="shared" si="103"/>
        <v>1.004188069784869E-2</v>
      </c>
      <c r="I163" s="80">
        <f t="shared" si="103"/>
        <v>1.0042104660643267E-2</v>
      </c>
      <c r="J163" s="80">
        <f t="shared" si="103"/>
        <v>1.004475682921575E-2</v>
      </c>
      <c r="K163" s="80">
        <f t="shared" si="103"/>
        <v>1.0071130978189633E-2</v>
      </c>
      <c r="L163" s="80">
        <f t="shared" si="103"/>
        <v>1.033252798158096E-2</v>
      </c>
      <c r="M163" s="80">
        <f t="shared" si="103"/>
        <v>1.2725667872420004E-2</v>
      </c>
      <c r="N163" s="80">
        <f t="shared" si="103"/>
        <v>2.5105546107081076E-2</v>
      </c>
      <c r="O163" s="80">
        <f t="shared" si="103"/>
        <v>5.0749800302183755E-2</v>
      </c>
      <c r="P163" s="80">
        <f t="shared" si="103"/>
        <v>5.4500302702491822E-2</v>
      </c>
      <c r="Q163" s="80">
        <f t="shared" si="103"/>
        <v>4.7023424596359484E-2</v>
      </c>
      <c r="R163" s="80">
        <f t="shared" si="103"/>
        <v>4.9889783718704409E-2</v>
      </c>
      <c r="S163" s="80">
        <f t="shared" si="103"/>
        <v>5.4063903864748492E-2</v>
      </c>
      <c r="T163" s="80">
        <f t="shared" si="103"/>
        <v>5.9333551548814221E-2</v>
      </c>
      <c r="U163" s="80">
        <f t="shared" si="103"/>
        <v>6.4266354500972706E-2</v>
      </c>
      <c r="V163" s="80">
        <f t="shared" si="103"/>
        <v>5.8652822505112667E-2</v>
      </c>
      <c r="W163" s="80">
        <f t="shared" si="103"/>
        <v>2.4457252766813951E-2</v>
      </c>
      <c r="X163" s="80">
        <f t="shared" si="103"/>
        <v>2.5246043370849583E-2</v>
      </c>
      <c r="Y163" s="80">
        <f t="shared" si="103"/>
        <v>6.2231547282903213E-2</v>
      </c>
      <c r="Z163" s="80">
        <f t="shared" si="103"/>
        <v>8.6850492682733371E-2</v>
      </c>
      <c r="AA163" s="80">
        <f t="shared" si="103"/>
        <v>0.11171831159199613</v>
      </c>
      <c r="AB163" s="80">
        <f t="shared" si="103"/>
        <v>0.11891892745612759</v>
      </c>
      <c r="AC163" s="80">
        <f t="shared" si="103"/>
        <v>8.4895878619358975E-2</v>
      </c>
      <c r="AD163" s="80">
        <f t="shared" si="103"/>
        <v>3.955938479558254E-2</v>
      </c>
      <c r="AE163" s="80">
        <f t="shared" si="103"/>
        <v>8.0675435395507469E-4</v>
      </c>
      <c r="AF163" s="80">
        <f t="shared" si="103"/>
        <v>3.7463935737399E-2</v>
      </c>
    </row>
    <row r="164" spans="1:34" x14ac:dyDescent="0.25">
      <c r="B164" s="21">
        <f>(B131-B130)^2</f>
        <v>2093.6502637447575</v>
      </c>
      <c r="C164" s="21">
        <f t="shared" ref="C164:AF164" si="104">(C131-C130)^2</f>
        <v>2099.7419867107651</v>
      </c>
      <c r="D164" s="21">
        <f t="shared" si="104"/>
        <v>2111.3309402396503</v>
      </c>
      <c r="E164" s="21">
        <f t="shared" si="104"/>
        <v>2250.46329108481</v>
      </c>
      <c r="F164" s="21">
        <f t="shared" si="104"/>
        <v>3214.931440522992</v>
      </c>
      <c r="G164" s="21">
        <f t="shared" si="104"/>
        <v>3922.2626359500127</v>
      </c>
      <c r="H164" s="21">
        <f t="shared" si="104"/>
        <v>3922.3024997276366</v>
      </c>
      <c r="I164" s="21">
        <f t="shared" si="104"/>
        <v>3922.477123414003</v>
      </c>
      <c r="J164" s="21">
        <f t="shared" si="104"/>
        <v>3924.5492035795482</v>
      </c>
      <c r="K164" s="21">
        <f t="shared" si="104"/>
        <v>3945.1835213676136</v>
      </c>
      <c r="L164" s="21">
        <f t="shared" si="104"/>
        <v>4152.61747655416</v>
      </c>
      <c r="M164" s="21">
        <f t="shared" si="104"/>
        <v>6298.6918503125662</v>
      </c>
      <c r="N164" s="21">
        <f t="shared" si="104"/>
        <v>24503.854895747154</v>
      </c>
      <c r="O164" s="21">
        <f t="shared" si="104"/>
        <v>99703.102915855299</v>
      </c>
      <c r="P164" s="21">
        <f t="shared" si="104"/>
        <v>111451.50406610598</v>
      </c>
      <c r="Q164" s="21">
        <f t="shared" si="104"/>
        <v>78488.941972843866</v>
      </c>
      <c r="R164" s="21">
        <f t="shared" si="104"/>
        <v>84943.895626474434</v>
      </c>
      <c r="S164" s="21">
        <f t="shared" si="104"/>
        <v>95794.611257191209</v>
      </c>
      <c r="T164" s="21">
        <f t="shared" si="104"/>
        <v>110204.35610311858</v>
      </c>
      <c r="U164" s="21">
        <f t="shared" si="104"/>
        <v>122636.05190776542</v>
      </c>
      <c r="V164" s="21">
        <f t="shared" si="104"/>
        <v>94420.405714314751</v>
      </c>
      <c r="W164" s="21">
        <f t="shared" si="104"/>
        <v>14303.311846234994</v>
      </c>
      <c r="X164" s="21">
        <f t="shared" si="104"/>
        <v>12798.497597049154</v>
      </c>
      <c r="Y164" s="21">
        <f t="shared" si="104"/>
        <v>65819.108258087304</v>
      </c>
      <c r="Z164" s="21">
        <f t="shared" si="104"/>
        <v>109911.35717421227</v>
      </c>
      <c r="AA164" s="21">
        <f t="shared" si="104"/>
        <v>156240.96487979099</v>
      </c>
      <c r="AB164" s="21">
        <f t="shared" si="104"/>
        <v>153138.53409009203</v>
      </c>
      <c r="AC164" s="21">
        <f t="shared" si="104"/>
        <v>68988.709649068929</v>
      </c>
      <c r="AD164" s="21">
        <f t="shared" si="104"/>
        <v>13445.364351220229</v>
      </c>
      <c r="AE164" s="21">
        <f t="shared" si="104"/>
        <v>5.0296303434959651</v>
      </c>
      <c r="AF164" s="21">
        <f t="shared" si="104"/>
        <v>9809.9012445306744</v>
      </c>
    </row>
    <row r="165" spans="1:34" x14ac:dyDescent="0.25">
      <c r="A165" s="71">
        <f>SUM(B165:AF165)</f>
        <v>1468465.7054132551</v>
      </c>
      <c r="B165" s="60">
        <f>IF($A$64&lt;=B129,IF($B$64&gt;=B129,ABS(B164),0),0)</f>
        <v>2093.6502637447575</v>
      </c>
      <c r="C165" s="60">
        <f t="shared" ref="C165:AF165" si="105">IF($A$64&lt;=C129,IF($B$64&gt;=C129,ABS(C164),0),0)</f>
        <v>2099.7419867107651</v>
      </c>
      <c r="D165" s="60">
        <f t="shared" si="105"/>
        <v>2111.3309402396503</v>
      </c>
      <c r="E165" s="60">
        <f t="shared" si="105"/>
        <v>2250.46329108481</v>
      </c>
      <c r="F165" s="60">
        <f t="shared" si="105"/>
        <v>3214.931440522992</v>
      </c>
      <c r="G165" s="60">
        <f t="shared" si="105"/>
        <v>3922.2626359500127</v>
      </c>
      <c r="H165" s="60">
        <f t="shared" si="105"/>
        <v>3922.3024997276366</v>
      </c>
      <c r="I165" s="60">
        <f t="shared" si="105"/>
        <v>3922.477123414003</v>
      </c>
      <c r="J165" s="60">
        <f t="shared" si="105"/>
        <v>3924.5492035795482</v>
      </c>
      <c r="K165" s="60">
        <f t="shared" si="105"/>
        <v>3945.1835213676136</v>
      </c>
      <c r="L165" s="60">
        <f t="shared" si="105"/>
        <v>4152.61747655416</v>
      </c>
      <c r="M165" s="60">
        <f t="shared" si="105"/>
        <v>6298.6918503125662</v>
      </c>
      <c r="N165" s="60">
        <f t="shared" si="105"/>
        <v>24503.854895747154</v>
      </c>
      <c r="O165" s="60">
        <f t="shared" si="105"/>
        <v>99703.102915855299</v>
      </c>
      <c r="P165" s="60">
        <f t="shared" si="105"/>
        <v>111451.50406610598</v>
      </c>
      <c r="Q165" s="60">
        <f t="shared" si="105"/>
        <v>78488.941972843866</v>
      </c>
      <c r="R165" s="60">
        <f t="shared" si="105"/>
        <v>84943.895626474434</v>
      </c>
      <c r="S165" s="60">
        <f t="shared" si="105"/>
        <v>95794.611257191209</v>
      </c>
      <c r="T165" s="60">
        <f t="shared" si="105"/>
        <v>110204.35610311858</v>
      </c>
      <c r="U165" s="60">
        <f t="shared" si="105"/>
        <v>122636.05190776542</v>
      </c>
      <c r="V165" s="60">
        <f t="shared" si="105"/>
        <v>94420.405714314751</v>
      </c>
      <c r="W165" s="60">
        <f t="shared" si="105"/>
        <v>14303.311846234994</v>
      </c>
      <c r="X165" s="60">
        <f t="shared" si="105"/>
        <v>12798.497597049154</v>
      </c>
      <c r="Y165" s="60">
        <f t="shared" si="105"/>
        <v>65819.108258087304</v>
      </c>
      <c r="Z165" s="60">
        <f t="shared" si="105"/>
        <v>109911.35717421227</v>
      </c>
      <c r="AA165" s="60">
        <f t="shared" si="105"/>
        <v>156240.96487979099</v>
      </c>
      <c r="AB165" s="60">
        <f t="shared" si="105"/>
        <v>153138.53409009203</v>
      </c>
      <c r="AC165" s="60">
        <f t="shared" si="105"/>
        <v>68988.709649068929</v>
      </c>
      <c r="AD165" s="60">
        <f t="shared" si="105"/>
        <v>13445.364351220229</v>
      </c>
      <c r="AE165" s="60">
        <f t="shared" si="105"/>
        <v>5.0296303434959651</v>
      </c>
      <c r="AF165" s="60">
        <f t="shared" si="105"/>
        <v>9809.9012445306744</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6174.310648844028</v>
      </c>
      <c r="C170" s="27">
        <f t="shared" ref="C170:AF170" si="106">($C$17+SUM(C171:C201))*$B$51</f>
        <v>6174.0808810640519</v>
      </c>
      <c r="D170" s="27">
        <f t="shared" si="106"/>
        <v>6174.0801985931394</v>
      </c>
      <c r="E170" s="27">
        <f t="shared" si="106"/>
        <v>6174.0733741376107</v>
      </c>
      <c r="F170" s="27">
        <f t="shared" si="106"/>
        <v>6174.00515493482</v>
      </c>
      <c r="G170" s="27">
        <f t="shared" si="106"/>
        <v>6173.3254900257643</v>
      </c>
      <c r="H170" s="27">
        <f t="shared" si="106"/>
        <v>6166.7736208070273</v>
      </c>
      <c r="I170" s="27">
        <f t="shared" si="106"/>
        <v>6119.4386875286345</v>
      </c>
      <c r="J170" s="27">
        <f t="shared" si="106"/>
        <v>5981.5646305820637</v>
      </c>
      <c r="K170" s="27">
        <f t="shared" si="106"/>
        <v>5835.7937525759507</v>
      </c>
      <c r="L170" s="27">
        <f t="shared" si="106"/>
        <v>5727.7363934368723</v>
      </c>
      <c r="M170" s="27">
        <f t="shared" si="106"/>
        <v>5605.5052949259298</v>
      </c>
      <c r="N170" s="27">
        <f t="shared" si="106"/>
        <v>5472.4956933641961</v>
      </c>
      <c r="O170" s="27">
        <f t="shared" si="106"/>
        <v>5327.6241072758658</v>
      </c>
      <c r="P170" s="27">
        <f t="shared" si="106"/>
        <v>5164.9570902418536</v>
      </c>
      <c r="Q170" s="27">
        <f t="shared" si="106"/>
        <v>4996.0624301463095</v>
      </c>
      <c r="R170" s="27">
        <f t="shared" si="106"/>
        <v>4829.3651497205619</v>
      </c>
      <c r="S170" s="27">
        <f t="shared" si="106"/>
        <v>4663.9276382577755</v>
      </c>
      <c r="T170" s="27">
        <f t="shared" si="106"/>
        <v>4461.9181806617353</v>
      </c>
      <c r="U170" s="27">
        <f t="shared" si="106"/>
        <v>4226.5998131809638</v>
      </c>
      <c r="V170" s="27">
        <f t="shared" si="106"/>
        <v>4006.0128648480759</v>
      </c>
      <c r="W170" s="27">
        <f t="shared" si="106"/>
        <v>3784.312792555841</v>
      </c>
      <c r="X170" s="27">
        <f t="shared" si="106"/>
        <v>3469.0415288335325</v>
      </c>
      <c r="Y170" s="27">
        <f t="shared" si="106"/>
        <v>3150.838151623434</v>
      </c>
      <c r="Z170" s="27">
        <f t="shared" si="106"/>
        <v>2871.6592207531021</v>
      </c>
      <c r="AA170" s="27">
        <f t="shared" si="106"/>
        <v>2624.8071199271403</v>
      </c>
      <c r="AB170" s="27">
        <f t="shared" si="106"/>
        <v>2418.5711648074425</v>
      </c>
      <c r="AC170" s="27">
        <f t="shared" si="106"/>
        <v>2188.3386307749211</v>
      </c>
      <c r="AD170" s="27">
        <f t="shared" si="106"/>
        <v>1969.0193029415284</v>
      </c>
      <c r="AE170" s="27">
        <f t="shared" si="106"/>
        <v>1739.4379552245821</v>
      </c>
      <c r="AF170" s="27">
        <f t="shared" si="106"/>
        <v>1482.3770052090715</v>
      </c>
      <c r="AG170" s="27"/>
      <c r="AH170" s="27"/>
    </row>
    <row r="171" spans="1:34" x14ac:dyDescent="0.25">
      <c r="B171" s="3">
        <f t="shared" ref="B171:AF171" si="107">$C18*EXP(-B$168/$A18/EXP(-$C$126))</f>
        <v>3.7102475344419992E-5</v>
      </c>
      <c r="C171" s="3">
        <f t="shared" si="107"/>
        <v>5.9739498092450118E-22</v>
      </c>
      <c r="D171" s="3">
        <f t="shared" si="107"/>
        <v>6.9959776454970402E-190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9.045186247274262E-3</v>
      </c>
      <c r="C173" s="3">
        <f t="shared" si="109"/>
        <v>9.0451781653746333E-3</v>
      </c>
      <c r="D173" s="3">
        <f t="shared" si="109"/>
        <v>9.0450973467755026E-3</v>
      </c>
      <c r="E173" s="3">
        <f t="shared" si="109"/>
        <v>9.0442892004993884E-3</v>
      </c>
      <c r="F173" s="3">
        <f t="shared" si="109"/>
        <v>9.0362117079437945E-3</v>
      </c>
      <c r="G173" s="3">
        <f t="shared" si="109"/>
        <v>8.9558324935405768E-3</v>
      </c>
      <c r="H173" s="3">
        <f t="shared" si="109"/>
        <v>8.1903339392283385E-3</v>
      </c>
      <c r="I173" s="3">
        <f t="shared" si="109"/>
        <v>3.3516455314414532E-3</v>
      </c>
      <c r="J173" s="3">
        <f t="shared" si="109"/>
        <v>4.4139031965875807E-7</v>
      </c>
      <c r="K173" s="3">
        <f t="shared" si="109"/>
        <v>6.9258013450826825E-46</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3.4814234297081199E-2</v>
      </c>
      <c r="C174" s="3">
        <f t="shared" si="110"/>
        <v>3.4814231491004398E-2</v>
      </c>
      <c r="D174" s="3">
        <f t="shared" si="110"/>
        <v>3.4814203430248776E-2</v>
      </c>
      <c r="E174" s="3">
        <f t="shared" si="110"/>
        <v>3.4813922823936548E-2</v>
      </c>
      <c r="F174" s="3">
        <f t="shared" si="110"/>
        <v>3.4811116885205731E-2</v>
      </c>
      <c r="G174" s="3">
        <f t="shared" si="110"/>
        <v>3.4783069933335617E-2</v>
      </c>
      <c r="H174" s="3">
        <f t="shared" si="110"/>
        <v>3.4503840257861629E-2</v>
      </c>
      <c r="I174" s="3">
        <f t="shared" si="110"/>
        <v>3.1831908669169733E-2</v>
      </c>
      <c r="J174" s="3">
        <f t="shared" si="110"/>
        <v>1.4217234800794603E-2</v>
      </c>
      <c r="K174" s="3">
        <f t="shared" si="110"/>
        <v>4.4909652502226407E-6</v>
      </c>
      <c r="L174" s="3">
        <f t="shared" si="110"/>
        <v>4.4420688074615194E-41</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1.6737347392044261E-2</v>
      </c>
      <c r="C175" s="3">
        <f t="shared" si="111"/>
        <v>1.6737347270348365E-2</v>
      </c>
      <c r="D175" s="3">
        <f t="shared" si="111"/>
        <v>1.6737346053389422E-2</v>
      </c>
      <c r="E175" s="3">
        <f t="shared" si="111"/>
        <v>1.6737333883804873E-2</v>
      </c>
      <c r="F175" s="3">
        <f t="shared" si="111"/>
        <v>1.6737212188446055E-2</v>
      </c>
      <c r="G175" s="3">
        <f t="shared" si="111"/>
        <v>1.6735995283522664E-2</v>
      </c>
      <c r="H175" s="3">
        <f t="shared" si="111"/>
        <v>1.6723831099460091E-2</v>
      </c>
      <c r="I175" s="3">
        <f t="shared" si="111"/>
        <v>1.6602674469661606E-2</v>
      </c>
      <c r="J175" s="3">
        <f t="shared" si="111"/>
        <v>1.5438348919996948E-2</v>
      </c>
      <c r="K175" s="3">
        <f t="shared" si="111"/>
        <v>7.4615464371937104E-3</v>
      </c>
      <c r="L175" s="3">
        <f t="shared" si="111"/>
        <v>5.1893000964470826E-6</v>
      </c>
      <c r="M175" s="3">
        <f t="shared" si="111"/>
        <v>1.3737515355936765E-37</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1.9251005167961081E-2</v>
      </c>
      <c r="C176" s="3">
        <f t="shared" si="112"/>
        <v>1.9251005155334396E-2</v>
      </c>
      <c r="D176" s="3">
        <f t="shared" si="112"/>
        <v>1.9251005029067556E-2</v>
      </c>
      <c r="E176" s="3">
        <f t="shared" si="112"/>
        <v>1.9251003766399193E-2</v>
      </c>
      <c r="F176" s="3">
        <f t="shared" si="112"/>
        <v>1.9250991139720123E-2</v>
      </c>
      <c r="G176" s="3">
        <f t="shared" si="112"/>
        <v>1.9250864873384937E-2</v>
      </c>
      <c r="H176" s="3">
        <f t="shared" si="112"/>
        <v>1.9249602255581776E-2</v>
      </c>
      <c r="I176" s="3">
        <f t="shared" si="112"/>
        <v>1.9236980631317221E-2</v>
      </c>
      <c r="J176" s="3">
        <f t="shared" si="112"/>
        <v>1.9111218662196238E-2</v>
      </c>
      <c r="K176" s="3">
        <f t="shared" si="112"/>
        <v>1.7897942958016843E-2</v>
      </c>
      <c r="L176" s="3">
        <f t="shared" si="112"/>
        <v>9.2886051228949825E-3</v>
      </c>
      <c r="M176" s="3">
        <f t="shared" si="112"/>
        <v>1.3165104472029374E-5</v>
      </c>
      <c r="N176" s="3">
        <f t="shared" si="112"/>
        <v>4.3068763406212513E-34</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2.1901222086269777E-2</v>
      </c>
      <c r="C177" s="3">
        <f t="shared" si="113"/>
        <v>2.1901222084973939E-2</v>
      </c>
      <c r="D177" s="3">
        <f t="shared" si="113"/>
        <v>2.1901222072015555E-2</v>
      </c>
      <c r="E177" s="3">
        <f t="shared" si="113"/>
        <v>2.1901221942431718E-2</v>
      </c>
      <c r="F177" s="3">
        <f t="shared" si="113"/>
        <v>2.1901220646593361E-2</v>
      </c>
      <c r="G177" s="3">
        <f t="shared" si="113"/>
        <v>2.190120768821404E-2</v>
      </c>
      <c r="H177" s="3">
        <f t="shared" si="113"/>
        <v>2.1901078104842504E-2</v>
      </c>
      <c r="I177" s="3">
        <f t="shared" si="113"/>
        <v>2.1899782313295379E-2</v>
      </c>
      <c r="J177" s="3">
        <f t="shared" si="113"/>
        <v>2.1886828613725061E-2</v>
      </c>
      <c r="K177" s="3">
        <f t="shared" si="113"/>
        <v>2.1757712286631564E-2</v>
      </c>
      <c r="L177" s="3">
        <f t="shared" si="113"/>
        <v>2.0507709345030604E-2</v>
      </c>
      <c r="M177" s="3">
        <f t="shared" si="113"/>
        <v>1.1348968581523951E-2</v>
      </c>
      <c r="N177" s="3">
        <f t="shared" si="113"/>
        <v>3.0573755988538955E-5</v>
      </c>
      <c r="O177" s="3">
        <f t="shared" si="113"/>
        <v>6.1556342749143891E-31</v>
      </c>
      <c r="P177" s="3">
        <f t="shared" si="113"/>
        <v>6.7377198538682213E-288</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2.2497281457397812E-2</v>
      </c>
      <c r="C178" s="3">
        <f t="shared" si="114"/>
        <v>2.2497281457277734E-2</v>
      </c>
      <c r="D178" s="3">
        <f t="shared" si="114"/>
        <v>2.2497281456076969E-2</v>
      </c>
      <c r="E178" s="3">
        <f t="shared" si="114"/>
        <v>2.2497281444069289E-2</v>
      </c>
      <c r="F178" s="3">
        <f t="shared" si="114"/>
        <v>2.2497281323992483E-2</v>
      </c>
      <c r="G178" s="3">
        <f t="shared" si="114"/>
        <v>2.2497280123224453E-2</v>
      </c>
      <c r="H178" s="3">
        <f t="shared" si="114"/>
        <v>2.2497268115547722E-2</v>
      </c>
      <c r="I178" s="3">
        <f t="shared" si="114"/>
        <v>2.2497148039132865E-2</v>
      </c>
      <c r="J178" s="3">
        <f t="shared" si="114"/>
        <v>2.2495947310232849E-2</v>
      </c>
      <c r="K178" s="3">
        <f t="shared" si="114"/>
        <v>2.2483943545392696E-2</v>
      </c>
      <c r="L178" s="3">
        <f t="shared" si="114"/>
        <v>2.2364257618017726E-2</v>
      </c>
      <c r="M178" s="3">
        <f t="shared" si="114"/>
        <v>2.1201885661011249E-2</v>
      </c>
      <c r="N178" s="3">
        <f t="shared" si="114"/>
        <v>1.2432959118320838E-2</v>
      </c>
      <c r="O178" s="3">
        <f t="shared" si="114"/>
        <v>5.9782583749359673E-5</v>
      </c>
      <c r="P178" s="3">
        <f t="shared" si="114"/>
        <v>3.9498120825773186E-28</v>
      </c>
      <c r="Q178" s="3">
        <f t="shared" si="114"/>
        <v>6.2602829783639826E-260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2.6719174389675672E-2</v>
      </c>
      <c r="C179" s="3">
        <f t="shared" si="115"/>
        <v>2.6719174389662807E-2</v>
      </c>
      <c r="D179" s="3">
        <f t="shared" si="115"/>
        <v>2.671917438953416E-2</v>
      </c>
      <c r="E179" s="3">
        <f t="shared" si="115"/>
        <v>2.6719174388247693E-2</v>
      </c>
      <c r="F179" s="3">
        <f t="shared" si="115"/>
        <v>2.6719174375383022E-2</v>
      </c>
      <c r="G179" s="3">
        <f t="shared" si="115"/>
        <v>2.6719174246736303E-2</v>
      </c>
      <c r="H179" s="3">
        <f t="shared" si="115"/>
        <v>2.6719172960269155E-2</v>
      </c>
      <c r="I179" s="3">
        <f t="shared" si="115"/>
        <v>2.6719160095601088E-2</v>
      </c>
      <c r="J179" s="3">
        <f t="shared" si="115"/>
        <v>2.671903144926107E-2</v>
      </c>
      <c r="K179" s="3">
        <f t="shared" si="115"/>
        <v>2.6717745019927453E-2</v>
      </c>
      <c r="L179" s="3">
        <f t="shared" si="115"/>
        <v>2.6704884132642107E-2</v>
      </c>
      <c r="M179" s="3">
        <f t="shared" si="115"/>
        <v>2.657661525887188E-2</v>
      </c>
      <c r="N179" s="3">
        <f t="shared" si="115"/>
        <v>2.5327328454431499E-2</v>
      </c>
      <c r="O179" s="3">
        <f t="shared" si="115"/>
        <v>1.5648997256485022E-2</v>
      </c>
      <c r="P179" s="3">
        <f t="shared" si="115"/>
        <v>1.2689889299330654E-4</v>
      </c>
      <c r="Q179" s="3">
        <f t="shared" si="115"/>
        <v>1.5601667738948889E-25</v>
      </c>
      <c r="R179" s="3">
        <f t="shared" si="115"/>
        <v>1.2311272282384395E-234</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2.8269244352707439E-2</v>
      </c>
      <c r="C180" s="3">
        <f t="shared" si="116"/>
        <v>2.8269244352706207E-2</v>
      </c>
      <c r="D180" s="3">
        <f t="shared" si="116"/>
        <v>2.8269244352693932E-2</v>
      </c>
      <c r="E180" s="3">
        <f t="shared" si="116"/>
        <v>2.8269244352571148E-2</v>
      </c>
      <c r="F180" s="3">
        <f t="shared" si="116"/>
        <v>2.8269244351343325E-2</v>
      </c>
      <c r="G180" s="3">
        <f t="shared" si="116"/>
        <v>2.8269244339065074E-2</v>
      </c>
      <c r="H180" s="3">
        <f t="shared" si="116"/>
        <v>2.8269244216282574E-2</v>
      </c>
      <c r="I180" s="3">
        <f t="shared" si="116"/>
        <v>2.8269242988457614E-2</v>
      </c>
      <c r="J180" s="3">
        <f t="shared" si="116"/>
        <v>2.8269230710210952E-2</v>
      </c>
      <c r="K180" s="3">
        <f t="shared" si="116"/>
        <v>2.8269107928037628E-2</v>
      </c>
      <c r="L180" s="3">
        <f t="shared" si="116"/>
        <v>2.8267880135634502E-2</v>
      </c>
      <c r="M180" s="3">
        <f t="shared" si="116"/>
        <v>2.8255605144142815E-2</v>
      </c>
      <c r="N180" s="3">
        <f t="shared" si="116"/>
        <v>2.813314801246368E-2</v>
      </c>
      <c r="O180" s="3">
        <f t="shared" si="116"/>
        <v>2.6937389924264272E-2</v>
      </c>
      <c r="P180" s="3">
        <f t="shared" si="116"/>
        <v>1.7447263902170631E-2</v>
      </c>
      <c r="Q180" s="3">
        <f t="shared" si="116"/>
        <v>2.2669685918071667E-4</v>
      </c>
      <c r="R180" s="3">
        <f t="shared" si="116"/>
        <v>3.1090466127130096E-23</v>
      </c>
      <c r="S180" s="3">
        <f t="shared" si="116"/>
        <v>7.3188784545778002E-212</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2.8789242104317218E-2</v>
      </c>
      <c r="C181" s="3">
        <f t="shared" si="117"/>
        <v>2.8789242104317107E-2</v>
      </c>
      <c r="D181" s="3">
        <f t="shared" si="117"/>
        <v>2.8789242104315979E-2</v>
      </c>
      <c r="E181" s="3">
        <f t="shared" si="117"/>
        <v>2.87892421043047E-2</v>
      </c>
      <c r="F181" s="3">
        <f t="shared" si="117"/>
        <v>2.8789242104191901E-2</v>
      </c>
      <c r="G181" s="3">
        <f t="shared" si="117"/>
        <v>2.8789242103063929E-2</v>
      </c>
      <c r="H181" s="3">
        <f t="shared" si="117"/>
        <v>2.8789242091784187E-2</v>
      </c>
      <c r="I181" s="3">
        <f t="shared" si="117"/>
        <v>2.8789241978986784E-2</v>
      </c>
      <c r="J181" s="3">
        <f t="shared" si="117"/>
        <v>2.8789240851012803E-2</v>
      </c>
      <c r="K181" s="3">
        <f t="shared" si="117"/>
        <v>2.8789229571275429E-2</v>
      </c>
      <c r="L181" s="3">
        <f t="shared" si="117"/>
        <v>2.8789116774144724E-2</v>
      </c>
      <c r="M181" s="3">
        <f t="shared" si="117"/>
        <v>2.8787988827144242E-2</v>
      </c>
      <c r="N181" s="3">
        <f t="shared" si="117"/>
        <v>2.8776711787443933E-2</v>
      </c>
      <c r="O181" s="3">
        <f t="shared" si="117"/>
        <v>2.8664184068944137E-2</v>
      </c>
      <c r="P181" s="3">
        <f t="shared" si="117"/>
        <v>2.7562826585913729E-2</v>
      </c>
      <c r="Q181" s="3">
        <f t="shared" si="117"/>
        <v>1.8627966127567123E-2</v>
      </c>
      <c r="R181" s="3">
        <f t="shared" si="117"/>
        <v>3.7032438313340207E-4</v>
      </c>
      <c r="S181" s="3">
        <f t="shared" si="117"/>
        <v>3.5706805128371654E-21</v>
      </c>
      <c r="T181" s="3">
        <f t="shared" si="117"/>
        <v>2.4799209999309574E-191</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2.5595411660203616E-2</v>
      </c>
      <c r="C182" s="3">
        <f t="shared" si="118"/>
        <v>2.5595411660203606E-2</v>
      </c>
      <c r="D182" s="3">
        <f t="shared" si="118"/>
        <v>2.5595411660203515E-2</v>
      </c>
      <c r="E182" s="3">
        <f t="shared" si="118"/>
        <v>2.559541166020261E-2</v>
      </c>
      <c r="F182" s="3">
        <f t="shared" si="118"/>
        <v>2.5595411660193565E-2</v>
      </c>
      <c r="G182" s="3">
        <f t="shared" si="118"/>
        <v>2.5595411660103099E-2</v>
      </c>
      <c r="H182" s="3">
        <f t="shared" si="118"/>
        <v>2.5595411659198455E-2</v>
      </c>
      <c r="I182" s="3">
        <f t="shared" si="118"/>
        <v>2.5595411650152021E-2</v>
      </c>
      <c r="J182" s="3">
        <f t="shared" si="118"/>
        <v>2.5595411559687649E-2</v>
      </c>
      <c r="K182" s="3">
        <f t="shared" si="118"/>
        <v>2.5595410655043956E-2</v>
      </c>
      <c r="L182" s="3">
        <f t="shared" si="118"/>
        <v>2.5595401608608761E-2</v>
      </c>
      <c r="M182" s="3">
        <f t="shared" si="118"/>
        <v>2.5595311144432704E-2</v>
      </c>
      <c r="N182" s="3">
        <f t="shared" si="118"/>
        <v>2.5594406520257417E-2</v>
      </c>
      <c r="O182" s="3">
        <f t="shared" si="118"/>
        <v>2.5585362036803033E-2</v>
      </c>
      <c r="P182" s="3">
        <f t="shared" si="118"/>
        <v>2.5495092802389978E-2</v>
      </c>
      <c r="Q182" s="3">
        <f t="shared" si="118"/>
        <v>2.4609732989081545E-2</v>
      </c>
      <c r="R182" s="3">
        <f t="shared" si="118"/>
        <v>1.7282634581084529E-2</v>
      </c>
      <c r="S182" s="3">
        <f t="shared" si="118"/>
        <v>5.0424361166657658E-4</v>
      </c>
      <c r="T182" s="3">
        <f t="shared" si="118"/>
        <v>2.253953634833951E-19</v>
      </c>
      <c r="U182" s="3">
        <f t="shared" si="118"/>
        <v>7.1777893932361076E-173</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3.1571984224505523E-2</v>
      </c>
      <c r="C183" s="3">
        <f t="shared" si="119"/>
        <v>3.1571984224505523E-2</v>
      </c>
      <c r="D183" s="3">
        <f t="shared" si="119"/>
        <v>3.1571984224505509E-2</v>
      </c>
      <c r="E183" s="3">
        <f t="shared" si="119"/>
        <v>3.1571984224505412E-2</v>
      </c>
      <c r="F183" s="3">
        <f t="shared" si="119"/>
        <v>3.1571984224504406E-2</v>
      </c>
      <c r="G183" s="3">
        <f t="shared" si="119"/>
        <v>3.1571984224494337E-2</v>
      </c>
      <c r="H183" s="3">
        <f t="shared" si="119"/>
        <v>3.1571984224393675E-2</v>
      </c>
      <c r="I183" s="3">
        <f t="shared" si="119"/>
        <v>3.1571984223387063E-2</v>
      </c>
      <c r="J183" s="3">
        <f t="shared" si="119"/>
        <v>3.15719842133209E-2</v>
      </c>
      <c r="K183" s="3">
        <f t="shared" si="119"/>
        <v>3.1571984112659275E-2</v>
      </c>
      <c r="L183" s="3">
        <f t="shared" si="119"/>
        <v>3.1571983106043089E-2</v>
      </c>
      <c r="M183" s="3">
        <f t="shared" si="119"/>
        <v>3.1571973039882961E-2</v>
      </c>
      <c r="N183" s="3">
        <f t="shared" si="119"/>
        <v>3.157187237845821E-2</v>
      </c>
      <c r="O183" s="3">
        <f t="shared" si="119"/>
        <v>3.1570865781862245E-2</v>
      </c>
      <c r="P183" s="3">
        <f t="shared" si="119"/>
        <v>3.1560801580849819E-2</v>
      </c>
      <c r="Q183" s="3">
        <f t="shared" si="119"/>
        <v>3.1460335857419759E-2</v>
      </c>
      <c r="R183" s="3">
        <f t="shared" si="119"/>
        <v>3.0473101092510162E-2</v>
      </c>
      <c r="S183" s="3">
        <f t="shared" si="119"/>
        <v>2.2153871378587625E-2</v>
      </c>
      <c r="T183" s="3">
        <f t="shared" si="119"/>
        <v>9.136490464497182E-4</v>
      </c>
      <c r="U183" s="3">
        <f t="shared" si="119"/>
        <v>1.300400592756585E-17</v>
      </c>
      <c r="V183" s="3">
        <f t="shared" si="119"/>
        <v>4.4366451414021721E-156</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4.0619048192840942E-2</v>
      </c>
      <c r="C184" s="3">
        <f t="shared" si="120"/>
        <v>4.0619048192840942E-2</v>
      </c>
      <c r="D184" s="3">
        <f t="shared" si="120"/>
        <v>4.0619048192840942E-2</v>
      </c>
      <c r="E184" s="3">
        <f t="shared" si="120"/>
        <v>4.0619048192840929E-2</v>
      </c>
      <c r="F184" s="3">
        <f t="shared" si="120"/>
        <v>4.0619048192840811E-2</v>
      </c>
      <c r="G184" s="3">
        <f t="shared" si="120"/>
        <v>4.0619048192839645E-2</v>
      </c>
      <c r="H184" s="3">
        <f t="shared" si="120"/>
        <v>4.0619048192827967E-2</v>
      </c>
      <c r="I184" s="3">
        <f t="shared" si="120"/>
        <v>4.0619048192711137E-2</v>
      </c>
      <c r="J184" s="3">
        <f t="shared" si="120"/>
        <v>4.0619048191542877E-2</v>
      </c>
      <c r="K184" s="3">
        <f t="shared" si="120"/>
        <v>4.0619048179860312E-2</v>
      </c>
      <c r="L184" s="3">
        <f t="shared" si="120"/>
        <v>4.061904806303461E-2</v>
      </c>
      <c r="M184" s="3">
        <f t="shared" si="120"/>
        <v>4.0619046894777681E-2</v>
      </c>
      <c r="N184" s="3">
        <f t="shared" si="120"/>
        <v>4.0619035212210171E-2</v>
      </c>
      <c r="O184" s="3">
        <f t="shared" si="120"/>
        <v>4.0618918386719889E-2</v>
      </c>
      <c r="P184" s="3">
        <f t="shared" si="120"/>
        <v>4.0617750150297227E-2</v>
      </c>
      <c r="Q184" s="3">
        <f t="shared" si="120"/>
        <v>4.0606069633884988E-2</v>
      </c>
      <c r="R184" s="3">
        <f t="shared" si="120"/>
        <v>4.0489449054715479E-2</v>
      </c>
      <c r="S184" s="3">
        <f t="shared" si="120"/>
        <v>3.9341506830862391E-2</v>
      </c>
      <c r="T184" s="3">
        <f t="shared" si="120"/>
        <v>2.9508165890715993E-2</v>
      </c>
      <c r="U184" s="3">
        <f t="shared" si="120"/>
        <v>1.6628553813262295E-3</v>
      </c>
      <c r="V184" s="3">
        <f t="shared" si="120"/>
        <v>5.3700350362862715E-16</v>
      </c>
      <c r="W184" s="3">
        <f t="shared" si="120"/>
        <v>6.6252688910567242E-141</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3.7761220679273885E-2</v>
      </c>
      <c r="C185" s="3">
        <f t="shared" si="121"/>
        <v>3.7761220679273885E-2</v>
      </c>
      <c r="D185" s="3">
        <f t="shared" si="121"/>
        <v>3.7761220679273885E-2</v>
      </c>
      <c r="E185" s="3">
        <f t="shared" si="121"/>
        <v>3.7761220679273885E-2</v>
      </c>
      <c r="F185" s="3">
        <f t="shared" si="121"/>
        <v>3.7761220679273871E-2</v>
      </c>
      <c r="G185" s="3">
        <f t="shared" si="121"/>
        <v>3.7761220679273774E-2</v>
      </c>
      <c r="H185" s="3">
        <f t="shared" si="121"/>
        <v>3.7761220679272796E-2</v>
      </c>
      <c r="I185" s="3">
        <f t="shared" si="121"/>
        <v>3.7761220679262998E-2</v>
      </c>
      <c r="J185" s="3">
        <f t="shared" si="121"/>
        <v>3.7761220679165028E-2</v>
      </c>
      <c r="K185" s="3">
        <f t="shared" si="121"/>
        <v>3.7761220678185312E-2</v>
      </c>
      <c r="L185" s="3">
        <f t="shared" si="121"/>
        <v>3.7761220668388121E-2</v>
      </c>
      <c r="M185" s="3">
        <f t="shared" si="121"/>
        <v>3.7761220570416289E-2</v>
      </c>
      <c r="N185" s="3">
        <f t="shared" si="121"/>
        <v>3.7761219590697941E-2</v>
      </c>
      <c r="O185" s="3">
        <f t="shared" si="121"/>
        <v>3.7761209793515847E-2</v>
      </c>
      <c r="P185" s="3">
        <f t="shared" si="121"/>
        <v>3.7761111821834704E-2</v>
      </c>
      <c r="Q185" s="3">
        <f t="shared" si="121"/>
        <v>3.7760132119003552E-2</v>
      </c>
      <c r="R185" s="3">
        <f t="shared" si="121"/>
        <v>3.7750336488581483E-2</v>
      </c>
      <c r="S185" s="3">
        <f t="shared" si="121"/>
        <v>3.765251983921003E-2</v>
      </c>
      <c r="T185" s="3">
        <f t="shared" si="121"/>
        <v>3.6688185691491237E-2</v>
      </c>
      <c r="U185" s="3">
        <f t="shared" si="121"/>
        <v>2.8304020511956372E-2</v>
      </c>
      <c r="V185" s="3">
        <f t="shared" si="121"/>
        <v>2.1138155005539319E-3</v>
      </c>
      <c r="W185" s="3">
        <f t="shared" si="121"/>
        <v>1.1409235845393922E-14</v>
      </c>
      <c r="X185" s="3">
        <f t="shared" si="121"/>
        <v>2.3941499767728005E-127</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3.2047185254004913E-2</v>
      </c>
      <c r="C186" s="3">
        <f t="shared" si="122"/>
        <v>3.2047185254004913E-2</v>
      </c>
      <c r="D186" s="3">
        <f t="shared" si="122"/>
        <v>3.2047185254004913E-2</v>
      </c>
      <c r="E186" s="3">
        <f t="shared" si="122"/>
        <v>3.2047185254004913E-2</v>
      </c>
      <c r="F186" s="3">
        <f t="shared" si="122"/>
        <v>3.2047185254004913E-2</v>
      </c>
      <c r="G186" s="3">
        <f t="shared" si="122"/>
        <v>3.2047185254004906E-2</v>
      </c>
      <c r="H186" s="3">
        <f t="shared" si="122"/>
        <v>3.204718525400483E-2</v>
      </c>
      <c r="I186" s="3">
        <f t="shared" si="122"/>
        <v>3.2047185254004081E-2</v>
      </c>
      <c r="J186" s="3">
        <f t="shared" si="122"/>
        <v>3.204718525399658E-2</v>
      </c>
      <c r="K186" s="3">
        <f t="shared" si="122"/>
        <v>3.2047185253921577E-2</v>
      </c>
      <c r="L186" s="3">
        <f t="shared" si="122"/>
        <v>3.2047185253171517E-2</v>
      </c>
      <c r="M186" s="3">
        <f t="shared" si="122"/>
        <v>3.2047185245670996E-2</v>
      </c>
      <c r="N186" s="3">
        <f t="shared" si="122"/>
        <v>3.2047185170665737E-2</v>
      </c>
      <c r="O186" s="3">
        <f t="shared" si="122"/>
        <v>3.2047184420613176E-2</v>
      </c>
      <c r="P186" s="3">
        <f t="shared" si="122"/>
        <v>3.2047176920088509E-2</v>
      </c>
      <c r="Q186" s="3">
        <f t="shared" si="122"/>
        <v>3.2047101914938383E-2</v>
      </c>
      <c r="R186" s="3">
        <f t="shared" si="122"/>
        <v>3.2046351873092169E-2</v>
      </c>
      <c r="S186" s="3">
        <f t="shared" si="122"/>
        <v>3.2038852420045838E-2</v>
      </c>
      <c r="T186" s="3">
        <f t="shared" si="122"/>
        <v>3.1963954347617327E-2</v>
      </c>
      <c r="U186" s="3">
        <f t="shared" si="122"/>
        <v>3.1224536417271274E-2</v>
      </c>
      <c r="V186" s="3">
        <f t="shared" si="122"/>
        <v>2.4708761330377079E-2</v>
      </c>
      <c r="W186" s="3">
        <f t="shared" si="122"/>
        <v>2.3790344246006909E-3</v>
      </c>
      <c r="X186" s="3">
        <f t="shared" si="122"/>
        <v>1.6289143350364226E-13</v>
      </c>
      <c r="Y186" s="3">
        <f t="shared" si="122"/>
        <v>3.688700841023999E-115</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5.5060207151423582E-2</v>
      </c>
      <c r="C187" s="3">
        <f t="shared" si="123"/>
        <v>5.5060207151423582E-2</v>
      </c>
      <c r="D187" s="3">
        <f t="shared" si="123"/>
        <v>5.5060207151423582E-2</v>
      </c>
      <c r="E187" s="3">
        <f t="shared" si="123"/>
        <v>5.5060207151423582E-2</v>
      </c>
      <c r="F187" s="3">
        <f t="shared" si="123"/>
        <v>5.5060207151423582E-2</v>
      </c>
      <c r="G187" s="3">
        <f t="shared" si="123"/>
        <v>5.5060207151423582E-2</v>
      </c>
      <c r="H187" s="3">
        <f t="shared" si="123"/>
        <v>5.5060207151423568E-2</v>
      </c>
      <c r="I187" s="3">
        <f t="shared" si="123"/>
        <v>5.5060207151423457E-2</v>
      </c>
      <c r="J187" s="3">
        <f t="shared" si="123"/>
        <v>5.5060207151422291E-2</v>
      </c>
      <c r="K187" s="3">
        <f t="shared" si="123"/>
        <v>5.5060207151410669E-2</v>
      </c>
      <c r="L187" s="3">
        <f t="shared" si="123"/>
        <v>5.5060207151294414E-2</v>
      </c>
      <c r="M187" s="3">
        <f t="shared" si="123"/>
        <v>5.5060207150131935E-2</v>
      </c>
      <c r="N187" s="3">
        <f t="shared" si="123"/>
        <v>5.5060207138507115E-2</v>
      </c>
      <c r="O187" s="3">
        <f t="shared" si="123"/>
        <v>5.506020702225891E-2</v>
      </c>
      <c r="P187" s="3">
        <f t="shared" si="123"/>
        <v>5.5060205859776903E-2</v>
      </c>
      <c r="Q187" s="3">
        <f t="shared" si="123"/>
        <v>5.5060194234958136E-2</v>
      </c>
      <c r="R187" s="3">
        <f t="shared" si="123"/>
        <v>5.506007798690548E-2</v>
      </c>
      <c r="S187" s="3">
        <f t="shared" si="123"/>
        <v>5.5058915519877655E-2</v>
      </c>
      <c r="T187" s="3">
        <f t="shared" si="123"/>
        <v>5.5047292199369047E-2</v>
      </c>
      <c r="U187" s="3">
        <f t="shared" si="123"/>
        <v>5.4931193865862808E-2</v>
      </c>
      <c r="V187" s="3">
        <f t="shared" si="123"/>
        <v>5.3783592922406406E-2</v>
      </c>
      <c r="W187" s="3">
        <f t="shared" si="123"/>
        <v>4.3546929949040719E-2</v>
      </c>
      <c r="X187" s="3">
        <f t="shared" si="123"/>
        <v>5.2727218096543654E-3</v>
      </c>
      <c r="Y187" s="3">
        <f t="shared" si="123"/>
        <v>3.5711493668963266E-12</v>
      </c>
      <c r="Z187" s="3">
        <f t="shared" si="123"/>
        <v>7.2533658759220015E-104</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5.5367146096233756E-2</v>
      </c>
      <c r="C188" s="3">
        <f t="shared" si="124"/>
        <v>5.5367146096233756E-2</v>
      </c>
      <c r="D188" s="3">
        <f t="shared" si="124"/>
        <v>5.5367146096233756E-2</v>
      </c>
      <c r="E188" s="3">
        <f t="shared" si="124"/>
        <v>5.5367146096233756E-2</v>
      </c>
      <c r="F188" s="3">
        <f t="shared" si="124"/>
        <v>5.5367146096233756E-2</v>
      </c>
      <c r="G188" s="3">
        <f t="shared" si="124"/>
        <v>5.5367146096233756E-2</v>
      </c>
      <c r="H188" s="3">
        <f t="shared" si="124"/>
        <v>5.5367146096233756E-2</v>
      </c>
      <c r="I188" s="3">
        <f t="shared" si="124"/>
        <v>5.5367146096233742E-2</v>
      </c>
      <c r="J188" s="3">
        <f t="shared" si="124"/>
        <v>5.5367146096233638E-2</v>
      </c>
      <c r="K188" s="3">
        <f t="shared" si="124"/>
        <v>5.5367146096232583E-2</v>
      </c>
      <c r="L188" s="3">
        <f t="shared" si="124"/>
        <v>5.5367146096222043E-2</v>
      </c>
      <c r="M188" s="3">
        <f t="shared" si="124"/>
        <v>5.5367146096116586E-2</v>
      </c>
      <c r="N188" s="3">
        <f t="shared" si="124"/>
        <v>5.5367146095062089E-2</v>
      </c>
      <c r="O188" s="3">
        <f t="shared" si="124"/>
        <v>5.5367146084517073E-2</v>
      </c>
      <c r="P188" s="3">
        <f t="shared" si="124"/>
        <v>5.5367145979066938E-2</v>
      </c>
      <c r="Q188" s="3">
        <f t="shared" si="124"/>
        <v>5.5367144924565619E-2</v>
      </c>
      <c r="R188" s="3">
        <f t="shared" si="124"/>
        <v>5.5367134379553463E-2</v>
      </c>
      <c r="S188" s="3">
        <f t="shared" si="124"/>
        <v>5.53670289295424E-2</v>
      </c>
      <c r="T188" s="3">
        <f t="shared" si="124"/>
        <v>5.5365974440477687E-2</v>
      </c>
      <c r="U188" s="3">
        <f t="shared" si="124"/>
        <v>5.5355430654343472E-2</v>
      </c>
      <c r="V188" s="3">
        <f t="shared" si="124"/>
        <v>5.5250103166503584E-2</v>
      </c>
      <c r="W188" s="3">
        <f t="shared" si="124"/>
        <v>5.4207788254127635E-2</v>
      </c>
      <c r="X188" s="3">
        <f t="shared" si="124"/>
        <v>4.4807182252056724E-2</v>
      </c>
      <c r="Y188" s="3">
        <f t="shared" si="124"/>
        <v>6.6712480955375113E-3</v>
      </c>
      <c r="Z188" s="3">
        <f t="shared" si="124"/>
        <v>3.5710972163892918E-11</v>
      </c>
      <c r="AA188" s="3">
        <f t="shared" si="124"/>
        <v>6.8983859236310261E-94</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4.7007838258753223E-2</v>
      </c>
      <c r="C189" s="3">
        <f t="shared" si="125"/>
        <v>4.7007838258753223E-2</v>
      </c>
      <c r="D189" s="3">
        <f t="shared" si="125"/>
        <v>4.7007838258753223E-2</v>
      </c>
      <c r="E189" s="3">
        <f t="shared" si="125"/>
        <v>4.7007838258753223E-2</v>
      </c>
      <c r="F189" s="3">
        <f t="shared" si="125"/>
        <v>4.7007838258753223E-2</v>
      </c>
      <c r="G189" s="3">
        <f t="shared" si="125"/>
        <v>4.7007838258753223E-2</v>
      </c>
      <c r="H189" s="3">
        <f t="shared" si="125"/>
        <v>4.7007838258753223E-2</v>
      </c>
      <c r="I189" s="3">
        <f t="shared" si="125"/>
        <v>4.7007838258753223E-2</v>
      </c>
      <c r="J189" s="3">
        <f t="shared" si="125"/>
        <v>4.700783825875321E-2</v>
      </c>
      <c r="K189" s="3">
        <f t="shared" si="125"/>
        <v>4.7007838258753133E-2</v>
      </c>
      <c r="L189" s="3">
        <f t="shared" si="125"/>
        <v>4.7007838258752328E-2</v>
      </c>
      <c r="M189" s="3">
        <f t="shared" si="125"/>
        <v>4.7007838258744251E-2</v>
      </c>
      <c r="N189" s="3">
        <f t="shared" si="125"/>
        <v>4.700783825866349E-2</v>
      </c>
      <c r="O189" s="3">
        <f t="shared" si="125"/>
        <v>4.7007838257855858E-2</v>
      </c>
      <c r="P189" s="3">
        <f t="shared" si="125"/>
        <v>4.7007838249779568E-2</v>
      </c>
      <c r="Q189" s="3">
        <f t="shared" si="125"/>
        <v>4.7007838169016679E-2</v>
      </c>
      <c r="R189" s="3">
        <f t="shared" si="125"/>
        <v>4.7007837361387757E-2</v>
      </c>
      <c r="S189" s="3">
        <f t="shared" si="125"/>
        <v>4.7007829285099299E-2</v>
      </c>
      <c r="T189" s="3">
        <f t="shared" si="125"/>
        <v>4.7007748522291067E-2</v>
      </c>
      <c r="U189" s="3">
        <f t="shared" si="125"/>
        <v>4.7006940901840315E-2</v>
      </c>
      <c r="V189" s="3">
        <f t="shared" si="125"/>
        <v>4.6998865460439812E-2</v>
      </c>
      <c r="W189" s="3">
        <f t="shared" si="125"/>
        <v>4.6918187308653152E-2</v>
      </c>
      <c r="X189" s="3">
        <f t="shared" si="125"/>
        <v>4.611898375570532E-2</v>
      </c>
      <c r="Y189" s="3">
        <f t="shared" si="125"/>
        <v>3.8838707694015359E-2</v>
      </c>
      <c r="Z189" s="3">
        <f t="shared" si="125"/>
        <v>6.9681130929246712E-3</v>
      </c>
      <c r="AA189" s="3">
        <f t="shared" si="125"/>
        <v>2.4077943356343862E-10</v>
      </c>
      <c r="AB189" s="3">
        <f t="shared" si="125"/>
        <v>5.8433428132382369E-85</v>
      </c>
      <c r="AC189" s="3">
        <f t="shared" si="125"/>
        <v>0</v>
      </c>
      <c r="AD189" s="3">
        <f t="shared" si="125"/>
        <v>0</v>
      </c>
      <c r="AE189" s="3">
        <f t="shared" si="125"/>
        <v>0</v>
      </c>
      <c r="AF189" s="3">
        <f t="shared" si="125"/>
        <v>0</v>
      </c>
      <c r="AG189" s="3"/>
      <c r="AH189" s="3"/>
    </row>
    <row r="190" spans="2:34" x14ac:dyDescent="0.25">
      <c r="B190" s="3">
        <f t="shared" ref="B190:AF190" si="126">$C37*EXP(-B$168/$A37/EXP(-$C$126))</f>
        <v>4.3271313852142758E-2</v>
      </c>
      <c r="C190" s="3">
        <f t="shared" si="126"/>
        <v>4.3271313852142758E-2</v>
      </c>
      <c r="D190" s="3">
        <f t="shared" si="126"/>
        <v>4.3271313852142758E-2</v>
      </c>
      <c r="E190" s="3">
        <f t="shared" si="126"/>
        <v>4.3271313852142758E-2</v>
      </c>
      <c r="F190" s="3">
        <f t="shared" si="126"/>
        <v>4.3271313852142758E-2</v>
      </c>
      <c r="G190" s="3">
        <f t="shared" si="126"/>
        <v>4.3271313852142758E-2</v>
      </c>
      <c r="H190" s="3">
        <f t="shared" si="126"/>
        <v>4.3271313852142758E-2</v>
      </c>
      <c r="I190" s="3">
        <f t="shared" si="126"/>
        <v>4.3271313852142758E-2</v>
      </c>
      <c r="J190" s="3">
        <f t="shared" si="126"/>
        <v>4.3271313852142758E-2</v>
      </c>
      <c r="K190" s="3">
        <f t="shared" si="126"/>
        <v>4.3271313852142751E-2</v>
      </c>
      <c r="L190" s="3">
        <f t="shared" si="126"/>
        <v>4.3271313852142682E-2</v>
      </c>
      <c r="M190" s="3">
        <f t="shared" si="126"/>
        <v>4.3271313852142015E-2</v>
      </c>
      <c r="N190" s="3">
        <f t="shared" si="126"/>
        <v>4.3271313852135306E-2</v>
      </c>
      <c r="O190" s="3">
        <f t="shared" si="126"/>
        <v>4.3271313852068241E-2</v>
      </c>
      <c r="P190" s="3">
        <f t="shared" si="126"/>
        <v>4.3271313851397604E-2</v>
      </c>
      <c r="Q190" s="3">
        <f t="shared" si="126"/>
        <v>4.3271313844691225E-2</v>
      </c>
      <c r="R190" s="3">
        <f t="shared" si="126"/>
        <v>4.3271313777627406E-2</v>
      </c>
      <c r="S190" s="3">
        <f t="shared" si="126"/>
        <v>4.3271313106989256E-2</v>
      </c>
      <c r="T190" s="3">
        <f t="shared" si="126"/>
        <v>4.3271306400608306E-2</v>
      </c>
      <c r="U190" s="3">
        <f t="shared" si="126"/>
        <v>4.3271239336855984E-2</v>
      </c>
      <c r="V190" s="3">
        <f t="shared" si="126"/>
        <v>4.3270568705049355E-2</v>
      </c>
      <c r="W190" s="3">
        <f t="shared" si="126"/>
        <v>4.3263862958608366E-2</v>
      </c>
      <c r="X190" s="3">
        <f t="shared" si="126"/>
        <v>4.3196862623964674E-2</v>
      </c>
      <c r="Y190" s="3">
        <f t="shared" si="126"/>
        <v>4.2532539628878221E-2</v>
      </c>
      <c r="Z190" s="3">
        <f t="shared" si="126"/>
        <v>3.6426078217925512E-2</v>
      </c>
      <c r="AA190" s="3">
        <f t="shared" si="126"/>
        <v>7.7325621764839985E-3</v>
      </c>
      <c r="AB190" s="3">
        <f t="shared" si="126"/>
        <v>1.4369229145415532E-9</v>
      </c>
      <c r="AC190" s="3">
        <f t="shared" si="126"/>
        <v>7.0556002618972952E-77</v>
      </c>
      <c r="AD190" s="3">
        <f t="shared" si="126"/>
        <v>0</v>
      </c>
      <c r="AE190" s="3">
        <f t="shared" si="126"/>
        <v>0</v>
      </c>
      <c r="AF190" s="3">
        <f t="shared" si="126"/>
        <v>0</v>
      </c>
      <c r="AG190" s="3"/>
      <c r="AH190" s="3"/>
    </row>
    <row r="191" spans="2:34" x14ac:dyDescent="0.25">
      <c r="B191" s="3">
        <f t="shared" ref="B191:AF191" si="127">$C38*EXP(-B$168/$A38/EXP(-$C$126))</f>
        <v>2.2304524360839302E-2</v>
      </c>
      <c r="C191" s="3">
        <f t="shared" si="127"/>
        <v>2.2304524360839302E-2</v>
      </c>
      <c r="D191" s="3">
        <f t="shared" si="127"/>
        <v>2.2304524360839302E-2</v>
      </c>
      <c r="E191" s="3">
        <f t="shared" si="127"/>
        <v>2.2304524360839302E-2</v>
      </c>
      <c r="F191" s="3">
        <f t="shared" si="127"/>
        <v>2.2304524360839302E-2</v>
      </c>
      <c r="G191" s="3">
        <f t="shared" si="127"/>
        <v>2.2304524360839302E-2</v>
      </c>
      <c r="H191" s="3">
        <f t="shared" si="127"/>
        <v>2.2304524360839302E-2</v>
      </c>
      <c r="I191" s="3">
        <f t="shared" si="127"/>
        <v>2.2304524360839302E-2</v>
      </c>
      <c r="J191" s="3">
        <f t="shared" si="127"/>
        <v>2.2304524360839302E-2</v>
      </c>
      <c r="K191" s="3">
        <f t="shared" si="127"/>
        <v>2.2304524360839302E-2</v>
      </c>
      <c r="L191" s="3">
        <f t="shared" si="127"/>
        <v>2.2304524360839299E-2</v>
      </c>
      <c r="M191" s="3">
        <f t="shared" si="127"/>
        <v>2.2304524360839267E-2</v>
      </c>
      <c r="N191" s="3">
        <f t="shared" si="127"/>
        <v>2.2304524360838955E-2</v>
      </c>
      <c r="O191" s="3">
        <f t="shared" si="127"/>
        <v>2.2304524360835836E-2</v>
      </c>
      <c r="P191" s="3">
        <f t="shared" si="127"/>
        <v>2.2304524360804653E-2</v>
      </c>
      <c r="Q191" s="3">
        <f t="shared" si="127"/>
        <v>2.2304524360492815E-2</v>
      </c>
      <c r="R191" s="3">
        <f t="shared" si="127"/>
        <v>2.2304524357374445E-2</v>
      </c>
      <c r="S191" s="3">
        <f t="shared" si="127"/>
        <v>2.230452432619074E-2</v>
      </c>
      <c r="T191" s="3">
        <f t="shared" si="127"/>
        <v>2.2304524014353674E-2</v>
      </c>
      <c r="U191" s="3">
        <f t="shared" si="127"/>
        <v>2.2304520895983278E-2</v>
      </c>
      <c r="V191" s="3">
        <f t="shared" si="127"/>
        <v>2.2304489712303296E-2</v>
      </c>
      <c r="W191" s="3">
        <f t="shared" si="127"/>
        <v>2.2304177877901316E-2</v>
      </c>
      <c r="X191" s="3">
        <f t="shared" si="127"/>
        <v>2.2301059773654472E-2</v>
      </c>
      <c r="Y191" s="3">
        <f t="shared" si="127"/>
        <v>2.2269902696084986E-2</v>
      </c>
      <c r="Z191" s="3">
        <f t="shared" si="127"/>
        <v>2.1960716059637113E-2</v>
      </c>
      <c r="AA191" s="3">
        <f t="shared" si="127"/>
        <v>1.9095378442244629E-2</v>
      </c>
      <c r="AB191" s="3">
        <f t="shared" si="127"/>
        <v>4.7178703360178991E-3</v>
      </c>
      <c r="AC191" s="3">
        <f t="shared" si="127"/>
        <v>3.9987413117972278E-9</v>
      </c>
      <c r="AD191" s="3">
        <f t="shared" si="127"/>
        <v>7.6506158681619166E-70</v>
      </c>
      <c r="AE191" s="3">
        <f t="shared" si="127"/>
        <v>0</v>
      </c>
      <c r="AF191" s="3">
        <f t="shared" si="127"/>
        <v>0</v>
      </c>
      <c r="AG191" s="3"/>
      <c r="AH191" s="3"/>
    </row>
    <row r="192" spans="2:34" x14ac:dyDescent="0.25">
      <c r="B192" s="3">
        <f t="shared" ref="B192:AF192" si="128">$C39*EXP(-B$168/$A39/EXP(-$C$126))</f>
        <v>3.1643216322297517E-2</v>
      </c>
      <c r="C192" s="3">
        <f t="shared" si="128"/>
        <v>3.1643216322297517E-2</v>
      </c>
      <c r="D192" s="3">
        <f t="shared" si="128"/>
        <v>3.1643216322297517E-2</v>
      </c>
      <c r="E192" s="3">
        <f t="shared" si="128"/>
        <v>3.1643216322297517E-2</v>
      </c>
      <c r="F192" s="3">
        <f t="shared" si="128"/>
        <v>3.1643216322297517E-2</v>
      </c>
      <c r="G192" s="3">
        <f t="shared" si="128"/>
        <v>3.1643216322297517E-2</v>
      </c>
      <c r="H192" s="3">
        <f t="shared" si="128"/>
        <v>3.1643216322297517E-2</v>
      </c>
      <c r="I192" s="3">
        <f t="shared" si="128"/>
        <v>3.1643216322297517E-2</v>
      </c>
      <c r="J192" s="3">
        <f t="shared" si="128"/>
        <v>3.1643216322297517E-2</v>
      </c>
      <c r="K192" s="3">
        <f t="shared" si="128"/>
        <v>3.1643216322297517E-2</v>
      </c>
      <c r="L192" s="3">
        <f t="shared" si="128"/>
        <v>3.1643216322297517E-2</v>
      </c>
      <c r="M192" s="3">
        <f t="shared" si="128"/>
        <v>3.1643216322297503E-2</v>
      </c>
      <c r="N192" s="3">
        <f t="shared" si="128"/>
        <v>3.1643216322297378E-2</v>
      </c>
      <c r="O192" s="3">
        <f t="shared" si="128"/>
        <v>3.1643216322296157E-2</v>
      </c>
      <c r="P192" s="3">
        <f t="shared" si="128"/>
        <v>3.1643216322283924E-2</v>
      </c>
      <c r="Q192" s="3">
        <f t="shared" si="128"/>
        <v>3.1643216322161563E-2</v>
      </c>
      <c r="R192" s="3">
        <f t="shared" si="128"/>
        <v>3.1643216320937993E-2</v>
      </c>
      <c r="S192" s="3">
        <f t="shared" si="128"/>
        <v>3.1643216308702309E-2</v>
      </c>
      <c r="T192" s="3">
        <f t="shared" si="128"/>
        <v>3.1643216186345469E-2</v>
      </c>
      <c r="U192" s="3">
        <f t="shared" si="128"/>
        <v>3.1643214962777104E-2</v>
      </c>
      <c r="V192" s="3">
        <f t="shared" si="128"/>
        <v>3.1643202727096018E-2</v>
      </c>
      <c r="W192" s="3">
        <f t="shared" si="128"/>
        <v>3.1643080370545376E-2</v>
      </c>
      <c r="X192" s="3">
        <f t="shared" si="128"/>
        <v>3.1641856831060376E-2</v>
      </c>
      <c r="Y192" s="3">
        <f t="shared" si="128"/>
        <v>3.1629624037984257E-2</v>
      </c>
      <c r="Z192" s="3">
        <f t="shared" si="128"/>
        <v>3.1507555912751221E-2</v>
      </c>
      <c r="AA192" s="3">
        <f t="shared" si="128"/>
        <v>3.0312487322034391E-2</v>
      </c>
      <c r="AB192" s="3">
        <f t="shared" si="128"/>
        <v>2.0591603217033565E-2</v>
      </c>
      <c r="AC192" s="3">
        <f t="shared" si="128"/>
        <v>4.3089953912786995E-4</v>
      </c>
      <c r="AD192" s="3">
        <f t="shared" si="128"/>
        <v>6.9380066846775074E-21</v>
      </c>
      <c r="AE192" s="3">
        <f t="shared" si="128"/>
        <v>8.1249660978399629E-189</v>
      </c>
      <c r="AF192" s="3">
        <f t="shared" si="128"/>
        <v>0</v>
      </c>
      <c r="AG192" s="3"/>
      <c r="AH192" s="3"/>
    </row>
    <row r="193" spans="1:34" x14ac:dyDescent="0.25">
      <c r="B193" s="3">
        <f t="shared" ref="B193:AF193" si="129">$C40*EXP(-B$168/$A40/EXP(-$C$126))</f>
        <v>3.5141037946940686E-2</v>
      </c>
      <c r="C193" s="3">
        <f t="shared" si="129"/>
        <v>3.5141037946940686E-2</v>
      </c>
      <c r="D193" s="3">
        <f t="shared" si="129"/>
        <v>3.5141037946940686E-2</v>
      </c>
      <c r="E193" s="3">
        <f t="shared" si="129"/>
        <v>3.5141037946940686E-2</v>
      </c>
      <c r="F193" s="3">
        <f t="shared" si="129"/>
        <v>3.5141037946940686E-2</v>
      </c>
      <c r="G193" s="3">
        <f t="shared" si="129"/>
        <v>3.5141037946940686E-2</v>
      </c>
      <c r="H193" s="3">
        <f t="shared" si="129"/>
        <v>3.5141037946940686E-2</v>
      </c>
      <c r="I193" s="3">
        <f t="shared" si="129"/>
        <v>3.5141037946940686E-2</v>
      </c>
      <c r="J193" s="3">
        <f t="shared" si="129"/>
        <v>3.5141037946940686E-2</v>
      </c>
      <c r="K193" s="3">
        <f t="shared" si="129"/>
        <v>3.5141037946940686E-2</v>
      </c>
      <c r="L193" s="3">
        <f t="shared" si="129"/>
        <v>3.5141037946940686E-2</v>
      </c>
      <c r="M193" s="3">
        <f t="shared" si="129"/>
        <v>3.5141037946940686E-2</v>
      </c>
      <c r="N193" s="3">
        <f t="shared" si="129"/>
        <v>3.5141037946940672E-2</v>
      </c>
      <c r="O193" s="3">
        <f t="shared" si="129"/>
        <v>3.5141037946940533E-2</v>
      </c>
      <c r="P193" s="3">
        <f t="shared" si="129"/>
        <v>3.5141037946939173E-2</v>
      </c>
      <c r="Q193" s="3">
        <f t="shared" si="129"/>
        <v>3.5141037946925587E-2</v>
      </c>
      <c r="R193" s="3">
        <f t="shared" si="129"/>
        <v>3.5141037946789702E-2</v>
      </c>
      <c r="S193" s="3">
        <f t="shared" si="129"/>
        <v>3.5141037945430886E-2</v>
      </c>
      <c r="T193" s="3">
        <f t="shared" si="129"/>
        <v>3.5141037931842672E-2</v>
      </c>
      <c r="U193" s="3">
        <f t="shared" si="129"/>
        <v>3.5141037795960582E-2</v>
      </c>
      <c r="V193" s="3">
        <f t="shared" si="129"/>
        <v>3.5141036437139728E-2</v>
      </c>
      <c r="W193" s="3">
        <f t="shared" si="129"/>
        <v>3.5141022848933993E-2</v>
      </c>
      <c r="X193" s="3">
        <f t="shared" si="129"/>
        <v>3.514088696716567E-2</v>
      </c>
      <c r="Y193" s="3">
        <f t="shared" si="129"/>
        <v>3.51395281783803E-2</v>
      </c>
      <c r="Z193" s="3">
        <f t="shared" si="129"/>
        <v>3.5125943179898901E-2</v>
      </c>
      <c r="AA193" s="3">
        <f t="shared" si="129"/>
        <v>3.4990381719355985E-2</v>
      </c>
      <c r="AB193" s="3">
        <f t="shared" si="129"/>
        <v>3.366321098336527E-2</v>
      </c>
      <c r="AC193" s="3">
        <f t="shared" si="129"/>
        <v>2.2867786342193906E-2</v>
      </c>
      <c r="AD193" s="3">
        <f t="shared" si="129"/>
        <v>4.7853090853920813E-4</v>
      </c>
      <c r="AE193" s="3">
        <f t="shared" si="129"/>
        <v>7.7049296664125648E-21</v>
      </c>
      <c r="AF193" s="3">
        <f t="shared" si="129"/>
        <v>9.023094841361246E-189</v>
      </c>
      <c r="AG193" s="3"/>
      <c r="AH193" s="3"/>
    </row>
    <row r="194" spans="1:34" x14ac:dyDescent="0.25">
      <c r="B194" s="3">
        <f t="shared" ref="B194:AF194" si="130">$C41*EXP(-B$168/$A41/EXP(-$C$126))</f>
        <v>3.5593088100758001E-2</v>
      </c>
      <c r="C194" s="3">
        <f t="shared" si="130"/>
        <v>3.5593088100758001E-2</v>
      </c>
      <c r="D194" s="3">
        <f t="shared" si="130"/>
        <v>3.5593088100758001E-2</v>
      </c>
      <c r="E194" s="3">
        <f t="shared" si="130"/>
        <v>3.5593088100758001E-2</v>
      </c>
      <c r="F194" s="3">
        <f t="shared" si="130"/>
        <v>3.5593088100758001E-2</v>
      </c>
      <c r="G194" s="3">
        <f t="shared" si="130"/>
        <v>3.5593088100758001E-2</v>
      </c>
      <c r="H194" s="3">
        <f t="shared" si="130"/>
        <v>3.5593088100758001E-2</v>
      </c>
      <c r="I194" s="3">
        <f t="shared" si="130"/>
        <v>3.5593088100758001E-2</v>
      </c>
      <c r="J194" s="3">
        <f t="shared" si="130"/>
        <v>3.5593088100758001E-2</v>
      </c>
      <c r="K194" s="3">
        <f t="shared" si="130"/>
        <v>3.5593088100758001E-2</v>
      </c>
      <c r="L194" s="3">
        <f t="shared" si="130"/>
        <v>3.5593088100758001E-2</v>
      </c>
      <c r="M194" s="3">
        <f t="shared" si="130"/>
        <v>3.5593088100758001E-2</v>
      </c>
      <c r="N194" s="3">
        <f t="shared" si="130"/>
        <v>3.5593088100758001E-2</v>
      </c>
      <c r="O194" s="3">
        <f t="shared" si="130"/>
        <v>3.5593088100757987E-2</v>
      </c>
      <c r="P194" s="3">
        <f t="shared" si="130"/>
        <v>3.5593088100757848E-2</v>
      </c>
      <c r="Q194" s="3">
        <f t="shared" si="130"/>
        <v>3.5593088100756475E-2</v>
      </c>
      <c r="R194" s="3">
        <f t="shared" si="130"/>
        <v>3.5593088100742708E-2</v>
      </c>
      <c r="S194" s="3">
        <f t="shared" si="130"/>
        <v>3.5593088100605075E-2</v>
      </c>
      <c r="T194" s="3">
        <f t="shared" si="130"/>
        <v>3.559308809922878E-2</v>
      </c>
      <c r="U194" s="3">
        <f t="shared" si="130"/>
        <v>3.5593088085465768E-2</v>
      </c>
      <c r="V194" s="3">
        <f t="shared" si="130"/>
        <v>3.5593087947835708E-2</v>
      </c>
      <c r="W194" s="3">
        <f t="shared" si="130"/>
        <v>3.5593086571535142E-2</v>
      </c>
      <c r="X194" s="3">
        <f t="shared" si="130"/>
        <v>3.5593072808532342E-2</v>
      </c>
      <c r="Y194" s="3">
        <f t="shared" si="130"/>
        <v>3.5592935178797025E-2</v>
      </c>
      <c r="Z194" s="3">
        <f t="shared" si="130"/>
        <v>3.5591558910713514E-2</v>
      </c>
      <c r="AA194" s="3">
        <f t="shared" si="130"/>
        <v>3.5577799156419197E-2</v>
      </c>
      <c r="AB194" s="3">
        <f t="shared" si="130"/>
        <v>3.5440493849289205E-2</v>
      </c>
      <c r="AC194" s="3">
        <f t="shared" si="130"/>
        <v>3.4096250545998331E-2</v>
      </c>
      <c r="AD194" s="3">
        <f t="shared" si="130"/>
        <v>2.3161954839694139E-2</v>
      </c>
      <c r="AE194" s="3">
        <f t="shared" si="130"/>
        <v>4.8468667352082615E-4</v>
      </c>
      <c r="AF194" s="3">
        <f t="shared" si="130"/>
        <v>7.8040449698965535E-21</v>
      </c>
      <c r="AG194" s="3"/>
      <c r="AH194" s="3"/>
    </row>
    <row r="195" spans="1:34" x14ac:dyDescent="0.25">
      <c r="B195" s="3">
        <f t="shared" ref="B195:AF195" si="131">$C42*EXP(-B$168/$A42/EXP(-$C$126))</f>
        <v>3.9001792876272805E-2</v>
      </c>
      <c r="C195" s="3">
        <f t="shared" si="131"/>
        <v>3.9001792876272805E-2</v>
      </c>
      <c r="D195" s="3">
        <f t="shared" si="131"/>
        <v>3.9001792876272805E-2</v>
      </c>
      <c r="E195" s="3">
        <f t="shared" si="131"/>
        <v>3.9001792876272805E-2</v>
      </c>
      <c r="F195" s="3">
        <f t="shared" si="131"/>
        <v>3.9001792876272805E-2</v>
      </c>
      <c r="G195" s="3">
        <f t="shared" si="131"/>
        <v>3.9001792876272805E-2</v>
      </c>
      <c r="H195" s="3">
        <f t="shared" si="131"/>
        <v>3.9001792876272805E-2</v>
      </c>
      <c r="I195" s="3">
        <f t="shared" si="131"/>
        <v>3.9001792876272805E-2</v>
      </c>
      <c r="J195" s="3">
        <f t="shared" si="131"/>
        <v>3.9001792876272805E-2</v>
      </c>
      <c r="K195" s="3">
        <f t="shared" si="131"/>
        <v>3.9001792876272805E-2</v>
      </c>
      <c r="L195" s="3">
        <f t="shared" si="131"/>
        <v>3.9001792876272805E-2</v>
      </c>
      <c r="M195" s="3">
        <f t="shared" si="131"/>
        <v>3.9001792876272805E-2</v>
      </c>
      <c r="N195" s="3">
        <f t="shared" si="131"/>
        <v>3.9001792876272805E-2</v>
      </c>
      <c r="O195" s="3">
        <f t="shared" si="131"/>
        <v>3.9001792876272805E-2</v>
      </c>
      <c r="P195" s="3">
        <f t="shared" si="131"/>
        <v>3.9001792876272791E-2</v>
      </c>
      <c r="Q195" s="3">
        <f t="shared" si="131"/>
        <v>3.9001792876272638E-2</v>
      </c>
      <c r="R195" s="3">
        <f t="shared" si="131"/>
        <v>3.9001792876271132E-2</v>
      </c>
      <c r="S195" s="3">
        <f t="shared" si="131"/>
        <v>3.9001792876256047E-2</v>
      </c>
      <c r="T195" s="3">
        <f t="shared" si="131"/>
        <v>3.9001792876105237E-2</v>
      </c>
      <c r="U195" s="3">
        <f t="shared" si="131"/>
        <v>3.9001792874597131E-2</v>
      </c>
      <c r="V195" s="3">
        <f t="shared" si="131"/>
        <v>3.9001792859516056E-2</v>
      </c>
      <c r="W195" s="3">
        <f t="shared" si="131"/>
        <v>3.9001792708705338E-2</v>
      </c>
      <c r="X195" s="3">
        <f t="shared" si="131"/>
        <v>3.9001791200598213E-2</v>
      </c>
      <c r="Y195" s="3">
        <f t="shared" si="131"/>
        <v>3.9001776119530145E-2</v>
      </c>
      <c r="Z195" s="3">
        <f t="shared" si="131"/>
        <v>3.9001625309170132E-2</v>
      </c>
      <c r="AA195" s="3">
        <f t="shared" si="131"/>
        <v>3.9000117237642774E-2</v>
      </c>
      <c r="AB195" s="3">
        <f t="shared" si="131"/>
        <v>3.8985039729181131E-2</v>
      </c>
      <c r="AC195" s="3">
        <f t="shared" si="131"/>
        <v>3.8834584867429953E-2</v>
      </c>
      <c r="AD195" s="3">
        <f t="shared" si="131"/>
        <v>3.7361605092765482E-2</v>
      </c>
      <c r="AE195" s="3">
        <f t="shared" si="131"/>
        <v>2.5380145794320588E-2</v>
      </c>
      <c r="AF195" s="3">
        <f t="shared" si="131"/>
        <v>5.3110449975669134E-4</v>
      </c>
      <c r="AG195" s="3"/>
      <c r="AH195" s="3"/>
    </row>
    <row r="196" spans="1:34" x14ac:dyDescent="0.25">
      <c r="B196" s="3">
        <f t="shared" ref="B196:AF196" si="132">$C43*EXP(-B$168/$A43/EXP(-$C$126))</f>
        <v>4.5862342503385417E-2</v>
      </c>
      <c r="C196" s="3">
        <f t="shared" si="132"/>
        <v>4.5862342503385417E-2</v>
      </c>
      <c r="D196" s="3">
        <f t="shared" si="132"/>
        <v>4.5862342503385417E-2</v>
      </c>
      <c r="E196" s="3">
        <f t="shared" si="132"/>
        <v>4.5862342503385417E-2</v>
      </c>
      <c r="F196" s="3">
        <f t="shared" si="132"/>
        <v>4.5862342503385417E-2</v>
      </c>
      <c r="G196" s="3">
        <f t="shared" si="132"/>
        <v>4.5862342503385417E-2</v>
      </c>
      <c r="H196" s="3">
        <f t="shared" si="132"/>
        <v>4.5862342503385417E-2</v>
      </c>
      <c r="I196" s="3">
        <f t="shared" si="132"/>
        <v>4.5862342503385417E-2</v>
      </c>
      <c r="J196" s="3">
        <f t="shared" si="132"/>
        <v>4.5862342503385417E-2</v>
      </c>
      <c r="K196" s="3">
        <f t="shared" si="132"/>
        <v>4.5862342503385417E-2</v>
      </c>
      <c r="L196" s="3">
        <f t="shared" si="132"/>
        <v>4.5862342503385417E-2</v>
      </c>
      <c r="M196" s="3">
        <f t="shared" si="132"/>
        <v>4.5862342503385417E-2</v>
      </c>
      <c r="N196" s="3">
        <f t="shared" si="132"/>
        <v>4.5862342503385417E-2</v>
      </c>
      <c r="O196" s="3">
        <f t="shared" si="132"/>
        <v>4.5862342503385417E-2</v>
      </c>
      <c r="P196" s="3">
        <f t="shared" si="132"/>
        <v>4.5862342503385417E-2</v>
      </c>
      <c r="Q196" s="3">
        <f t="shared" si="132"/>
        <v>4.5862342503385396E-2</v>
      </c>
      <c r="R196" s="3">
        <f t="shared" si="132"/>
        <v>4.5862342503385216E-2</v>
      </c>
      <c r="S196" s="3">
        <f t="shared" si="132"/>
        <v>4.5862342503383446E-2</v>
      </c>
      <c r="T196" s="3">
        <f t="shared" si="132"/>
        <v>4.5862342503365711E-2</v>
      </c>
      <c r="U196" s="3">
        <f t="shared" si="132"/>
        <v>4.5862342503188373E-2</v>
      </c>
      <c r="V196" s="3">
        <f t="shared" si="132"/>
        <v>4.5862342501414986E-2</v>
      </c>
      <c r="W196" s="3">
        <f t="shared" si="132"/>
        <v>4.5862342483681103E-2</v>
      </c>
      <c r="X196" s="3">
        <f t="shared" si="132"/>
        <v>4.5862342306342258E-2</v>
      </c>
      <c r="Y196" s="3">
        <f t="shared" si="132"/>
        <v>4.5862340532953898E-2</v>
      </c>
      <c r="Z196" s="3">
        <f t="shared" si="132"/>
        <v>4.5862322799074033E-2</v>
      </c>
      <c r="AA196" s="3">
        <f t="shared" si="132"/>
        <v>4.5862145460652551E-2</v>
      </c>
      <c r="AB196" s="3">
        <f t="shared" si="132"/>
        <v>4.5860372114152136E-2</v>
      </c>
      <c r="AC196" s="3">
        <f t="shared" si="132"/>
        <v>4.5842642420049109E-2</v>
      </c>
      <c r="AD196" s="3">
        <f t="shared" si="132"/>
        <v>4.5665722030188524E-2</v>
      </c>
      <c r="AE196" s="3">
        <f t="shared" si="132"/>
        <v>4.3933640042559716E-2</v>
      </c>
      <c r="AF196" s="3">
        <f t="shared" si="132"/>
        <v>2.984460080841864E-2</v>
      </c>
      <c r="AG196" s="3"/>
      <c r="AH196" s="3"/>
    </row>
    <row r="197" spans="1:34" x14ac:dyDescent="0.25">
      <c r="B197" s="3">
        <f t="shared" ref="B197:AF197" si="133">$C44*EXP(-B$168/$A44/EXP(-$C$126))</f>
        <v>5.0364270464190349E-2</v>
      </c>
      <c r="C197" s="3">
        <f t="shared" si="133"/>
        <v>5.0364270464190349E-2</v>
      </c>
      <c r="D197" s="3">
        <f t="shared" si="133"/>
        <v>5.0364270464190349E-2</v>
      </c>
      <c r="E197" s="3">
        <f t="shared" si="133"/>
        <v>5.0364270464190349E-2</v>
      </c>
      <c r="F197" s="3">
        <f t="shared" si="133"/>
        <v>5.0364270464190349E-2</v>
      </c>
      <c r="G197" s="3">
        <f t="shared" si="133"/>
        <v>5.0364270464190349E-2</v>
      </c>
      <c r="H197" s="3">
        <f t="shared" si="133"/>
        <v>5.0364270464190349E-2</v>
      </c>
      <c r="I197" s="3">
        <f t="shared" si="133"/>
        <v>5.0364270464190349E-2</v>
      </c>
      <c r="J197" s="3">
        <f t="shared" si="133"/>
        <v>5.0364270464190349E-2</v>
      </c>
      <c r="K197" s="3">
        <f t="shared" si="133"/>
        <v>5.0364270464190349E-2</v>
      </c>
      <c r="L197" s="3">
        <f t="shared" si="133"/>
        <v>5.0364270464190349E-2</v>
      </c>
      <c r="M197" s="3">
        <f t="shared" si="133"/>
        <v>5.0364270464190349E-2</v>
      </c>
      <c r="N197" s="3">
        <f t="shared" si="133"/>
        <v>5.0364270464190349E-2</v>
      </c>
      <c r="O197" s="3">
        <f t="shared" si="133"/>
        <v>5.0364270464190349E-2</v>
      </c>
      <c r="P197" s="3">
        <f t="shared" si="133"/>
        <v>5.0364270464190349E-2</v>
      </c>
      <c r="Q197" s="3">
        <f t="shared" si="133"/>
        <v>5.0364270464190349E-2</v>
      </c>
      <c r="R197" s="3">
        <f t="shared" si="133"/>
        <v>5.0364270464190328E-2</v>
      </c>
      <c r="S197" s="3">
        <f t="shared" si="133"/>
        <v>5.0364270464190133E-2</v>
      </c>
      <c r="T197" s="3">
        <f t="shared" si="133"/>
        <v>5.0364270464188184E-2</v>
      </c>
      <c r="U197" s="3">
        <f t="shared" si="133"/>
        <v>5.0364270464168706E-2</v>
      </c>
      <c r="V197" s="3">
        <f t="shared" si="133"/>
        <v>5.0364270463973959E-2</v>
      </c>
      <c r="W197" s="3">
        <f t="shared" si="133"/>
        <v>5.0364270462026496E-2</v>
      </c>
      <c r="X197" s="3">
        <f t="shared" si="133"/>
        <v>5.0364270442551824E-2</v>
      </c>
      <c r="Y197" s="3">
        <f t="shared" si="133"/>
        <v>5.0364270247805092E-2</v>
      </c>
      <c r="Z197" s="3">
        <f t="shared" si="133"/>
        <v>5.0364268300337821E-2</v>
      </c>
      <c r="AA197" s="3">
        <f t="shared" si="133"/>
        <v>5.0364248825669207E-2</v>
      </c>
      <c r="AB197" s="3">
        <f t="shared" si="133"/>
        <v>5.0364054079397307E-2</v>
      </c>
      <c r="AC197" s="3">
        <f t="shared" si="133"/>
        <v>5.0362106658094805E-2</v>
      </c>
      <c r="AD197" s="3">
        <f t="shared" si="133"/>
        <v>5.0342636586129197E-2</v>
      </c>
      <c r="AE197" s="3">
        <f t="shared" si="133"/>
        <v>5.0148349380565928E-2</v>
      </c>
      <c r="AF197" s="3">
        <f t="shared" si="133"/>
        <v>4.8246243187785864E-2</v>
      </c>
      <c r="AG197" s="3"/>
      <c r="AH197" s="3"/>
    </row>
    <row r="198" spans="1:34" x14ac:dyDescent="0.25">
      <c r="B198" s="3">
        <f t="shared" ref="B198:AF198" si="134">$C45*EXP(-B$168/$A45/EXP(-$C$126))</f>
        <v>4.7472549330169547E-2</v>
      </c>
      <c r="C198" s="3">
        <f t="shared" si="134"/>
        <v>4.7472549330169547E-2</v>
      </c>
      <c r="D198" s="3">
        <f t="shared" si="134"/>
        <v>4.7472549330169547E-2</v>
      </c>
      <c r="E198" s="3">
        <f t="shared" si="134"/>
        <v>4.7472549330169547E-2</v>
      </c>
      <c r="F198" s="3">
        <f t="shared" si="134"/>
        <v>4.7472549330169547E-2</v>
      </c>
      <c r="G198" s="3">
        <f t="shared" si="134"/>
        <v>4.7472549330169547E-2</v>
      </c>
      <c r="H198" s="3">
        <f t="shared" si="134"/>
        <v>4.7472549330169547E-2</v>
      </c>
      <c r="I198" s="3">
        <f t="shared" si="134"/>
        <v>4.7472549330169547E-2</v>
      </c>
      <c r="J198" s="3">
        <f t="shared" si="134"/>
        <v>4.7472549330169547E-2</v>
      </c>
      <c r="K198" s="3">
        <f t="shared" si="134"/>
        <v>4.7472549330169547E-2</v>
      </c>
      <c r="L198" s="3">
        <f t="shared" si="134"/>
        <v>4.7472549330169547E-2</v>
      </c>
      <c r="M198" s="3">
        <f t="shared" si="134"/>
        <v>4.7472549330169547E-2</v>
      </c>
      <c r="N198" s="3">
        <f t="shared" si="134"/>
        <v>4.7472549330169547E-2</v>
      </c>
      <c r="O198" s="3">
        <f t="shared" si="134"/>
        <v>4.7472549330169547E-2</v>
      </c>
      <c r="P198" s="3">
        <f t="shared" si="134"/>
        <v>4.7472549330169547E-2</v>
      </c>
      <c r="Q198" s="3">
        <f t="shared" si="134"/>
        <v>4.7472549330169547E-2</v>
      </c>
      <c r="R198" s="3">
        <f t="shared" si="134"/>
        <v>4.7472549330169547E-2</v>
      </c>
      <c r="S198" s="3">
        <f t="shared" si="134"/>
        <v>4.7472549330169526E-2</v>
      </c>
      <c r="T198" s="3">
        <f t="shared" si="134"/>
        <v>4.7472549330169339E-2</v>
      </c>
      <c r="U198" s="3">
        <f t="shared" si="134"/>
        <v>4.7472549330167507E-2</v>
      </c>
      <c r="V198" s="3">
        <f t="shared" si="134"/>
        <v>4.7472549330149147E-2</v>
      </c>
      <c r="W198" s="3">
        <f t="shared" si="134"/>
        <v>4.7472549329965585E-2</v>
      </c>
      <c r="X198" s="3">
        <f t="shared" si="134"/>
        <v>4.7472549328129936E-2</v>
      </c>
      <c r="Y198" s="3">
        <f t="shared" si="134"/>
        <v>4.7472549309773418E-2</v>
      </c>
      <c r="Z198" s="3">
        <f t="shared" si="134"/>
        <v>4.747254912620829E-2</v>
      </c>
      <c r="AA198" s="3">
        <f t="shared" si="134"/>
        <v>4.7472547290557041E-2</v>
      </c>
      <c r="AB198" s="3">
        <f t="shared" si="134"/>
        <v>4.7472528934048394E-2</v>
      </c>
      <c r="AC198" s="3">
        <f t="shared" si="134"/>
        <v>4.747234536935234E-2</v>
      </c>
      <c r="AD198" s="3">
        <f t="shared" si="134"/>
        <v>4.7470509761430336E-2</v>
      </c>
      <c r="AE198" s="3">
        <f t="shared" si="134"/>
        <v>4.7452157585506215E-2</v>
      </c>
      <c r="AF198" s="3">
        <f t="shared" si="134"/>
        <v>4.7269025597981823E-2</v>
      </c>
      <c r="AG198" s="3"/>
      <c r="AH198" s="3"/>
    </row>
    <row r="199" spans="1:34" x14ac:dyDescent="0.25">
      <c r="B199" s="3">
        <f t="shared" ref="B199:AF199" si="135">$C46*EXP(-B$168/$A46/EXP(-$C$126))</f>
        <v>3.4265272438938038E-2</v>
      </c>
      <c r="C199" s="3">
        <f t="shared" si="135"/>
        <v>3.4265272438938038E-2</v>
      </c>
      <c r="D199" s="3">
        <f t="shared" si="135"/>
        <v>3.4265272438938038E-2</v>
      </c>
      <c r="E199" s="3">
        <f t="shared" si="135"/>
        <v>3.4265272438938038E-2</v>
      </c>
      <c r="F199" s="3">
        <f t="shared" si="135"/>
        <v>3.4265272438938038E-2</v>
      </c>
      <c r="G199" s="3">
        <f t="shared" si="135"/>
        <v>3.4265272438938038E-2</v>
      </c>
      <c r="H199" s="3">
        <f t="shared" si="135"/>
        <v>3.4265272438938038E-2</v>
      </c>
      <c r="I199" s="3">
        <f t="shared" si="135"/>
        <v>3.4265272438938038E-2</v>
      </c>
      <c r="J199" s="3">
        <f t="shared" si="135"/>
        <v>3.4265272438938038E-2</v>
      </c>
      <c r="K199" s="3">
        <f t="shared" si="135"/>
        <v>3.4265272438938038E-2</v>
      </c>
      <c r="L199" s="3">
        <f t="shared" si="135"/>
        <v>3.4265272438938038E-2</v>
      </c>
      <c r="M199" s="3">
        <f t="shared" si="135"/>
        <v>3.4265272438938038E-2</v>
      </c>
      <c r="N199" s="3">
        <f t="shared" si="135"/>
        <v>3.4265272438938038E-2</v>
      </c>
      <c r="O199" s="3">
        <f t="shared" si="135"/>
        <v>3.4265272438938038E-2</v>
      </c>
      <c r="P199" s="3">
        <f t="shared" si="135"/>
        <v>3.4265272438938038E-2</v>
      </c>
      <c r="Q199" s="3">
        <f t="shared" si="135"/>
        <v>3.4265272438938038E-2</v>
      </c>
      <c r="R199" s="3">
        <f t="shared" si="135"/>
        <v>3.4265272438938038E-2</v>
      </c>
      <c r="S199" s="3">
        <f t="shared" si="135"/>
        <v>3.4265272438938038E-2</v>
      </c>
      <c r="T199" s="3">
        <f t="shared" si="135"/>
        <v>3.4265272438938024E-2</v>
      </c>
      <c r="U199" s="3">
        <f t="shared" si="135"/>
        <v>3.4265272438937892E-2</v>
      </c>
      <c r="V199" s="3">
        <f t="shared" si="135"/>
        <v>3.4265272438936567E-2</v>
      </c>
      <c r="W199" s="3">
        <f t="shared" si="135"/>
        <v>3.4265272438923314E-2</v>
      </c>
      <c r="X199" s="3">
        <f t="shared" si="135"/>
        <v>3.4265272438790816E-2</v>
      </c>
      <c r="Y199" s="3">
        <f t="shared" si="135"/>
        <v>3.4265272437465862E-2</v>
      </c>
      <c r="Z199" s="3">
        <f t="shared" si="135"/>
        <v>3.4265272424216293E-2</v>
      </c>
      <c r="AA199" s="3">
        <f t="shared" si="135"/>
        <v>3.4265272291720578E-2</v>
      </c>
      <c r="AB199" s="3">
        <f t="shared" si="135"/>
        <v>3.4265270966763503E-2</v>
      </c>
      <c r="AC199" s="3">
        <f t="shared" si="135"/>
        <v>3.4265257717195519E-2</v>
      </c>
      <c r="AD199" s="3">
        <f t="shared" si="135"/>
        <v>3.4265125221797456E-2</v>
      </c>
      <c r="AE199" s="3">
        <f t="shared" si="135"/>
        <v>3.4263800295994525E-2</v>
      </c>
      <c r="AF199" s="3">
        <f t="shared" si="135"/>
        <v>3.4250553855330178E-2</v>
      </c>
      <c r="AG199" s="3"/>
      <c r="AH199" s="3"/>
    </row>
    <row r="200" spans="1:34" x14ac:dyDescent="0.25">
      <c r="B200" s="3">
        <f t="shared" ref="B200:AF200" si="136">$C47*EXP(-B$168/$A47/EXP(-$C$126))</f>
        <v>1.7817533491132281E-2</v>
      </c>
      <c r="C200" s="3">
        <f t="shared" si="136"/>
        <v>1.7817533491132281E-2</v>
      </c>
      <c r="D200" s="3">
        <f t="shared" si="136"/>
        <v>1.7817533491132281E-2</v>
      </c>
      <c r="E200" s="3">
        <f t="shared" si="136"/>
        <v>1.7817533491132281E-2</v>
      </c>
      <c r="F200" s="3">
        <f t="shared" si="136"/>
        <v>1.7817533491132281E-2</v>
      </c>
      <c r="G200" s="3">
        <f t="shared" si="136"/>
        <v>1.7817533491132281E-2</v>
      </c>
      <c r="H200" s="3">
        <f t="shared" si="136"/>
        <v>1.7817533491132281E-2</v>
      </c>
      <c r="I200" s="3">
        <f t="shared" si="136"/>
        <v>1.7817533491132281E-2</v>
      </c>
      <c r="J200" s="3">
        <f t="shared" si="136"/>
        <v>1.7817533491132281E-2</v>
      </c>
      <c r="K200" s="3">
        <f t="shared" si="136"/>
        <v>1.7817533491132281E-2</v>
      </c>
      <c r="L200" s="3">
        <f t="shared" si="136"/>
        <v>1.7817533491132281E-2</v>
      </c>
      <c r="M200" s="3">
        <f t="shared" si="136"/>
        <v>1.7817533491132281E-2</v>
      </c>
      <c r="N200" s="3">
        <f t="shared" si="136"/>
        <v>1.7817533491132281E-2</v>
      </c>
      <c r="O200" s="3">
        <f t="shared" si="136"/>
        <v>1.7817533491132281E-2</v>
      </c>
      <c r="P200" s="3">
        <f t="shared" si="136"/>
        <v>1.7817533491132281E-2</v>
      </c>
      <c r="Q200" s="3">
        <f t="shared" si="136"/>
        <v>1.7817533491132281E-2</v>
      </c>
      <c r="R200" s="3">
        <f t="shared" si="136"/>
        <v>1.7817533491132281E-2</v>
      </c>
      <c r="S200" s="3">
        <f t="shared" si="136"/>
        <v>1.7817533491132281E-2</v>
      </c>
      <c r="T200" s="3">
        <f t="shared" si="136"/>
        <v>1.7817533491132281E-2</v>
      </c>
      <c r="U200" s="3">
        <f t="shared" si="136"/>
        <v>1.7817533491132274E-2</v>
      </c>
      <c r="V200" s="3">
        <f t="shared" si="136"/>
        <v>1.7817533491132204E-2</v>
      </c>
      <c r="W200" s="3">
        <f t="shared" si="136"/>
        <v>1.7817533491131514E-2</v>
      </c>
      <c r="X200" s="3">
        <f t="shared" si="136"/>
        <v>1.7817533491124624E-2</v>
      </c>
      <c r="Y200" s="3">
        <f t="shared" si="136"/>
        <v>1.7817533491055727E-2</v>
      </c>
      <c r="Z200" s="3">
        <f t="shared" si="136"/>
        <v>1.7817533490366768E-2</v>
      </c>
      <c r="AA200" s="3">
        <f t="shared" si="136"/>
        <v>1.7817533483477147E-2</v>
      </c>
      <c r="AB200" s="3">
        <f t="shared" si="136"/>
        <v>1.7817533414580956E-2</v>
      </c>
      <c r="AC200" s="3">
        <f t="shared" si="136"/>
        <v>1.7817532725619058E-2</v>
      </c>
      <c r="AD200" s="3">
        <f t="shared" si="136"/>
        <v>1.781752583600154E-2</v>
      </c>
      <c r="AE200" s="3">
        <f t="shared" si="136"/>
        <v>1.7817456939972869E-2</v>
      </c>
      <c r="AF200" s="3">
        <f t="shared" si="136"/>
        <v>1.7816767994338217E-2</v>
      </c>
      <c r="AG200" s="3"/>
      <c r="AH200" s="3"/>
    </row>
    <row r="201" spans="1:34" x14ac:dyDescent="0.25">
      <c r="B201" s="3">
        <f t="shared" ref="B201:AF201" si="137">$C48*EXP(-B$168/$A48/EXP(-$C$126))</f>
        <v>3.0591851493341829E-2</v>
      </c>
      <c r="C201" s="3">
        <f t="shared" si="137"/>
        <v>3.0591851493341829E-2</v>
      </c>
      <c r="D201" s="3">
        <f t="shared" si="137"/>
        <v>3.0591851493341829E-2</v>
      </c>
      <c r="E201" s="3">
        <f t="shared" si="137"/>
        <v>3.0591851493341829E-2</v>
      </c>
      <c r="F201" s="3">
        <f t="shared" si="137"/>
        <v>3.0591851493341829E-2</v>
      </c>
      <c r="G201" s="3">
        <f t="shared" si="137"/>
        <v>3.0591851493341829E-2</v>
      </c>
      <c r="H201" s="3">
        <f t="shared" si="137"/>
        <v>3.0591851493341829E-2</v>
      </c>
      <c r="I201" s="3">
        <f t="shared" si="137"/>
        <v>3.0591851493341829E-2</v>
      </c>
      <c r="J201" s="3">
        <f t="shared" si="137"/>
        <v>3.0591851493341829E-2</v>
      </c>
      <c r="K201" s="3">
        <f t="shared" si="137"/>
        <v>3.0591851493341829E-2</v>
      </c>
      <c r="L201" s="3">
        <f t="shared" si="137"/>
        <v>3.0591851493341829E-2</v>
      </c>
      <c r="M201" s="3">
        <f t="shared" si="137"/>
        <v>3.0591851493341829E-2</v>
      </c>
      <c r="N201" s="3">
        <f t="shared" si="137"/>
        <v>3.0591851493341829E-2</v>
      </c>
      <c r="O201" s="3">
        <f t="shared" si="137"/>
        <v>3.0591851493341829E-2</v>
      </c>
      <c r="P201" s="3">
        <f t="shared" si="137"/>
        <v>3.0591851493341829E-2</v>
      </c>
      <c r="Q201" s="3">
        <f t="shared" si="137"/>
        <v>3.0591851493341829E-2</v>
      </c>
      <c r="R201" s="3">
        <f t="shared" si="137"/>
        <v>3.0591851493341829E-2</v>
      </c>
      <c r="S201" s="3">
        <f t="shared" si="137"/>
        <v>3.0591851493341829E-2</v>
      </c>
      <c r="T201" s="3">
        <f t="shared" si="137"/>
        <v>3.0591851493341829E-2</v>
      </c>
      <c r="U201" s="3">
        <f t="shared" si="137"/>
        <v>3.0591851493341829E-2</v>
      </c>
      <c r="V201" s="3">
        <f t="shared" si="137"/>
        <v>3.0591851493341815E-2</v>
      </c>
      <c r="W201" s="3">
        <f t="shared" si="137"/>
        <v>3.0591851493341697E-2</v>
      </c>
      <c r="X201" s="3">
        <f t="shared" si="137"/>
        <v>3.0591851493340514E-2</v>
      </c>
      <c r="Y201" s="3">
        <f t="shared" si="137"/>
        <v>3.0591851493328687E-2</v>
      </c>
      <c r="Z201" s="3">
        <f t="shared" si="137"/>
        <v>3.0591851493210392E-2</v>
      </c>
      <c r="AA201" s="3">
        <f t="shared" si="137"/>
        <v>3.0591851492027478E-2</v>
      </c>
      <c r="AB201" s="3">
        <f t="shared" si="137"/>
        <v>3.0591851480198332E-2</v>
      </c>
      <c r="AC201" s="3">
        <f t="shared" si="137"/>
        <v>3.0591851361906872E-2</v>
      </c>
      <c r="AD201" s="3">
        <f t="shared" si="137"/>
        <v>3.0591850178992297E-2</v>
      </c>
      <c r="AE201" s="3">
        <f t="shared" si="137"/>
        <v>3.0591838349849049E-2</v>
      </c>
      <c r="AF201" s="3">
        <f t="shared" si="137"/>
        <v>3.0591720058668139E-2</v>
      </c>
      <c r="AG201" s="3"/>
      <c r="AH201" s="3"/>
    </row>
    <row r="202" spans="1:34" x14ac:dyDescent="0.25">
      <c r="A202" s="79">
        <f>AVERAGE(B202:AF202)</f>
        <v>2.9589778647770459E-2</v>
      </c>
      <c r="B202" s="80">
        <f>IF($A$64&lt;=B168,IF($B$64&gt;=B168,ABS((B170-B169)/B169),0),0)</f>
        <v>5.5715953625041954E-3</v>
      </c>
      <c r="C202" s="80">
        <f t="shared" ref="C202:AF202" si="138">IF($A$64&lt;=C168,IF($B$64&gt;=C168,ABS((C170-C169)/C169),0),0)</f>
        <v>5.6165925600016164E-3</v>
      </c>
      <c r="D202" s="80">
        <f t="shared" si="138"/>
        <v>5.611685596045502E-3</v>
      </c>
      <c r="E202" s="80">
        <f t="shared" si="138"/>
        <v>5.6111406653194537E-3</v>
      </c>
      <c r="F202" s="80">
        <f t="shared" si="138"/>
        <v>5.6201028946841116E-3</v>
      </c>
      <c r="G202" s="80">
        <f t="shared" si="138"/>
        <v>5.7136419536696669E-3</v>
      </c>
      <c r="H202" s="80">
        <f t="shared" si="138"/>
        <v>6.6125642147705412E-3</v>
      </c>
      <c r="I202" s="80">
        <f t="shared" si="138"/>
        <v>1.2740067436963624E-2</v>
      </c>
      <c r="J202" s="80">
        <f t="shared" si="138"/>
        <v>2.3241832388539316E-2</v>
      </c>
      <c r="K202" s="80">
        <f t="shared" si="138"/>
        <v>1.9145980444134961E-2</v>
      </c>
      <c r="L202" s="80">
        <f t="shared" si="138"/>
        <v>1.7922792565186405E-2</v>
      </c>
      <c r="M202" s="80">
        <f t="shared" si="138"/>
        <v>1.9757511838099009E-2</v>
      </c>
      <c r="N202" s="80">
        <f t="shared" si="138"/>
        <v>2.1139123358747146E-2</v>
      </c>
      <c r="O202" s="80">
        <f t="shared" si="138"/>
        <v>2.3445660893903066E-2</v>
      </c>
      <c r="P202" s="80">
        <f t="shared" si="138"/>
        <v>2.6036143535851635E-2</v>
      </c>
      <c r="Q202" s="80">
        <f t="shared" si="138"/>
        <v>2.7678548786182956E-2</v>
      </c>
      <c r="R202" s="80">
        <f t="shared" si="138"/>
        <v>2.803805128237543E-2</v>
      </c>
      <c r="S202" s="80">
        <f t="shared" si="138"/>
        <v>2.8734057768114545E-2</v>
      </c>
      <c r="T202" s="80">
        <f t="shared" si="138"/>
        <v>2.8263775182141807E-2</v>
      </c>
      <c r="U202" s="80">
        <f t="shared" si="138"/>
        <v>4.1741509922858062E-3</v>
      </c>
      <c r="V202" s="80">
        <f t="shared" si="138"/>
        <v>4.8047088128007516E-2</v>
      </c>
      <c r="W202" s="80">
        <f t="shared" si="138"/>
        <v>9.3591381156767434E-2</v>
      </c>
      <c r="X202" s="80">
        <f t="shared" si="138"/>
        <v>9.0360429502191836E-2</v>
      </c>
      <c r="Y202" s="80">
        <f t="shared" si="138"/>
        <v>6.863120962714421E-2</v>
      </c>
      <c r="Z202" s="80">
        <f t="shared" si="138"/>
        <v>4.1645055427516051E-2</v>
      </c>
      <c r="AA202" s="80">
        <f t="shared" si="138"/>
        <v>1.5666625238767502E-2</v>
      </c>
      <c r="AB202" s="80">
        <f t="shared" si="138"/>
        <v>1.2726387883699589E-3</v>
      </c>
      <c r="AC202" s="80">
        <f t="shared" si="138"/>
        <v>2.6256397515183365E-2</v>
      </c>
      <c r="AD202" s="80">
        <f t="shared" si="138"/>
        <v>4.6880105459024345E-2</v>
      </c>
      <c r="AE202" s="80">
        <f t="shared" si="138"/>
        <v>6.7415826273964433E-2</v>
      </c>
      <c r="AF202" s="80">
        <f t="shared" si="138"/>
        <v>9.6841361244426924E-2</v>
      </c>
    </row>
    <row r="203" spans="1:34" x14ac:dyDescent="0.25">
      <c r="B203" s="21">
        <f>(B170-B169)^2</f>
        <v>1196.7103509208926</v>
      </c>
      <c r="C203" s="21">
        <f t="shared" ref="C203:AF203" si="139">(C170-C169)^2</f>
        <v>1216.1376441673956</v>
      </c>
      <c r="D203" s="21">
        <f t="shared" si="139"/>
        <v>1214.0013532038486</v>
      </c>
      <c r="E203" s="21">
        <f t="shared" si="139"/>
        <v>1213.7615764464686</v>
      </c>
      <c r="F203" s="21">
        <f t="shared" si="139"/>
        <v>1217.6370033383184</v>
      </c>
      <c r="G203" s="21">
        <f t="shared" si="139"/>
        <v>1258.4658462848167</v>
      </c>
      <c r="H203" s="21">
        <f t="shared" si="139"/>
        <v>1685.0721132117292</v>
      </c>
      <c r="I203" s="21">
        <f t="shared" si="139"/>
        <v>6235.9640930595388</v>
      </c>
      <c r="J203" s="21">
        <f t="shared" si="139"/>
        <v>20257.984108735618</v>
      </c>
      <c r="K203" s="21">
        <f t="shared" si="139"/>
        <v>12976.164399463771</v>
      </c>
      <c r="L203" s="21">
        <f t="shared" si="139"/>
        <v>10926.627498529606</v>
      </c>
      <c r="M203" s="21">
        <f t="shared" si="139"/>
        <v>12765.181383253714</v>
      </c>
      <c r="N203" s="21">
        <f t="shared" si="139"/>
        <v>13966.991261891959</v>
      </c>
      <c r="O203" s="21">
        <f t="shared" si="139"/>
        <v>16360.602055998394</v>
      </c>
      <c r="P203" s="21">
        <f t="shared" si="139"/>
        <v>19063.431077946545</v>
      </c>
      <c r="Q203" s="21">
        <f t="shared" si="139"/>
        <v>20226.587176574132</v>
      </c>
      <c r="R203" s="21">
        <f t="shared" si="139"/>
        <v>19407.840432974961</v>
      </c>
      <c r="S203" s="21">
        <f t="shared" si="139"/>
        <v>19037.994970032116</v>
      </c>
      <c r="T203" s="21">
        <f t="shared" si="139"/>
        <v>16842.507859108133</v>
      </c>
      <c r="U203" s="21">
        <f t="shared" si="139"/>
        <v>313.87142433627986</v>
      </c>
      <c r="V203" s="21">
        <f t="shared" si="139"/>
        <v>33728.515980261735</v>
      </c>
      <c r="W203" s="21">
        <f t="shared" si="139"/>
        <v>104890.36743678591</v>
      </c>
      <c r="X203" s="21">
        <f t="shared" si="139"/>
        <v>82648.582015365842</v>
      </c>
      <c r="Y203" s="21">
        <f t="shared" si="139"/>
        <v>40948.669030828074</v>
      </c>
      <c r="Z203" s="21">
        <f t="shared" si="139"/>
        <v>13181.146214649427</v>
      </c>
      <c r="AA203" s="21">
        <f t="shared" si="139"/>
        <v>1639.242996506061</v>
      </c>
      <c r="AB203" s="21">
        <f t="shared" si="139"/>
        <v>9.4980435622161661</v>
      </c>
      <c r="AC203" s="21">
        <f t="shared" si="139"/>
        <v>3481.8503168355578</v>
      </c>
      <c r="AD203" s="21">
        <f t="shared" si="139"/>
        <v>9379.5507575212905</v>
      </c>
      <c r="AE203" s="21">
        <f t="shared" si="139"/>
        <v>15811.22526094561</v>
      </c>
      <c r="AF203" s="21">
        <f t="shared" si="139"/>
        <v>25264.518709070173</v>
      </c>
      <c r="AG203" s="3"/>
      <c r="AH203" s="3"/>
    </row>
    <row r="204" spans="1:34" x14ac:dyDescent="0.25">
      <c r="A204" s="71">
        <f>SUM(B204:AF204)</f>
        <v>528366.70039181015</v>
      </c>
      <c r="B204" s="60">
        <f>IF($A$64&lt;=B168,IF($B$64&gt;=B168,ABS(B203),0),0)</f>
        <v>1196.7103509208926</v>
      </c>
      <c r="C204" s="60">
        <f t="shared" ref="C204" si="140">IF($A$64&lt;=C168,IF($B$64&gt;=C168,ABS(C203),0),0)</f>
        <v>1216.1376441673956</v>
      </c>
      <c r="D204" s="60">
        <f t="shared" ref="D204" si="141">IF($A$64&lt;=D168,IF($B$64&gt;=D168,ABS(D203),0),0)</f>
        <v>1214.0013532038486</v>
      </c>
      <c r="E204" s="60">
        <f t="shared" ref="E204" si="142">IF($A$64&lt;=E168,IF($B$64&gt;=E168,ABS(E203),0),0)</f>
        <v>1213.7615764464686</v>
      </c>
      <c r="F204" s="60">
        <f t="shared" ref="F204" si="143">IF($A$64&lt;=F168,IF($B$64&gt;=F168,ABS(F203),0),0)</f>
        <v>1217.6370033383184</v>
      </c>
      <c r="G204" s="60">
        <f t="shared" ref="G204" si="144">IF($A$64&lt;=G168,IF($B$64&gt;=G168,ABS(G203),0),0)</f>
        <v>1258.4658462848167</v>
      </c>
      <c r="H204" s="60">
        <f t="shared" ref="H204" si="145">IF($A$64&lt;=H168,IF($B$64&gt;=H168,ABS(H203),0),0)</f>
        <v>1685.0721132117292</v>
      </c>
      <c r="I204" s="60">
        <f t="shared" ref="I204" si="146">IF($A$64&lt;=I168,IF($B$64&gt;=I168,ABS(I203),0),0)</f>
        <v>6235.9640930595388</v>
      </c>
      <c r="J204" s="60">
        <f t="shared" ref="J204" si="147">IF($A$64&lt;=J168,IF($B$64&gt;=J168,ABS(J203),0),0)</f>
        <v>20257.984108735618</v>
      </c>
      <c r="K204" s="60">
        <f t="shared" ref="K204" si="148">IF($A$64&lt;=K168,IF($B$64&gt;=K168,ABS(K203),0),0)</f>
        <v>12976.164399463771</v>
      </c>
      <c r="L204" s="60">
        <f t="shared" ref="L204" si="149">IF($A$64&lt;=L168,IF($B$64&gt;=L168,ABS(L203),0),0)</f>
        <v>10926.627498529606</v>
      </c>
      <c r="M204" s="60">
        <f t="shared" ref="M204" si="150">IF($A$64&lt;=M168,IF($B$64&gt;=M168,ABS(M203),0),0)</f>
        <v>12765.181383253714</v>
      </c>
      <c r="N204" s="60">
        <f t="shared" ref="N204" si="151">IF($A$64&lt;=N168,IF($B$64&gt;=N168,ABS(N203),0),0)</f>
        <v>13966.991261891959</v>
      </c>
      <c r="O204" s="60">
        <f t="shared" ref="O204" si="152">IF($A$64&lt;=O168,IF($B$64&gt;=O168,ABS(O203),0),0)</f>
        <v>16360.602055998394</v>
      </c>
      <c r="P204" s="60">
        <f t="shared" ref="P204" si="153">IF($A$64&lt;=P168,IF($B$64&gt;=P168,ABS(P203),0),0)</f>
        <v>19063.431077946545</v>
      </c>
      <c r="Q204" s="60">
        <f t="shared" ref="Q204" si="154">IF($A$64&lt;=Q168,IF($B$64&gt;=Q168,ABS(Q203),0),0)</f>
        <v>20226.587176574132</v>
      </c>
      <c r="R204" s="60">
        <f t="shared" ref="R204" si="155">IF($A$64&lt;=R168,IF($B$64&gt;=R168,ABS(R203),0),0)</f>
        <v>19407.840432974961</v>
      </c>
      <c r="S204" s="60">
        <f t="shared" ref="S204" si="156">IF($A$64&lt;=S168,IF($B$64&gt;=S168,ABS(S203),0),0)</f>
        <v>19037.994970032116</v>
      </c>
      <c r="T204" s="60">
        <f t="shared" ref="T204" si="157">IF($A$64&lt;=T168,IF($B$64&gt;=T168,ABS(T203),0),0)</f>
        <v>16842.507859108133</v>
      </c>
      <c r="U204" s="60">
        <f t="shared" ref="U204" si="158">IF($A$64&lt;=U168,IF($B$64&gt;=U168,ABS(U203),0),0)</f>
        <v>313.87142433627986</v>
      </c>
      <c r="V204" s="60">
        <f t="shared" ref="V204" si="159">IF($A$64&lt;=V168,IF($B$64&gt;=V168,ABS(V203),0),0)</f>
        <v>33728.515980261735</v>
      </c>
      <c r="W204" s="60">
        <f t="shared" ref="W204" si="160">IF($A$64&lt;=W168,IF($B$64&gt;=W168,ABS(W203),0),0)</f>
        <v>104890.36743678591</v>
      </c>
      <c r="X204" s="60">
        <f t="shared" ref="X204" si="161">IF($A$64&lt;=X168,IF($B$64&gt;=X168,ABS(X203),0),0)</f>
        <v>82648.582015365842</v>
      </c>
      <c r="Y204" s="60">
        <f t="shared" ref="Y204" si="162">IF($A$64&lt;=Y168,IF($B$64&gt;=Y168,ABS(Y203),0),0)</f>
        <v>40948.669030828074</v>
      </c>
      <c r="Z204" s="60">
        <f t="shared" ref="Z204" si="163">IF($A$64&lt;=Z168,IF($B$64&gt;=Z168,ABS(Z203),0),0)</f>
        <v>13181.146214649427</v>
      </c>
      <c r="AA204" s="60">
        <f t="shared" ref="AA204" si="164">IF($A$64&lt;=AA168,IF($B$64&gt;=AA168,ABS(AA203),0),0)</f>
        <v>1639.242996506061</v>
      </c>
      <c r="AB204" s="60">
        <f t="shared" ref="AB204" si="165">IF($A$64&lt;=AB168,IF($B$64&gt;=AB168,ABS(AB203),0),0)</f>
        <v>9.4980435622161661</v>
      </c>
      <c r="AC204" s="60">
        <f t="shared" ref="AC204" si="166">IF($A$64&lt;=AC168,IF($B$64&gt;=AC168,ABS(AC203),0),0)</f>
        <v>3481.8503168355578</v>
      </c>
      <c r="AD204" s="60">
        <f t="shared" ref="AD204" si="167">IF($A$64&lt;=AD168,IF($B$64&gt;=AD168,ABS(AD203),0),0)</f>
        <v>9379.5507575212905</v>
      </c>
      <c r="AE204" s="60">
        <f t="shared" ref="AE204" si="168">IF($A$64&lt;=AE168,IF($B$64&gt;=AE168,ABS(AE203),0),0)</f>
        <v>15811.22526094561</v>
      </c>
      <c r="AF204" s="60">
        <f t="shared" ref="AF204" si="169">IF($A$64&lt;=AF168,IF($B$64&gt;=AF168,ABS(AF203),0),0)</f>
        <v>25264.518709070173</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6174.0793331427376</v>
      </c>
      <c r="C209" s="27">
        <f t="shared" ref="C209:AF209" si="170">($C$17+SUM(C210:C240))*$B$51</f>
        <v>6174.0647205519663</v>
      </c>
      <c r="D209" s="27">
        <f t="shared" si="170"/>
        <v>6173.9187108433862</v>
      </c>
      <c r="E209" s="27">
        <f t="shared" si="170"/>
        <v>6172.4701541025897</v>
      </c>
      <c r="F209" s="27">
        <f t="shared" si="170"/>
        <v>6159.0631022084071</v>
      </c>
      <c r="G209" s="27">
        <f t="shared" si="170"/>
        <v>6085.1697822891765</v>
      </c>
      <c r="H209" s="27">
        <f t="shared" si="170"/>
        <v>5915.7044368500437</v>
      </c>
      <c r="I209" s="27">
        <f t="shared" si="170"/>
        <v>5797.9878691662134</v>
      </c>
      <c r="J209" s="27">
        <f t="shared" si="170"/>
        <v>5685.0070200734808</v>
      </c>
      <c r="K209" s="27">
        <f t="shared" si="170"/>
        <v>5558.6435494556526</v>
      </c>
      <c r="L209" s="27">
        <f t="shared" si="170"/>
        <v>5424.1125504940683</v>
      </c>
      <c r="M209" s="27">
        <f t="shared" si="170"/>
        <v>5273.0867671830338</v>
      </c>
      <c r="N209" s="27">
        <f t="shared" si="170"/>
        <v>5109.3623584993111</v>
      </c>
      <c r="O209" s="27">
        <f t="shared" si="170"/>
        <v>4941.9442477125722</v>
      </c>
      <c r="P209" s="27">
        <f t="shared" si="170"/>
        <v>4779.9667035178172</v>
      </c>
      <c r="Q209" s="27">
        <f t="shared" si="170"/>
        <v>4605.6703827246783</v>
      </c>
      <c r="R209" s="27">
        <f t="shared" si="170"/>
        <v>4392.4920658339852</v>
      </c>
      <c r="S209" s="27">
        <f t="shared" si="170"/>
        <v>4160.7928099300407</v>
      </c>
      <c r="T209" s="27">
        <f t="shared" si="170"/>
        <v>3944.4390896014775</v>
      </c>
      <c r="U209" s="27">
        <f t="shared" si="170"/>
        <v>3698.3187564979862</v>
      </c>
      <c r="V209" s="27">
        <f t="shared" si="170"/>
        <v>3372.4075430622329</v>
      </c>
      <c r="W209" s="27">
        <f t="shared" si="170"/>
        <v>3060.6770611796042</v>
      </c>
      <c r="X209" s="27">
        <f t="shared" si="170"/>
        <v>2789.7022697453472</v>
      </c>
      <c r="Y209" s="27">
        <f t="shared" si="170"/>
        <v>2554.2743305965905</v>
      </c>
      <c r="Z209" s="27">
        <f t="shared" si="170"/>
        <v>2333.7329600697262</v>
      </c>
      <c r="AA209" s="27">
        <f t="shared" si="170"/>
        <v>2119.3852345250971</v>
      </c>
      <c r="AB209" s="27">
        <f t="shared" si="170"/>
        <v>1897.8807947248918</v>
      </c>
      <c r="AC209" s="27">
        <f t="shared" si="170"/>
        <v>1660.8694829729063</v>
      </c>
      <c r="AD209" s="27">
        <f t="shared" si="170"/>
        <v>1391.6649550988013</v>
      </c>
      <c r="AE209" s="27">
        <f t="shared" si="170"/>
        <v>1093.3843141062166</v>
      </c>
      <c r="AF209" s="27">
        <f t="shared" si="170"/>
        <v>800.41639754415155</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9.0449948598930723E-3</v>
      </c>
      <c r="C212" s="3">
        <f t="shared" si="173"/>
        <v>9.0432644754930673E-3</v>
      </c>
      <c r="D212" s="3">
        <f t="shared" si="173"/>
        <v>9.0259788280959499E-3</v>
      </c>
      <c r="E212" s="3">
        <f t="shared" si="173"/>
        <v>8.8549291985355431E-3</v>
      </c>
      <c r="F212" s="3">
        <f t="shared" si="173"/>
        <v>7.3129552984469931E-3</v>
      </c>
      <c r="G212" s="3">
        <f t="shared" si="173"/>
        <v>1.0793720692220132E-3</v>
      </c>
      <c r="H212" s="3">
        <f t="shared" si="173"/>
        <v>5.2960703473670391E-12</v>
      </c>
      <c r="I212" s="3">
        <f t="shared" si="173"/>
        <v>4.2833093382506218E-95</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3.4814167845792908E-2</v>
      </c>
      <c r="C213" s="3">
        <f t="shared" si="174"/>
        <v>3.4813566983882722E-2</v>
      </c>
      <c r="D213" s="3">
        <f t="shared" si="174"/>
        <v>3.4807558935120511E-2</v>
      </c>
      <c r="E213" s="3">
        <f t="shared" si="174"/>
        <v>3.4747535445054406E-2</v>
      </c>
      <c r="F213" s="3">
        <f t="shared" si="174"/>
        <v>3.4152964069191258E-2</v>
      </c>
      <c r="G213" s="3">
        <f t="shared" si="174"/>
        <v>2.8739045991918455E-2</v>
      </c>
      <c r="H213" s="3">
        <f t="shared" si="174"/>
        <v>5.1157794041048928E-3</v>
      </c>
      <c r="I213" s="3">
        <f t="shared" si="174"/>
        <v>1.6342045920399487E-10</v>
      </c>
      <c r="J213" s="3">
        <f t="shared" si="174"/>
        <v>1.8082255449746083E-85</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1.6737344510135976E-2</v>
      </c>
      <c r="C214" s="3">
        <f t="shared" si="175"/>
        <v>1.6737318451288053E-2</v>
      </c>
      <c r="D214" s="3">
        <f t="shared" si="175"/>
        <v>1.6737057865040261E-2</v>
      </c>
      <c r="E214" s="3">
        <f t="shared" si="175"/>
        <v>1.6734452225693114E-2</v>
      </c>
      <c r="F214" s="3">
        <f t="shared" si="175"/>
        <v>1.6708418132452607E-2</v>
      </c>
      <c r="G214" s="3">
        <f t="shared" si="175"/>
        <v>1.6450294430110056E-2</v>
      </c>
      <c r="H214" s="3">
        <f t="shared" si="175"/>
        <v>1.4078522496168007E-2</v>
      </c>
      <c r="I214" s="3">
        <f t="shared" si="175"/>
        <v>2.9675026550495501E-3</v>
      </c>
      <c r="J214" s="3">
        <f t="shared" si="175"/>
        <v>5.1372592969716154E-10</v>
      </c>
      <c r="K214" s="3">
        <f t="shared" si="175"/>
        <v>1.2420388845153892E-77</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1.9251004868945678E-2</v>
      </c>
      <c r="C215" s="3">
        <f t="shared" si="176"/>
        <v>1.9251002165180577E-2</v>
      </c>
      <c r="D215" s="3">
        <f t="shared" si="176"/>
        <v>1.9250975127550436E-2</v>
      </c>
      <c r="E215" s="3">
        <f t="shared" si="176"/>
        <v>1.9250704753337587E-2</v>
      </c>
      <c r="F215" s="3">
        <f t="shared" si="176"/>
        <v>1.9248001220053219E-2</v>
      </c>
      <c r="G215" s="3">
        <f t="shared" si="176"/>
        <v>1.9220986760770057E-2</v>
      </c>
      <c r="H215" s="3">
        <f t="shared" si="176"/>
        <v>1.8952918717518467E-2</v>
      </c>
      <c r="I215" s="3">
        <f t="shared" si="176"/>
        <v>1.64694958473687E-2</v>
      </c>
      <c r="J215" s="3">
        <f t="shared" si="176"/>
        <v>4.0431732838732502E-3</v>
      </c>
      <c r="K215" s="3">
        <f t="shared" si="176"/>
        <v>3.2147177875909818E-9</v>
      </c>
      <c r="L215" s="3">
        <f t="shared" si="176"/>
        <v>3.2459949280962637E-70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2.1901222055582731E-2</v>
      </c>
      <c r="C216" s="3">
        <f t="shared" si="177"/>
        <v>2.1901221778103476E-2</v>
      </c>
      <c r="D216" s="3">
        <f t="shared" si="177"/>
        <v>2.1901219003311104E-2</v>
      </c>
      <c r="E216" s="3">
        <f t="shared" si="177"/>
        <v>2.1901191255406759E-2</v>
      </c>
      <c r="F216" s="3">
        <f t="shared" si="177"/>
        <v>2.1900913778296817E-2</v>
      </c>
      <c r="G216" s="3">
        <f t="shared" si="177"/>
        <v>2.1898139200542319E-2</v>
      </c>
      <c r="H216" s="3">
        <f t="shared" si="177"/>
        <v>2.1870412748429092E-2</v>
      </c>
      <c r="I216" s="3">
        <f t="shared" si="177"/>
        <v>2.1595071741822791E-2</v>
      </c>
      <c r="J216" s="3">
        <f t="shared" si="177"/>
        <v>1.902529369381125E-2</v>
      </c>
      <c r="K216" s="3">
        <f t="shared" si="177"/>
        <v>5.3591826038470996E-3</v>
      </c>
      <c r="L216" s="3">
        <f t="shared" si="177"/>
        <v>1.6856616578336094E-8</v>
      </c>
      <c r="M216" s="3">
        <f t="shared" si="177"/>
        <v>1.5976768498197349E-63</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2.2497281454554246E-2</v>
      </c>
      <c r="C217" s="3">
        <f t="shared" si="178"/>
        <v>2.2497281428842074E-2</v>
      </c>
      <c r="D217" s="3">
        <f t="shared" si="178"/>
        <v>2.249728117172033E-2</v>
      </c>
      <c r="E217" s="3">
        <f t="shared" si="178"/>
        <v>2.2497278600503049E-2</v>
      </c>
      <c r="F217" s="3">
        <f t="shared" si="178"/>
        <v>2.2497252888346406E-2</v>
      </c>
      <c r="G217" s="3">
        <f t="shared" si="178"/>
        <v>2.2496995768396255E-2</v>
      </c>
      <c r="H217" s="3">
        <f t="shared" si="178"/>
        <v>2.2494424730512785E-2</v>
      </c>
      <c r="I217" s="3">
        <f t="shared" si="178"/>
        <v>2.2468730506650662E-2</v>
      </c>
      <c r="J217" s="3">
        <f t="shared" si="178"/>
        <v>2.2213396954611015E-2</v>
      </c>
      <c r="K217" s="3">
        <f t="shared" si="178"/>
        <v>1.9814330385053112E-2</v>
      </c>
      <c r="L217" s="3">
        <f t="shared" si="178"/>
        <v>6.3186402026311223E-3</v>
      </c>
      <c r="M217" s="3">
        <f t="shared" si="178"/>
        <v>6.871726857884098E-8</v>
      </c>
      <c r="N217" s="3">
        <f t="shared" si="178"/>
        <v>1.5903346084726615E-57</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2.671917438937102E-2</v>
      </c>
      <c r="C218" s="3">
        <f t="shared" si="179"/>
        <v>2.6719174386616293E-2</v>
      </c>
      <c r="D218" s="3">
        <f t="shared" si="179"/>
        <v>2.6719174359069033E-2</v>
      </c>
      <c r="E218" s="3">
        <f t="shared" si="179"/>
        <v>2.6719174083596448E-2</v>
      </c>
      <c r="F218" s="3">
        <f t="shared" si="179"/>
        <v>2.6719171328870722E-2</v>
      </c>
      <c r="G218" s="3">
        <f t="shared" si="179"/>
        <v>2.6719143781629078E-2</v>
      </c>
      <c r="H218" s="3">
        <f t="shared" si="179"/>
        <v>2.6718868310774715E-2</v>
      </c>
      <c r="I218" s="3">
        <f t="shared" si="179"/>
        <v>2.6716113758429971E-2</v>
      </c>
      <c r="J218" s="3">
        <f t="shared" si="179"/>
        <v>2.6688583848917903E-2</v>
      </c>
      <c r="K218" s="3">
        <f t="shared" si="179"/>
        <v>2.6414840207520777E-2</v>
      </c>
      <c r="L218" s="3">
        <f t="shared" si="179"/>
        <v>2.3827175725578898E-2</v>
      </c>
      <c r="M218" s="3">
        <f t="shared" si="179"/>
        <v>8.4980320949707214E-3</v>
      </c>
      <c r="N218" s="3">
        <f t="shared" si="179"/>
        <v>2.8299343403503226E-7</v>
      </c>
      <c r="O218" s="3">
        <f t="shared" si="179"/>
        <v>4.7463119813785564E-52</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2.8269244352678361E-2</v>
      </c>
      <c r="C219" s="3">
        <f t="shared" si="180"/>
        <v>2.8269244352415446E-2</v>
      </c>
      <c r="D219" s="3">
        <f t="shared" si="180"/>
        <v>2.8269244349786289E-2</v>
      </c>
      <c r="E219" s="3">
        <f t="shared" si="180"/>
        <v>2.8269244323494744E-2</v>
      </c>
      <c r="F219" s="3">
        <f t="shared" si="180"/>
        <v>2.826924406057927E-2</v>
      </c>
      <c r="G219" s="3">
        <f t="shared" si="180"/>
        <v>2.8269241431424674E-2</v>
      </c>
      <c r="H219" s="3">
        <f t="shared" si="180"/>
        <v>2.8269215139892157E-2</v>
      </c>
      <c r="I219" s="3">
        <f t="shared" si="180"/>
        <v>2.8268952225911834E-2</v>
      </c>
      <c r="J219" s="3">
        <f t="shared" si="180"/>
        <v>2.8266323220590639E-2</v>
      </c>
      <c r="K219" s="3">
        <f t="shared" si="180"/>
        <v>2.824004661095279E-2</v>
      </c>
      <c r="L219" s="3">
        <f t="shared" si="180"/>
        <v>2.7978620257335551E-2</v>
      </c>
      <c r="M219" s="3">
        <f t="shared" si="180"/>
        <v>2.5493833196701808E-2</v>
      </c>
      <c r="N219" s="3">
        <f t="shared" si="180"/>
        <v>1.0058277221750594E-2</v>
      </c>
      <c r="O219" s="3">
        <f t="shared" si="180"/>
        <v>9.1919618809368668E-7</v>
      </c>
      <c r="P219" s="3">
        <f t="shared" si="180"/>
        <v>3.7346881916419962E-47</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2.8789242104314546E-2</v>
      </c>
      <c r="C220" s="3">
        <f t="shared" si="181"/>
        <v>2.8789242104290395E-2</v>
      </c>
      <c r="D220" s="3">
        <f t="shared" si="181"/>
        <v>2.8789242104048859E-2</v>
      </c>
      <c r="E220" s="3">
        <f t="shared" si="181"/>
        <v>2.8789242101633517E-2</v>
      </c>
      <c r="F220" s="3">
        <f t="shared" si="181"/>
        <v>2.8789242077480088E-2</v>
      </c>
      <c r="G220" s="3">
        <f t="shared" si="181"/>
        <v>2.8789241835945813E-2</v>
      </c>
      <c r="H220" s="3">
        <f t="shared" si="181"/>
        <v>2.8789239420603168E-2</v>
      </c>
      <c r="I220" s="3">
        <f t="shared" si="181"/>
        <v>2.8789215267187866E-2</v>
      </c>
      <c r="J220" s="3">
        <f t="shared" si="181"/>
        <v>2.8788973734149344E-2</v>
      </c>
      <c r="K220" s="3">
        <f t="shared" si="181"/>
        <v>2.8786558515212852E-2</v>
      </c>
      <c r="L220" s="3">
        <f t="shared" si="181"/>
        <v>2.8762417467259459E-2</v>
      </c>
      <c r="M220" s="3">
        <f t="shared" si="181"/>
        <v>2.852211767810706E-2</v>
      </c>
      <c r="N220" s="3">
        <f t="shared" si="181"/>
        <v>2.6226817026967556E-2</v>
      </c>
      <c r="O220" s="3">
        <f t="shared" si="181"/>
        <v>1.133401482328906E-2</v>
      </c>
      <c r="P220" s="3">
        <f t="shared" si="181"/>
        <v>2.574931472703925E-6</v>
      </c>
      <c r="Q220" s="3">
        <f t="shared" si="181"/>
        <v>9.4315846716633465E-43</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2.5595411660203401E-2</v>
      </c>
      <c r="C221" s="3">
        <f t="shared" si="182"/>
        <v>2.5595411660201465E-2</v>
      </c>
      <c r="D221" s="3">
        <f t="shared" si="182"/>
        <v>2.5595411660182091E-2</v>
      </c>
      <c r="E221" s="3">
        <f t="shared" si="182"/>
        <v>2.5595411659988378E-2</v>
      </c>
      <c r="F221" s="3">
        <f t="shared" si="182"/>
        <v>2.5595411658051258E-2</v>
      </c>
      <c r="G221" s="3">
        <f t="shared" si="182"/>
        <v>2.5595411638680024E-2</v>
      </c>
      <c r="H221" s="3">
        <f t="shared" si="182"/>
        <v>2.5595411444967704E-2</v>
      </c>
      <c r="I221" s="3">
        <f t="shared" si="182"/>
        <v>2.5595409507844561E-2</v>
      </c>
      <c r="J221" s="3">
        <f t="shared" si="182"/>
        <v>2.5595390136621213E-2</v>
      </c>
      <c r="K221" s="3">
        <f t="shared" si="182"/>
        <v>2.5595196425194065E-2</v>
      </c>
      <c r="L221" s="3">
        <f t="shared" si="182"/>
        <v>2.5593259391553505E-2</v>
      </c>
      <c r="M221" s="3">
        <f t="shared" si="182"/>
        <v>2.5573897115981414E-2</v>
      </c>
      <c r="N221" s="3">
        <f t="shared" si="182"/>
        <v>2.5381078190938551E-2</v>
      </c>
      <c r="O221" s="3">
        <f t="shared" si="182"/>
        <v>2.353106592468104E-2</v>
      </c>
      <c r="P221" s="3">
        <f t="shared" si="182"/>
        <v>1.1039691462403599E-2</v>
      </c>
      <c r="Q221" s="3">
        <f t="shared" si="182"/>
        <v>5.703090840087697E-6</v>
      </c>
      <c r="R221" s="3">
        <f t="shared" si="182"/>
        <v>7.720471463676471E-39</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3.1571984224505495E-2</v>
      </c>
      <c r="C222" s="3">
        <f t="shared" si="183"/>
        <v>3.1571984224505287E-2</v>
      </c>
      <c r="D222" s="3">
        <f t="shared" si="183"/>
        <v>3.1571984224503129E-2</v>
      </c>
      <c r="E222" s="3">
        <f t="shared" si="183"/>
        <v>3.157198422448157E-2</v>
      </c>
      <c r="F222" s="3">
        <f t="shared" si="183"/>
        <v>3.1571984224266027E-2</v>
      </c>
      <c r="G222" s="3">
        <f t="shared" si="183"/>
        <v>3.1571984222110543E-2</v>
      </c>
      <c r="H222" s="3">
        <f t="shared" si="183"/>
        <v>3.1571984200555764E-2</v>
      </c>
      <c r="I222" s="3">
        <f t="shared" si="183"/>
        <v>3.1571983985007969E-2</v>
      </c>
      <c r="J222" s="3">
        <f t="shared" si="183"/>
        <v>3.1571981829530034E-2</v>
      </c>
      <c r="K222" s="3">
        <f t="shared" si="183"/>
        <v>3.157196027475883E-2</v>
      </c>
      <c r="L222" s="3">
        <f t="shared" si="183"/>
        <v>3.1571744727856135E-2</v>
      </c>
      <c r="M222" s="3">
        <f t="shared" si="183"/>
        <v>3.156958933976408E-2</v>
      </c>
      <c r="N222" s="3">
        <f t="shared" si="183"/>
        <v>3.1548043550289173E-2</v>
      </c>
      <c r="O222" s="3">
        <f t="shared" si="183"/>
        <v>3.1333392759885073E-2</v>
      </c>
      <c r="P222" s="3">
        <f t="shared" si="183"/>
        <v>2.9265593194964128E-2</v>
      </c>
      <c r="Q222" s="3">
        <f t="shared" si="183"/>
        <v>1.4786194679423662E-2</v>
      </c>
      <c r="R222" s="3">
        <f t="shared" si="183"/>
        <v>1.6026818007120907E-5</v>
      </c>
      <c r="S222" s="3">
        <f t="shared" si="183"/>
        <v>3.5872046921533565E-35</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4.0619048192840936E-2</v>
      </c>
      <c r="C223" s="3">
        <f t="shared" si="184"/>
        <v>4.0619048192840915E-2</v>
      </c>
      <c r="D223" s="3">
        <f t="shared" si="184"/>
        <v>4.0619048192840665E-2</v>
      </c>
      <c r="E223" s="3">
        <f t="shared" si="184"/>
        <v>4.0619048192838167E-2</v>
      </c>
      <c r="F223" s="3">
        <f t="shared" si="184"/>
        <v>4.0619048192813145E-2</v>
      </c>
      <c r="G223" s="3">
        <f t="shared" si="184"/>
        <v>4.0619048192562984E-2</v>
      </c>
      <c r="H223" s="3">
        <f t="shared" si="184"/>
        <v>4.0619048190061381E-2</v>
      </c>
      <c r="I223" s="3">
        <f t="shared" si="184"/>
        <v>4.0619048165045378E-2</v>
      </c>
      <c r="J223" s="3">
        <f t="shared" si="184"/>
        <v>4.061904791488527E-2</v>
      </c>
      <c r="K223" s="3">
        <f t="shared" si="184"/>
        <v>4.0619045413284288E-2</v>
      </c>
      <c r="L223" s="3">
        <f t="shared" si="184"/>
        <v>4.0619020397282948E-2</v>
      </c>
      <c r="M223" s="3">
        <f t="shared" si="184"/>
        <v>4.0618770238116907E-2</v>
      </c>
      <c r="N223" s="3">
        <f t="shared" si="184"/>
        <v>4.0616268731190591E-2</v>
      </c>
      <c r="O223" s="3">
        <f t="shared" si="184"/>
        <v>4.0591262133403784E-2</v>
      </c>
      <c r="P223" s="3">
        <f t="shared" si="184"/>
        <v>4.0342041375938407E-2</v>
      </c>
      <c r="Q223" s="3">
        <f t="shared" si="184"/>
        <v>3.7932461142420673E-2</v>
      </c>
      <c r="R223" s="3">
        <f t="shared" si="184"/>
        <v>2.0490027108107343E-2</v>
      </c>
      <c r="S223" s="3">
        <f t="shared" si="184"/>
        <v>4.333688050963119E-5</v>
      </c>
      <c r="T223" s="3">
        <f t="shared" si="184"/>
        <v>7.762628146074832E-32</v>
      </c>
      <c r="U223" s="3">
        <f t="shared" si="184"/>
        <v>2.6394907416428752E-299</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3.7761220679273885E-2</v>
      </c>
      <c r="C224" s="3">
        <f t="shared" si="185"/>
        <v>3.7761220679273878E-2</v>
      </c>
      <c r="D224" s="3">
        <f t="shared" si="185"/>
        <v>3.7761220679273858E-2</v>
      </c>
      <c r="E224" s="3">
        <f t="shared" si="185"/>
        <v>3.7761220679273649E-2</v>
      </c>
      <c r="F224" s="3">
        <f t="shared" si="185"/>
        <v>3.7761220679271554E-2</v>
      </c>
      <c r="G224" s="3">
        <f t="shared" si="185"/>
        <v>3.7761220679250578E-2</v>
      </c>
      <c r="H224" s="3">
        <f t="shared" si="185"/>
        <v>3.7761220679040787E-2</v>
      </c>
      <c r="I224" s="3">
        <f t="shared" si="185"/>
        <v>3.776122067694291E-2</v>
      </c>
      <c r="J224" s="3">
        <f t="shared" si="185"/>
        <v>3.7761220655964094E-2</v>
      </c>
      <c r="K224" s="3">
        <f t="shared" si="185"/>
        <v>3.7761220446175955E-2</v>
      </c>
      <c r="L224" s="3">
        <f t="shared" si="185"/>
        <v>3.7761218348294649E-2</v>
      </c>
      <c r="M224" s="3">
        <f t="shared" si="185"/>
        <v>3.7761197369487971E-2</v>
      </c>
      <c r="N224" s="3">
        <f t="shared" si="185"/>
        <v>3.7760987582062255E-2</v>
      </c>
      <c r="O224" s="3">
        <f t="shared" si="185"/>
        <v>3.7758889771906667E-2</v>
      </c>
      <c r="P224" s="3">
        <f t="shared" si="185"/>
        <v>3.7737918079189359E-2</v>
      </c>
      <c r="Q224" s="3">
        <f t="shared" si="185"/>
        <v>3.752884072043447E-2</v>
      </c>
      <c r="R224" s="3">
        <f t="shared" si="185"/>
        <v>3.5500728592447045E-2</v>
      </c>
      <c r="S224" s="3">
        <f t="shared" si="185"/>
        <v>2.0368471435179739E-2</v>
      </c>
      <c r="T224" s="3">
        <f t="shared" si="185"/>
        <v>7.8735421803105015E-5</v>
      </c>
      <c r="U224" s="3">
        <f t="shared" si="185"/>
        <v>5.8652612294417343E-29</v>
      </c>
      <c r="V224" s="3">
        <f t="shared" si="185"/>
        <v>3.0864508961512854E-270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3.2047185254004913E-2</v>
      </c>
      <c r="C225" s="3">
        <f t="shared" si="186"/>
        <v>3.2047185254004913E-2</v>
      </c>
      <c r="D225" s="3">
        <f t="shared" si="186"/>
        <v>3.2047185254004906E-2</v>
      </c>
      <c r="E225" s="3">
        <f t="shared" si="186"/>
        <v>3.2047185254004892E-2</v>
      </c>
      <c r="F225" s="3">
        <f t="shared" si="186"/>
        <v>3.2047185254004733E-2</v>
      </c>
      <c r="G225" s="3">
        <f t="shared" si="186"/>
        <v>3.204718525400313E-2</v>
      </c>
      <c r="H225" s="3">
        <f t="shared" si="186"/>
        <v>3.2047185253987066E-2</v>
      </c>
      <c r="I225" s="3">
        <f t="shared" si="186"/>
        <v>3.2047185253826459E-2</v>
      </c>
      <c r="J225" s="3">
        <f t="shared" si="186"/>
        <v>3.2047185252220362E-2</v>
      </c>
      <c r="K225" s="3">
        <f t="shared" si="186"/>
        <v>3.2047185236159403E-2</v>
      </c>
      <c r="L225" s="3">
        <f t="shared" si="186"/>
        <v>3.204718507554985E-2</v>
      </c>
      <c r="M225" s="3">
        <f t="shared" si="186"/>
        <v>3.2047183469454329E-2</v>
      </c>
      <c r="N225" s="3">
        <f t="shared" si="186"/>
        <v>3.204716740850351E-2</v>
      </c>
      <c r="O225" s="3">
        <f t="shared" si="186"/>
        <v>3.2047006799438074E-2</v>
      </c>
      <c r="P225" s="3">
        <f t="shared" si="186"/>
        <v>3.2045400753053371E-2</v>
      </c>
      <c r="Q225" s="3">
        <f t="shared" si="186"/>
        <v>3.202934471535604E-2</v>
      </c>
      <c r="R225" s="3">
        <f t="shared" si="186"/>
        <v>3.1869226133698685E-2</v>
      </c>
      <c r="S225" s="3">
        <f t="shared" si="186"/>
        <v>3.0311411487811853E-2</v>
      </c>
      <c r="T225" s="3">
        <f t="shared" si="186"/>
        <v>1.8363378463314046E-2</v>
      </c>
      <c r="U225" s="3">
        <f t="shared" si="186"/>
        <v>1.222972895274033E-4</v>
      </c>
      <c r="V225" s="3">
        <f t="shared" si="186"/>
        <v>2.0992265037133769E-26</v>
      </c>
      <c r="W225" s="3">
        <f t="shared" si="186"/>
        <v>4.6610524616313423E-244</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5.5060207151423582E-2</v>
      </c>
      <c r="C226" s="3">
        <f t="shared" si="187"/>
        <v>5.5060207151423582E-2</v>
      </c>
      <c r="D226" s="3">
        <f t="shared" si="187"/>
        <v>5.5060207151423582E-2</v>
      </c>
      <c r="E226" s="3">
        <f t="shared" si="187"/>
        <v>5.5060207151423582E-2</v>
      </c>
      <c r="F226" s="3">
        <f t="shared" si="187"/>
        <v>5.5060207151423554E-2</v>
      </c>
      <c r="G226" s="3">
        <f t="shared" si="187"/>
        <v>5.5060207151423304E-2</v>
      </c>
      <c r="H226" s="3">
        <f t="shared" si="187"/>
        <v>5.506020715142082E-2</v>
      </c>
      <c r="I226" s="3">
        <f t="shared" si="187"/>
        <v>5.5060207151395923E-2</v>
      </c>
      <c r="J226" s="3">
        <f t="shared" si="187"/>
        <v>5.5060207151147005E-2</v>
      </c>
      <c r="K226" s="3">
        <f t="shared" si="187"/>
        <v>5.5060207148657767E-2</v>
      </c>
      <c r="L226" s="3">
        <f t="shared" si="187"/>
        <v>5.5060207123765408E-2</v>
      </c>
      <c r="M226" s="3">
        <f t="shared" si="187"/>
        <v>5.5060206874841901E-2</v>
      </c>
      <c r="N226" s="3">
        <f t="shared" si="187"/>
        <v>5.5060204385606812E-2</v>
      </c>
      <c r="O226" s="3">
        <f t="shared" si="187"/>
        <v>5.5060179493262112E-2</v>
      </c>
      <c r="P226" s="3">
        <f t="shared" si="187"/>
        <v>5.5059930570434144E-2</v>
      </c>
      <c r="Q226" s="3">
        <f t="shared" si="187"/>
        <v>5.5057441404048411E-2</v>
      </c>
      <c r="R226" s="3">
        <f t="shared" si="187"/>
        <v>5.5032555928557034E-2</v>
      </c>
      <c r="S226" s="3">
        <f t="shared" si="187"/>
        <v>5.4784318976329308E-2</v>
      </c>
      <c r="T226" s="3">
        <f t="shared" si="187"/>
        <v>5.2362708674191821E-2</v>
      </c>
      <c r="U226" s="3">
        <f t="shared" si="187"/>
        <v>3.3318118781221977E-2</v>
      </c>
      <c r="V226" s="3">
        <f t="shared" si="187"/>
        <v>3.6246339381866766E-4</v>
      </c>
      <c r="W226" s="3">
        <f t="shared" si="187"/>
        <v>8.4159075540253312E-24</v>
      </c>
      <c r="X226" s="3">
        <f t="shared" si="187"/>
        <v>3.8323837816180008E-220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5.5367146096233756E-2</v>
      </c>
      <c r="C227" s="3">
        <f t="shared" si="188"/>
        <v>5.5367146096233756E-2</v>
      </c>
      <c r="D227" s="3">
        <f t="shared" si="188"/>
        <v>5.5367146096233756E-2</v>
      </c>
      <c r="E227" s="3">
        <f t="shared" si="188"/>
        <v>5.5367146096233756E-2</v>
      </c>
      <c r="F227" s="3">
        <f t="shared" si="188"/>
        <v>5.5367146096233756E-2</v>
      </c>
      <c r="G227" s="3">
        <f t="shared" si="188"/>
        <v>5.5367146096233728E-2</v>
      </c>
      <c r="H227" s="3">
        <f t="shared" si="188"/>
        <v>5.5367146096233506E-2</v>
      </c>
      <c r="I227" s="3">
        <f t="shared" si="188"/>
        <v>5.5367146096231251E-2</v>
      </c>
      <c r="J227" s="3">
        <f t="shared" si="188"/>
        <v>5.5367146096208665E-2</v>
      </c>
      <c r="K227" s="3">
        <f t="shared" si="188"/>
        <v>5.5367146095982867E-2</v>
      </c>
      <c r="L227" s="3">
        <f t="shared" si="188"/>
        <v>5.5367146093724853E-2</v>
      </c>
      <c r="M227" s="3">
        <f t="shared" si="188"/>
        <v>5.53671460711447E-2</v>
      </c>
      <c r="N227" s="3">
        <f t="shared" si="188"/>
        <v>5.5367145845343205E-2</v>
      </c>
      <c r="O227" s="3">
        <f t="shared" si="188"/>
        <v>5.5367143587328305E-2</v>
      </c>
      <c r="P227" s="3">
        <f t="shared" si="188"/>
        <v>5.5367121007184356E-2</v>
      </c>
      <c r="Q227" s="3">
        <f t="shared" si="188"/>
        <v>5.5366895206251363E-2</v>
      </c>
      <c r="R227" s="3">
        <f t="shared" si="188"/>
        <v>5.5364637247568828E-2</v>
      </c>
      <c r="S227" s="3">
        <f t="shared" si="188"/>
        <v>5.5342062724716305E-2</v>
      </c>
      <c r="T227" s="3">
        <f t="shared" si="188"/>
        <v>5.5116823130176962E-2</v>
      </c>
      <c r="U227" s="3">
        <f t="shared" si="188"/>
        <v>5.2914235855883882E-2</v>
      </c>
      <c r="V227" s="3">
        <f t="shared" si="188"/>
        <v>3.5192979999943926E-2</v>
      </c>
      <c r="W227" s="3">
        <f t="shared" si="188"/>
        <v>5.9606165169080673E-4</v>
      </c>
      <c r="X227" s="3">
        <f t="shared" si="188"/>
        <v>1.1578240698969916E-21</v>
      </c>
      <c r="Y227" s="3">
        <f t="shared" si="188"/>
        <v>8.8543460889993224E-199</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4.7007838258753223E-2</v>
      </c>
      <c r="C228" s="3">
        <f t="shared" si="189"/>
        <v>4.7007838258753223E-2</v>
      </c>
      <c r="D228" s="3">
        <f t="shared" si="189"/>
        <v>4.7007838258753223E-2</v>
      </c>
      <c r="E228" s="3">
        <f t="shared" si="189"/>
        <v>4.7007838258753223E-2</v>
      </c>
      <c r="F228" s="3">
        <f t="shared" si="189"/>
        <v>4.7007838258753223E-2</v>
      </c>
      <c r="G228" s="3">
        <f t="shared" si="189"/>
        <v>4.7007838258753223E-2</v>
      </c>
      <c r="H228" s="3">
        <f t="shared" si="189"/>
        <v>4.7007838258753203E-2</v>
      </c>
      <c r="I228" s="3">
        <f t="shared" si="189"/>
        <v>4.7007838258753029E-2</v>
      </c>
      <c r="J228" s="3">
        <f t="shared" si="189"/>
        <v>4.7007838258751301E-2</v>
      </c>
      <c r="K228" s="3">
        <f t="shared" si="189"/>
        <v>4.700783825873401E-2</v>
      </c>
      <c r="L228" s="3">
        <f t="shared" si="189"/>
        <v>4.7007838258561065E-2</v>
      </c>
      <c r="M228" s="3">
        <f t="shared" si="189"/>
        <v>4.7007838256831684E-2</v>
      </c>
      <c r="N228" s="3">
        <f t="shared" si="189"/>
        <v>4.7007838239537837E-2</v>
      </c>
      <c r="O228" s="3">
        <f t="shared" si="189"/>
        <v>4.7007838066599403E-2</v>
      </c>
      <c r="P228" s="3">
        <f t="shared" si="189"/>
        <v>4.7007836337214996E-2</v>
      </c>
      <c r="Q228" s="3">
        <f t="shared" si="189"/>
        <v>4.7007819043374498E-2</v>
      </c>
      <c r="R228" s="3">
        <f t="shared" si="189"/>
        <v>4.7007646105319413E-2</v>
      </c>
      <c r="S228" s="3">
        <f t="shared" si="189"/>
        <v>4.7005916759760603E-2</v>
      </c>
      <c r="T228" s="3">
        <f t="shared" si="189"/>
        <v>4.698862680289765E-2</v>
      </c>
      <c r="U228" s="3">
        <f t="shared" si="189"/>
        <v>4.681607663099855E-2</v>
      </c>
      <c r="V228" s="3">
        <f t="shared" si="189"/>
        <v>4.5125043628987102E-2</v>
      </c>
      <c r="W228" s="3">
        <f t="shared" si="189"/>
        <v>3.1235166815371165E-2</v>
      </c>
      <c r="X228" s="3">
        <f t="shared" si="189"/>
        <v>7.8868899063887492E-4</v>
      </c>
      <c r="Y228" s="3">
        <f t="shared" si="189"/>
        <v>8.3085505562649655E-20</v>
      </c>
      <c r="Z228" s="3">
        <f t="shared" si="189"/>
        <v>1.3986857487214142E-179</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4.3271313852142758E-2</v>
      </c>
      <c r="C229" s="3">
        <f t="shared" si="190"/>
        <v>4.3271313852142758E-2</v>
      </c>
      <c r="D229" s="3">
        <f t="shared" si="190"/>
        <v>4.3271313852142758E-2</v>
      </c>
      <c r="E229" s="3">
        <f t="shared" si="190"/>
        <v>4.3271313852142758E-2</v>
      </c>
      <c r="F229" s="3">
        <f t="shared" si="190"/>
        <v>4.3271313852142758E-2</v>
      </c>
      <c r="G229" s="3">
        <f t="shared" si="190"/>
        <v>4.3271313852142758E-2</v>
      </c>
      <c r="H229" s="3">
        <f t="shared" si="190"/>
        <v>4.3271313852142758E-2</v>
      </c>
      <c r="I229" s="3">
        <f t="shared" si="190"/>
        <v>4.3271313852142744E-2</v>
      </c>
      <c r="J229" s="3">
        <f t="shared" si="190"/>
        <v>4.3271313852142598E-2</v>
      </c>
      <c r="K229" s="3">
        <f t="shared" si="190"/>
        <v>4.3271313852141162E-2</v>
      </c>
      <c r="L229" s="3">
        <f t="shared" si="190"/>
        <v>4.3271313852126805E-2</v>
      </c>
      <c r="M229" s="3">
        <f t="shared" si="190"/>
        <v>4.3271313851983198E-2</v>
      </c>
      <c r="N229" s="3">
        <f t="shared" si="190"/>
        <v>4.3271313850547152E-2</v>
      </c>
      <c r="O229" s="3">
        <f t="shared" si="190"/>
        <v>4.3271313836186702E-2</v>
      </c>
      <c r="P229" s="3">
        <f t="shared" si="190"/>
        <v>4.3271313692582247E-2</v>
      </c>
      <c r="Q229" s="3">
        <f t="shared" si="190"/>
        <v>4.3271312256537638E-2</v>
      </c>
      <c r="R229" s="3">
        <f t="shared" si="190"/>
        <v>4.3271297896094164E-2</v>
      </c>
      <c r="S229" s="3">
        <f t="shared" si="190"/>
        <v>4.3271154291921549E-2</v>
      </c>
      <c r="T229" s="3">
        <f t="shared" si="190"/>
        <v>4.3269718276406986E-2</v>
      </c>
      <c r="U229" s="3">
        <f t="shared" si="190"/>
        <v>4.3255360742093657E-2</v>
      </c>
      <c r="V229" s="3">
        <f t="shared" si="190"/>
        <v>4.3112047160660916E-2</v>
      </c>
      <c r="W229" s="3">
        <f t="shared" si="190"/>
        <v>4.1704768927649537E-2</v>
      </c>
      <c r="X229" s="3">
        <f t="shared" si="190"/>
        <v>2.9926536346389348E-2</v>
      </c>
      <c r="Y229" s="3">
        <f t="shared" si="190"/>
        <v>1.0833375932023913E-3</v>
      </c>
      <c r="Z229" s="3">
        <f t="shared" si="190"/>
        <v>4.1863680034307304E-18</v>
      </c>
      <c r="AA229" s="3">
        <f t="shared" si="190"/>
        <v>3.108660441662496E-162</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2.2304524360839302E-2</v>
      </c>
      <c r="C230" s="3">
        <f t="shared" si="191"/>
        <v>2.2304524360839302E-2</v>
      </c>
      <c r="D230" s="3">
        <f t="shared" si="191"/>
        <v>2.2304524360839302E-2</v>
      </c>
      <c r="E230" s="3">
        <f t="shared" si="191"/>
        <v>2.2304524360839302E-2</v>
      </c>
      <c r="F230" s="3">
        <f t="shared" si="191"/>
        <v>2.2304524360839302E-2</v>
      </c>
      <c r="G230" s="3">
        <f t="shared" si="191"/>
        <v>2.2304524360839302E-2</v>
      </c>
      <c r="H230" s="3">
        <f t="shared" si="191"/>
        <v>2.2304524360839302E-2</v>
      </c>
      <c r="I230" s="3">
        <f t="shared" si="191"/>
        <v>2.2304524360839302E-2</v>
      </c>
      <c r="J230" s="3">
        <f t="shared" si="191"/>
        <v>2.2304524360839295E-2</v>
      </c>
      <c r="K230" s="3">
        <f t="shared" si="191"/>
        <v>2.2304524360839229E-2</v>
      </c>
      <c r="L230" s="3">
        <f t="shared" si="191"/>
        <v>2.230452436083856E-2</v>
      </c>
      <c r="M230" s="3">
        <f t="shared" si="191"/>
        <v>2.2304524360831884E-2</v>
      </c>
      <c r="N230" s="3">
        <f t="shared" si="191"/>
        <v>2.2304524360765108E-2</v>
      </c>
      <c r="O230" s="3">
        <f t="shared" si="191"/>
        <v>2.2304524360097368E-2</v>
      </c>
      <c r="P230" s="3">
        <f t="shared" si="191"/>
        <v>2.230452435341997E-2</v>
      </c>
      <c r="Q230" s="3">
        <f t="shared" si="191"/>
        <v>2.2304524286645963E-2</v>
      </c>
      <c r="R230" s="3">
        <f t="shared" si="191"/>
        <v>2.2304523618905944E-2</v>
      </c>
      <c r="S230" s="3">
        <f t="shared" si="191"/>
        <v>2.2304516941506817E-2</v>
      </c>
      <c r="T230" s="3">
        <f t="shared" si="191"/>
        <v>2.2304450167625518E-2</v>
      </c>
      <c r="U230" s="3">
        <f t="shared" si="191"/>
        <v>2.2303782439807119E-2</v>
      </c>
      <c r="V230" s="3">
        <f t="shared" si="191"/>
        <v>2.2297106260960792E-2</v>
      </c>
      <c r="W230" s="3">
        <f t="shared" si="191"/>
        <v>2.2230454284588429E-2</v>
      </c>
      <c r="X230" s="3">
        <f t="shared" si="191"/>
        <v>2.1574795060689357E-2</v>
      </c>
      <c r="Y230" s="3">
        <f t="shared" si="191"/>
        <v>1.5993005713811861E-2</v>
      </c>
      <c r="Z230" s="3">
        <f t="shared" si="191"/>
        <v>8.0124295889882956E-4</v>
      </c>
      <c r="AA230" s="3">
        <f t="shared" si="191"/>
        <v>7.9818867742169528E-17</v>
      </c>
      <c r="AB230" s="3">
        <f t="shared" si="191"/>
        <v>7.6827894406033592E-147</v>
      </c>
      <c r="AC230" s="3">
        <f t="shared" si="191"/>
        <v>0</v>
      </c>
      <c r="AD230" s="3">
        <f t="shared" si="191"/>
        <v>0</v>
      </c>
      <c r="AE230" s="3">
        <f t="shared" si="191"/>
        <v>0</v>
      </c>
      <c r="AF230" s="3">
        <f t="shared" si="191"/>
        <v>0</v>
      </c>
      <c r="AG230" s="3"/>
      <c r="AH230" s="3"/>
    </row>
    <row r="231" spans="2:34" x14ac:dyDescent="0.25">
      <c r="B231" s="3">
        <f t="shared" ref="B231:AF231" si="192">$C39*EXP(-B$207/$A39/EXP(-$D$126))</f>
        <v>3.1643216322297517E-2</v>
      </c>
      <c r="C231" s="3">
        <f t="shared" si="192"/>
        <v>3.1643216322297517E-2</v>
      </c>
      <c r="D231" s="3">
        <f t="shared" si="192"/>
        <v>3.1643216322297517E-2</v>
      </c>
      <c r="E231" s="3">
        <f t="shared" si="192"/>
        <v>3.1643216322297517E-2</v>
      </c>
      <c r="F231" s="3">
        <f t="shared" si="192"/>
        <v>3.1643216322297517E-2</v>
      </c>
      <c r="G231" s="3">
        <f t="shared" si="192"/>
        <v>3.1643216322297517E-2</v>
      </c>
      <c r="H231" s="3">
        <f t="shared" si="192"/>
        <v>3.1643216322297517E-2</v>
      </c>
      <c r="I231" s="3">
        <f t="shared" si="192"/>
        <v>3.1643216322297517E-2</v>
      </c>
      <c r="J231" s="3">
        <f t="shared" si="192"/>
        <v>3.164321632229751E-2</v>
      </c>
      <c r="K231" s="3">
        <f t="shared" si="192"/>
        <v>3.1643216322297489E-2</v>
      </c>
      <c r="L231" s="3">
        <f t="shared" si="192"/>
        <v>3.1643216322297225E-2</v>
      </c>
      <c r="M231" s="3">
        <f t="shared" si="192"/>
        <v>3.1643216322294603E-2</v>
      </c>
      <c r="N231" s="3">
        <f t="shared" si="192"/>
        <v>3.1643216322268401E-2</v>
      </c>
      <c r="O231" s="3">
        <f t="shared" si="192"/>
        <v>3.1643216322006402E-2</v>
      </c>
      <c r="P231" s="3">
        <f t="shared" si="192"/>
        <v>3.1643216319386359E-2</v>
      </c>
      <c r="Q231" s="3">
        <f t="shared" si="192"/>
        <v>3.1643216293185956E-2</v>
      </c>
      <c r="R231" s="3">
        <f t="shared" si="192"/>
        <v>3.1643216031181955E-2</v>
      </c>
      <c r="S231" s="3">
        <f t="shared" si="192"/>
        <v>3.1643213411142034E-2</v>
      </c>
      <c r="T231" s="3">
        <f t="shared" si="192"/>
        <v>3.1643187210754743E-2</v>
      </c>
      <c r="U231" s="3">
        <f t="shared" si="192"/>
        <v>3.1642925208074948E-2</v>
      </c>
      <c r="V231" s="3">
        <f t="shared" si="192"/>
        <v>3.1640305300588804E-2</v>
      </c>
      <c r="W231" s="3">
        <f t="shared" si="192"/>
        <v>3.1614118153246044E-2</v>
      </c>
      <c r="X231" s="3">
        <f t="shared" si="192"/>
        <v>3.1353435785681817E-2</v>
      </c>
      <c r="Y231" s="3">
        <f t="shared" si="192"/>
        <v>2.8861959057629828E-2</v>
      </c>
      <c r="Z231" s="3">
        <f t="shared" si="192"/>
        <v>1.2610505064713669E-2</v>
      </c>
      <c r="AA231" s="3">
        <f t="shared" si="192"/>
        <v>3.1974166125652232E-6</v>
      </c>
      <c r="AB231" s="3">
        <f t="shared" si="192"/>
        <v>3.5112899114264599E-42</v>
      </c>
      <c r="AC231" s="3">
        <f t="shared" si="192"/>
        <v>0</v>
      </c>
      <c r="AD231" s="3">
        <f t="shared" si="192"/>
        <v>0</v>
      </c>
      <c r="AE231" s="3">
        <f t="shared" si="192"/>
        <v>0</v>
      </c>
      <c r="AF231" s="3">
        <f t="shared" si="192"/>
        <v>0</v>
      </c>
      <c r="AG231" s="3"/>
      <c r="AH231" s="3"/>
    </row>
    <row r="232" spans="2:34" x14ac:dyDescent="0.25">
      <c r="B232" s="3">
        <f t="shared" ref="B232:AF232" si="193">$C40*EXP(-B$207/$A40/EXP(-$D$126))</f>
        <v>3.5141037946940686E-2</v>
      </c>
      <c r="C232" s="3">
        <f t="shared" si="193"/>
        <v>3.5141037946940686E-2</v>
      </c>
      <c r="D232" s="3">
        <f t="shared" si="193"/>
        <v>3.5141037946940686E-2</v>
      </c>
      <c r="E232" s="3">
        <f t="shared" si="193"/>
        <v>3.5141037946940686E-2</v>
      </c>
      <c r="F232" s="3">
        <f t="shared" si="193"/>
        <v>3.5141037946940686E-2</v>
      </c>
      <c r="G232" s="3">
        <f t="shared" si="193"/>
        <v>3.5141037946940686E-2</v>
      </c>
      <c r="H232" s="3">
        <f t="shared" si="193"/>
        <v>3.5141037946940686E-2</v>
      </c>
      <c r="I232" s="3">
        <f t="shared" si="193"/>
        <v>3.5141037946940686E-2</v>
      </c>
      <c r="J232" s="3">
        <f t="shared" si="193"/>
        <v>3.5141037946940686E-2</v>
      </c>
      <c r="K232" s="3">
        <f t="shared" si="193"/>
        <v>3.5141037946940679E-2</v>
      </c>
      <c r="L232" s="3">
        <f t="shared" si="193"/>
        <v>3.5141037946940658E-2</v>
      </c>
      <c r="M232" s="3">
        <f t="shared" si="193"/>
        <v>3.5141037946940359E-2</v>
      </c>
      <c r="N232" s="3">
        <f t="shared" si="193"/>
        <v>3.5141037946937452E-2</v>
      </c>
      <c r="O232" s="3">
        <f t="shared" si="193"/>
        <v>3.5141037946908357E-2</v>
      </c>
      <c r="P232" s="3">
        <f t="shared" si="193"/>
        <v>3.5141037946617389E-2</v>
      </c>
      <c r="Q232" s="3">
        <f t="shared" si="193"/>
        <v>3.514103794370773E-2</v>
      </c>
      <c r="R232" s="3">
        <f t="shared" si="193"/>
        <v>3.5141037914611158E-2</v>
      </c>
      <c r="S232" s="3">
        <f t="shared" si="193"/>
        <v>3.5141037623645392E-2</v>
      </c>
      <c r="T232" s="3">
        <f t="shared" si="193"/>
        <v>3.514103471398787E-2</v>
      </c>
      <c r="U232" s="3">
        <f t="shared" si="193"/>
        <v>3.5141005617425919E-2</v>
      </c>
      <c r="V232" s="3">
        <f t="shared" si="193"/>
        <v>3.5140714653131427E-2</v>
      </c>
      <c r="W232" s="3">
        <f t="shared" si="193"/>
        <v>3.5137805142686898E-2</v>
      </c>
      <c r="X232" s="3">
        <f t="shared" si="193"/>
        <v>3.5108723284220898E-2</v>
      </c>
      <c r="Y232" s="3">
        <f t="shared" si="193"/>
        <v>3.481922524845335E-2</v>
      </c>
      <c r="Z232" s="3">
        <f t="shared" si="193"/>
        <v>3.2052342218844884E-2</v>
      </c>
      <c r="AA232" s="3">
        <f t="shared" si="193"/>
        <v>1.400446252035783E-2</v>
      </c>
      <c r="AB232" s="3">
        <f t="shared" si="193"/>
        <v>3.550857073753206E-6</v>
      </c>
      <c r="AC232" s="3">
        <f t="shared" si="193"/>
        <v>3.899425733571834E-42</v>
      </c>
      <c r="AD232" s="3">
        <f t="shared" si="193"/>
        <v>0</v>
      </c>
      <c r="AE232" s="3">
        <f t="shared" si="193"/>
        <v>0</v>
      </c>
      <c r="AF232" s="3">
        <f t="shared" si="193"/>
        <v>0</v>
      </c>
      <c r="AG232" s="3"/>
      <c r="AH232" s="3"/>
    </row>
    <row r="233" spans="2:34" x14ac:dyDescent="0.25">
      <c r="B233" s="3">
        <f t="shared" ref="B233:AF233" si="194">$C41*EXP(-B$207/$A41/EXP(-$D$126))</f>
        <v>3.5593088100758001E-2</v>
      </c>
      <c r="C233" s="3">
        <f t="shared" si="194"/>
        <v>3.5593088100758001E-2</v>
      </c>
      <c r="D233" s="3">
        <f t="shared" si="194"/>
        <v>3.5593088100758001E-2</v>
      </c>
      <c r="E233" s="3">
        <f t="shared" si="194"/>
        <v>3.5593088100758001E-2</v>
      </c>
      <c r="F233" s="3">
        <f t="shared" si="194"/>
        <v>3.5593088100758001E-2</v>
      </c>
      <c r="G233" s="3">
        <f t="shared" si="194"/>
        <v>3.5593088100758001E-2</v>
      </c>
      <c r="H233" s="3">
        <f t="shared" si="194"/>
        <v>3.5593088100758001E-2</v>
      </c>
      <c r="I233" s="3">
        <f t="shared" si="194"/>
        <v>3.5593088100758001E-2</v>
      </c>
      <c r="J233" s="3">
        <f t="shared" si="194"/>
        <v>3.5593088100758001E-2</v>
      </c>
      <c r="K233" s="3">
        <f t="shared" si="194"/>
        <v>3.5593088100758001E-2</v>
      </c>
      <c r="L233" s="3">
        <f t="shared" si="194"/>
        <v>3.5593088100757994E-2</v>
      </c>
      <c r="M233" s="3">
        <f t="shared" si="194"/>
        <v>3.5593088100757966E-2</v>
      </c>
      <c r="N233" s="3">
        <f t="shared" si="194"/>
        <v>3.5593088100757675E-2</v>
      </c>
      <c r="O233" s="3">
        <f t="shared" si="194"/>
        <v>3.5593088100754726E-2</v>
      </c>
      <c r="P233" s="3">
        <f t="shared" si="194"/>
        <v>3.5593088100725256E-2</v>
      </c>
      <c r="Q233" s="3">
        <f t="shared" si="194"/>
        <v>3.5593088100430548E-2</v>
      </c>
      <c r="R233" s="3">
        <f t="shared" si="194"/>
        <v>3.5593088097483461E-2</v>
      </c>
      <c r="S233" s="3">
        <f t="shared" si="194"/>
        <v>3.5593088068012584E-2</v>
      </c>
      <c r="T233" s="3">
        <f t="shared" si="194"/>
        <v>3.5593087773303875E-2</v>
      </c>
      <c r="U233" s="3">
        <f t="shared" si="194"/>
        <v>3.5593084826216863E-2</v>
      </c>
      <c r="V233" s="3">
        <f t="shared" si="194"/>
        <v>3.5593055355360177E-2</v>
      </c>
      <c r="W233" s="3">
        <f t="shared" si="194"/>
        <v>3.5592760648135435E-2</v>
      </c>
      <c r="X233" s="3">
        <f t="shared" si="194"/>
        <v>3.5589813710092837E-2</v>
      </c>
      <c r="Y233" s="3">
        <f t="shared" si="194"/>
        <v>3.5560357746040869E-2</v>
      </c>
      <c r="Z233" s="3">
        <f t="shared" si="194"/>
        <v>3.5267135641798272E-2</v>
      </c>
      <c r="AA233" s="3">
        <f t="shared" si="194"/>
        <v>3.2464659756309522E-2</v>
      </c>
      <c r="AB233" s="3">
        <f t="shared" si="194"/>
        <v>1.4184614269034558E-2</v>
      </c>
      <c r="AC233" s="3">
        <f t="shared" si="194"/>
        <v>3.5965348789676414E-6</v>
      </c>
      <c r="AD233" s="3">
        <f t="shared" si="194"/>
        <v>3.9495874847791229E-42</v>
      </c>
      <c r="AE233" s="3">
        <f t="shared" si="194"/>
        <v>0</v>
      </c>
      <c r="AF233" s="3">
        <f t="shared" si="194"/>
        <v>0</v>
      </c>
      <c r="AG233" s="3"/>
      <c r="AH233" s="3"/>
    </row>
    <row r="234" spans="2:34" x14ac:dyDescent="0.25">
      <c r="B234" s="3">
        <f t="shared" ref="B234:AF234" si="195">$C42*EXP(-B$207/$A42/EXP(-$D$126))</f>
        <v>3.9001792876272805E-2</v>
      </c>
      <c r="C234" s="3">
        <f t="shared" si="195"/>
        <v>3.9001792876272805E-2</v>
      </c>
      <c r="D234" s="3">
        <f t="shared" si="195"/>
        <v>3.9001792876272805E-2</v>
      </c>
      <c r="E234" s="3">
        <f t="shared" si="195"/>
        <v>3.9001792876272805E-2</v>
      </c>
      <c r="F234" s="3">
        <f t="shared" si="195"/>
        <v>3.9001792876272805E-2</v>
      </c>
      <c r="G234" s="3">
        <f t="shared" si="195"/>
        <v>3.9001792876272805E-2</v>
      </c>
      <c r="H234" s="3">
        <f t="shared" si="195"/>
        <v>3.9001792876272805E-2</v>
      </c>
      <c r="I234" s="3">
        <f t="shared" si="195"/>
        <v>3.9001792876272805E-2</v>
      </c>
      <c r="J234" s="3">
        <f t="shared" si="195"/>
        <v>3.9001792876272805E-2</v>
      </c>
      <c r="K234" s="3">
        <f t="shared" si="195"/>
        <v>3.9001792876272805E-2</v>
      </c>
      <c r="L234" s="3">
        <f t="shared" si="195"/>
        <v>3.9001792876272805E-2</v>
      </c>
      <c r="M234" s="3">
        <f t="shared" si="195"/>
        <v>3.9001792876272798E-2</v>
      </c>
      <c r="N234" s="3">
        <f t="shared" si="195"/>
        <v>3.900179287627277E-2</v>
      </c>
      <c r="O234" s="3">
        <f t="shared" si="195"/>
        <v>3.9001792876272444E-2</v>
      </c>
      <c r="P234" s="3">
        <f t="shared" si="195"/>
        <v>3.9001792876269217E-2</v>
      </c>
      <c r="Q234" s="3">
        <f t="shared" si="195"/>
        <v>3.9001792876236924E-2</v>
      </c>
      <c r="R234" s="3">
        <f t="shared" si="195"/>
        <v>3.9001792875913988E-2</v>
      </c>
      <c r="S234" s="3">
        <f t="shared" si="195"/>
        <v>3.9001792872684661E-2</v>
      </c>
      <c r="T234" s="3">
        <f t="shared" si="195"/>
        <v>3.9001792840391403E-2</v>
      </c>
      <c r="U234" s="3">
        <f t="shared" si="195"/>
        <v>3.9001792517458812E-2</v>
      </c>
      <c r="V234" s="3">
        <f t="shared" si="195"/>
        <v>3.9001789288133026E-2</v>
      </c>
      <c r="W234" s="3">
        <f t="shared" si="195"/>
        <v>3.9001756994889884E-2</v>
      </c>
      <c r="X234" s="3">
        <f t="shared" si="195"/>
        <v>3.9001434063929072E-2</v>
      </c>
      <c r="Y234" s="3">
        <f t="shared" si="195"/>
        <v>3.8998204901378432E-2</v>
      </c>
      <c r="Z234" s="3">
        <f t="shared" si="195"/>
        <v>3.8965927977115108E-2</v>
      </c>
      <c r="AA234" s="3">
        <f t="shared" si="195"/>
        <v>3.8644624364907017E-2</v>
      </c>
      <c r="AB234" s="3">
        <f t="shared" si="195"/>
        <v>3.5573758928416445E-2</v>
      </c>
      <c r="AC234" s="3">
        <f t="shared" si="195"/>
        <v>1.5543056735752242E-2</v>
      </c>
      <c r="AD234" s="3">
        <f t="shared" si="195"/>
        <v>3.9409704497879625E-6</v>
      </c>
      <c r="AE234" s="3">
        <f t="shared" si="195"/>
        <v>4.3278344546000247E-42</v>
      </c>
      <c r="AF234" s="3">
        <f t="shared" si="195"/>
        <v>0</v>
      </c>
      <c r="AG234" s="3"/>
      <c r="AH234" s="3"/>
    </row>
    <row r="235" spans="2:34" x14ac:dyDescent="0.25">
      <c r="B235" s="3">
        <f t="shared" ref="B235:AF235" si="196">$C43*EXP(-B$207/$A43/EXP(-$D$126))</f>
        <v>4.5862342503385417E-2</v>
      </c>
      <c r="C235" s="3">
        <f t="shared" si="196"/>
        <v>4.5862342503385417E-2</v>
      </c>
      <c r="D235" s="3">
        <f t="shared" si="196"/>
        <v>4.5862342503385417E-2</v>
      </c>
      <c r="E235" s="3">
        <f t="shared" si="196"/>
        <v>4.5862342503385417E-2</v>
      </c>
      <c r="F235" s="3">
        <f t="shared" si="196"/>
        <v>4.5862342503385417E-2</v>
      </c>
      <c r="G235" s="3">
        <f t="shared" si="196"/>
        <v>4.5862342503385417E-2</v>
      </c>
      <c r="H235" s="3">
        <f t="shared" si="196"/>
        <v>4.5862342503385417E-2</v>
      </c>
      <c r="I235" s="3">
        <f t="shared" si="196"/>
        <v>4.5862342503385417E-2</v>
      </c>
      <c r="J235" s="3">
        <f t="shared" si="196"/>
        <v>4.5862342503385417E-2</v>
      </c>
      <c r="K235" s="3">
        <f t="shared" si="196"/>
        <v>4.5862342503385417E-2</v>
      </c>
      <c r="L235" s="3">
        <f t="shared" si="196"/>
        <v>4.5862342503385417E-2</v>
      </c>
      <c r="M235" s="3">
        <f t="shared" si="196"/>
        <v>4.5862342503385417E-2</v>
      </c>
      <c r="N235" s="3">
        <f t="shared" si="196"/>
        <v>4.586234250338541E-2</v>
      </c>
      <c r="O235" s="3">
        <f t="shared" si="196"/>
        <v>4.5862342503385375E-2</v>
      </c>
      <c r="P235" s="3">
        <f t="shared" si="196"/>
        <v>4.5862342503384994E-2</v>
      </c>
      <c r="Q235" s="3">
        <f t="shared" si="196"/>
        <v>4.5862342503381198E-2</v>
      </c>
      <c r="R235" s="3">
        <f t="shared" si="196"/>
        <v>4.5862342503343222E-2</v>
      </c>
      <c r="S235" s="3">
        <f t="shared" si="196"/>
        <v>4.5862342502963484E-2</v>
      </c>
      <c r="T235" s="3">
        <f t="shared" si="196"/>
        <v>4.5862342499166112E-2</v>
      </c>
      <c r="U235" s="3">
        <f t="shared" si="196"/>
        <v>4.5862342461192356E-2</v>
      </c>
      <c r="V235" s="3">
        <f t="shared" si="196"/>
        <v>4.5862342081454809E-2</v>
      </c>
      <c r="W235" s="3">
        <f t="shared" si="196"/>
        <v>4.5862338284079505E-2</v>
      </c>
      <c r="X235" s="3">
        <f t="shared" si="196"/>
        <v>4.5862300310343725E-2</v>
      </c>
      <c r="Y235" s="3">
        <f t="shared" si="196"/>
        <v>4.5861920574715241E-2</v>
      </c>
      <c r="Z235" s="3">
        <f t="shared" si="196"/>
        <v>4.5858123391355837E-2</v>
      </c>
      <c r="AA235" s="3">
        <f t="shared" si="196"/>
        <v>4.5820168845004186E-2</v>
      </c>
      <c r="AB235" s="3">
        <f t="shared" si="196"/>
        <v>4.5442346821349795E-2</v>
      </c>
      <c r="AC235" s="3">
        <f t="shared" si="196"/>
        <v>4.1831305583401521E-2</v>
      </c>
      <c r="AD235" s="3">
        <f t="shared" si="196"/>
        <v>1.827713392115074E-2</v>
      </c>
      <c r="AE235" s="3">
        <f t="shared" si="196"/>
        <v>4.6342007183432075E-6</v>
      </c>
      <c r="AF235" s="3">
        <f t="shared" si="196"/>
        <v>5.0891154333463727E-42</v>
      </c>
      <c r="AG235" s="3"/>
      <c r="AH235" s="3"/>
    </row>
    <row r="236" spans="2:34" x14ac:dyDescent="0.25">
      <c r="B236" s="3">
        <f t="shared" ref="B236:AF236" si="197">$C44*EXP(-B$207/$A44/EXP(-$D$126))</f>
        <v>5.0364270464190349E-2</v>
      </c>
      <c r="C236" s="3">
        <f t="shared" si="197"/>
        <v>5.0364270464190349E-2</v>
      </c>
      <c r="D236" s="3">
        <f t="shared" si="197"/>
        <v>5.0364270464190349E-2</v>
      </c>
      <c r="E236" s="3">
        <f t="shared" si="197"/>
        <v>5.0364270464190349E-2</v>
      </c>
      <c r="F236" s="3">
        <f t="shared" si="197"/>
        <v>5.0364270464190349E-2</v>
      </c>
      <c r="G236" s="3">
        <f t="shared" si="197"/>
        <v>5.0364270464190349E-2</v>
      </c>
      <c r="H236" s="3">
        <f t="shared" si="197"/>
        <v>5.0364270464190349E-2</v>
      </c>
      <c r="I236" s="3">
        <f t="shared" si="197"/>
        <v>5.0364270464190349E-2</v>
      </c>
      <c r="J236" s="3">
        <f t="shared" si="197"/>
        <v>5.0364270464190349E-2</v>
      </c>
      <c r="K236" s="3">
        <f t="shared" si="197"/>
        <v>5.0364270464190349E-2</v>
      </c>
      <c r="L236" s="3">
        <f t="shared" si="197"/>
        <v>5.0364270464190349E-2</v>
      </c>
      <c r="M236" s="3">
        <f t="shared" si="197"/>
        <v>5.0364270464190349E-2</v>
      </c>
      <c r="N236" s="3">
        <f t="shared" si="197"/>
        <v>5.0364270464190349E-2</v>
      </c>
      <c r="O236" s="3">
        <f t="shared" si="197"/>
        <v>5.0364270464190342E-2</v>
      </c>
      <c r="P236" s="3">
        <f t="shared" si="197"/>
        <v>5.0364270464190307E-2</v>
      </c>
      <c r="Q236" s="3">
        <f t="shared" si="197"/>
        <v>5.0364270464189884E-2</v>
      </c>
      <c r="R236" s="3">
        <f t="shared" si="197"/>
        <v>5.0364270464185713E-2</v>
      </c>
      <c r="S236" s="3">
        <f t="shared" si="197"/>
        <v>5.0364270464144011E-2</v>
      </c>
      <c r="T236" s="3">
        <f t="shared" si="197"/>
        <v>5.0364270463726997E-2</v>
      </c>
      <c r="U236" s="3">
        <f t="shared" si="197"/>
        <v>5.0364270459556867E-2</v>
      </c>
      <c r="V236" s="3">
        <f t="shared" si="197"/>
        <v>5.0364270417855538E-2</v>
      </c>
      <c r="W236" s="3">
        <f t="shared" si="197"/>
        <v>5.0364270000842294E-2</v>
      </c>
      <c r="X236" s="3">
        <f t="shared" si="197"/>
        <v>5.0364265830709964E-2</v>
      </c>
      <c r="Y236" s="3">
        <f t="shared" si="197"/>
        <v>5.0364224129405694E-2</v>
      </c>
      <c r="Z236" s="3">
        <f t="shared" si="197"/>
        <v>5.0363807118262049E-2</v>
      </c>
      <c r="AA236" s="3">
        <f t="shared" si="197"/>
        <v>5.0359637196725641E-2</v>
      </c>
      <c r="AB236" s="3">
        <f t="shared" si="197"/>
        <v>5.0317956965549936E-2</v>
      </c>
      <c r="AC236" s="3">
        <f t="shared" si="197"/>
        <v>4.9903047269534019E-2</v>
      </c>
      <c r="AD236" s="3">
        <f t="shared" si="197"/>
        <v>4.5937539891624857E-2</v>
      </c>
      <c r="AE236" s="3">
        <f t="shared" si="197"/>
        <v>2.0071249436225683E-2</v>
      </c>
      <c r="AF236" s="3">
        <f t="shared" si="197"/>
        <v>5.0891019870333433E-6</v>
      </c>
      <c r="AG236" s="3"/>
      <c r="AH236" s="3"/>
    </row>
    <row r="237" spans="2:34" x14ac:dyDescent="0.25">
      <c r="B237" s="3">
        <f t="shared" ref="B237:AF237" si="198">$C45*EXP(-B$207/$A45/EXP(-$D$126))</f>
        <v>4.7472549330169547E-2</v>
      </c>
      <c r="C237" s="3">
        <f t="shared" si="198"/>
        <v>4.7472549330169547E-2</v>
      </c>
      <c r="D237" s="3">
        <f t="shared" si="198"/>
        <v>4.7472549330169547E-2</v>
      </c>
      <c r="E237" s="3">
        <f t="shared" si="198"/>
        <v>4.7472549330169547E-2</v>
      </c>
      <c r="F237" s="3">
        <f t="shared" si="198"/>
        <v>4.7472549330169547E-2</v>
      </c>
      <c r="G237" s="3">
        <f t="shared" si="198"/>
        <v>4.7472549330169547E-2</v>
      </c>
      <c r="H237" s="3">
        <f t="shared" si="198"/>
        <v>4.7472549330169547E-2</v>
      </c>
      <c r="I237" s="3">
        <f t="shared" si="198"/>
        <v>4.7472549330169547E-2</v>
      </c>
      <c r="J237" s="3">
        <f t="shared" si="198"/>
        <v>4.7472549330169547E-2</v>
      </c>
      <c r="K237" s="3">
        <f t="shared" si="198"/>
        <v>4.7472549330169547E-2</v>
      </c>
      <c r="L237" s="3">
        <f t="shared" si="198"/>
        <v>4.7472549330169547E-2</v>
      </c>
      <c r="M237" s="3">
        <f t="shared" si="198"/>
        <v>4.7472549330169547E-2</v>
      </c>
      <c r="N237" s="3">
        <f t="shared" si="198"/>
        <v>4.7472549330169547E-2</v>
      </c>
      <c r="O237" s="3">
        <f t="shared" si="198"/>
        <v>4.7472549330169547E-2</v>
      </c>
      <c r="P237" s="3">
        <f t="shared" si="198"/>
        <v>4.747254933016954E-2</v>
      </c>
      <c r="Q237" s="3">
        <f t="shared" si="198"/>
        <v>4.7472549330169506E-2</v>
      </c>
      <c r="R237" s="3">
        <f t="shared" si="198"/>
        <v>4.747254933016911E-2</v>
      </c>
      <c r="S237" s="3">
        <f t="shared" si="198"/>
        <v>4.7472549330165176E-2</v>
      </c>
      <c r="T237" s="3">
        <f t="shared" si="198"/>
        <v>4.7472549330125874E-2</v>
      </c>
      <c r="U237" s="3">
        <f t="shared" si="198"/>
        <v>4.7472549329732799E-2</v>
      </c>
      <c r="V237" s="3">
        <f t="shared" si="198"/>
        <v>4.7472549325802103E-2</v>
      </c>
      <c r="W237" s="3">
        <f t="shared" si="198"/>
        <v>4.7472549286495101E-2</v>
      </c>
      <c r="X237" s="3">
        <f t="shared" si="198"/>
        <v>4.7472548893425143E-2</v>
      </c>
      <c r="Y237" s="3">
        <f t="shared" si="198"/>
        <v>4.7472544962725641E-2</v>
      </c>
      <c r="Z237" s="3">
        <f t="shared" si="198"/>
        <v>4.7472505655748579E-2</v>
      </c>
      <c r="AA237" s="3">
        <f t="shared" si="198"/>
        <v>4.7472112587767928E-2</v>
      </c>
      <c r="AB237" s="3">
        <f t="shared" si="198"/>
        <v>4.7468182086958216E-2</v>
      </c>
      <c r="AC237" s="3">
        <f t="shared" si="198"/>
        <v>4.7428894973050979E-2</v>
      </c>
      <c r="AD237" s="3">
        <f t="shared" si="198"/>
        <v>4.7037807783062081E-2</v>
      </c>
      <c r="AE237" s="3">
        <f t="shared" si="198"/>
        <v>4.3299984463437226E-2</v>
      </c>
      <c r="AF237" s="3">
        <f t="shared" si="198"/>
        <v>1.8918836115313899E-2</v>
      </c>
      <c r="AG237" s="3"/>
      <c r="AH237" s="3"/>
    </row>
    <row r="238" spans="2:34" x14ac:dyDescent="0.25">
      <c r="B238" s="3">
        <f t="shared" ref="B238:AF238" si="199">$C46*EXP(-B$207/$A46/EXP(-$D$126))</f>
        <v>3.4265272438938038E-2</v>
      </c>
      <c r="C238" s="3">
        <f t="shared" si="199"/>
        <v>3.4265272438938038E-2</v>
      </c>
      <c r="D238" s="3">
        <f t="shared" si="199"/>
        <v>3.4265272438938038E-2</v>
      </c>
      <c r="E238" s="3">
        <f t="shared" si="199"/>
        <v>3.4265272438938038E-2</v>
      </c>
      <c r="F238" s="3">
        <f t="shared" si="199"/>
        <v>3.4265272438938038E-2</v>
      </c>
      <c r="G238" s="3">
        <f t="shared" si="199"/>
        <v>3.4265272438938038E-2</v>
      </c>
      <c r="H238" s="3">
        <f t="shared" si="199"/>
        <v>3.4265272438938038E-2</v>
      </c>
      <c r="I238" s="3">
        <f t="shared" si="199"/>
        <v>3.4265272438938038E-2</v>
      </c>
      <c r="J238" s="3">
        <f t="shared" si="199"/>
        <v>3.4265272438938038E-2</v>
      </c>
      <c r="K238" s="3">
        <f t="shared" si="199"/>
        <v>3.4265272438938038E-2</v>
      </c>
      <c r="L238" s="3">
        <f t="shared" si="199"/>
        <v>3.4265272438938038E-2</v>
      </c>
      <c r="M238" s="3">
        <f t="shared" si="199"/>
        <v>3.4265272438938038E-2</v>
      </c>
      <c r="N238" s="3">
        <f t="shared" si="199"/>
        <v>3.4265272438938038E-2</v>
      </c>
      <c r="O238" s="3">
        <f t="shared" si="199"/>
        <v>3.4265272438938038E-2</v>
      </c>
      <c r="P238" s="3">
        <f t="shared" si="199"/>
        <v>3.4265272438938038E-2</v>
      </c>
      <c r="Q238" s="3">
        <f t="shared" si="199"/>
        <v>3.4265272438938031E-2</v>
      </c>
      <c r="R238" s="3">
        <f t="shared" si="199"/>
        <v>3.426527243893801E-2</v>
      </c>
      <c r="S238" s="3">
        <f t="shared" si="199"/>
        <v>3.4265272438937719E-2</v>
      </c>
      <c r="T238" s="3">
        <f t="shared" si="199"/>
        <v>3.4265272438934888E-2</v>
      </c>
      <c r="U238" s="3">
        <f t="shared" si="199"/>
        <v>3.4265272438906515E-2</v>
      </c>
      <c r="V238" s="3">
        <f t="shared" si="199"/>
        <v>3.4265272438622797E-2</v>
      </c>
      <c r="W238" s="3">
        <f t="shared" si="199"/>
        <v>3.426527243578565E-2</v>
      </c>
      <c r="X238" s="3">
        <f t="shared" si="199"/>
        <v>3.4265272407414206E-2</v>
      </c>
      <c r="Y238" s="3">
        <f t="shared" si="199"/>
        <v>3.426527212369973E-2</v>
      </c>
      <c r="Z238" s="3">
        <f t="shared" si="199"/>
        <v>3.4265269286555086E-2</v>
      </c>
      <c r="AA238" s="3">
        <f t="shared" si="199"/>
        <v>3.426524091512155E-2</v>
      </c>
      <c r="AB238" s="3">
        <f t="shared" si="199"/>
        <v>3.4264957202078249E-2</v>
      </c>
      <c r="AC238" s="3">
        <f t="shared" si="199"/>
        <v>3.4262120200843502E-2</v>
      </c>
      <c r="AD238" s="3">
        <f t="shared" si="199"/>
        <v>3.423376310436637E-2</v>
      </c>
      <c r="AE238" s="3">
        <f t="shared" si="199"/>
        <v>3.3951479778498467E-2</v>
      </c>
      <c r="AF238" s="3">
        <f t="shared" si="199"/>
        <v>3.1253551477138715E-2</v>
      </c>
      <c r="AG238" s="3"/>
      <c r="AH238" s="3"/>
    </row>
    <row r="239" spans="2:34" x14ac:dyDescent="0.25">
      <c r="B239" s="3">
        <f t="shared" ref="B239:AF239" si="200">$C47*EXP(-B$207/$A47/EXP(-$D$126))</f>
        <v>1.7817533491132281E-2</v>
      </c>
      <c r="C239" s="3">
        <f t="shared" si="200"/>
        <v>1.7817533491132281E-2</v>
      </c>
      <c r="D239" s="3">
        <f t="shared" si="200"/>
        <v>1.7817533491132281E-2</v>
      </c>
      <c r="E239" s="3">
        <f t="shared" si="200"/>
        <v>1.7817533491132281E-2</v>
      </c>
      <c r="F239" s="3">
        <f t="shared" si="200"/>
        <v>1.7817533491132281E-2</v>
      </c>
      <c r="G239" s="3">
        <f t="shared" si="200"/>
        <v>1.7817533491132281E-2</v>
      </c>
      <c r="H239" s="3">
        <f t="shared" si="200"/>
        <v>1.7817533491132281E-2</v>
      </c>
      <c r="I239" s="3">
        <f t="shared" si="200"/>
        <v>1.7817533491132281E-2</v>
      </c>
      <c r="J239" s="3">
        <f t="shared" si="200"/>
        <v>1.7817533491132281E-2</v>
      </c>
      <c r="K239" s="3">
        <f t="shared" si="200"/>
        <v>1.7817533491132281E-2</v>
      </c>
      <c r="L239" s="3">
        <f t="shared" si="200"/>
        <v>1.7817533491132281E-2</v>
      </c>
      <c r="M239" s="3">
        <f t="shared" si="200"/>
        <v>1.7817533491132281E-2</v>
      </c>
      <c r="N239" s="3">
        <f t="shared" si="200"/>
        <v>1.7817533491132281E-2</v>
      </c>
      <c r="O239" s="3">
        <f t="shared" si="200"/>
        <v>1.7817533491132281E-2</v>
      </c>
      <c r="P239" s="3">
        <f t="shared" si="200"/>
        <v>1.7817533491132281E-2</v>
      </c>
      <c r="Q239" s="3">
        <f t="shared" si="200"/>
        <v>1.7817533491132281E-2</v>
      </c>
      <c r="R239" s="3">
        <f t="shared" si="200"/>
        <v>1.7817533491132277E-2</v>
      </c>
      <c r="S239" s="3">
        <f t="shared" si="200"/>
        <v>1.7817533491132263E-2</v>
      </c>
      <c r="T239" s="3">
        <f t="shared" si="200"/>
        <v>1.7817533491132118E-2</v>
      </c>
      <c r="U239" s="3">
        <f t="shared" si="200"/>
        <v>1.781753349113064E-2</v>
      </c>
      <c r="V239" s="3">
        <f t="shared" si="200"/>
        <v>1.7817533491115888E-2</v>
      </c>
      <c r="W239" s="3">
        <f t="shared" si="200"/>
        <v>1.781753349096836E-2</v>
      </c>
      <c r="X239" s="3">
        <f t="shared" si="200"/>
        <v>1.7817533489493078E-2</v>
      </c>
      <c r="Y239" s="3">
        <f t="shared" si="200"/>
        <v>1.7817533474740264E-2</v>
      </c>
      <c r="Z239" s="3">
        <f t="shared" si="200"/>
        <v>1.7817533327212115E-2</v>
      </c>
      <c r="AA239" s="3">
        <f t="shared" si="200"/>
        <v>1.7817531851930697E-2</v>
      </c>
      <c r="AB239" s="3">
        <f t="shared" si="200"/>
        <v>1.7817517099123228E-2</v>
      </c>
      <c r="AC239" s="3">
        <f t="shared" si="200"/>
        <v>1.7817369571720375E-2</v>
      </c>
      <c r="AD239" s="3">
        <f t="shared" si="200"/>
        <v>1.7815894364873429E-2</v>
      </c>
      <c r="AE239" s="3">
        <f t="shared" si="200"/>
        <v>1.7801149012502657E-2</v>
      </c>
      <c r="AF239" s="3">
        <f t="shared" si="200"/>
        <v>1.7654365045686037E-2</v>
      </c>
      <c r="AG239" s="3"/>
      <c r="AH239" s="3"/>
    </row>
    <row r="240" spans="2:34" x14ac:dyDescent="0.25">
      <c r="B240" s="3">
        <f t="shared" ref="B240:AF240" si="201">$C48*EXP(-B$207/$A48/EXP(-$D$126))</f>
        <v>3.0591851493341829E-2</v>
      </c>
      <c r="C240" s="3">
        <f t="shared" si="201"/>
        <v>3.0591851493341829E-2</v>
      </c>
      <c r="D240" s="3">
        <f t="shared" si="201"/>
        <v>3.0591851493341829E-2</v>
      </c>
      <c r="E240" s="3">
        <f t="shared" si="201"/>
        <v>3.0591851493341829E-2</v>
      </c>
      <c r="F240" s="3">
        <f t="shared" si="201"/>
        <v>3.0591851493341829E-2</v>
      </c>
      <c r="G240" s="3">
        <f t="shared" si="201"/>
        <v>3.0591851493341829E-2</v>
      </c>
      <c r="H240" s="3">
        <f t="shared" si="201"/>
        <v>3.0591851493341829E-2</v>
      </c>
      <c r="I240" s="3">
        <f t="shared" si="201"/>
        <v>3.0591851493341829E-2</v>
      </c>
      <c r="J240" s="3">
        <f t="shared" si="201"/>
        <v>3.0591851493341829E-2</v>
      </c>
      <c r="K240" s="3">
        <f t="shared" si="201"/>
        <v>3.0591851493341829E-2</v>
      </c>
      <c r="L240" s="3">
        <f t="shared" si="201"/>
        <v>3.0591851493341829E-2</v>
      </c>
      <c r="M240" s="3">
        <f t="shared" si="201"/>
        <v>3.0591851493341829E-2</v>
      </c>
      <c r="N240" s="3">
        <f t="shared" si="201"/>
        <v>3.0591851493341829E-2</v>
      </c>
      <c r="O240" s="3">
        <f t="shared" si="201"/>
        <v>3.0591851493341829E-2</v>
      </c>
      <c r="P240" s="3">
        <f t="shared" si="201"/>
        <v>3.0591851493341829E-2</v>
      </c>
      <c r="Q240" s="3">
        <f t="shared" si="201"/>
        <v>3.0591851493341829E-2</v>
      </c>
      <c r="R240" s="3">
        <f t="shared" si="201"/>
        <v>3.0591851493341829E-2</v>
      </c>
      <c r="S240" s="3">
        <f t="shared" si="201"/>
        <v>3.0591851493341825E-2</v>
      </c>
      <c r="T240" s="3">
        <f t="shared" si="201"/>
        <v>3.0591851493341801E-2</v>
      </c>
      <c r="U240" s="3">
        <f t="shared" si="201"/>
        <v>3.0591851493341548E-2</v>
      </c>
      <c r="V240" s="3">
        <f t="shared" si="201"/>
        <v>3.0591851493339012E-2</v>
      </c>
      <c r="W240" s="3">
        <f t="shared" si="201"/>
        <v>3.0591851493313685E-2</v>
      </c>
      <c r="X240" s="3">
        <f t="shared" si="201"/>
        <v>3.0591851493060384E-2</v>
      </c>
      <c r="Y240" s="3">
        <f t="shared" si="201"/>
        <v>3.0591851490527396E-2</v>
      </c>
      <c r="Z240" s="3">
        <f t="shared" si="201"/>
        <v>3.0591851465197519E-2</v>
      </c>
      <c r="AA240" s="3">
        <f t="shared" si="201"/>
        <v>3.0591851211898759E-2</v>
      </c>
      <c r="AB240" s="3">
        <f t="shared" si="201"/>
        <v>3.0591848678911234E-2</v>
      </c>
      <c r="AC240" s="3">
        <f t="shared" si="201"/>
        <v>3.059182334904751E-2</v>
      </c>
      <c r="AD240" s="3">
        <f t="shared" si="201"/>
        <v>3.05915700515638E-2</v>
      </c>
      <c r="AE240" s="3">
        <f t="shared" si="201"/>
        <v>3.0589037192074224E-2</v>
      </c>
      <c r="AF240" s="3">
        <f t="shared" si="201"/>
        <v>3.0563720128398263E-2</v>
      </c>
      <c r="AG240" s="3"/>
      <c r="AH240" s="3"/>
    </row>
    <row r="241" spans="1:34" x14ac:dyDescent="0.25">
      <c r="A241" s="79">
        <f>AVERAGE(B241:AF241)</f>
        <v>1.7243265372303623E-2</v>
      </c>
      <c r="B241" s="80">
        <f>IF($A$64&lt;=B207,IF($B$64&gt;=B207,ABS((B209-B208)/B208),0),0)</f>
        <v>2.7247020064554589E-3</v>
      </c>
      <c r="C241" s="80">
        <f t="shared" ref="C241:AF241" si="202">IF($A$64&lt;=C207,IF($B$64&gt;=C207,ABS((C209-C208)/C208),0),0)</f>
        <v>2.7340090268833765E-3</v>
      </c>
      <c r="D241" s="80">
        <f t="shared" si="202"/>
        <v>2.7431145281184509E-3</v>
      </c>
      <c r="E241" s="80">
        <f t="shared" si="202"/>
        <v>2.8804916480181918E-3</v>
      </c>
      <c r="F241" s="80">
        <f t="shared" si="202"/>
        <v>4.1205333304842112E-3</v>
      </c>
      <c r="G241" s="80">
        <f t="shared" si="202"/>
        <v>8.1153191194559653E-3</v>
      </c>
      <c r="H241" s="80">
        <f t="shared" si="202"/>
        <v>7.4554901579848122E-3</v>
      </c>
      <c r="I241" s="80">
        <f t="shared" si="202"/>
        <v>6.7721595827213267E-3</v>
      </c>
      <c r="J241" s="80">
        <f t="shared" si="202"/>
        <v>7.2292252070391902E-3</v>
      </c>
      <c r="K241" s="80">
        <f t="shared" si="202"/>
        <v>7.4562056808387331E-3</v>
      </c>
      <c r="L241" s="80">
        <f t="shared" si="202"/>
        <v>8.1580425738023502E-3</v>
      </c>
      <c r="M241" s="80">
        <f t="shared" si="202"/>
        <v>8.7606538218151613E-3</v>
      </c>
      <c r="N241" s="80">
        <f t="shared" si="202"/>
        <v>9.3936960847545159E-3</v>
      </c>
      <c r="O241" s="80">
        <f t="shared" si="202"/>
        <v>9.3178059297326938E-3</v>
      </c>
      <c r="P241" s="80">
        <f t="shared" si="202"/>
        <v>9.575056855747964E-3</v>
      </c>
      <c r="Q241" s="80">
        <f t="shared" si="202"/>
        <v>1.107461368375974E-2</v>
      </c>
      <c r="R241" s="80">
        <f t="shared" si="202"/>
        <v>1.2435381339678486E-2</v>
      </c>
      <c r="S241" s="80">
        <f t="shared" si="202"/>
        <v>6.8837121894519647E-3</v>
      </c>
      <c r="T241" s="80">
        <f t="shared" si="202"/>
        <v>1.9264563580973264E-2</v>
      </c>
      <c r="U241" s="80">
        <f t="shared" si="202"/>
        <v>4.9087837845258823E-2</v>
      </c>
      <c r="V241" s="80">
        <f t="shared" si="202"/>
        <v>5.3964307508857993E-2</v>
      </c>
      <c r="W241" s="80">
        <f t="shared" si="202"/>
        <v>4.2815034514417892E-2</v>
      </c>
      <c r="X241" s="80">
        <f t="shared" si="202"/>
        <v>2.9327429924305738E-2</v>
      </c>
      <c r="Y241" s="80">
        <f t="shared" si="202"/>
        <v>1.5134110572921668E-2</v>
      </c>
      <c r="Z241" s="80">
        <f t="shared" si="202"/>
        <v>5.6070660899901889E-3</v>
      </c>
      <c r="AA241" s="80">
        <f t="shared" si="202"/>
        <v>4.0111980243046153E-3</v>
      </c>
      <c r="AB241" s="80">
        <f t="shared" si="202"/>
        <v>1.2698779256958668E-2</v>
      </c>
      <c r="AC241" s="80">
        <f t="shared" si="202"/>
        <v>2.2578546537513615E-2</v>
      </c>
      <c r="AD241" s="80">
        <f t="shared" si="202"/>
        <v>3.5195355013474865E-2</v>
      </c>
      <c r="AE241" s="80">
        <f t="shared" si="202"/>
        <v>5.1436843742642867E-2</v>
      </c>
      <c r="AF241" s="80">
        <f t="shared" si="202"/>
        <v>6.5589941163049587E-2</v>
      </c>
    </row>
    <row r="242" spans="1:34" x14ac:dyDescent="0.25">
      <c r="B242" s="21">
        <f>(B209-B208)^2</f>
        <v>284.54588571903923</v>
      </c>
      <c r="C242" s="21">
        <f t="shared" ref="C242:AF242" si="203">(C209-C208)^2</f>
        <v>286.49709718022052</v>
      </c>
      <c r="D242" s="21">
        <f t="shared" si="203"/>
        <v>288.40023339270158</v>
      </c>
      <c r="E242" s="21">
        <f t="shared" si="203"/>
        <v>317.94852281492564</v>
      </c>
      <c r="F242" s="21">
        <f t="shared" si="203"/>
        <v>649.41544628916631</v>
      </c>
      <c r="G242" s="21">
        <f t="shared" si="203"/>
        <v>2478.7586275871722</v>
      </c>
      <c r="H242" s="21">
        <f t="shared" si="203"/>
        <v>1974.5373557500423</v>
      </c>
      <c r="I242" s="21">
        <f t="shared" si="203"/>
        <v>1562.828069540896</v>
      </c>
      <c r="J242" s="21">
        <f t="shared" si="203"/>
        <v>1713.7503293633908</v>
      </c>
      <c r="K242" s="21">
        <f t="shared" si="203"/>
        <v>1743.7091788570676</v>
      </c>
      <c r="L242" s="21">
        <f t="shared" si="203"/>
        <v>1990.4183541563209</v>
      </c>
      <c r="M242" s="21">
        <f t="shared" si="203"/>
        <v>2171.9299245610496</v>
      </c>
      <c r="N242" s="21">
        <f t="shared" si="203"/>
        <v>2347.4926661952795</v>
      </c>
      <c r="O242" s="21">
        <f t="shared" si="203"/>
        <v>2160.5000970421793</v>
      </c>
      <c r="P242" s="21">
        <f t="shared" si="203"/>
        <v>2135.4496069919437</v>
      </c>
      <c r="Q242" s="21">
        <f t="shared" si="203"/>
        <v>2660.209417416736</v>
      </c>
      <c r="R242" s="21">
        <f t="shared" si="203"/>
        <v>3059.2089604474804</v>
      </c>
      <c r="S242" s="21">
        <f t="shared" si="203"/>
        <v>831.75875181971151</v>
      </c>
      <c r="T242" s="21">
        <f t="shared" si="203"/>
        <v>5557.9547540680933</v>
      </c>
      <c r="U242" s="21">
        <f t="shared" si="203"/>
        <v>29945.583666282411</v>
      </c>
      <c r="V242" s="21">
        <f t="shared" si="203"/>
        <v>29815.459944963422</v>
      </c>
      <c r="W242" s="21">
        <f t="shared" si="203"/>
        <v>15791.124094553303</v>
      </c>
      <c r="X242" s="21">
        <f t="shared" si="203"/>
        <v>6317.6655437869904</v>
      </c>
      <c r="Y242" s="21">
        <f t="shared" si="203"/>
        <v>1450.1136507179026</v>
      </c>
      <c r="Z242" s="21">
        <f t="shared" si="203"/>
        <v>169.32342219839472</v>
      </c>
      <c r="AA242" s="21">
        <f t="shared" si="203"/>
        <v>72.854956435215996</v>
      </c>
      <c r="AB242" s="21">
        <f t="shared" si="203"/>
        <v>595.88501196151174</v>
      </c>
      <c r="AC242" s="21">
        <f t="shared" si="203"/>
        <v>1471.9709505771966</v>
      </c>
      <c r="AD242" s="21">
        <f t="shared" si="203"/>
        <v>2577.2782643101505</v>
      </c>
      <c r="AE242" s="21">
        <f t="shared" si="203"/>
        <v>3515.2951718873933</v>
      </c>
      <c r="AF242" s="21">
        <f t="shared" si="203"/>
        <v>3156.6863116486616</v>
      </c>
      <c r="AG242" s="3"/>
      <c r="AH242" s="3"/>
    </row>
    <row r="243" spans="1:34" x14ac:dyDescent="0.25">
      <c r="A243" s="71">
        <f>SUM(B243:AF243)</f>
        <v>129094.55426851597</v>
      </c>
      <c r="B243" s="60">
        <f>IF($A$64&lt;=B207,IF($B$64&gt;=B207,ABS(B242),0),0)</f>
        <v>284.54588571903923</v>
      </c>
      <c r="C243" s="60">
        <f t="shared" ref="C243" si="204">IF($A$64&lt;=C207,IF($B$64&gt;=C207,ABS(C242),0),0)</f>
        <v>286.49709718022052</v>
      </c>
      <c r="D243" s="60">
        <f t="shared" ref="D243" si="205">IF($A$64&lt;=D207,IF($B$64&gt;=D207,ABS(D242),0),0)</f>
        <v>288.40023339270158</v>
      </c>
      <c r="E243" s="60">
        <f t="shared" ref="E243" si="206">IF($A$64&lt;=E207,IF($B$64&gt;=E207,ABS(E242),0),0)</f>
        <v>317.94852281492564</v>
      </c>
      <c r="F243" s="60">
        <f t="shared" ref="F243" si="207">IF($A$64&lt;=F207,IF($B$64&gt;=F207,ABS(F242),0),0)</f>
        <v>649.41544628916631</v>
      </c>
      <c r="G243" s="60">
        <f t="shared" ref="G243" si="208">IF($A$64&lt;=G207,IF($B$64&gt;=G207,ABS(G242),0),0)</f>
        <v>2478.7586275871722</v>
      </c>
      <c r="H243" s="60">
        <f t="shared" ref="H243" si="209">IF($A$64&lt;=H207,IF($B$64&gt;=H207,ABS(H242),0),0)</f>
        <v>1974.5373557500423</v>
      </c>
      <c r="I243" s="60">
        <f t="shared" ref="I243" si="210">IF($A$64&lt;=I207,IF($B$64&gt;=I207,ABS(I242),0),0)</f>
        <v>1562.828069540896</v>
      </c>
      <c r="J243" s="60">
        <f t="shared" ref="J243" si="211">IF($A$64&lt;=J207,IF($B$64&gt;=J207,ABS(J242),0),0)</f>
        <v>1713.7503293633908</v>
      </c>
      <c r="K243" s="60">
        <f t="shared" ref="K243" si="212">IF($A$64&lt;=K207,IF($B$64&gt;=K207,ABS(K242),0),0)</f>
        <v>1743.7091788570676</v>
      </c>
      <c r="L243" s="60">
        <f t="shared" ref="L243" si="213">IF($A$64&lt;=L207,IF($B$64&gt;=L207,ABS(L242),0),0)</f>
        <v>1990.4183541563209</v>
      </c>
      <c r="M243" s="60">
        <f t="shared" ref="M243" si="214">IF($A$64&lt;=M207,IF($B$64&gt;=M207,ABS(M242),0),0)</f>
        <v>2171.9299245610496</v>
      </c>
      <c r="N243" s="60">
        <f t="shared" ref="N243" si="215">IF($A$64&lt;=N207,IF($B$64&gt;=N207,ABS(N242),0),0)</f>
        <v>2347.4926661952795</v>
      </c>
      <c r="O243" s="60">
        <f t="shared" ref="O243" si="216">IF($A$64&lt;=O207,IF($B$64&gt;=O207,ABS(O242),0),0)</f>
        <v>2160.5000970421793</v>
      </c>
      <c r="P243" s="60">
        <f t="shared" ref="P243" si="217">IF($A$64&lt;=P207,IF($B$64&gt;=P207,ABS(P242),0),0)</f>
        <v>2135.4496069919437</v>
      </c>
      <c r="Q243" s="60">
        <f t="shared" ref="Q243" si="218">IF($A$64&lt;=Q207,IF($B$64&gt;=Q207,ABS(Q242),0),0)</f>
        <v>2660.209417416736</v>
      </c>
      <c r="R243" s="60">
        <f t="shared" ref="R243" si="219">IF($A$64&lt;=R207,IF($B$64&gt;=R207,ABS(R242),0),0)</f>
        <v>3059.2089604474804</v>
      </c>
      <c r="S243" s="60">
        <f t="shared" ref="S243" si="220">IF($A$64&lt;=S207,IF($B$64&gt;=S207,ABS(S242),0),0)</f>
        <v>831.75875181971151</v>
      </c>
      <c r="T243" s="60">
        <f t="shared" ref="T243" si="221">IF($A$64&lt;=T207,IF($B$64&gt;=T207,ABS(T242),0),0)</f>
        <v>5557.9547540680933</v>
      </c>
      <c r="U243" s="60">
        <f t="shared" ref="U243" si="222">IF($A$64&lt;=U207,IF($B$64&gt;=U207,ABS(U242),0),0)</f>
        <v>29945.583666282411</v>
      </c>
      <c r="V243" s="60">
        <f t="shared" ref="V243" si="223">IF($A$64&lt;=V207,IF($B$64&gt;=V207,ABS(V242),0),0)</f>
        <v>29815.459944963422</v>
      </c>
      <c r="W243" s="60">
        <f t="shared" ref="W243" si="224">IF($A$64&lt;=W207,IF($B$64&gt;=W207,ABS(W242),0),0)</f>
        <v>15791.124094553303</v>
      </c>
      <c r="X243" s="60">
        <f t="shared" ref="X243" si="225">IF($A$64&lt;=X207,IF($B$64&gt;=X207,ABS(X242),0),0)</f>
        <v>6317.6655437869904</v>
      </c>
      <c r="Y243" s="60">
        <f t="shared" ref="Y243" si="226">IF($A$64&lt;=Y207,IF($B$64&gt;=Y207,ABS(Y242),0),0)</f>
        <v>1450.1136507179026</v>
      </c>
      <c r="Z243" s="60">
        <f t="shared" ref="Z243" si="227">IF($A$64&lt;=Z207,IF($B$64&gt;=Z207,ABS(Z242),0),0)</f>
        <v>169.32342219839472</v>
      </c>
      <c r="AA243" s="60">
        <f t="shared" ref="AA243" si="228">IF($A$64&lt;=AA207,IF($B$64&gt;=AA207,ABS(AA242),0),0)</f>
        <v>72.854956435215996</v>
      </c>
      <c r="AB243" s="60">
        <f t="shared" ref="AB243" si="229">IF($A$64&lt;=AB207,IF($B$64&gt;=AB207,ABS(AB242),0),0)</f>
        <v>595.88501196151174</v>
      </c>
      <c r="AC243" s="60">
        <f t="shared" ref="AC243" si="230">IF($A$64&lt;=AC207,IF($B$64&gt;=AC207,ABS(AC242),0),0)</f>
        <v>1471.9709505771966</v>
      </c>
      <c r="AD243" s="60">
        <f t="shared" ref="AD243" si="231">IF($A$64&lt;=AD207,IF($B$64&gt;=AD207,ABS(AD242),0),0)</f>
        <v>2577.2782643101505</v>
      </c>
      <c r="AE243" s="60">
        <f t="shared" ref="AE243" si="232">IF($A$64&lt;=AE207,IF($B$64&gt;=AE207,ABS(AE242),0),0)</f>
        <v>3515.2951718873933</v>
      </c>
      <c r="AF243" s="60">
        <f t="shared" ref="AF243" si="233">IF($A$64&lt;=AF207,IF($B$64&gt;=AF207,ABS(AF242),0),0)</f>
        <v>3156.6863116486616</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6173.9046245163254</v>
      </c>
      <c r="C248" s="27">
        <f t="shared" ref="C248:AF248" si="234">($C$17+SUM(C249:C279))*$B$51</f>
        <v>6172.3313958558674</v>
      </c>
      <c r="D248" s="27">
        <f t="shared" si="234"/>
        <v>6157.8650335539805</v>
      </c>
      <c r="E248" s="27">
        <f t="shared" si="234"/>
        <v>6080.9313721215449</v>
      </c>
      <c r="F248" s="27">
        <f t="shared" si="234"/>
        <v>5909.365249157876</v>
      </c>
      <c r="G248" s="27">
        <f t="shared" si="234"/>
        <v>5793.8697803497362</v>
      </c>
      <c r="H248" s="27">
        <f t="shared" si="234"/>
        <v>5680.2308664538614</v>
      </c>
      <c r="I248" s="27">
        <f t="shared" si="234"/>
        <v>5553.2971478418576</v>
      </c>
      <c r="J248" s="27">
        <f t="shared" si="234"/>
        <v>5418.3931237157776</v>
      </c>
      <c r="K248" s="27">
        <f t="shared" si="234"/>
        <v>5266.534667804397</v>
      </c>
      <c r="L248" s="27">
        <f t="shared" si="234"/>
        <v>5102.5740386334974</v>
      </c>
      <c r="M248" s="27">
        <f t="shared" si="234"/>
        <v>4935.2762712995382</v>
      </c>
      <c r="N248" s="27">
        <f t="shared" si="234"/>
        <v>4773.7892112819291</v>
      </c>
      <c r="O248" s="27">
        <f t="shared" si="234"/>
        <v>4598.2844078796343</v>
      </c>
      <c r="P248" s="27">
        <f t="shared" si="234"/>
        <v>4383.8334206004165</v>
      </c>
      <c r="Q248" s="27">
        <f t="shared" si="234"/>
        <v>4153.0181710929573</v>
      </c>
      <c r="R248" s="27">
        <f t="shared" si="234"/>
        <v>3937.3090322686749</v>
      </c>
      <c r="S248" s="27">
        <f t="shared" si="234"/>
        <v>3687.8187012908661</v>
      </c>
      <c r="T248" s="27">
        <f t="shared" si="234"/>
        <v>3362.1194765113337</v>
      </c>
      <c r="U248" s="27">
        <f t="shared" si="234"/>
        <v>3051.8443364058953</v>
      </c>
      <c r="V248" s="27">
        <f t="shared" si="234"/>
        <v>2781.8399224190339</v>
      </c>
      <c r="W248" s="27">
        <f t="shared" si="234"/>
        <v>2547.9997618532807</v>
      </c>
      <c r="X248" s="27">
        <f t="shared" si="234"/>
        <v>2324.7130295719385</v>
      </c>
      <c r="Y248" s="27">
        <f t="shared" si="234"/>
        <v>2110.8959275340435</v>
      </c>
      <c r="Z248" s="27">
        <f t="shared" si="234"/>
        <v>1889.1156853934601</v>
      </c>
      <c r="AA248" s="27">
        <f t="shared" si="234"/>
        <v>1651.1296753244176</v>
      </c>
      <c r="AB248" s="27">
        <f t="shared" si="234"/>
        <v>1380.4425210649304</v>
      </c>
      <c r="AC248" s="27">
        <f t="shared" si="234"/>
        <v>1081.508535206101</v>
      </c>
      <c r="AD248" s="27">
        <f t="shared" si="234"/>
        <v>789.75689468073722</v>
      </c>
      <c r="AE248" s="27">
        <f t="shared" si="234"/>
        <v>556.63176890714681</v>
      </c>
      <c r="AF248" s="27">
        <f t="shared" si="234"/>
        <v>403.21705528764744</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9.0243116174832053E-3</v>
      </c>
      <c r="C251" s="3">
        <f t="shared" si="237"/>
        <v>8.8385866310007489E-3</v>
      </c>
      <c r="D251" s="3">
        <f t="shared" si="237"/>
        <v>7.1791035612177017E-3</v>
      </c>
      <c r="E251" s="3">
        <f t="shared" si="237"/>
        <v>8.9731343578640398E-4</v>
      </c>
      <c r="F251" s="3">
        <f t="shared" si="237"/>
        <v>8.3499465351768483E-13</v>
      </c>
      <c r="G251" s="3">
        <f t="shared" si="237"/>
        <v>4.0651720905518191E-103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3.4806978901979792E-2</v>
      </c>
      <c r="C252" s="3">
        <f t="shared" si="238"/>
        <v>3.4741745550147182E-2</v>
      </c>
      <c r="D252" s="3">
        <f t="shared" si="238"/>
        <v>3.4096098491715708E-2</v>
      </c>
      <c r="E252" s="3">
        <f t="shared" si="238"/>
        <v>2.8264102806974382E-2</v>
      </c>
      <c r="F252" s="3">
        <f t="shared" si="238"/>
        <v>4.3305232672276716E-3</v>
      </c>
      <c r="G252" s="3">
        <f t="shared" si="238"/>
        <v>3.0873943037115724E-11</v>
      </c>
      <c r="H252" s="3">
        <f t="shared" si="238"/>
        <v>1.0473921643561307E-92</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1.6737032705179018E-2</v>
      </c>
      <c r="C253" s="3">
        <f t="shared" si="239"/>
        <v>1.673420066795147E-2</v>
      </c>
      <c r="D253" s="3">
        <f t="shared" si="239"/>
        <v>1.6705906638461821E-2</v>
      </c>
      <c r="E253" s="3">
        <f t="shared" si="239"/>
        <v>1.6425584202744585E-2</v>
      </c>
      <c r="F253" s="3">
        <f t="shared" si="239"/>
        <v>1.3868470716219715E-2</v>
      </c>
      <c r="G253" s="3">
        <f t="shared" si="239"/>
        <v>2.5533247976787933E-3</v>
      </c>
      <c r="H253" s="3">
        <f t="shared" si="239"/>
        <v>1.1425651037833437E-10</v>
      </c>
      <c r="I253" s="3">
        <f t="shared" si="239"/>
        <v>3.6781537732158651E-84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1.9250972517020095E-2</v>
      </c>
      <c r="C254" s="3">
        <f t="shared" si="240"/>
        <v>1.9250678648416772E-2</v>
      </c>
      <c r="D254" s="3">
        <f t="shared" si="240"/>
        <v>1.9247740209099074E-2</v>
      </c>
      <c r="E254" s="3">
        <f t="shared" si="240"/>
        <v>1.9218380473546889E-2</v>
      </c>
      <c r="F254" s="3">
        <f t="shared" si="240"/>
        <v>1.8927235010215756E-2</v>
      </c>
      <c r="G254" s="3">
        <f t="shared" si="240"/>
        <v>1.6247668520124565E-2</v>
      </c>
      <c r="H254" s="3">
        <f t="shared" si="240"/>
        <v>3.530447891449128E-3</v>
      </c>
      <c r="I254" s="3">
        <f t="shared" si="240"/>
        <v>8.2835664851426667E-10</v>
      </c>
      <c r="J254" s="3">
        <f t="shared" si="240"/>
        <v>4.18883185335592E-76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2.1901218735399876E-2</v>
      </c>
      <c r="C255" s="3">
        <f t="shared" si="241"/>
        <v>2.1901188576298004E-2</v>
      </c>
      <c r="D255" s="3">
        <f t="shared" si="241"/>
        <v>2.1900886987563453E-2</v>
      </c>
      <c r="E255" s="3">
        <f t="shared" si="241"/>
        <v>2.1897871328623818E-2</v>
      </c>
      <c r="F255" s="3">
        <f t="shared" si="241"/>
        <v>2.1867737568182985E-2</v>
      </c>
      <c r="G255" s="3">
        <f t="shared" si="241"/>
        <v>2.1568671270480583E-2</v>
      </c>
      <c r="H255" s="3">
        <f t="shared" si="241"/>
        <v>1.879398049692256E-2</v>
      </c>
      <c r="I255" s="3">
        <f t="shared" si="241"/>
        <v>4.7421204008507795E-3</v>
      </c>
      <c r="J255" s="3">
        <f t="shared" si="241"/>
        <v>4.960330589336654E-9</v>
      </c>
      <c r="K255" s="3">
        <f t="shared" si="241"/>
        <v>7.7784143720448125E-69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2.2497281146894758E-2</v>
      </c>
      <c r="C256" s="3">
        <f t="shared" si="242"/>
        <v>2.2497278352247362E-2</v>
      </c>
      <c r="D256" s="3">
        <f t="shared" si="242"/>
        <v>2.249725040579249E-2</v>
      </c>
      <c r="E256" s="3">
        <f t="shared" si="242"/>
        <v>2.2496970943153144E-2</v>
      </c>
      <c r="F256" s="3">
        <f t="shared" si="242"/>
        <v>2.249417650768545E-2</v>
      </c>
      <c r="G256" s="3">
        <f t="shared" si="242"/>
        <v>2.2466251236814172E-2</v>
      </c>
      <c r="H256" s="3">
        <f t="shared" si="242"/>
        <v>2.2188898166443316E-2</v>
      </c>
      <c r="I256" s="3">
        <f t="shared" si="242"/>
        <v>1.9596882782257432E-2</v>
      </c>
      <c r="J256" s="3">
        <f t="shared" si="242"/>
        <v>5.6584772476759452E-3</v>
      </c>
      <c r="K256" s="3">
        <f t="shared" si="242"/>
        <v>2.2794253001595555E-8</v>
      </c>
      <c r="L256" s="3">
        <f t="shared" si="242"/>
        <v>2.5649757782152713E-62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2.6719174356409296E-2</v>
      </c>
      <c r="C257" s="3">
        <f t="shared" si="243"/>
        <v>2.671917405699907E-2</v>
      </c>
      <c r="D257" s="3">
        <f t="shared" si="243"/>
        <v>2.6719171062896958E-2</v>
      </c>
      <c r="E257" s="3">
        <f t="shared" si="243"/>
        <v>2.6719141121894316E-2</v>
      </c>
      <c r="F257" s="3">
        <f t="shared" si="243"/>
        <v>2.6718841713713217E-2</v>
      </c>
      <c r="G257" s="3">
        <f t="shared" si="243"/>
        <v>2.671584781642624E-2</v>
      </c>
      <c r="H257" s="3">
        <f t="shared" si="243"/>
        <v>2.6685927288310735E-2</v>
      </c>
      <c r="I257" s="3">
        <f t="shared" si="243"/>
        <v>2.638855885797289E-2</v>
      </c>
      <c r="J257" s="3">
        <f t="shared" si="243"/>
        <v>2.3591166705932583E-2</v>
      </c>
      <c r="K257" s="3">
        <f t="shared" si="243"/>
        <v>7.6928432764596481E-3</v>
      </c>
      <c r="L257" s="3">
        <f t="shared" si="243"/>
        <v>1.0458310640881348E-7</v>
      </c>
      <c r="M257" s="3">
        <f t="shared" si="243"/>
        <v>2.2553194421786787E-56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2.826924434953244E-2</v>
      </c>
      <c r="C258" s="3">
        <f t="shared" si="244"/>
        <v>2.8269244320956247E-2</v>
      </c>
      <c r="D258" s="3">
        <f t="shared" si="244"/>
        <v>2.8269244035194305E-2</v>
      </c>
      <c r="E258" s="3">
        <f t="shared" si="244"/>
        <v>2.8269241177575032E-2</v>
      </c>
      <c r="F258" s="3">
        <f t="shared" si="244"/>
        <v>2.8269212601398183E-2</v>
      </c>
      <c r="G258" s="3">
        <f t="shared" si="244"/>
        <v>2.8268926841218452E-2</v>
      </c>
      <c r="H258" s="3">
        <f t="shared" si="244"/>
        <v>2.8266069398290201E-2</v>
      </c>
      <c r="I258" s="3">
        <f t="shared" si="244"/>
        <v>2.8237510849969713E-2</v>
      </c>
      <c r="J258" s="3">
        <f t="shared" si="244"/>
        <v>2.7953507539238618E-2</v>
      </c>
      <c r="K258" s="3">
        <f t="shared" si="244"/>
        <v>2.5265930699202879E-2</v>
      </c>
      <c r="L258" s="3">
        <f t="shared" si="244"/>
        <v>9.1944384072219412E-3</v>
      </c>
      <c r="M258" s="3">
        <f t="shared" si="244"/>
        <v>3.7447625100952151E-7</v>
      </c>
      <c r="N258" s="3">
        <f t="shared" si="244"/>
        <v>4.703433464292744E-51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2.8789242104025538E-2</v>
      </c>
      <c r="C259" s="3">
        <f t="shared" si="245"/>
        <v>2.8789242101400311E-2</v>
      </c>
      <c r="D259" s="3">
        <f t="shared" si="245"/>
        <v>2.8789242075148033E-2</v>
      </c>
      <c r="E259" s="3">
        <f t="shared" si="245"/>
        <v>2.8789241812625242E-2</v>
      </c>
      <c r="F259" s="3">
        <f t="shared" si="245"/>
        <v>2.8789239187397456E-2</v>
      </c>
      <c r="G259" s="3">
        <f t="shared" si="245"/>
        <v>2.8789212935132775E-2</v>
      </c>
      <c r="H259" s="3">
        <f t="shared" si="245"/>
        <v>2.87889504138026E-2</v>
      </c>
      <c r="I259" s="3">
        <f t="shared" si="245"/>
        <v>2.8786325332159739E-2</v>
      </c>
      <c r="J259" s="3">
        <f t="shared" si="245"/>
        <v>2.8760087677179743E-2</v>
      </c>
      <c r="K259" s="3">
        <f t="shared" si="245"/>
        <v>2.8499022842443367E-2</v>
      </c>
      <c r="L259" s="3">
        <f t="shared" si="245"/>
        <v>2.601522622725538E-2</v>
      </c>
      <c r="M259" s="3">
        <f t="shared" si="245"/>
        <v>1.0452110225991584E-2</v>
      </c>
      <c r="N259" s="3">
        <f t="shared" si="245"/>
        <v>1.1454278100018605E-6</v>
      </c>
      <c r="O259" s="3">
        <f t="shared" si="245"/>
        <v>2.8615750762854453E-46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2.5595411660180225E-2</v>
      </c>
      <c r="C260" s="3">
        <f t="shared" si="246"/>
        <v>2.5595411659969675E-2</v>
      </c>
      <c r="D260" s="3">
        <f t="shared" si="246"/>
        <v>2.5595411657864223E-2</v>
      </c>
      <c r="E260" s="3">
        <f t="shared" si="246"/>
        <v>2.5595411636809697E-2</v>
      </c>
      <c r="F260" s="3">
        <f t="shared" si="246"/>
        <v>2.5595411426264428E-2</v>
      </c>
      <c r="G260" s="3">
        <f t="shared" si="246"/>
        <v>2.5595409320811807E-2</v>
      </c>
      <c r="H260" s="3">
        <f t="shared" si="246"/>
        <v>2.5595388266295156E-2</v>
      </c>
      <c r="I260" s="3">
        <f t="shared" si="246"/>
        <v>2.5595177722081183E-2</v>
      </c>
      <c r="J260" s="3">
        <f t="shared" si="246"/>
        <v>2.5593072375194079E-2</v>
      </c>
      <c r="K260" s="3">
        <f t="shared" si="246"/>
        <v>2.5572028428685299E-2</v>
      </c>
      <c r="L260" s="3">
        <f t="shared" si="246"/>
        <v>2.5362538307981432E-2</v>
      </c>
      <c r="M260" s="3">
        <f t="shared" si="246"/>
        <v>2.3359744609918569E-2</v>
      </c>
      <c r="N260" s="3">
        <f t="shared" si="246"/>
        <v>1.0261759543149463E-2</v>
      </c>
      <c r="O260" s="3">
        <f t="shared" si="246"/>
        <v>2.7463714100230617E-6</v>
      </c>
      <c r="P260" s="3">
        <f t="shared" si="246"/>
        <v>5.1776611434844374E-42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3.1571984224502921E-2</v>
      </c>
      <c r="C261" s="3">
        <f t="shared" si="247"/>
        <v>3.1571984224479495E-2</v>
      </c>
      <c r="D261" s="3">
        <f t="shared" si="247"/>
        <v>3.157198422424521E-2</v>
      </c>
      <c r="E261" s="3">
        <f t="shared" si="247"/>
        <v>3.1571984221902431E-2</v>
      </c>
      <c r="F261" s="3">
        <f t="shared" si="247"/>
        <v>3.1571984198474616E-2</v>
      </c>
      <c r="G261" s="3">
        <f t="shared" si="247"/>
        <v>3.1571983964196436E-2</v>
      </c>
      <c r="H261" s="3">
        <f t="shared" si="247"/>
        <v>3.1571981621414731E-2</v>
      </c>
      <c r="I261" s="3">
        <f t="shared" si="247"/>
        <v>3.1571958193607259E-2</v>
      </c>
      <c r="J261" s="3">
        <f t="shared" si="247"/>
        <v>3.157172391648868E-2</v>
      </c>
      <c r="K261" s="3">
        <f t="shared" si="247"/>
        <v>3.1569381240914636E-2</v>
      </c>
      <c r="L261" s="3">
        <f t="shared" si="247"/>
        <v>3.1545964043724263E-2</v>
      </c>
      <c r="M261" s="3">
        <f t="shared" si="247"/>
        <v>3.1312745307666458E-2</v>
      </c>
      <c r="N261" s="3">
        <f t="shared" si="247"/>
        <v>2.9073315498539962E-2</v>
      </c>
      <c r="O261" s="3">
        <f t="shared" si="247"/>
        <v>1.3842952154967291E-2</v>
      </c>
      <c r="P261" s="3">
        <f t="shared" si="247"/>
        <v>8.2903007219191549E-6</v>
      </c>
      <c r="Q261" s="3">
        <f t="shared" si="247"/>
        <v>4.9202361773108351E-38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4.0619048192840637E-2</v>
      </c>
      <c r="C262" s="3">
        <f t="shared" si="248"/>
        <v>4.0619048192837924E-2</v>
      </c>
      <c r="D262" s="3">
        <f t="shared" si="248"/>
        <v>4.0619048192810731E-2</v>
      </c>
      <c r="E262" s="3">
        <f t="shared" si="248"/>
        <v>4.0619048192538837E-2</v>
      </c>
      <c r="F262" s="3">
        <f t="shared" si="248"/>
        <v>4.0619048189819852E-2</v>
      </c>
      <c r="G262" s="3">
        <f t="shared" si="248"/>
        <v>4.0619048162630039E-2</v>
      </c>
      <c r="H262" s="3">
        <f t="shared" si="248"/>
        <v>4.0619047890731855E-2</v>
      </c>
      <c r="I262" s="3">
        <f t="shared" si="248"/>
        <v>4.0619045171750169E-2</v>
      </c>
      <c r="J262" s="3">
        <f t="shared" si="248"/>
        <v>4.0619017981943353E-2</v>
      </c>
      <c r="K262" s="3">
        <f t="shared" si="248"/>
        <v>4.0618746084876159E-2</v>
      </c>
      <c r="L262" s="3">
        <f t="shared" si="248"/>
        <v>4.0616027214304073E-2</v>
      </c>
      <c r="M262" s="3">
        <f t="shared" si="248"/>
        <v>4.0588848516093436E-2</v>
      </c>
      <c r="N262" s="3">
        <f t="shared" si="248"/>
        <v>4.0318059810842931E-2</v>
      </c>
      <c r="O262" s="3">
        <f t="shared" si="248"/>
        <v>3.7707571630558587E-2</v>
      </c>
      <c r="P262" s="3">
        <f t="shared" si="248"/>
        <v>1.9307140815148907E-2</v>
      </c>
      <c r="Q262" s="3">
        <f t="shared" si="248"/>
        <v>2.3911782831846562E-5</v>
      </c>
      <c r="R262" s="3">
        <f t="shared" si="248"/>
        <v>2.0302611043428629E-34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3.7761220679273858E-2</v>
      </c>
      <c r="C263" s="3">
        <f t="shared" si="249"/>
        <v>3.7761220679273635E-2</v>
      </c>
      <c r="D263" s="3">
        <f t="shared" si="249"/>
        <v>3.7761220679271353E-2</v>
      </c>
      <c r="E263" s="3">
        <f t="shared" si="249"/>
        <v>3.7761220679248551E-2</v>
      </c>
      <c r="F263" s="3">
        <f t="shared" si="249"/>
        <v>3.7761220679020532E-2</v>
      </c>
      <c r="G263" s="3">
        <f t="shared" si="249"/>
        <v>3.7761220676740349E-2</v>
      </c>
      <c r="H263" s="3">
        <f t="shared" si="249"/>
        <v>3.7761220653938547E-2</v>
      </c>
      <c r="I263" s="3">
        <f t="shared" si="249"/>
        <v>3.7761220425920526E-2</v>
      </c>
      <c r="J263" s="3">
        <f t="shared" si="249"/>
        <v>3.7761218145740398E-2</v>
      </c>
      <c r="K263" s="3">
        <f t="shared" si="249"/>
        <v>3.776119534394666E-2</v>
      </c>
      <c r="L263" s="3">
        <f t="shared" si="249"/>
        <v>3.7760967326766572E-2</v>
      </c>
      <c r="M263" s="3">
        <f t="shared" si="249"/>
        <v>3.7758687230691555E-2</v>
      </c>
      <c r="N263" s="3">
        <f t="shared" si="249"/>
        <v>3.7735893840836053E-2</v>
      </c>
      <c r="O263" s="3">
        <f t="shared" si="249"/>
        <v>3.7508715342975479E-2</v>
      </c>
      <c r="P263" s="3">
        <f t="shared" si="249"/>
        <v>3.5310809620291199E-2</v>
      </c>
      <c r="Q263" s="3">
        <f t="shared" si="249"/>
        <v>1.9304676522323878E-2</v>
      </c>
      <c r="R263" s="3">
        <f t="shared" si="249"/>
        <v>4.6048030844662663E-5</v>
      </c>
      <c r="S263" s="3">
        <f t="shared" si="249"/>
        <v>2.7459739117255182E-31</v>
      </c>
      <c r="T263" s="3">
        <f t="shared" si="249"/>
        <v>1.5615282446208088E-293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3.2047185254004906E-2</v>
      </c>
      <c r="C264" s="3">
        <f t="shared" si="250"/>
        <v>3.2047185254004892E-2</v>
      </c>
      <c r="D264" s="3">
        <f t="shared" si="250"/>
        <v>3.2047185254004719E-2</v>
      </c>
      <c r="E264" s="3">
        <f t="shared" si="250"/>
        <v>3.2047185254002977E-2</v>
      </c>
      <c r="F264" s="3">
        <f t="shared" si="250"/>
        <v>3.2047185253985512E-2</v>
      </c>
      <c r="G264" s="3">
        <f t="shared" si="250"/>
        <v>3.204718525381095E-2</v>
      </c>
      <c r="H264" s="3">
        <f t="shared" si="250"/>
        <v>3.2047185252065291E-2</v>
      </c>
      <c r="I264" s="3">
        <f t="shared" si="250"/>
        <v>3.2047185234608692E-2</v>
      </c>
      <c r="J264" s="3">
        <f t="shared" si="250"/>
        <v>3.2047185060042706E-2</v>
      </c>
      <c r="K264" s="3">
        <f t="shared" si="250"/>
        <v>3.2047183314382888E-2</v>
      </c>
      <c r="L264" s="3">
        <f t="shared" si="250"/>
        <v>3.2047165857789939E-2</v>
      </c>
      <c r="M264" s="3">
        <f t="shared" si="250"/>
        <v>3.2046991292383399E-2</v>
      </c>
      <c r="N264" s="3">
        <f t="shared" si="250"/>
        <v>3.2045245690615703E-2</v>
      </c>
      <c r="O264" s="3">
        <f t="shared" si="250"/>
        <v>3.2027794901651793E-2</v>
      </c>
      <c r="P264" s="3">
        <f t="shared" si="250"/>
        <v>3.1853808831029964E-2</v>
      </c>
      <c r="Q264" s="3">
        <f t="shared" si="250"/>
        <v>3.0165093475681842E-2</v>
      </c>
      <c r="R264" s="3">
        <f t="shared" si="250"/>
        <v>1.7495958365394759E-2</v>
      </c>
      <c r="S264" s="3">
        <f t="shared" si="250"/>
        <v>7.5382120086247455E-5</v>
      </c>
      <c r="T264" s="3">
        <f t="shared" si="250"/>
        <v>1.6617835600076735E-28</v>
      </c>
      <c r="U264" s="3">
        <f t="shared" si="250"/>
        <v>4.5043856263116211E-265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5.5060207151423582E-2</v>
      </c>
      <c r="C265" s="3">
        <f t="shared" si="251"/>
        <v>5.5060207151423582E-2</v>
      </c>
      <c r="D265" s="3">
        <f t="shared" si="251"/>
        <v>5.5060207151423554E-2</v>
      </c>
      <c r="E265" s="3">
        <f t="shared" si="251"/>
        <v>5.5060207151423284E-2</v>
      </c>
      <c r="F265" s="3">
        <f t="shared" si="251"/>
        <v>5.5060207151420577E-2</v>
      </c>
      <c r="G265" s="3">
        <f t="shared" si="251"/>
        <v>5.5060207151393516E-2</v>
      </c>
      <c r="H265" s="3">
        <f t="shared" si="251"/>
        <v>5.5060207151122968E-2</v>
      </c>
      <c r="I265" s="3">
        <f t="shared" si="251"/>
        <v>5.5060207148417424E-2</v>
      </c>
      <c r="J265" s="3">
        <f t="shared" si="251"/>
        <v>5.5060207121362011E-2</v>
      </c>
      <c r="K265" s="3">
        <f t="shared" si="251"/>
        <v>5.5060206850807883E-2</v>
      </c>
      <c r="L265" s="3">
        <f t="shared" si="251"/>
        <v>5.506020414526664E-2</v>
      </c>
      <c r="M265" s="3">
        <f t="shared" si="251"/>
        <v>5.5060177089861578E-2</v>
      </c>
      <c r="N265" s="3">
        <f t="shared" si="251"/>
        <v>5.5059906536542094E-2</v>
      </c>
      <c r="O265" s="3">
        <f t="shared" si="251"/>
        <v>5.5057201076465286E-2</v>
      </c>
      <c r="P265" s="3">
        <f t="shared" si="251"/>
        <v>5.5030153786169947E-2</v>
      </c>
      <c r="Q265" s="3">
        <f t="shared" si="251"/>
        <v>5.4760410603116406E-2</v>
      </c>
      <c r="R265" s="3">
        <f t="shared" si="251"/>
        <v>5.2134641315253076E-2</v>
      </c>
      <c r="S265" s="3">
        <f t="shared" si="251"/>
        <v>3.1895053179504869E-2</v>
      </c>
      <c r="T265" s="3">
        <f t="shared" si="251"/>
        <v>2.3425708620718492E-4</v>
      </c>
      <c r="U265" s="3">
        <f t="shared" si="251"/>
        <v>1.0700074498227316E-25</v>
      </c>
      <c r="V265" s="3">
        <f t="shared" si="251"/>
        <v>4.2298741421159618E-239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5.5367146096233756E-2</v>
      </c>
      <c r="C266" s="3">
        <f t="shared" si="252"/>
        <v>5.5367146096233756E-2</v>
      </c>
      <c r="D266" s="3">
        <f t="shared" si="252"/>
        <v>5.5367146096233756E-2</v>
      </c>
      <c r="E266" s="3">
        <f t="shared" si="252"/>
        <v>5.5367146096233728E-2</v>
      </c>
      <c r="F266" s="3">
        <f t="shared" si="252"/>
        <v>5.5367146096233485E-2</v>
      </c>
      <c r="G266" s="3">
        <f t="shared" si="252"/>
        <v>5.5367146096231029E-2</v>
      </c>
      <c r="H266" s="3">
        <f t="shared" si="252"/>
        <v>5.5367146096206486E-2</v>
      </c>
      <c r="I266" s="3">
        <f t="shared" si="252"/>
        <v>5.5367146095961065E-2</v>
      </c>
      <c r="J266" s="3">
        <f t="shared" si="252"/>
        <v>5.5367146093506833E-2</v>
      </c>
      <c r="K266" s="3">
        <f t="shared" si="252"/>
        <v>5.5367146068964548E-2</v>
      </c>
      <c r="L266" s="3">
        <f t="shared" si="252"/>
        <v>5.5367145823541665E-2</v>
      </c>
      <c r="M266" s="3">
        <f t="shared" si="252"/>
        <v>5.5367143369312866E-2</v>
      </c>
      <c r="N266" s="3">
        <f t="shared" si="252"/>
        <v>5.5367118827030895E-2</v>
      </c>
      <c r="O266" s="3">
        <f t="shared" si="252"/>
        <v>5.5366873404809488E-2</v>
      </c>
      <c r="P266" s="3">
        <f t="shared" si="252"/>
        <v>5.5364419242427368E-2</v>
      </c>
      <c r="Q266" s="3">
        <f t="shared" si="252"/>
        <v>5.5339883600814432E-2</v>
      </c>
      <c r="R266" s="3">
        <f t="shared" si="252"/>
        <v>5.5095124425547037E-2</v>
      </c>
      <c r="S266" s="3">
        <f t="shared" si="252"/>
        <v>5.2706288742586135E-2</v>
      </c>
      <c r="T266" s="3">
        <f t="shared" si="252"/>
        <v>3.3834138592181852E-2</v>
      </c>
      <c r="U266" s="3">
        <f t="shared" si="252"/>
        <v>4.0205178472440991E-4</v>
      </c>
      <c r="V266" s="3">
        <f t="shared" si="252"/>
        <v>2.2570994656812692E-23</v>
      </c>
      <c r="W266" s="3">
        <f t="shared" si="252"/>
        <v>7.0183938279008077E-216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4.7007838258753223E-2</v>
      </c>
      <c r="C267" s="3">
        <f t="shared" si="253"/>
        <v>4.7007838258753223E-2</v>
      </c>
      <c r="D267" s="3">
        <f t="shared" si="253"/>
        <v>4.7007838258753223E-2</v>
      </c>
      <c r="E267" s="3">
        <f t="shared" si="253"/>
        <v>4.7007838258753223E-2</v>
      </c>
      <c r="F267" s="3">
        <f t="shared" si="253"/>
        <v>4.7007838258753203E-2</v>
      </c>
      <c r="G267" s="3">
        <f t="shared" si="253"/>
        <v>4.7007838258753015E-2</v>
      </c>
      <c r="H267" s="3">
        <f t="shared" si="253"/>
        <v>4.7007838258751135E-2</v>
      </c>
      <c r="I267" s="3">
        <f t="shared" si="253"/>
        <v>4.7007838258732337E-2</v>
      </c>
      <c r="J267" s="3">
        <f t="shared" si="253"/>
        <v>4.700783825854437E-2</v>
      </c>
      <c r="K267" s="3">
        <f t="shared" si="253"/>
        <v>4.7007838256664713E-2</v>
      </c>
      <c r="L267" s="3">
        <f t="shared" si="253"/>
        <v>4.700783823786809E-2</v>
      </c>
      <c r="M267" s="3">
        <f t="shared" si="253"/>
        <v>4.7007838049901877E-2</v>
      </c>
      <c r="N267" s="3">
        <f t="shared" si="253"/>
        <v>4.7007836170239792E-2</v>
      </c>
      <c r="O267" s="3">
        <f t="shared" si="253"/>
        <v>4.7007817373623091E-2</v>
      </c>
      <c r="P267" s="3">
        <f t="shared" si="253"/>
        <v>4.7007629407869442E-2</v>
      </c>
      <c r="Q267" s="3">
        <f t="shared" si="253"/>
        <v>4.7005749791670569E-2</v>
      </c>
      <c r="R267" s="3">
        <f t="shared" si="253"/>
        <v>4.6986957762826402E-2</v>
      </c>
      <c r="S267" s="3">
        <f t="shared" si="253"/>
        <v>4.6799450178007462E-2</v>
      </c>
      <c r="T267" s="3">
        <f t="shared" si="253"/>
        <v>4.4965040578006418E-2</v>
      </c>
      <c r="U267" s="3">
        <f t="shared" si="253"/>
        <v>3.014514507799506E-2</v>
      </c>
      <c r="V267" s="3">
        <f t="shared" si="253"/>
        <v>5.5289322051591536E-4</v>
      </c>
      <c r="W267" s="3">
        <f t="shared" si="253"/>
        <v>2.3816620076792332E-21</v>
      </c>
      <c r="X267" s="3">
        <f t="shared" si="253"/>
        <v>5.2392457532611792E-195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4.3271313852142758E-2</v>
      </c>
      <c r="C268" s="3">
        <f t="shared" si="254"/>
        <v>4.3271313852142758E-2</v>
      </c>
      <c r="D268" s="3">
        <f t="shared" si="254"/>
        <v>4.3271313852142758E-2</v>
      </c>
      <c r="E268" s="3">
        <f t="shared" si="254"/>
        <v>4.3271313852142758E-2</v>
      </c>
      <c r="F268" s="3">
        <f t="shared" si="254"/>
        <v>4.3271313852142758E-2</v>
      </c>
      <c r="G268" s="3">
        <f t="shared" si="254"/>
        <v>4.3271313852142737E-2</v>
      </c>
      <c r="H268" s="3">
        <f t="shared" si="254"/>
        <v>4.3271313852142584E-2</v>
      </c>
      <c r="I268" s="3">
        <f t="shared" si="254"/>
        <v>4.3271313852141023E-2</v>
      </c>
      <c r="J268" s="3">
        <f t="shared" si="254"/>
        <v>4.3271313852125418E-2</v>
      </c>
      <c r="K268" s="3">
        <f t="shared" si="254"/>
        <v>4.3271313851969327E-2</v>
      </c>
      <c r="L268" s="3">
        <f t="shared" si="254"/>
        <v>4.3271313850408499E-2</v>
      </c>
      <c r="M268" s="3">
        <f t="shared" si="254"/>
        <v>4.3271313834800179E-2</v>
      </c>
      <c r="N268" s="3">
        <f t="shared" si="254"/>
        <v>4.327131367871697E-2</v>
      </c>
      <c r="O268" s="3">
        <f t="shared" si="254"/>
        <v>4.3271312117884916E-2</v>
      </c>
      <c r="P268" s="3">
        <f t="shared" si="254"/>
        <v>4.3271296509567486E-2</v>
      </c>
      <c r="Q268" s="3">
        <f t="shared" si="254"/>
        <v>4.3271140426702812E-2</v>
      </c>
      <c r="R268" s="3">
        <f t="shared" si="254"/>
        <v>4.3269579629020942E-2</v>
      </c>
      <c r="S268" s="3">
        <f t="shared" si="254"/>
        <v>4.3253974748270793E-2</v>
      </c>
      <c r="T268" s="3">
        <f t="shared" si="254"/>
        <v>4.3098235134821222E-2</v>
      </c>
      <c r="U268" s="3">
        <f t="shared" si="254"/>
        <v>4.1571349699989192E-2</v>
      </c>
      <c r="V268" s="3">
        <f t="shared" si="254"/>
        <v>2.8982811525883584E-2</v>
      </c>
      <c r="W268" s="3">
        <f t="shared" si="254"/>
        <v>7.8632917403493815E-4</v>
      </c>
      <c r="X268" s="3">
        <f t="shared" si="254"/>
        <v>1.6991947291807788E-19</v>
      </c>
      <c r="Y268" s="3">
        <f t="shared" si="254"/>
        <v>3.7725133474427927E-176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2.2304524360839302E-2</v>
      </c>
      <c r="C269" s="3">
        <f t="shared" si="255"/>
        <v>2.2304524360839302E-2</v>
      </c>
      <c r="D269" s="3">
        <f t="shared" si="255"/>
        <v>2.2304524360839302E-2</v>
      </c>
      <c r="E269" s="3">
        <f t="shared" si="255"/>
        <v>2.2304524360839302E-2</v>
      </c>
      <c r="F269" s="3">
        <f t="shared" si="255"/>
        <v>2.2304524360839302E-2</v>
      </c>
      <c r="G269" s="3">
        <f t="shared" si="255"/>
        <v>2.2304524360839302E-2</v>
      </c>
      <c r="H269" s="3">
        <f t="shared" si="255"/>
        <v>2.2304524360839295E-2</v>
      </c>
      <c r="I269" s="3">
        <f t="shared" si="255"/>
        <v>2.2304524360839219E-2</v>
      </c>
      <c r="J269" s="3">
        <f t="shared" si="255"/>
        <v>2.2304524360838494E-2</v>
      </c>
      <c r="K269" s="3">
        <f t="shared" si="255"/>
        <v>2.2304524360831239E-2</v>
      </c>
      <c r="L269" s="3">
        <f t="shared" si="255"/>
        <v>2.2304524360758662E-2</v>
      </c>
      <c r="M269" s="3">
        <f t="shared" si="255"/>
        <v>2.2304524360032899E-2</v>
      </c>
      <c r="N269" s="3">
        <f t="shared" si="255"/>
        <v>2.2304524352775253E-2</v>
      </c>
      <c r="O269" s="3">
        <f t="shared" si="255"/>
        <v>2.2304524280198815E-2</v>
      </c>
      <c r="P269" s="3">
        <f t="shared" si="255"/>
        <v>2.2304523554434432E-2</v>
      </c>
      <c r="Q269" s="3">
        <f t="shared" si="255"/>
        <v>2.2304516296791897E-2</v>
      </c>
      <c r="R269" s="3">
        <f t="shared" si="255"/>
        <v>2.2304443720496458E-2</v>
      </c>
      <c r="S269" s="3">
        <f t="shared" si="255"/>
        <v>2.2303717970530421E-2</v>
      </c>
      <c r="T269" s="3">
        <f t="shared" si="255"/>
        <v>2.2296461769552443E-2</v>
      </c>
      <c r="U269" s="3">
        <f t="shared" si="255"/>
        <v>2.2224029471793371E-2</v>
      </c>
      <c r="V269" s="3">
        <f t="shared" si="255"/>
        <v>2.1512522880830727E-2</v>
      </c>
      <c r="W269" s="3">
        <f t="shared" si="255"/>
        <v>1.5537343046924532E-2</v>
      </c>
      <c r="X269" s="3">
        <f t="shared" si="255"/>
        <v>6.0010997793063505E-4</v>
      </c>
      <c r="Y269" s="3">
        <f t="shared" si="255"/>
        <v>4.4337559034279555E-18</v>
      </c>
      <c r="Z269" s="3">
        <f t="shared" si="255"/>
        <v>2.1487262990638744E-159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3.1643216322297517E-2</v>
      </c>
      <c r="C270" s="3">
        <f t="shared" si="256"/>
        <v>3.1643216322297517E-2</v>
      </c>
      <c r="D270" s="3">
        <f t="shared" si="256"/>
        <v>3.1643216322297517E-2</v>
      </c>
      <c r="E270" s="3">
        <f t="shared" si="256"/>
        <v>3.1643216322297517E-2</v>
      </c>
      <c r="F270" s="3">
        <f t="shared" si="256"/>
        <v>3.1643216322297517E-2</v>
      </c>
      <c r="G270" s="3">
        <f t="shared" si="256"/>
        <v>3.1643216322297517E-2</v>
      </c>
      <c r="H270" s="3">
        <f t="shared" si="256"/>
        <v>3.164321632229751E-2</v>
      </c>
      <c r="I270" s="3">
        <f t="shared" si="256"/>
        <v>3.1643216322297482E-2</v>
      </c>
      <c r="J270" s="3">
        <f t="shared" si="256"/>
        <v>3.1643216322297198E-2</v>
      </c>
      <c r="K270" s="3">
        <f t="shared" si="256"/>
        <v>3.1643216322294353E-2</v>
      </c>
      <c r="L270" s="3">
        <f t="shared" si="256"/>
        <v>3.1643216322265875E-2</v>
      </c>
      <c r="M270" s="3">
        <f t="shared" si="256"/>
        <v>3.1643216321981103E-2</v>
      </c>
      <c r="N270" s="3">
        <f t="shared" si="256"/>
        <v>3.1643216319133395E-2</v>
      </c>
      <c r="O270" s="3">
        <f t="shared" si="256"/>
        <v>3.1643216290656265E-2</v>
      </c>
      <c r="P270" s="3">
        <f t="shared" si="256"/>
        <v>3.1643216005884996E-2</v>
      </c>
      <c r="Q270" s="3">
        <f t="shared" si="256"/>
        <v>3.164321315817243E-2</v>
      </c>
      <c r="R270" s="3">
        <f t="shared" si="256"/>
        <v>3.1643184681060858E-2</v>
      </c>
      <c r="S270" s="3">
        <f t="shared" si="256"/>
        <v>3.1642899911354695E-2</v>
      </c>
      <c r="T270" s="3">
        <f t="shared" si="256"/>
        <v>3.1640052355240852E-2</v>
      </c>
      <c r="U270" s="3">
        <f t="shared" si="256"/>
        <v>3.1611590884191992E-2</v>
      </c>
      <c r="V270" s="3">
        <f t="shared" si="256"/>
        <v>3.1328380502219547E-2</v>
      </c>
      <c r="W270" s="3">
        <f t="shared" si="256"/>
        <v>2.8632143851922559E-2</v>
      </c>
      <c r="X270" s="3">
        <f t="shared" si="256"/>
        <v>1.1641611217752779E-2</v>
      </c>
      <c r="Y270" s="3">
        <f t="shared" si="256"/>
        <v>1.4374916589964597E-6</v>
      </c>
      <c r="Z270" s="3">
        <f t="shared" si="256"/>
        <v>1.1844800543561723E-45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3.5141037946940686E-2</v>
      </c>
      <c r="C271" s="3">
        <f t="shared" si="257"/>
        <v>3.5141037946940686E-2</v>
      </c>
      <c r="D271" s="3">
        <f t="shared" si="257"/>
        <v>3.5141037946940686E-2</v>
      </c>
      <c r="E271" s="3">
        <f t="shared" si="257"/>
        <v>3.5141037946940686E-2</v>
      </c>
      <c r="F271" s="3">
        <f t="shared" si="257"/>
        <v>3.5141037946940686E-2</v>
      </c>
      <c r="G271" s="3">
        <f t="shared" si="257"/>
        <v>3.5141037946940686E-2</v>
      </c>
      <c r="H271" s="3">
        <f t="shared" si="257"/>
        <v>3.5141037946940686E-2</v>
      </c>
      <c r="I271" s="3">
        <f t="shared" si="257"/>
        <v>3.5141037946940679E-2</v>
      </c>
      <c r="J271" s="3">
        <f t="shared" si="257"/>
        <v>3.5141037946940651E-2</v>
      </c>
      <c r="K271" s="3">
        <f t="shared" si="257"/>
        <v>3.5141037946940332E-2</v>
      </c>
      <c r="L271" s="3">
        <f t="shared" si="257"/>
        <v>3.5141037946937168E-2</v>
      </c>
      <c r="M271" s="3">
        <f t="shared" si="257"/>
        <v>3.5141037946905547E-2</v>
      </c>
      <c r="N271" s="3">
        <f t="shared" si="257"/>
        <v>3.51410379465893E-2</v>
      </c>
      <c r="O271" s="3">
        <f t="shared" si="257"/>
        <v>3.5141037943426802E-2</v>
      </c>
      <c r="P271" s="3">
        <f t="shared" si="257"/>
        <v>3.5141037911801828E-2</v>
      </c>
      <c r="Q271" s="3">
        <f t="shared" si="257"/>
        <v>3.5141037595552115E-2</v>
      </c>
      <c r="R271" s="3">
        <f t="shared" si="257"/>
        <v>3.5141034433055156E-2</v>
      </c>
      <c r="S271" s="3">
        <f t="shared" si="257"/>
        <v>3.5141002808101236E-2</v>
      </c>
      <c r="T271" s="3">
        <f t="shared" si="257"/>
        <v>3.5140686560127303E-2</v>
      </c>
      <c r="U271" s="3">
        <f t="shared" si="257"/>
        <v>3.5137524236916122E-2</v>
      </c>
      <c r="V271" s="3">
        <f t="shared" si="257"/>
        <v>3.5105916652403639E-2</v>
      </c>
      <c r="W271" s="3">
        <f t="shared" si="257"/>
        <v>3.4791400369403411E-2</v>
      </c>
      <c r="X271" s="3">
        <f t="shared" si="257"/>
        <v>3.1797123381976759E-2</v>
      </c>
      <c r="Y271" s="3">
        <f t="shared" si="257"/>
        <v>1.2928467744864105E-2</v>
      </c>
      <c r="Z271" s="3">
        <f t="shared" si="257"/>
        <v>1.5963911007873671E-6</v>
      </c>
      <c r="AA271" s="3">
        <f t="shared" si="257"/>
        <v>1.3154117493484442E-45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3.5593088100758001E-2</v>
      </c>
      <c r="C272" s="3">
        <f t="shared" si="258"/>
        <v>3.5593088100758001E-2</v>
      </c>
      <c r="D272" s="3">
        <f t="shared" si="258"/>
        <v>3.5593088100758001E-2</v>
      </c>
      <c r="E272" s="3">
        <f t="shared" si="258"/>
        <v>3.5593088100758001E-2</v>
      </c>
      <c r="F272" s="3">
        <f t="shared" si="258"/>
        <v>3.5593088100758001E-2</v>
      </c>
      <c r="G272" s="3">
        <f t="shared" si="258"/>
        <v>3.5593088100758001E-2</v>
      </c>
      <c r="H272" s="3">
        <f t="shared" si="258"/>
        <v>3.5593088100758001E-2</v>
      </c>
      <c r="I272" s="3">
        <f t="shared" si="258"/>
        <v>3.5593088100758001E-2</v>
      </c>
      <c r="J272" s="3">
        <f t="shared" si="258"/>
        <v>3.5593088100757994E-2</v>
      </c>
      <c r="K272" s="3">
        <f t="shared" si="258"/>
        <v>3.5593088100757966E-2</v>
      </c>
      <c r="L272" s="3">
        <f t="shared" si="258"/>
        <v>3.5593088100757647E-2</v>
      </c>
      <c r="M272" s="3">
        <f t="shared" si="258"/>
        <v>3.5593088100754441E-2</v>
      </c>
      <c r="N272" s="3">
        <f t="shared" si="258"/>
        <v>3.5593088100722411E-2</v>
      </c>
      <c r="O272" s="3">
        <f t="shared" si="258"/>
        <v>3.5593088100402091E-2</v>
      </c>
      <c r="P272" s="3">
        <f t="shared" si="258"/>
        <v>3.5593088097198911E-2</v>
      </c>
      <c r="Q272" s="3">
        <f t="shared" si="258"/>
        <v>3.5593088065167124E-2</v>
      </c>
      <c r="R272" s="3">
        <f t="shared" si="258"/>
        <v>3.5593087744849213E-2</v>
      </c>
      <c r="S272" s="3">
        <f t="shared" si="258"/>
        <v>3.5593084541670268E-2</v>
      </c>
      <c r="T272" s="3">
        <f t="shared" si="258"/>
        <v>3.5593052509896674E-2</v>
      </c>
      <c r="U272" s="3">
        <f t="shared" si="258"/>
        <v>3.5592732193746236E-2</v>
      </c>
      <c r="V272" s="3">
        <f t="shared" si="258"/>
        <v>3.5589529190783467E-2</v>
      </c>
      <c r="W272" s="3">
        <f t="shared" si="258"/>
        <v>3.5557515010044026E-2</v>
      </c>
      <c r="X272" s="3">
        <f t="shared" si="258"/>
        <v>3.5238952826796822E-2</v>
      </c>
      <c r="Y272" s="3">
        <f t="shared" si="258"/>
        <v>3.2206157814524655E-2</v>
      </c>
      <c r="Z272" s="3">
        <f t="shared" si="258"/>
        <v>1.3094778024074194E-2</v>
      </c>
      <c r="AA272" s="3">
        <f t="shared" si="258"/>
        <v>1.6169268870027071E-6</v>
      </c>
      <c r="AB272" s="3">
        <f t="shared" si="258"/>
        <v>1.3323330504359049E-45</v>
      </c>
      <c r="AC272" s="3">
        <f t="shared" si="258"/>
        <v>0</v>
      </c>
      <c r="AD272" s="3">
        <f t="shared" si="258"/>
        <v>0</v>
      </c>
      <c r="AE272" s="3">
        <f t="shared" si="258"/>
        <v>0</v>
      </c>
      <c r="AF272" s="3">
        <f t="shared" si="258"/>
        <v>0</v>
      </c>
      <c r="AG272" s="3"/>
      <c r="AH272" s="3"/>
    </row>
    <row r="273" spans="1:34" x14ac:dyDescent="0.25">
      <c r="B273" s="3">
        <f t="shared" ref="B273:AF273" si="259">$C42*EXP(-B$246/$A42/EXP(-$E$126))</f>
        <v>3.9001792876272805E-2</v>
      </c>
      <c r="C273" s="3">
        <f t="shared" si="259"/>
        <v>3.9001792876272805E-2</v>
      </c>
      <c r="D273" s="3">
        <f t="shared" si="259"/>
        <v>3.9001792876272805E-2</v>
      </c>
      <c r="E273" s="3">
        <f t="shared" si="259"/>
        <v>3.9001792876272805E-2</v>
      </c>
      <c r="F273" s="3">
        <f t="shared" si="259"/>
        <v>3.9001792876272805E-2</v>
      </c>
      <c r="G273" s="3">
        <f t="shared" si="259"/>
        <v>3.9001792876272805E-2</v>
      </c>
      <c r="H273" s="3">
        <f t="shared" si="259"/>
        <v>3.9001792876272805E-2</v>
      </c>
      <c r="I273" s="3">
        <f t="shared" si="259"/>
        <v>3.9001792876272805E-2</v>
      </c>
      <c r="J273" s="3">
        <f t="shared" si="259"/>
        <v>3.9001792876272805E-2</v>
      </c>
      <c r="K273" s="3">
        <f t="shared" si="259"/>
        <v>3.9001792876272798E-2</v>
      </c>
      <c r="L273" s="3">
        <f t="shared" si="259"/>
        <v>3.9001792876272763E-2</v>
      </c>
      <c r="M273" s="3">
        <f t="shared" si="259"/>
        <v>3.9001792876272416E-2</v>
      </c>
      <c r="N273" s="3">
        <f t="shared" si="259"/>
        <v>3.9001792876268905E-2</v>
      </c>
      <c r="O273" s="3">
        <f t="shared" si="259"/>
        <v>3.9001792876233801E-2</v>
      </c>
      <c r="P273" s="3">
        <f t="shared" si="259"/>
        <v>3.9001792875882811E-2</v>
      </c>
      <c r="Q273" s="3">
        <f t="shared" si="259"/>
        <v>3.9001792872372869E-2</v>
      </c>
      <c r="R273" s="3">
        <f t="shared" si="259"/>
        <v>3.9001792837273432E-2</v>
      </c>
      <c r="S273" s="3">
        <f t="shared" si="259"/>
        <v>3.9001792486279087E-2</v>
      </c>
      <c r="T273" s="3">
        <f t="shared" si="259"/>
        <v>3.9001788976335765E-2</v>
      </c>
      <c r="U273" s="3">
        <f t="shared" si="259"/>
        <v>3.900175387691996E-2</v>
      </c>
      <c r="V273" s="3">
        <f t="shared" si="259"/>
        <v>3.9001402884499208E-2</v>
      </c>
      <c r="W273" s="3">
        <f t="shared" si="259"/>
        <v>3.8997893134016692E-2</v>
      </c>
      <c r="X273" s="3">
        <f t="shared" si="259"/>
        <v>3.8962812995907613E-2</v>
      </c>
      <c r="Y273" s="3">
        <f t="shared" si="259"/>
        <v>3.8613742517559432E-2</v>
      </c>
      <c r="Z273" s="3">
        <f t="shared" si="259"/>
        <v>3.5290500584463057E-2</v>
      </c>
      <c r="AA273" s="3">
        <f t="shared" si="259"/>
        <v>1.4348848259806771E-2</v>
      </c>
      <c r="AB273" s="3">
        <f t="shared" si="259"/>
        <v>1.7717779183541293E-6</v>
      </c>
      <c r="AC273" s="3">
        <f t="shared" si="259"/>
        <v>1.459928892042589E-45</v>
      </c>
      <c r="AD273" s="3">
        <f t="shared" si="259"/>
        <v>0</v>
      </c>
      <c r="AE273" s="3">
        <f t="shared" si="259"/>
        <v>0</v>
      </c>
      <c r="AF273" s="3">
        <f t="shared" si="259"/>
        <v>0</v>
      </c>
      <c r="AG273" s="3"/>
      <c r="AH273" s="3"/>
    </row>
    <row r="274" spans="1:34" x14ac:dyDescent="0.25">
      <c r="B274" s="3">
        <f t="shared" ref="B274:AF274" si="260">$C43*EXP(-B$246/$A43/EXP(-$E$126))</f>
        <v>4.5862342503385417E-2</v>
      </c>
      <c r="C274" s="3">
        <f t="shared" si="260"/>
        <v>4.5862342503385417E-2</v>
      </c>
      <c r="D274" s="3">
        <f t="shared" si="260"/>
        <v>4.5862342503385417E-2</v>
      </c>
      <c r="E274" s="3">
        <f t="shared" si="260"/>
        <v>4.5862342503385417E-2</v>
      </c>
      <c r="F274" s="3">
        <f t="shared" si="260"/>
        <v>4.5862342503385417E-2</v>
      </c>
      <c r="G274" s="3">
        <f t="shared" si="260"/>
        <v>4.5862342503385417E-2</v>
      </c>
      <c r="H274" s="3">
        <f t="shared" si="260"/>
        <v>4.5862342503385417E-2</v>
      </c>
      <c r="I274" s="3">
        <f t="shared" si="260"/>
        <v>4.5862342503385417E-2</v>
      </c>
      <c r="J274" s="3">
        <f t="shared" si="260"/>
        <v>4.5862342503385417E-2</v>
      </c>
      <c r="K274" s="3">
        <f t="shared" si="260"/>
        <v>4.5862342503385417E-2</v>
      </c>
      <c r="L274" s="3">
        <f t="shared" si="260"/>
        <v>4.586234250338541E-2</v>
      </c>
      <c r="M274" s="3">
        <f t="shared" si="260"/>
        <v>4.5862342503385368E-2</v>
      </c>
      <c r="N274" s="3">
        <f t="shared" si="260"/>
        <v>4.5862342503384959E-2</v>
      </c>
      <c r="O274" s="3">
        <f t="shared" si="260"/>
        <v>4.586234250338083E-2</v>
      </c>
      <c r="P274" s="3">
        <f t="shared" si="260"/>
        <v>4.5862342503339558E-2</v>
      </c>
      <c r="Q274" s="3">
        <f t="shared" si="260"/>
        <v>4.5862342502926826E-2</v>
      </c>
      <c r="R274" s="3">
        <f t="shared" si="260"/>
        <v>4.5862342498799467E-2</v>
      </c>
      <c r="S274" s="3">
        <f t="shared" si="260"/>
        <v>4.586234245752592E-2</v>
      </c>
      <c r="T274" s="3">
        <f t="shared" si="260"/>
        <v>4.5862342044790456E-2</v>
      </c>
      <c r="U274" s="3">
        <f t="shared" si="260"/>
        <v>4.5862337917436026E-2</v>
      </c>
      <c r="V274" s="3">
        <f t="shared" si="260"/>
        <v>4.5862296643912157E-2</v>
      </c>
      <c r="W274" s="3">
        <f t="shared" si="260"/>
        <v>4.5861883910716335E-2</v>
      </c>
      <c r="X274" s="3">
        <f t="shared" si="260"/>
        <v>4.5857756783041943E-2</v>
      </c>
      <c r="Y274" s="3">
        <f t="shared" si="260"/>
        <v>4.5816505927879246E-2</v>
      </c>
      <c r="Z274" s="3">
        <f t="shared" si="260"/>
        <v>4.5406032750745784E-2</v>
      </c>
      <c r="AA274" s="3">
        <f t="shared" si="260"/>
        <v>4.1498221121655264E-2</v>
      </c>
      <c r="AB274" s="3">
        <f t="shared" si="260"/>
        <v>1.6872860063330823E-2</v>
      </c>
      <c r="AC274" s="3">
        <f t="shared" si="260"/>
        <v>2.0834397533792992E-6</v>
      </c>
      <c r="AD274" s="3">
        <f t="shared" si="260"/>
        <v>1.7167354098272374E-45</v>
      </c>
      <c r="AE274" s="3">
        <f t="shared" si="260"/>
        <v>0</v>
      </c>
      <c r="AF274" s="3">
        <f t="shared" si="260"/>
        <v>0</v>
      </c>
      <c r="AG274" s="3"/>
      <c r="AH274" s="3"/>
    </row>
    <row r="275" spans="1:34" x14ac:dyDescent="0.25">
      <c r="B275" s="3">
        <f t="shared" ref="B275:AF275" si="261">$C44*EXP(-B$246/$A44/EXP(-$E$126))</f>
        <v>5.0364270464190349E-2</v>
      </c>
      <c r="C275" s="3">
        <f t="shared" si="261"/>
        <v>5.0364270464190349E-2</v>
      </c>
      <c r="D275" s="3">
        <f t="shared" si="261"/>
        <v>5.0364270464190349E-2</v>
      </c>
      <c r="E275" s="3">
        <f t="shared" si="261"/>
        <v>5.0364270464190349E-2</v>
      </c>
      <c r="F275" s="3">
        <f t="shared" si="261"/>
        <v>5.0364270464190349E-2</v>
      </c>
      <c r="G275" s="3">
        <f t="shared" si="261"/>
        <v>5.0364270464190349E-2</v>
      </c>
      <c r="H275" s="3">
        <f t="shared" si="261"/>
        <v>5.0364270464190349E-2</v>
      </c>
      <c r="I275" s="3">
        <f t="shared" si="261"/>
        <v>5.0364270464190349E-2</v>
      </c>
      <c r="J275" s="3">
        <f t="shared" si="261"/>
        <v>5.0364270464190349E-2</v>
      </c>
      <c r="K275" s="3">
        <f t="shared" si="261"/>
        <v>5.0364270464190349E-2</v>
      </c>
      <c r="L275" s="3">
        <f t="shared" si="261"/>
        <v>5.0364270464190349E-2</v>
      </c>
      <c r="M275" s="3">
        <f t="shared" si="261"/>
        <v>5.0364270464190342E-2</v>
      </c>
      <c r="N275" s="3">
        <f t="shared" si="261"/>
        <v>5.03642704641903E-2</v>
      </c>
      <c r="O275" s="3">
        <f t="shared" si="261"/>
        <v>5.0364270464189842E-2</v>
      </c>
      <c r="P275" s="3">
        <f t="shared" si="261"/>
        <v>5.0364270464185311E-2</v>
      </c>
      <c r="Q275" s="3">
        <f t="shared" si="261"/>
        <v>5.0364270464139986E-2</v>
      </c>
      <c r="R275" s="3">
        <f t="shared" si="261"/>
        <v>5.0364270463686737E-2</v>
      </c>
      <c r="S275" s="3">
        <f t="shared" si="261"/>
        <v>5.0364270459154231E-2</v>
      </c>
      <c r="T275" s="3">
        <f t="shared" si="261"/>
        <v>5.0364270413829203E-2</v>
      </c>
      <c r="U275" s="3">
        <f t="shared" si="261"/>
        <v>5.0364269960578904E-2</v>
      </c>
      <c r="V275" s="3">
        <f t="shared" si="261"/>
        <v>5.0364265428076122E-2</v>
      </c>
      <c r="W275" s="3">
        <f t="shared" si="261"/>
        <v>5.0364220103070775E-2</v>
      </c>
      <c r="X275" s="3">
        <f t="shared" si="261"/>
        <v>5.0363766855260714E-2</v>
      </c>
      <c r="Y275" s="3">
        <f t="shared" si="261"/>
        <v>5.0359234601496793E-2</v>
      </c>
      <c r="Z275" s="3">
        <f t="shared" si="261"/>
        <v>5.0313934490057E-2</v>
      </c>
      <c r="AA275" s="3">
        <f t="shared" si="261"/>
        <v>4.9863168546081957E-2</v>
      </c>
      <c r="AB275" s="3">
        <f t="shared" si="261"/>
        <v>4.5571759275042326E-2</v>
      </c>
      <c r="AC275" s="3">
        <f t="shared" si="261"/>
        <v>1.8529129594095646E-2</v>
      </c>
      <c r="AD275" s="3">
        <f t="shared" si="261"/>
        <v>2.2879538529305473E-6</v>
      </c>
      <c r="AE275" s="3">
        <f t="shared" si="261"/>
        <v>1.8852531679909125E-45</v>
      </c>
      <c r="AF275" s="3">
        <f t="shared" si="261"/>
        <v>0</v>
      </c>
      <c r="AG275" s="3"/>
      <c r="AH275" s="3"/>
    </row>
    <row r="276" spans="1:34" x14ac:dyDescent="0.25">
      <c r="B276" s="3">
        <f t="shared" ref="B276:AF276" si="262">$C45*EXP(-B$246/$A45/EXP(-$E$126))</f>
        <v>4.7472549330169547E-2</v>
      </c>
      <c r="C276" s="3">
        <f t="shared" si="262"/>
        <v>4.7472549330169547E-2</v>
      </c>
      <c r="D276" s="3">
        <f t="shared" si="262"/>
        <v>4.7472549330169547E-2</v>
      </c>
      <c r="E276" s="3">
        <f t="shared" si="262"/>
        <v>4.7472549330169547E-2</v>
      </c>
      <c r="F276" s="3">
        <f t="shared" si="262"/>
        <v>4.7472549330169547E-2</v>
      </c>
      <c r="G276" s="3">
        <f t="shared" si="262"/>
        <v>4.7472549330169547E-2</v>
      </c>
      <c r="H276" s="3">
        <f t="shared" si="262"/>
        <v>4.7472549330169547E-2</v>
      </c>
      <c r="I276" s="3">
        <f t="shared" si="262"/>
        <v>4.7472549330169547E-2</v>
      </c>
      <c r="J276" s="3">
        <f t="shared" si="262"/>
        <v>4.7472549330169547E-2</v>
      </c>
      <c r="K276" s="3">
        <f t="shared" si="262"/>
        <v>4.7472549330169547E-2</v>
      </c>
      <c r="L276" s="3">
        <f t="shared" si="262"/>
        <v>4.7472549330169547E-2</v>
      </c>
      <c r="M276" s="3">
        <f t="shared" si="262"/>
        <v>4.7472549330169547E-2</v>
      </c>
      <c r="N276" s="3">
        <f t="shared" si="262"/>
        <v>4.747254933016954E-2</v>
      </c>
      <c r="O276" s="3">
        <f t="shared" si="262"/>
        <v>4.7472549330169499E-2</v>
      </c>
      <c r="P276" s="3">
        <f t="shared" si="262"/>
        <v>4.7472549330169075E-2</v>
      </c>
      <c r="Q276" s="3">
        <f t="shared" si="262"/>
        <v>4.7472549330164801E-2</v>
      </c>
      <c r="R276" s="3">
        <f t="shared" si="262"/>
        <v>4.7472549330122078E-2</v>
      </c>
      <c r="S276" s="3">
        <f t="shared" si="262"/>
        <v>4.7472549329694851E-2</v>
      </c>
      <c r="T276" s="3">
        <f t="shared" si="262"/>
        <v>4.7472549325422587E-2</v>
      </c>
      <c r="U276" s="3">
        <f t="shared" si="262"/>
        <v>4.7472549282699943E-2</v>
      </c>
      <c r="V276" s="3">
        <f t="shared" si="262"/>
        <v>4.7472548855473522E-2</v>
      </c>
      <c r="W276" s="3">
        <f t="shared" si="262"/>
        <v>4.7472544583209472E-2</v>
      </c>
      <c r="X276" s="3">
        <f t="shared" si="262"/>
        <v>4.7472501860590197E-2</v>
      </c>
      <c r="Y276" s="3">
        <f t="shared" si="262"/>
        <v>4.7472074636512027E-2</v>
      </c>
      <c r="Z276" s="3">
        <f t="shared" si="262"/>
        <v>4.7467802607186436E-2</v>
      </c>
      <c r="AA276" s="3">
        <f t="shared" si="262"/>
        <v>4.7425103452504613E-2</v>
      </c>
      <c r="AB276" s="3">
        <f t="shared" si="262"/>
        <v>4.7000218741289936E-2</v>
      </c>
      <c r="AC276" s="3">
        <f t="shared" si="262"/>
        <v>4.2955205551627504E-2</v>
      </c>
      <c r="AD276" s="3">
        <f t="shared" si="262"/>
        <v>1.7465258815299131E-2</v>
      </c>
      <c r="AE276" s="3">
        <f t="shared" si="262"/>
        <v>2.1565884137172912E-6</v>
      </c>
      <c r="AF276" s="3">
        <f t="shared" si="262"/>
        <v>1.7770092407263418E-45</v>
      </c>
      <c r="AG276" s="3"/>
      <c r="AH276" s="3"/>
    </row>
    <row r="277" spans="1:34" x14ac:dyDescent="0.25">
      <c r="B277" s="3">
        <f t="shared" ref="B277:AF277" si="263">$C46*EXP(-B$246/$A46/EXP(-$E$126))</f>
        <v>3.4265272438938038E-2</v>
      </c>
      <c r="C277" s="3">
        <f t="shared" si="263"/>
        <v>3.4265272438938038E-2</v>
      </c>
      <c r="D277" s="3">
        <f t="shared" si="263"/>
        <v>3.4265272438938038E-2</v>
      </c>
      <c r="E277" s="3">
        <f t="shared" si="263"/>
        <v>3.4265272438938038E-2</v>
      </c>
      <c r="F277" s="3">
        <f t="shared" si="263"/>
        <v>3.4265272438938038E-2</v>
      </c>
      <c r="G277" s="3">
        <f t="shared" si="263"/>
        <v>3.4265272438938038E-2</v>
      </c>
      <c r="H277" s="3">
        <f t="shared" si="263"/>
        <v>3.4265272438938038E-2</v>
      </c>
      <c r="I277" s="3">
        <f t="shared" si="263"/>
        <v>3.4265272438938038E-2</v>
      </c>
      <c r="J277" s="3">
        <f t="shared" si="263"/>
        <v>3.4265272438938038E-2</v>
      </c>
      <c r="K277" s="3">
        <f t="shared" si="263"/>
        <v>3.4265272438938038E-2</v>
      </c>
      <c r="L277" s="3">
        <f t="shared" si="263"/>
        <v>3.4265272438938038E-2</v>
      </c>
      <c r="M277" s="3">
        <f t="shared" si="263"/>
        <v>3.4265272438938038E-2</v>
      </c>
      <c r="N277" s="3">
        <f t="shared" si="263"/>
        <v>3.4265272438938038E-2</v>
      </c>
      <c r="O277" s="3">
        <f t="shared" si="263"/>
        <v>3.4265272438938031E-2</v>
      </c>
      <c r="P277" s="3">
        <f t="shared" si="263"/>
        <v>3.4265272438938003E-2</v>
      </c>
      <c r="Q277" s="3">
        <f t="shared" si="263"/>
        <v>3.4265272438937698E-2</v>
      </c>
      <c r="R277" s="3">
        <f t="shared" si="263"/>
        <v>3.426527243893461E-2</v>
      </c>
      <c r="S277" s="3">
        <f t="shared" si="263"/>
        <v>3.4265272438903774E-2</v>
      </c>
      <c r="T277" s="3">
        <f t="shared" si="263"/>
        <v>3.4265272438595409E-2</v>
      </c>
      <c r="U277" s="3">
        <f t="shared" si="263"/>
        <v>3.4265272435511723E-2</v>
      </c>
      <c r="V277" s="3">
        <f t="shared" si="263"/>
        <v>3.426527240467489E-2</v>
      </c>
      <c r="W277" s="3">
        <f t="shared" si="263"/>
        <v>3.426527209630658E-2</v>
      </c>
      <c r="X277" s="3">
        <f t="shared" si="263"/>
        <v>3.4265269012623625E-2</v>
      </c>
      <c r="Y277" s="3">
        <f t="shared" si="263"/>
        <v>3.4265238175809301E-2</v>
      </c>
      <c r="Z277" s="3">
        <f t="shared" si="263"/>
        <v>3.4264929809192435E-2</v>
      </c>
      <c r="AA277" s="3">
        <f t="shared" si="263"/>
        <v>3.4261846295650954E-2</v>
      </c>
      <c r="AB277" s="3">
        <f t="shared" si="263"/>
        <v>3.4231026417874656E-2</v>
      </c>
      <c r="AC277" s="3">
        <f t="shared" si="263"/>
        <v>3.3924348335691731E-2</v>
      </c>
      <c r="AD277" s="3">
        <f t="shared" si="263"/>
        <v>3.100469306293822E-2</v>
      </c>
      <c r="AE277" s="3">
        <f t="shared" si="263"/>
        <v>1.2606271623640473E-2</v>
      </c>
      <c r="AF277" s="3">
        <f t="shared" si="263"/>
        <v>1.5566067248829646E-6</v>
      </c>
      <c r="AG277" s="3"/>
      <c r="AH277" s="3"/>
    </row>
    <row r="278" spans="1:34" x14ac:dyDescent="0.25">
      <c r="B278" s="3">
        <f t="shared" ref="B278:AF278" si="264">$C47*EXP(-B$246/$A47/EXP(-$E$126))</f>
        <v>1.7817533491132281E-2</v>
      </c>
      <c r="C278" s="3">
        <f t="shared" si="264"/>
        <v>1.7817533491132281E-2</v>
      </c>
      <c r="D278" s="3">
        <f t="shared" si="264"/>
        <v>1.7817533491132281E-2</v>
      </c>
      <c r="E278" s="3">
        <f t="shared" si="264"/>
        <v>1.7817533491132281E-2</v>
      </c>
      <c r="F278" s="3">
        <f t="shared" si="264"/>
        <v>1.7817533491132281E-2</v>
      </c>
      <c r="G278" s="3">
        <f t="shared" si="264"/>
        <v>1.7817533491132281E-2</v>
      </c>
      <c r="H278" s="3">
        <f t="shared" si="264"/>
        <v>1.7817533491132281E-2</v>
      </c>
      <c r="I278" s="3">
        <f t="shared" si="264"/>
        <v>1.7817533491132281E-2</v>
      </c>
      <c r="J278" s="3">
        <f t="shared" si="264"/>
        <v>1.7817533491132281E-2</v>
      </c>
      <c r="K278" s="3">
        <f t="shared" si="264"/>
        <v>1.7817533491132281E-2</v>
      </c>
      <c r="L278" s="3">
        <f t="shared" si="264"/>
        <v>1.7817533491132281E-2</v>
      </c>
      <c r="M278" s="3">
        <f t="shared" si="264"/>
        <v>1.7817533491132281E-2</v>
      </c>
      <c r="N278" s="3">
        <f t="shared" si="264"/>
        <v>1.7817533491132281E-2</v>
      </c>
      <c r="O278" s="3">
        <f t="shared" si="264"/>
        <v>1.7817533491132281E-2</v>
      </c>
      <c r="P278" s="3">
        <f t="shared" si="264"/>
        <v>1.7817533491132277E-2</v>
      </c>
      <c r="Q278" s="3">
        <f t="shared" si="264"/>
        <v>1.7817533491132263E-2</v>
      </c>
      <c r="R278" s="3">
        <f t="shared" si="264"/>
        <v>1.7817533491132104E-2</v>
      </c>
      <c r="S278" s="3">
        <f t="shared" si="264"/>
        <v>1.7817533491130497E-2</v>
      </c>
      <c r="T278" s="3">
        <f t="shared" si="264"/>
        <v>1.7817533491114465E-2</v>
      </c>
      <c r="U278" s="3">
        <f t="shared" si="264"/>
        <v>1.7817533490954118E-2</v>
      </c>
      <c r="V278" s="3">
        <f t="shared" si="264"/>
        <v>1.7817533489350636E-2</v>
      </c>
      <c r="W278" s="3">
        <f t="shared" si="264"/>
        <v>1.7817533473315852E-2</v>
      </c>
      <c r="X278" s="3">
        <f t="shared" si="264"/>
        <v>1.7817533312968006E-2</v>
      </c>
      <c r="Y278" s="3">
        <f t="shared" si="264"/>
        <v>1.78175317094896E-2</v>
      </c>
      <c r="Z278" s="3">
        <f t="shared" si="264"/>
        <v>1.7817515674713492E-2</v>
      </c>
      <c r="AA278" s="3">
        <f t="shared" si="264"/>
        <v>1.7817355327746066E-2</v>
      </c>
      <c r="AB278" s="3">
        <f t="shared" si="264"/>
        <v>1.7815751937436133E-2</v>
      </c>
      <c r="AC278" s="3">
        <f t="shared" si="264"/>
        <v>1.7799725968127109E-2</v>
      </c>
      <c r="AD278" s="3">
        <f t="shared" si="264"/>
        <v>1.7640257018623557E-2</v>
      </c>
      <c r="AE278" s="3">
        <f t="shared" si="264"/>
        <v>1.6122071056508414E-2</v>
      </c>
      <c r="AF278" s="3">
        <f t="shared" si="264"/>
        <v>6.5551110750043671E-3</v>
      </c>
      <c r="AG278" s="3"/>
      <c r="AH278" s="3"/>
    </row>
    <row r="279" spans="1:34" x14ac:dyDescent="0.25">
      <c r="B279" s="3">
        <f t="shared" ref="B279:AF279" si="265">$C48*EXP(-B$246/$A48/EXP(-$E$126))</f>
        <v>3.0591851493341829E-2</v>
      </c>
      <c r="C279" s="3">
        <f t="shared" si="265"/>
        <v>3.0591851493341829E-2</v>
      </c>
      <c r="D279" s="3">
        <f t="shared" si="265"/>
        <v>3.0591851493341829E-2</v>
      </c>
      <c r="E279" s="3">
        <f t="shared" si="265"/>
        <v>3.0591851493341829E-2</v>
      </c>
      <c r="F279" s="3">
        <f t="shared" si="265"/>
        <v>3.0591851493341829E-2</v>
      </c>
      <c r="G279" s="3">
        <f t="shared" si="265"/>
        <v>3.0591851493341829E-2</v>
      </c>
      <c r="H279" s="3">
        <f t="shared" si="265"/>
        <v>3.0591851493341829E-2</v>
      </c>
      <c r="I279" s="3">
        <f t="shared" si="265"/>
        <v>3.0591851493341829E-2</v>
      </c>
      <c r="J279" s="3">
        <f t="shared" si="265"/>
        <v>3.0591851493341829E-2</v>
      </c>
      <c r="K279" s="3">
        <f t="shared" si="265"/>
        <v>3.0591851493341829E-2</v>
      </c>
      <c r="L279" s="3">
        <f t="shared" si="265"/>
        <v>3.0591851493341829E-2</v>
      </c>
      <c r="M279" s="3">
        <f t="shared" si="265"/>
        <v>3.0591851493341829E-2</v>
      </c>
      <c r="N279" s="3">
        <f t="shared" si="265"/>
        <v>3.0591851493341829E-2</v>
      </c>
      <c r="O279" s="3">
        <f t="shared" si="265"/>
        <v>3.0591851493341829E-2</v>
      </c>
      <c r="P279" s="3">
        <f t="shared" si="265"/>
        <v>3.0591851493341829E-2</v>
      </c>
      <c r="Q279" s="3">
        <f t="shared" si="265"/>
        <v>3.0591851493341825E-2</v>
      </c>
      <c r="R279" s="3">
        <f t="shared" si="265"/>
        <v>3.0591851493341798E-2</v>
      </c>
      <c r="S279" s="3">
        <f t="shared" si="265"/>
        <v>3.0591851493341524E-2</v>
      </c>
      <c r="T279" s="3">
        <f t="shared" si="265"/>
        <v>3.0591851493338769E-2</v>
      </c>
      <c r="U279" s="3">
        <f t="shared" si="265"/>
        <v>3.0591851493311239E-2</v>
      </c>
      <c r="V279" s="3">
        <f t="shared" si="265"/>
        <v>3.0591851493035931E-2</v>
      </c>
      <c r="W279" s="3">
        <f t="shared" si="265"/>
        <v>3.0591851490282835E-2</v>
      </c>
      <c r="X279" s="3">
        <f t="shared" si="265"/>
        <v>3.0591851462751878E-2</v>
      </c>
      <c r="Y279" s="3">
        <f t="shared" si="265"/>
        <v>3.0591851187442301E-2</v>
      </c>
      <c r="Z279" s="3">
        <f t="shared" si="265"/>
        <v>3.0591848434346692E-2</v>
      </c>
      <c r="AA279" s="3">
        <f t="shared" si="265"/>
        <v>3.0591820903404225E-2</v>
      </c>
      <c r="AB279" s="3">
        <f t="shared" si="265"/>
        <v>3.0591545595342235E-2</v>
      </c>
      <c r="AC279" s="3">
        <f t="shared" si="265"/>
        <v>3.0588792650987073E-2</v>
      </c>
      <c r="AD279" s="3">
        <f t="shared" si="265"/>
        <v>3.0561276829373353E-2</v>
      </c>
      <c r="AE279" s="3">
        <f t="shared" si="265"/>
        <v>3.0287476282095591E-2</v>
      </c>
      <c r="AF279" s="3">
        <f t="shared" si="265"/>
        <v>2.7680823710603705E-2</v>
      </c>
      <c r="AG279" s="3"/>
      <c r="AH279" s="3"/>
    </row>
    <row r="280" spans="1:34" x14ac:dyDescent="0.25">
      <c r="A280" s="79">
        <f>AVERAGE(B280:AF280)</f>
        <v>3.9807099988721858E-5</v>
      </c>
      <c r="B280" s="80">
        <f>IF($D$61&lt;=B246,IF($E$61&gt;=B246,ABS((B248-B247)/B247),0),0)</f>
        <v>2.3432349734482303E-4</v>
      </c>
      <c r="C280" s="80">
        <f t="shared" ref="C280:AF280" si="266">IF($D$61&lt;=C246,IF($E$61&gt;=C246,ABS((C248-C247)/C247),0),0)</f>
        <v>1.480128470184066E-4</v>
      </c>
      <c r="D280" s="80">
        <f t="shared" si="266"/>
        <v>4.9309722556341339E-4</v>
      </c>
      <c r="E280" s="80">
        <f t="shared" si="266"/>
        <v>1.2860406199032996E-4</v>
      </c>
      <c r="F280" s="80">
        <f t="shared" si="266"/>
        <v>1.8198557305835318E-5</v>
      </c>
      <c r="G280" s="80">
        <f t="shared" si="266"/>
        <v>3.1519502762283632E-6</v>
      </c>
      <c r="H280" s="80">
        <f t="shared" si="266"/>
        <v>2.1499257315791964E-7</v>
      </c>
      <c r="I280" s="80">
        <f t="shared" si="266"/>
        <v>1.7872310323571903E-6</v>
      </c>
      <c r="J280" s="80">
        <f t="shared" si="266"/>
        <v>1.4317189216482679E-6</v>
      </c>
      <c r="K280" s="80">
        <f t="shared" si="266"/>
        <v>6.3796034822114724E-6</v>
      </c>
      <c r="L280" s="80">
        <f t="shared" si="266"/>
        <v>1.0987378016357566E-5</v>
      </c>
      <c r="M280" s="80">
        <f t="shared" si="266"/>
        <v>2.1465894074307542E-5</v>
      </c>
      <c r="N280" s="80">
        <f t="shared" si="266"/>
        <v>2.6162995330608953E-5</v>
      </c>
      <c r="O280" s="80">
        <f t="shared" si="266"/>
        <v>3.0662604007720601E-5</v>
      </c>
      <c r="P280" s="80">
        <f t="shared" si="266"/>
        <v>2.6278805382546913E-5</v>
      </c>
      <c r="Q280" s="80">
        <f t="shared" si="266"/>
        <v>2.5369756953826081E-5</v>
      </c>
      <c r="R280" s="80">
        <f t="shared" si="266"/>
        <v>1.7708734717043692E-5</v>
      </c>
      <c r="S280" s="80">
        <f t="shared" si="266"/>
        <v>1.6187827171104746E-5</v>
      </c>
      <c r="T280" s="80">
        <f t="shared" si="266"/>
        <v>6.3602822489629171E-6</v>
      </c>
      <c r="U280" s="80">
        <f t="shared" si="266"/>
        <v>5.9428964993371822E-6</v>
      </c>
      <c r="V280" s="80">
        <f t="shared" si="266"/>
        <v>2.0332814074861407E-6</v>
      </c>
      <c r="W280" s="80">
        <f t="shared" si="266"/>
        <v>1.9074416629676535E-7</v>
      </c>
      <c r="X280" s="80">
        <f t="shared" si="266"/>
        <v>7.0054720181721197E-6</v>
      </c>
      <c r="Y280" s="80">
        <f t="shared" si="266"/>
        <v>2.4617421481952378E-6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2.091934135757135</v>
      </c>
      <c r="C281" s="21">
        <f t="shared" ref="C281:AF281" si="267">(C248-C247)^2</f>
        <v>0.83438933215932209</v>
      </c>
      <c r="D281" s="21">
        <f t="shared" si="267"/>
        <v>9.2289831740352817</v>
      </c>
      <c r="E281" s="21">
        <f t="shared" si="267"/>
        <v>0.61141752050678388</v>
      </c>
      <c r="F281" s="21">
        <f t="shared" si="267"/>
        <v>1.1565685968733117E-2</v>
      </c>
      <c r="G281" s="21">
        <f t="shared" si="267"/>
        <v>3.334981564975603E-4</v>
      </c>
      <c r="H281" s="21">
        <f t="shared" si="267"/>
        <v>1.4913482774615969E-6</v>
      </c>
      <c r="I281" s="21">
        <f t="shared" si="267"/>
        <v>9.8505769036469834E-5</v>
      </c>
      <c r="J281" s="21">
        <f t="shared" si="267"/>
        <v>6.0180777709009534E-5</v>
      </c>
      <c r="K281" s="21">
        <f t="shared" si="267"/>
        <v>1.1288382747009016E-3</v>
      </c>
      <c r="L281" s="21">
        <f t="shared" si="267"/>
        <v>3.1432310555399709E-3</v>
      </c>
      <c r="M281" s="21">
        <f t="shared" si="267"/>
        <v>1.1222826710141518E-2</v>
      </c>
      <c r="N281" s="21">
        <f t="shared" si="267"/>
        <v>1.5599983171338504E-2</v>
      </c>
      <c r="O281" s="21">
        <f t="shared" si="267"/>
        <v>1.9878476394671451E-2</v>
      </c>
      <c r="P281" s="21">
        <f t="shared" si="267"/>
        <v>1.3272176527044939E-2</v>
      </c>
      <c r="Q281" s="21">
        <f t="shared" si="267"/>
        <v>1.1100390071301328E-2</v>
      </c>
      <c r="R281" s="21">
        <f t="shared" si="267"/>
        <v>4.8617145057292532E-3</v>
      </c>
      <c r="S281" s="21">
        <f t="shared" si="267"/>
        <v>3.5637085765529036E-3</v>
      </c>
      <c r="T281" s="21">
        <f t="shared" si="267"/>
        <v>4.5728250567640276E-4</v>
      </c>
      <c r="U281" s="21">
        <f t="shared" si="267"/>
        <v>3.2893942400144234E-4</v>
      </c>
      <c r="V281" s="21">
        <f t="shared" si="267"/>
        <v>3.1993185466947068E-5</v>
      </c>
      <c r="W281" s="21">
        <f t="shared" si="267"/>
        <v>2.3621173014159519E-7</v>
      </c>
      <c r="X281" s="21">
        <f t="shared" si="267"/>
        <v>2.6522070191291119E-4</v>
      </c>
      <c r="Y281" s="21">
        <f t="shared" si="267"/>
        <v>2.7003552674168253E-5</v>
      </c>
      <c r="Z281" s="21">
        <f t="shared" si="267"/>
        <v>1.6919906530264784E-4</v>
      </c>
      <c r="AA281" s="21">
        <f t="shared" si="267"/>
        <v>1.1019145804529474E-4</v>
      </c>
      <c r="AB281" s="21">
        <f t="shared" si="267"/>
        <v>1.0726413865671723E-6</v>
      </c>
      <c r="AC281" s="21">
        <f t="shared" si="267"/>
        <v>2.649281700606704E-4</v>
      </c>
      <c r="AD281" s="21">
        <f t="shared" si="267"/>
        <v>2.5840139288523285E-6</v>
      </c>
      <c r="AE281" s="21">
        <f t="shared" si="267"/>
        <v>1.0956504878405096E-4</v>
      </c>
      <c r="AF281" s="21">
        <f t="shared" si="267"/>
        <v>3.5244999008633251E-6</v>
      </c>
      <c r="AG281" s="3"/>
      <c r="AH281" s="3"/>
    </row>
    <row r="282" spans="1:34" s="3" customFormat="1" x14ac:dyDescent="0.25">
      <c r="A282" s="71">
        <f>SUM(B282:AF282)</f>
        <v>12.863665545347256</v>
      </c>
      <c r="B282" s="21">
        <f>IF($D$61&lt;=B246,IF($E$61&gt;=B246,ABS(B281),0),0)</f>
        <v>2.091934135757135</v>
      </c>
      <c r="C282" s="21">
        <f t="shared" ref="C282:AF282" si="268">IF($D$61&lt;=C246,IF($E$61&gt;=C246,ABS(C281),0),0)</f>
        <v>0.83438933215932209</v>
      </c>
      <c r="D282" s="21">
        <f t="shared" si="268"/>
        <v>9.2289831740352817</v>
      </c>
      <c r="E282" s="21">
        <f t="shared" si="268"/>
        <v>0.61141752050678388</v>
      </c>
      <c r="F282" s="21">
        <f t="shared" si="268"/>
        <v>1.1565685968733117E-2</v>
      </c>
      <c r="G282" s="21">
        <f t="shared" si="268"/>
        <v>3.334981564975603E-4</v>
      </c>
      <c r="H282" s="21">
        <f t="shared" si="268"/>
        <v>1.4913482774615969E-6</v>
      </c>
      <c r="I282" s="21">
        <f t="shared" si="268"/>
        <v>9.8505769036469834E-5</v>
      </c>
      <c r="J282" s="21">
        <f t="shared" si="268"/>
        <v>6.0180777709009534E-5</v>
      </c>
      <c r="K282" s="21">
        <f t="shared" si="268"/>
        <v>1.1288382747009016E-3</v>
      </c>
      <c r="L282" s="21">
        <f t="shared" si="268"/>
        <v>3.1432310555399709E-3</v>
      </c>
      <c r="M282" s="21">
        <f t="shared" si="268"/>
        <v>1.1222826710141518E-2</v>
      </c>
      <c r="N282" s="21">
        <f t="shared" si="268"/>
        <v>1.5599983171338504E-2</v>
      </c>
      <c r="O282" s="21">
        <f t="shared" si="268"/>
        <v>1.9878476394671451E-2</v>
      </c>
      <c r="P282" s="21">
        <f t="shared" si="268"/>
        <v>1.3272176527044939E-2</v>
      </c>
      <c r="Q282" s="21">
        <f t="shared" si="268"/>
        <v>1.1100390071301328E-2</v>
      </c>
      <c r="R282" s="21">
        <f t="shared" si="268"/>
        <v>4.8617145057292532E-3</v>
      </c>
      <c r="S282" s="21">
        <f t="shared" si="268"/>
        <v>3.5637085765529036E-3</v>
      </c>
      <c r="T282" s="21">
        <f t="shared" si="268"/>
        <v>4.5728250567640276E-4</v>
      </c>
      <c r="U282" s="21">
        <f t="shared" si="268"/>
        <v>3.2893942400144234E-4</v>
      </c>
      <c r="V282" s="21">
        <f t="shared" si="268"/>
        <v>3.1993185466947068E-5</v>
      </c>
      <c r="W282" s="21">
        <f t="shared" si="268"/>
        <v>2.3621173014159519E-7</v>
      </c>
      <c r="X282" s="21">
        <f t="shared" si="268"/>
        <v>2.6522070191291119E-4</v>
      </c>
      <c r="Y282" s="21">
        <f t="shared" si="268"/>
        <v>2.7003552674168253E-5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6108.3109888117415</v>
      </c>
      <c r="C287" s="27">
        <f t="shared" ref="C287:AF287" si="269">($C$17+SUM(C288:C318))*$B$51</f>
        <v>5957.6701918772742</v>
      </c>
      <c r="D287" s="27">
        <f t="shared" si="269"/>
        <v>5822.8150843475878</v>
      </c>
      <c r="E287" s="27">
        <f t="shared" si="269"/>
        <v>5713.2991440821816</v>
      </c>
      <c r="F287" s="27">
        <f t="shared" si="269"/>
        <v>5589.8582615023806</v>
      </c>
      <c r="G287" s="27">
        <f t="shared" si="269"/>
        <v>5456.613579835187</v>
      </c>
      <c r="H287" s="27">
        <f t="shared" si="269"/>
        <v>5309.8531649283441</v>
      </c>
      <c r="I287" s="27">
        <f t="shared" si="269"/>
        <v>5146.8929669479949</v>
      </c>
      <c r="J287" s="27">
        <f t="shared" si="269"/>
        <v>4978.4114141453128</v>
      </c>
      <c r="K287" s="27">
        <f t="shared" si="269"/>
        <v>4813.1457543409879</v>
      </c>
      <c r="L287" s="27">
        <f t="shared" si="269"/>
        <v>4644.9246621548155</v>
      </c>
      <c r="M287" s="27">
        <f t="shared" si="269"/>
        <v>4438.8148666412108</v>
      </c>
      <c r="N287" s="27">
        <f t="shared" si="269"/>
        <v>4203.4247951213511</v>
      </c>
      <c r="O287" s="27">
        <f t="shared" si="269"/>
        <v>3983.8723381176428</v>
      </c>
      <c r="P287" s="27">
        <f t="shared" si="269"/>
        <v>3755.0014864162995</v>
      </c>
      <c r="Q287" s="27">
        <f t="shared" si="269"/>
        <v>3432.8760734061079</v>
      </c>
      <c r="R287" s="27">
        <f t="shared" si="269"/>
        <v>3115.8012920800411</v>
      </c>
      <c r="S287" s="27">
        <f t="shared" si="269"/>
        <v>2839.8568078196831</v>
      </c>
      <c r="T287" s="27">
        <f t="shared" si="269"/>
        <v>2596.7601906635332</v>
      </c>
      <c r="U287" s="27">
        <f t="shared" si="269"/>
        <v>2388.5603390923725</v>
      </c>
      <c r="V287" s="27">
        <f t="shared" si="269"/>
        <v>2165.6699218823137</v>
      </c>
      <c r="W287" s="27">
        <f t="shared" si="269"/>
        <v>1945.5826194591616</v>
      </c>
      <c r="X287" s="27">
        <f t="shared" si="269"/>
        <v>1713.7001468798983</v>
      </c>
      <c r="Y287" s="27">
        <f t="shared" si="269"/>
        <v>1452.6821336155274</v>
      </c>
      <c r="Z287" s="27">
        <f t="shared" si="269"/>
        <v>1158.410066195032</v>
      </c>
      <c r="AA287" s="27">
        <f t="shared" si="269"/>
        <v>859.41345236332984</v>
      </c>
      <c r="AB287" s="27">
        <f t="shared" si="269"/>
        <v>605.83886300887627</v>
      </c>
      <c r="AC287" s="27">
        <f t="shared" si="269"/>
        <v>433.93469285044489</v>
      </c>
      <c r="AD287" s="27">
        <f t="shared" si="269"/>
        <v>299.60356279103462</v>
      </c>
      <c r="AE287" s="27">
        <f t="shared" si="269"/>
        <v>191.93990806771274</v>
      </c>
      <c r="AF287" s="27">
        <f t="shared" si="269"/>
        <v>191.25449218977511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2.4676002507574256E-3</v>
      </c>
      <c r="C290" s="3">
        <f t="shared" si="272"/>
        <v>2.0653328147803764E-8</v>
      </c>
      <c r="D290" s="3">
        <f t="shared" si="272"/>
        <v>3.4845158276596017E-59</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3.0964671876578153E-2</v>
      </c>
      <c r="C291" s="3">
        <f t="shared" si="273"/>
        <v>1.0785819744168526E-2</v>
      </c>
      <c r="D291" s="3">
        <f t="shared" si="273"/>
        <v>2.8360893870164037E-7</v>
      </c>
      <c r="E291" s="3">
        <f t="shared" si="273"/>
        <v>4.481129368925049E-53</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1.6561356118314954E-2</v>
      </c>
      <c r="C292" s="3">
        <f t="shared" si="274"/>
        <v>1.5058415759088143E-2</v>
      </c>
      <c r="D292" s="3">
        <f t="shared" si="274"/>
        <v>5.815849535314852E-3</v>
      </c>
      <c r="E292" s="3">
        <f t="shared" si="274"/>
        <v>4.2948890220827916E-7</v>
      </c>
      <c r="F292" s="3">
        <f t="shared" si="274"/>
        <v>2.0717616434878972E-48</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1.9232657080305159E-2</v>
      </c>
      <c r="C293" s="3">
        <f t="shared" si="275"/>
        <v>1.9068309220509245E-2</v>
      </c>
      <c r="D293" s="3">
        <f t="shared" si="275"/>
        <v>1.7500125559131469E-2</v>
      </c>
      <c r="E293" s="3">
        <f t="shared" si="275"/>
        <v>7.4187536655201756E-3</v>
      </c>
      <c r="F293" s="3">
        <f t="shared" si="275"/>
        <v>1.3906851369388991E-6</v>
      </c>
      <c r="G293" s="3">
        <f t="shared" si="275"/>
        <v>7.450877711411335E-44</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2.1899338260636989E-2</v>
      </c>
      <c r="C294" s="3">
        <f t="shared" si="276"/>
        <v>2.1882391118620774E-2</v>
      </c>
      <c r="D294" s="3">
        <f t="shared" si="276"/>
        <v>2.1713639340901408E-2</v>
      </c>
      <c r="E294" s="3">
        <f t="shared" si="276"/>
        <v>2.0096066448679045E-2</v>
      </c>
      <c r="F294" s="3">
        <f t="shared" si="276"/>
        <v>9.2660670559703787E-3</v>
      </c>
      <c r="G294" s="3">
        <f t="shared" si="276"/>
        <v>4.0247531175959733E-6</v>
      </c>
      <c r="H294" s="3">
        <f t="shared" si="276"/>
        <v>9.6200496302707225E-40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2.2497106888858101E-2</v>
      </c>
      <c r="C295" s="3">
        <f t="shared" si="277"/>
        <v>2.2495535832835065E-2</v>
      </c>
      <c r="D295" s="3">
        <f t="shared" si="277"/>
        <v>2.2479831305536022E-2</v>
      </c>
      <c r="E295" s="3">
        <f t="shared" si="277"/>
        <v>2.2323387769712086E-2</v>
      </c>
      <c r="F295" s="3">
        <f t="shared" si="277"/>
        <v>2.081759989589194E-2</v>
      </c>
      <c r="G295" s="3">
        <f t="shared" si="277"/>
        <v>1.0354668465690874E-2</v>
      </c>
      <c r="H295" s="3">
        <f t="shared" si="277"/>
        <v>9.5982400528530281E-6</v>
      </c>
      <c r="I295" s="3">
        <f t="shared" si="277"/>
        <v>4.4951656406235187E-36</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2.6719155686855602E-2</v>
      </c>
      <c r="C296" s="3">
        <f t="shared" si="278"/>
        <v>2.6718987362051246E-2</v>
      </c>
      <c r="D296" s="3">
        <f t="shared" si="278"/>
        <v>2.6717304172329068E-2</v>
      </c>
      <c r="E296" s="3">
        <f t="shared" si="278"/>
        <v>2.6700478105888735E-2</v>
      </c>
      <c r="F296" s="3">
        <f t="shared" si="278"/>
        <v>2.6532799162804148E-2</v>
      </c>
      <c r="G296" s="3">
        <f t="shared" si="278"/>
        <v>2.4912848460931978E-2</v>
      </c>
      <c r="H296" s="3">
        <f t="shared" si="278"/>
        <v>1.3268644320966841E-2</v>
      </c>
      <c r="I296" s="3">
        <f t="shared" si="278"/>
        <v>2.4370150710790475E-5</v>
      </c>
      <c r="J296" s="3">
        <f t="shared" si="278"/>
        <v>1.0645715093139947E-32</v>
      </c>
      <c r="K296" s="3">
        <f t="shared" si="278"/>
        <v>2.6936494790291982E-306</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2.8269242567679612E-2</v>
      </c>
      <c r="C297" s="3">
        <f t="shared" si="279"/>
        <v>2.8269226502433034E-2</v>
      </c>
      <c r="D297" s="3">
        <f t="shared" si="279"/>
        <v>2.8269065850469385E-2</v>
      </c>
      <c r="E297" s="3">
        <f t="shared" si="279"/>
        <v>2.8267459381045613E-2</v>
      </c>
      <c r="F297" s="3">
        <f t="shared" si="279"/>
        <v>2.8251399707020612E-2</v>
      </c>
      <c r="G297" s="3">
        <f t="shared" si="279"/>
        <v>2.8091303934053236E-2</v>
      </c>
      <c r="H297" s="3">
        <f t="shared" si="279"/>
        <v>2.6539405375129693E-2</v>
      </c>
      <c r="I297" s="3">
        <f t="shared" si="279"/>
        <v>1.5034330149690363E-2</v>
      </c>
      <c r="J297" s="3">
        <f t="shared" si="279"/>
        <v>5.1169718979176302E-5</v>
      </c>
      <c r="K297" s="3">
        <f t="shared" si="279"/>
        <v>1.0673393486501218E-29</v>
      </c>
      <c r="L297" s="3">
        <f t="shared" si="279"/>
        <v>1.6641689187888943E-276</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2.8789241940330897E-2</v>
      </c>
      <c r="C298" s="3">
        <f t="shared" si="280"/>
        <v>2.8789240464453927E-2</v>
      </c>
      <c r="D298" s="3">
        <f t="shared" si="280"/>
        <v>2.8789225705688384E-2</v>
      </c>
      <c r="E298" s="3">
        <f t="shared" si="280"/>
        <v>2.8789078118449104E-2</v>
      </c>
      <c r="F298" s="3">
        <f t="shared" si="280"/>
        <v>2.8787602287668759E-2</v>
      </c>
      <c r="G298" s="3">
        <f t="shared" si="280"/>
        <v>2.8772848140324579E-2</v>
      </c>
      <c r="H298" s="3">
        <f t="shared" si="280"/>
        <v>2.8625721924730421E-2</v>
      </c>
      <c r="I298" s="3">
        <f t="shared" si="280"/>
        <v>2.7195208576558376E-2</v>
      </c>
      <c r="J298" s="3">
        <f t="shared" si="280"/>
        <v>1.628740339634243E-2</v>
      </c>
      <c r="K298" s="3">
        <f t="shared" si="280"/>
        <v>9.6704445932366907E-5</v>
      </c>
      <c r="L298" s="3">
        <f t="shared" si="280"/>
        <v>5.2649266176768558E-27</v>
      </c>
      <c r="M298" s="3">
        <f t="shared" si="280"/>
        <v>1.2046229596072328E-249</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2.5595411647051786E-2</v>
      </c>
      <c r="C299" s="3">
        <f t="shared" si="281"/>
        <v>2.559541152868533E-2</v>
      </c>
      <c r="D299" s="3">
        <f t="shared" si="281"/>
        <v>2.5595410345020799E-2</v>
      </c>
      <c r="E299" s="3">
        <f t="shared" si="281"/>
        <v>2.5595398508378466E-2</v>
      </c>
      <c r="F299" s="3">
        <f t="shared" si="281"/>
        <v>2.5595280142256205E-2</v>
      </c>
      <c r="G299" s="3">
        <f t="shared" si="281"/>
        <v>2.559409651113935E-2</v>
      </c>
      <c r="H299" s="3">
        <f t="shared" si="281"/>
        <v>2.5582263210031861E-2</v>
      </c>
      <c r="I299" s="3">
        <f t="shared" si="281"/>
        <v>2.5464230690653143E-2</v>
      </c>
      <c r="J299" s="3">
        <f t="shared" si="281"/>
        <v>2.4313446801792975E-2</v>
      </c>
      <c r="K299" s="3">
        <f t="shared" si="281"/>
        <v>1.5311094642793951E-2</v>
      </c>
      <c r="L299" s="3">
        <f t="shared" si="281"/>
        <v>1.5017697095384285E-4</v>
      </c>
      <c r="M299" s="3">
        <f t="shared" si="281"/>
        <v>1.2375829985852686E-24</v>
      </c>
      <c r="N299" s="3">
        <f t="shared" si="281"/>
        <v>1.7876573382293993E-225</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3.1571984223042089E-2</v>
      </c>
      <c r="C300" s="3">
        <f t="shared" si="282"/>
        <v>3.1571984209871208E-2</v>
      </c>
      <c r="D300" s="3">
        <f t="shared" si="282"/>
        <v>3.1571984078162342E-2</v>
      </c>
      <c r="E300" s="3">
        <f t="shared" si="282"/>
        <v>3.1571982761073758E-2</v>
      </c>
      <c r="F300" s="3">
        <f t="shared" si="282"/>
        <v>3.1571969590190936E-2</v>
      </c>
      <c r="G300" s="3">
        <f t="shared" si="282"/>
        <v>3.1571837881664913E-2</v>
      </c>
      <c r="H300" s="3">
        <f t="shared" si="282"/>
        <v>3.1570520826623913E-2</v>
      </c>
      <c r="I300" s="3">
        <f t="shared" si="282"/>
        <v>3.1557353297670232E-2</v>
      </c>
      <c r="J300" s="3">
        <f t="shared" si="282"/>
        <v>3.1425979687918222E-2</v>
      </c>
      <c r="K300" s="3">
        <f t="shared" si="282"/>
        <v>3.0141951067724132E-2</v>
      </c>
      <c r="L300" s="3">
        <f t="shared" si="282"/>
        <v>1.9860798741918293E-2</v>
      </c>
      <c r="M300" s="3">
        <f t="shared" si="282"/>
        <v>3.0637280387223463E-4</v>
      </c>
      <c r="N300" s="3">
        <f t="shared" si="282"/>
        <v>2.3376808417566316E-22</v>
      </c>
      <c r="O300" s="3">
        <f t="shared" si="282"/>
        <v>1.5636346370164085E-203</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4.0619048192671099E-2</v>
      </c>
      <c r="C301" s="3">
        <f t="shared" si="283"/>
        <v>4.0619048191142516E-2</v>
      </c>
      <c r="D301" s="3">
        <f t="shared" si="283"/>
        <v>4.0619048175856674E-2</v>
      </c>
      <c r="E301" s="3">
        <f t="shared" si="283"/>
        <v>4.0619048022998219E-2</v>
      </c>
      <c r="F301" s="3">
        <f t="shared" si="283"/>
        <v>4.0619046494413752E-2</v>
      </c>
      <c r="G301" s="3">
        <f t="shared" si="283"/>
        <v>4.0619031208572208E-2</v>
      </c>
      <c r="H301" s="3">
        <f t="shared" si="283"/>
        <v>4.0618878350473189E-2</v>
      </c>
      <c r="I301" s="3">
        <f t="shared" si="283"/>
        <v>4.0617349801120757E-2</v>
      </c>
      <c r="J301" s="3">
        <f t="shared" si="283"/>
        <v>4.0602067470927573E-2</v>
      </c>
      <c r="K301" s="3">
        <f t="shared" si="283"/>
        <v>4.0449560062099384E-2</v>
      </c>
      <c r="L301" s="3">
        <f t="shared" si="283"/>
        <v>3.8955639829663088E-2</v>
      </c>
      <c r="M301" s="3">
        <f t="shared" si="283"/>
        <v>2.6738419663517851E-2</v>
      </c>
      <c r="N301" s="3">
        <f t="shared" si="283"/>
        <v>6.2056841863253451E-4</v>
      </c>
      <c r="O301" s="3">
        <f t="shared" si="283"/>
        <v>2.8140319112318203E-20</v>
      </c>
      <c r="P301" s="3">
        <f t="shared" si="283"/>
        <v>1.0344809494880207E-183</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3.7761220679259647E-2</v>
      </c>
      <c r="C302" s="3">
        <f t="shared" si="284"/>
        <v>3.7761220679131451E-2</v>
      </c>
      <c r="D302" s="3">
        <f t="shared" si="284"/>
        <v>3.7761220677849559E-2</v>
      </c>
      <c r="E302" s="3">
        <f t="shared" si="284"/>
        <v>3.7761220665030612E-2</v>
      </c>
      <c r="F302" s="3">
        <f t="shared" si="284"/>
        <v>3.7761220536841153E-2</v>
      </c>
      <c r="G302" s="3">
        <f t="shared" si="284"/>
        <v>3.7761219254946556E-2</v>
      </c>
      <c r="H302" s="3">
        <f t="shared" si="284"/>
        <v>3.7761206436002968E-2</v>
      </c>
      <c r="I302" s="3">
        <f t="shared" si="284"/>
        <v>3.7761078246806454E-2</v>
      </c>
      <c r="J302" s="3">
        <f t="shared" si="284"/>
        <v>3.7759796378775287E-2</v>
      </c>
      <c r="K302" s="3">
        <f t="shared" si="284"/>
        <v>3.7746980091562916E-2</v>
      </c>
      <c r="L302" s="3">
        <f t="shared" si="284"/>
        <v>3.761905622904952E-2</v>
      </c>
      <c r="M302" s="3">
        <f t="shared" si="284"/>
        <v>3.6363421062698839E-2</v>
      </c>
      <c r="N302" s="3">
        <f t="shared" si="284"/>
        <v>2.5896026049952198E-2</v>
      </c>
      <c r="O302" s="3">
        <f t="shared" si="284"/>
        <v>8.6879439008308215E-4</v>
      </c>
      <c r="P302" s="3">
        <f t="shared" si="284"/>
        <v>1.56948024940475E-18</v>
      </c>
      <c r="Q302" s="3">
        <f t="shared" si="284"/>
        <v>5.8095744773846432E-166</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3.2047185254003824E-2</v>
      </c>
      <c r="C303" s="3">
        <f t="shared" si="285"/>
        <v>3.2047185253994005E-2</v>
      </c>
      <c r="D303" s="3">
        <f t="shared" si="285"/>
        <v>3.2047185253895868E-2</v>
      </c>
      <c r="E303" s="3">
        <f t="shared" si="285"/>
        <v>3.2047185252914473E-2</v>
      </c>
      <c r="F303" s="3">
        <f t="shared" si="285"/>
        <v>3.2047185243100552E-2</v>
      </c>
      <c r="G303" s="3">
        <f t="shared" si="285"/>
        <v>3.2047185144961292E-2</v>
      </c>
      <c r="H303" s="3">
        <f t="shared" si="285"/>
        <v>3.20471841635687E-2</v>
      </c>
      <c r="I303" s="3">
        <f t="shared" si="285"/>
        <v>3.2047174349644443E-2</v>
      </c>
      <c r="J303" s="3">
        <f t="shared" si="285"/>
        <v>3.2047076210567134E-2</v>
      </c>
      <c r="K303" s="3">
        <f t="shared" si="285"/>
        <v>3.2046094836323327E-2</v>
      </c>
      <c r="L303" s="3">
        <f t="shared" si="285"/>
        <v>3.2036282746622041E-2</v>
      </c>
      <c r="M303" s="3">
        <f t="shared" si="285"/>
        <v>3.1938326936174127E-2</v>
      </c>
      <c r="N303" s="3">
        <f t="shared" si="285"/>
        <v>3.097509195680195E-2</v>
      </c>
      <c r="O303" s="3">
        <f t="shared" si="285"/>
        <v>2.2804314698896686E-2</v>
      </c>
      <c r="P303" s="3">
        <f t="shared" si="285"/>
        <v>1.0667465287782052E-3</v>
      </c>
      <c r="Q303" s="3">
        <f t="shared" si="285"/>
        <v>5.3518430090767141E-17</v>
      </c>
      <c r="R303" s="3">
        <f t="shared" si="285"/>
        <v>5.4066049243829428E-150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5.5060207151423408E-2</v>
      </c>
      <c r="C304" s="3">
        <f t="shared" si="286"/>
        <v>5.5060207151421896E-2</v>
      </c>
      <c r="D304" s="3">
        <f t="shared" si="286"/>
        <v>5.5060207151406679E-2</v>
      </c>
      <c r="E304" s="3">
        <f t="shared" si="286"/>
        <v>5.5060207151254578E-2</v>
      </c>
      <c r="F304" s="3">
        <f t="shared" si="286"/>
        <v>5.5060207149733552E-2</v>
      </c>
      <c r="G304" s="3">
        <f t="shared" si="286"/>
        <v>5.5060207134523267E-2</v>
      </c>
      <c r="H304" s="3">
        <f t="shared" si="286"/>
        <v>5.506020698242043E-2</v>
      </c>
      <c r="I304" s="3">
        <f t="shared" si="286"/>
        <v>5.5060205461392051E-2</v>
      </c>
      <c r="J304" s="3">
        <f t="shared" si="286"/>
        <v>5.5060190251110579E-2</v>
      </c>
      <c r="K304" s="3">
        <f t="shared" si="286"/>
        <v>5.5060038148526946E-2</v>
      </c>
      <c r="L304" s="3">
        <f t="shared" si="286"/>
        <v>5.5058517145800352E-2</v>
      </c>
      <c r="M304" s="3">
        <f t="shared" si="286"/>
        <v>5.5043309429269605E-2</v>
      </c>
      <c r="N304" s="3">
        <f t="shared" si="286"/>
        <v>5.4891463101469758E-2</v>
      </c>
      <c r="O304" s="3">
        <f t="shared" si="286"/>
        <v>5.3395849364270394E-2</v>
      </c>
      <c r="P304" s="3">
        <f t="shared" si="286"/>
        <v>4.0507405081211575E-2</v>
      </c>
      <c r="Q304" s="3">
        <f t="shared" si="286"/>
        <v>2.5574294455000561E-3</v>
      </c>
      <c r="R304" s="3">
        <f t="shared" si="286"/>
        <v>2.5733333187558312E-15</v>
      </c>
      <c r="S304" s="3">
        <f t="shared" si="286"/>
        <v>2.7379143790583915E-135</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5.5367146096233742E-2</v>
      </c>
      <c r="C305" s="3">
        <f t="shared" si="287"/>
        <v>5.5367146096233603E-2</v>
      </c>
      <c r="D305" s="3">
        <f t="shared" si="287"/>
        <v>5.5367146096232223E-2</v>
      </c>
      <c r="E305" s="3">
        <f t="shared" si="287"/>
        <v>5.5367146096218428E-2</v>
      </c>
      <c r="F305" s="3">
        <f t="shared" si="287"/>
        <v>5.5367146096080448E-2</v>
      </c>
      <c r="G305" s="3">
        <f t="shared" si="287"/>
        <v>5.5367146094700712E-2</v>
      </c>
      <c r="H305" s="3">
        <f t="shared" si="287"/>
        <v>5.5367146080903276E-2</v>
      </c>
      <c r="I305" s="3">
        <f t="shared" si="287"/>
        <v>5.5367145942928978E-2</v>
      </c>
      <c r="J305" s="3">
        <f t="shared" si="287"/>
        <v>5.5367144563185956E-2</v>
      </c>
      <c r="K305" s="3">
        <f t="shared" si="287"/>
        <v>5.5367130765757638E-2</v>
      </c>
      <c r="L305" s="3">
        <f t="shared" si="287"/>
        <v>5.5366992791663572E-2</v>
      </c>
      <c r="M305" s="3">
        <f t="shared" si="287"/>
        <v>5.5365613069633467E-2</v>
      </c>
      <c r="N305" s="3">
        <f t="shared" si="287"/>
        <v>5.5351817740205929E-2</v>
      </c>
      <c r="O305" s="3">
        <f t="shared" si="287"/>
        <v>5.5214053359055257E-2</v>
      </c>
      <c r="P305" s="3">
        <f t="shared" si="287"/>
        <v>5.385512783032529E-2</v>
      </c>
      <c r="Q305" s="3">
        <f t="shared" si="287"/>
        <v>4.1976030384313544E-2</v>
      </c>
      <c r="R305" s="3">
        <f t="shared" si="287"/>
        <v>3.473316907623209E-3</v>
      </c>
      <c r="S305" s="3">
        <f t="shared" si="287"/>
        <v>5.2260656264290609E-14</v>
      </c>
      <c r="T305" s="3">
        <f t="shared" si="287"/>
        <v>3.1079880890501256E-122</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4.7007838258753223E-2</v>
      </c>
      <c r="C306" s="3">
        <f t="shared" si="288"/>
        <v>4.700783825875321E-2</v>
      </c>
      <c r="D306" s="3">
        <f t="shared" si="288"/>
        <v>4.7007838258753105E-2</v>
      </c>
      <c r="E306" s="3">
        <f t="shared" si="288"/>
        <v>4.7007838258752051E-2</v>
      </c>
      <c r="F306" s="3">
        <f t="shared" si="288"/>
        <v>4.7007838258741483E-2</v>
      </c>
      <c r="G306" s="3">
        <f t="shared" si="288"/>
        <v>4.700783825863581E-2</v>
      </c>
      <c r="H306" s="3">
        <f t="shared" si="288"/>
        <v>4.7007838257579079E-2</v>
      </c>
      <c r="I306" s="3">
        <f t="shared" si="288"/>
        <v>4.700783824701181E-2</v>
      </c>
      <c r="J306" s="3">
        <f t="shared" si="288"/>
        <v>4.7007838141339076E-2</v>
      </c>
      <c r="K306" s="3">
        <f t="shared" si="288"/>
        <v>4.7007837084611745E-2</v>
      </c>
      <c r="L306" s="3">
        <f t="shared" si="288"/>
        <v>4.7007826517339771E-2</v>
      </c>
      <c r="M306" s="3">
        <f t="shared" si="288"/>
        <v>4.7007720844750661E-2</v>
      </c>
      <c r="N306" s="3">
        <f t="shared" si="288"/>
        <v>4.7006664131924669E-2</v>
      </c>
      <c r="O306" s="3">
        <f t="shared" si="288"/>
        <v>4.6996098310070795E-2</v>
      </c>
      <c r="P306" s="3">
        <f t="shared" si="288"/>
        <v>4.6890570623535958E-2</v>
      </c>
      <c r="Q306" s="3">
        <f t="shared" si="288"/>
        <v>4.5848239037939012E-2</v>
      </c>
      <c r="R306" s="3">
        <f t="shared" si="288"/>
        <v>3.661795434483868E-2</v>
      </c>
      <c r="S306" s="3">
        <f t="shared" si="288"/>
        <v>3.8673036251801276E-3</v>
      </c>
      <c r="T306" s="3">
        <f t="shared" si="288"/>
        <v>6.6765204545723571E-13</v>
      </c>
      <c r="U306" s="3">
        <f t="shared" si="288"/>
        <v>1.5702518736777493E-110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4.3271313852142758E-2</v>
      </c>
      <c r="C307" s="3">
        <f t="shared" si="289"/>
        <v>4.3271313852142758E-2</v>
      </c>
      <c r="D307" s="3">
        <f t="shared" si="289"/>
        <v>4.3271313852142751E-2</v>
      </c>
      <c r="E307" s="3">
        <f t="shared" si="289"/>
        <v>4.3271313852142661E-2</v>
      </c>
      <c r="F307" s="3">
        <f t="shared" si="289"/>
        <v>4.3271313852141779E-2</v>
      </c>
      <c r="G307" s="3">
        <f t="shared" si="289"/>
        <v>4.3271313852133009E-2</v>
      </c>
      <c r="H307" s="3">
        <f t="shared" si="289"/>
        <v>4.3271313852045259E-2</v>
      </c>
      <c r="I307" s="3">
        <f t="shared" si="289"/>
        <v>4.3271313851167774E-2</v>
      </c>
      <c r="J307" s="3">
        <f t="shared" si="289"/>
        <v>4.3271313842392932E-2</v>
      </c>
      <c r="K307" s="3">
        <f t="shared" si="289"/>
        <v>4.3271313754644505E-2</v>
      </c>
      <c r="L307" s="3">
        <f t="shared" si="289"/>
        <v>4.3271312877160253E-2</v>
      </c>
      <c r="M307" s="3">
        <f t="shared" si="289"/>
        <v>4.3271304102318678E-2</v>
      </c>
      <c r="N307" s="3">
        <f t="shared" si="289"/>
        <v>4.3271216354000816E-2</v>
      </c>
      <c r="O307" s="3">
        <f t="shared" si="289"/>
        <v>4.3270338880608918E-2</v>
      </c>
      <c r="P307" s="3">
        <f t="shared" si="289"/>
        <v>4.3261565125289669E-2</v>
      </c>
      <c r="Q307" s="3">
        <f t="shared" si="289"/>
        <v>4.3173925358681489E-2</v>
      </c>
      <c r="R307" s="3">
        <f t="shared" si="289"/>
        <v>4.2307233377025855E-2</v>
      </c>
      <c r="S307" s="3">
        <f t="shared" si="289"/>
        <v>3.4541844466317716E-2</v>
      </c>
      <c r="T307" s="3">
        <f t="shared" si="289"/>
        <v>4.5462624750011596E-3</v>
      </c>
      <c r="U307" s="3">
        <f t="shared" si="289"/>
        <v>7.091601452984026E-12</v>
      </c>
      <c r="V307" s="3">
        <f t="shared" si="289"/>
        <v>6.0484273124177258E-100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2.2304524360839302E-2</v>
      </c>
      <c r="C308" s="3">
        <f t="shared" si="290"/>
        <v>2.2304524360839302E-2</v>
      </c>
      <c r="D308" s="3">
        <f t="shared" si="290"/>
        <v>2.2304524360839302E-2</v>
      </c>
      <c r="E308" s="3">
        <f t="shared" si="290"/>
        <v>2.2304524360839299E-2</v>
      </c>
      <c r="F308" s="3">
        <f t="shared" si="290"/>
        <v>2.2304524360839257E-2</v>
      </c>
      <c r="G308" s="3">
        <f t="shared" si="290"/>
        <v>2.2304524360838848E-2</v>
      </c>
      <c r="H308" s="3">
        <f t="shared" si="290"/>
        <v>2.2304524360834767E-2</v>
      </c>
      <c r="I308" s="3">
        <f t="shared" si="290"/>
        <v>2.2304524360793967E-2</v>
      </c>
      <c r="J308" s="3">
        <f t="shared" si="290"/>
        <v>2.2304524360385949E-2</v>
      </c>
      <c r="K308" s="3">
        <f t="shared" si="290"/>
        <v>2.2304524356305776E-2</v>
      </c>
      <c r="L308" s="3">
        <f t="shared" si="290"/>
        <v>2.2304524315504021E-2</v>
      </c>
      <c r="M308" s="3">
        <f t="shared" si="290"/>
        <v>2.2304523907486506E-2</v>
      </c>
      <c r="N308" s="3">
        <f t="shared" si="290"/>
        <v>2.2304519827311745E-2</v>
      </c>
      <c r="O308" s="3">
        <f t="shared" si="290"/>
        <v>2.2304479025605208E-2</v>
      </c>
      <c r="P308" s="3">
        <f t="shared" si="290"/>
        <v>2.2304071012644922E-2</v>
      </c>
      <c r="Q308" s="3">
        <f t="shared" si="290"/>
        <v>2.2299991293524623E-2</v>
      </c>
      <c r="R308" s="3">
        <f t="shared" si="290"/>
        <v>2.2259235122806042E-2</v>
      </c>
      <c r="S308" s="3">
        <f t="shared" si="290"/>
        <v>2.1855747834991467E-2</v>
      </c>
      <c r="T308" s="3">
        <f t="shared" si="290"/>
        <v>1.8202037918532993E-2</v>
      </c>
      <c r="U308" s="3">
        <f t="shared" si="290"/>
        <v>2.9218872248314271E-3</v>
      </c>
      <c r="V308" s="3">
        <f t="shared" si="290"/>
        <v>3.3196920466578991E-11</v>
      </c>
      <c r="W308" s="3">
        <f t="shared" si="290"/>
        <v>1.1897104648834791E-90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3.1643216322297517E-2</v>
      </c>
      <c r="C309" s="3">
        <f t="shared" si="291"/>
        <v>3.1643216322297517E-2</v>
      </c>
      <c r="D309" s="3">
        <f t="shared" si="291"/>
        <v>3.1643216322297517E-2</v>
      </c>
      <c r="E309" s="3">
        <f t="shared" si="291"/>
        <v>3.164321632229751E-2</v>
      </c>
      <c r="F309" s="3">
        <f t="shared" si="291"/>
        <v>3.1643216322297496E-2</v>
      </c>
      <c r="G309" s="3">
        <f t="shared" si="291"/>
        <v>3.1643216322297336E-2</v>
      </c>
      <c r="H309" s="3">
        <f t="shared" si="291"/>
        <v>3.164321632229574E-2</v>
      </c>
      <c r="I309" s="3">
        <f t="shared" si="291"/>
        <v>3.1643216322279732E-2</v>
      </c>
      <c r="J309" s="3">
        <f t="shared" si="291"/>
        <v>3.1643216322119631E-2</v>
      </c>
      <c r="K309" s="3">
        <f t="shared" si="291"/>
        <v>3.1643216320518676E-2</v>
      </c>
      <c r="L309" s="3">
        <f t="shared" si="291"/>
        <v>3.1643216304509121E-2</v>
      </c>
      <c r="M309" s="3">
        <f t="shared" si="291"/>
        <v>3.1643216144413545E-2</v>
      </c>
      <c r="N309" s="3">
        <f t="shared" si="291"/>
        <v>3.1643214543457844E-2</v>
      </c>
      <c r="O309" s="3">
        <f t="shared" si="291"/>
        <v>3.1643198533905265E-2</v>
      </c>
      <c r="P309" s="3">
        <f t="shared" si="291"/>
        <v>3.1643038438825016E-2</v>
      </c>
      <c r="Q309" s="3">
        <f t="shared" si="291"/>
        <v>3.164143753257085E-2</v>
      </c>
      <c r="R309" s="3">
        <f t="shared" si="291"/>
        <v>3.1625432924031117E-2</v>
      </c>
      <c r="S309" s="3">
        <f t="shared" si="291"/>
        <v>3.1465831406172769E-2</v>
      </c>
      <c r="T309" s="3">
        <f t="shared" si="291"/>
        <v>2.9913451903998443E-2</v>
      </c>
      <c r="U309" s="3">
        <f t="shared" si="291"/>
        <v>1.8035979683294866E-2</v>
      </c>
      <c r="V309" s="3">
        <f t="shared" si="291"/>
        <v>1.1451748254899219E-4</v>
      </c>
      <c r="W309" s="3">
        <f t="shared" si="291"/>
        <v>1.219529586957049E-26</v>
      </c>
      <c r="X309" s="3">
        <f t="shared" si="291"/>
        <v>2.2876934559836326E-246</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3.5141037946940686E-2</v>
      </c>
      <c r="C310" s="3">
        <f t="shared" si="292"/>
        <v>3.5141037946940686E-2</v>
      </c>
      <c r="D310" s="3">
        <f t="shared" si="292"/>
        <v>3.5141037946940686E-2</v>
      </c>
      <c r="E310" s="3">
        <f t="shared" si="292"/>
        <v>3.5141037946940686E-2</v>
      </c>
      <c r="F310" s="3">
        <f t="shared" si="292"/>
        <v>3.5141037946940679E-2</v>
      </c>
      <c r="G310" s="3">
        <f t="shared" si="292"/>
        <v>3.5141037946940665E-2</v>
      </c>
      <c r="H310" s="3">
        <f t="shared" si="292"/>
        <v>3.5141037946940484E-2</v>
      </c>
      <c r="I310" s="3">
        <f t="shared" si="292"/>
        <v>3.5141037946938708E-2</v>
      </c>
      <c r="J310" s="3">
        <f t="shared" si="292"/>
        <v>3.5141037946920931E-2</v>
      </c>
      <c r="K310" s="3">
        <f t="shared" si="292"/>
        <v>3.5141037946743142E-2</v>
      </c>
      <c r="L310" s="3">
        <f t="shared" si="292"/>
        <v>3.5141037944965217E-2</v>
      </c>
      <c r="M310" s="3">
        <f t="shared" si="292"/>
        <v>3.5141037927185967E-2</v>
      </c>
      <c r="N310" s="3">
        <f t="shared" si="292"/>
        <v>3.5141037749393526E-2</v>
      </c>
      <c r="O310" s="3">
        <f t="shared" si="292"/>
        <v>3.514103597146917E-2</v>
      </c>
      <c r="P310" s="3">
        <f t="shared" si="292"/>
        <v>3.5141018192230519E-2</v>
      </c>
      <c r="Q310" s="3">
        <f t="shared" si="292"/>
        <v>3.5140840400338796E-2</v>
      </c>
      <c r="R310" s="3">
        <f t="shared" si="292"/>
        <v>3.513906253089423E-2</v>
      </c>
      <c r="S310" s="3">
        <f t="shared" si="292"/>
        <v>3.5121288782793143E-2</v>
      </c>
      <c r="T310" s="3">
        <f t="shared" si="292"/>
        <v>3.4944045011542961E-2</v>
      </c>
      <c r="U310" s="3">
        <f t="shared" si="292"/>
        <v>3.3220066436219678E-2</v>
      </c>
      <c r="V310" s="3">
        <f t="shared" si="292"/>
        <v>2.0029665758543775E-2</v>
      </c>
      <c r="W310" s="3">
        <f t="shared" si="292"/>
        <v>1.2717617447144711E-4</v>
      </c>
      <c r="X310" s="3">
        <f t="shared" si="292"/>
        <v>1.3543356356754494E-26</v>
      </c>
      <c r="Y310" s="3">
        <f t="shared" si="292"/>
        <v>2.540573680275359E-246</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3.5593088100758001E-2</v>
      </c>
      <c r="C311" s="3">
        <f t="shared" si="293"/>
        <v>3.5593088100758001E-2</v>
      </c>
      <c r="D311" s="3">
        <f t="shared" si="293"/>
        <v>3.5593088100758001E-2</v>
      </c>
      <c r="E311" s="3">
        <f t="shared" si="293"/>
        <v>3.5593088100758001E-2</v>
      </c>
      <c r="F311" s="3">
        <f t="shared" si="293"/>
        <v>3.5593088100758001E-2</v>
      </c>
      <c r="G311" s="3">
        <f t="shared" si="293"/>
        <v>3.5593088100757994E-2</v>
      </c>
      <c r="H311" s="3">
        <f t="shared" si="293"/>
        <v>3.559308810075798E-2</v>
      </c>
      <c r="I311" s="3">
        <f t="shared" si="293"/>
        <v>3.55930881007578E-2</v>
      </c>
      <c r="J311" s="3">
        <f t="shared" si="293"/>
        <v>3.5593088100756003E-2</v>
      </c>
      <c r="K311" s="3">
        <f t="shared" si="293"/>
        <v>3.5593088100737996E-2</v>
      </c>
      <c r="L311" s="3">
        <f t="shared" si="293"/>
        <v>3.5593088100557911E-2</v>
      </c>
      <c r="M311" s="3">
        <f t="shared" si="293"/>
        <v>3.5593088098757115E-2</v>
      </c>
      <c r="N311" s="3">
        <f t="shared" si="293"/>
        <v>3.5593088080749159E-2</v>
      </c>
      <c r="O311" s="3">
        <f t="shared" si="293"/>
        <v>3.5593087900669625E-2</v>
      </c>
      <c r="P311" s="3">
        <f t="shared" si="293"/>
        <v>3.5593086099874251E-2</v>
      </c>
      <c r="Q311" s="3">
        <f t="shared" si="293"/>
        <v>3.5593068091925584E-2</v>
      </c>
      <c r="R311" s="3">
        <f t="shared" si="293"/>
        <v>3.5592888012940006E-2</v>
      </c>
      <c r="S311" s="3">
        <f t="shared" si="293"/>
        <v>3.5591087273193281E-2</v>
      </c>
      <c r="T311" s="3">
        <f t="shared" si="293"/>
        <v>3.5573084885699838E-2</v>
      </c>
      <c r="U311" s="3">
        <f t="shared" si="293"/>
        <v>3.5393561071550013E-2</v>
      </c>
      <c r="V311" s="3">
        <f t="shared" si="293"/>
        <v>3.3647405439836728E-2</v>
      </c>
      <c r="W311" s="3">
        <f t="shared" si="293"/>
        <v>2.0287325008698263E-2</v>
      </c>
      <c r="X311" s="3">
        <f t="shared" si="293"/>
        <v>1.2881215373075413E-4</v>
      </c>
      <c r="Y311" s="3">
        <f t="shared" si="293"/>
        <v>1.371757649030654E-26</v>
      </c>
      <c r="Z311" s="3">
        <f t="shared" si="293"/>
        <v>2.5732553194656061E-246</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3.9001792876272805E-2</v>
      </c>
      <c r="C312" s="3">
        <f t="shared" si="294"/>
        <v>3.9001792876272805E-2</v>
      </c>
      <c r="D312" s="3">
        <f t="shared" si="294"/>
        <v>3.9001792876272805E-2</v>
      </c>
      <c r="E312" s="3">
        <f t="shared" si="294"/>
        <v>3.9001792876272805E-2</v>
      </c>
      <c r="F312" s="3">
        <f t="shared" si="294"/>
        <v>3.9001792876272805E-2</v>
      </c>
      <c r="G312" s="3">
        <f t="shared" si="294"/>
        <v>3.9001792876272805E-2</v>
      </c>
      <c r="H312" s="3">
        <f t="shared" si="294"/>
        <v>3.9001792876272798E-2</v>
      </c>
      <c r="I312" s="3">
        <f t="shared" si="294"/>
        <v>3.9001792876272784E-2</v>
      </c>
      <c r="J312" s="3">
        <f t="shared" si="294"/>
        <v>3.9001792876272583E-2</v>
      </c>
      <c r="K312" s="3">
        <f t="shared" si="294"/>
        <v>3.9001792876270612E-2</v>
      </c>
      <c r="L312" s="3">
        <f t="shared" si="294"/>
        <v>3.9001792876250885E-2</v>
      </c>
      <c r="M312" s="3">
        <f t="shared" si="294"/>
        <v>3.9001792876053556E-2</v>
      </c>
      <c r="N312" s="3">
        <f t="shared" si="294"/>
        <v>3.9001792874080302E-2</v>
      </c>
      <c r="O312" s="3">
        <f t="shared" si="294"/>
        <v>3.9001792854347746E-2</v>
      </c>
      <c r="P312" s="3">
        <f t="shared" si="294"/>
        <v>3.9001792657022215E-2</v>
      </c>
      <c r="Q312" s="3">
        <f t="shared" si="294"/>
        <v>3.9001790683766968E-2</v>
      </c>
      <c r="R312" s="3">
        <f t="shared" si="294"/>
        <v>3.9001770951219955E-2</v>
      </c>
      <c r="S312" s="3">
        <f t="shared" si="294"/>
        <v>3.9001573626298976E-2</v>
      </c>
      <c r="T312" s="3">
        <f t="shared" si="294"/>
        <v>3.8999600431997128E-2</v>
      </c>
      <c r="U312" s="3">
        <f t="shared" si="294"/>
        <v>3.8979873978751196E-2</v>
      </c>
      <c r="V312" s="3">
        <f t="shared" si="294"/>
        <v>3.8783157397261861E-2</v>
      </c>
      <c r="W312" s="3">
        <f t="shared" si="294"/>
        <v>3.6869774661686054E-2</v>
      </c>
      <c r="X312" s="3">
        <f t="shared" si="294"/>
        <v>2.22302163207364E-2</v>
      </c>
      <c r="Y312" s="3">
        <f t="shared" si="294"/>
        <v>1.4114832985358451E-4</v>
      </c>
      <c r="Z312" s="3">
        <f t="shared" si="294"/>
        <v>1.5031291342994519E-26</v>
      </c>
      <c r="AA312" s="3">
        <f t="shared" si="294"/>
        <v>2.8196927084117617E-246</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4.5862342503385417E-2</v>
      </c>
      <c r="C313" s="3">
        <f t="shared" si="295"/>
        <v>4.5862342503385417E-2</v>
      </c>
      <c r="D313" s="3">
        <f t="shared" si="295"/>
        <v>4.5862342503385417E-2</v>
      </c>
      <c r="E313" s="3">
        <f t="shared" si="295"/>
        <v>4.5862342503385417E-2</v>
      </c>
      <c r="F313" s="3">
        <f t="shared" si="295"/>
        <v>4.5862342503385417E-2</v>
      </c>
      <c r="G313" s="3">
        <f t="shared" si="295"/>
        <v>4.5862342503385417E-2</v>
      </c>
      <c r="H313" s="3">
        <f t="shared" si="295"/>
        <v>4.5862342503385417E-2</v>
      </c>
      <c r="I313" s="3">
        <f t="shared" si="295"/>
        <v>4.586234250338541E-2</v>
      </c>
      <c r="J313" s="3">
        <f t="shared" si="295"/>
        <v>4.5862342503385389E-2</v>
      </c>
      <c r="K313" s="3">
        <f t="shared" si="295"/>
        <v>4.586234250338516E-2</v>
      </c>
      <c r="L313" s="3">
        <f t="shared" si="295"/>
        <v>4.5862342503382843E-2</v>
      </c>
      <c r="M313" s="3">
        <f t="shared" si="295"/>
        <v>4.5862342503359639E-2</v>
      </c>
      <c r="N313" s="3">
        <f t="shared" si="295"/>
        <v>4.5862342503127602E-2</v>
      </c>
      <c r="O313" s="3">
        <f t="shared" si="295"/>
        <v>4.5862342500807243E-2</v>
      </c>
      <c r="P313" s="3">
        <f t="shared" si="295"/>
        <v>4.5862342477603665E-2</v>
      </c>
      <c r="Q313" s="3">
        <f t="shared" si="295"/>
        <v>4.5862342245567893E-2</v>
      </c>
      <c r="R313" s="3">
        <f t="shared" si="295"/>
        <v>4.5862339925210251E-2</v>
      </c>
      <c r="S313" s="3">
        <f t="shared" si="295"/>
        <v>4.5862316721640296E-2</v>
      </c>
      <c r="T313" s="3">
        <f t="shared" si="295"/>
        <v>4.5862084686586445E-2</v>
      </c>
      <c r="U313" s="3">
        <f t="shared" si="295"/>
        <v>4.5859764400614351E-2</v>
      </c>
      <c r="V313" s="3">
        <f t="shared" si="295"/>
        <v>4.5836567996335918E-2</v>
      </c>
      <c r="W313" s="3">
        <f t="shared" si="295"/>
        <v>4.5605248290983405E-2</v>
      </c>
      <c r="X313" s="3">
        <f t="shared" si="295"/>
        <v>4.3355294945571249E-2</v>
      </c>
      <c r="Y313" s="3">
        <f t="shared" si="295"/>
        <v>2.6140587897081111E-2</v>
      </c>
      <c r="Z313" s="3">
        <f t="shared" si="295"/>
        <v>1.6597680696530434E-4</v>
      </c>
      <c r="AA313" s="3">
        <f t="shared" si="295"/>
        <v>1.7675347234100441E-26</v>
      </c>
      <c r="AB313" s="3">
        <f t="shared" si="295"/>
        <v>3.315686362360809E-246</v>
      </c>
      <c r="AC313" s="3">
        <f t="shared" si="295"/>
        <v>0</v>
      </c>
      <c r="AD313" s="3">
        <f t="shared" si="295"/>
        <v>0</v>
      </c>
      <c r="AE313" s="3">
        <f t="shared" si="295"/>
        <v>0</v>
      </c>
      <c r="AF313" s="3">
        <f t="shared" si="295"/>
        <v>0</v>
      </c>
      <c r="AG313" s="3"/>
      <c r="AH313" s="3"/>
    </row>
    <row r="314" spans="1:34" x14ac:dyDescent="0.25">
      <c r="B314" s="3">
        <f t="shared" ref="B314:AF314" si="296">$C44*EXP(-B$285/$A44/EXP(-$F$126))</f>
        <v>5.0364270464190349E-2</v>
      </c>
      <c r="C314" s="3">
        <f t="shared" si="296"/>
        <v>5.0364270464190349E-2</v>
      </c>
      <c r="D314" s="3">
        <f t="shared" si="296"/>
        <v>5.0364270464190349E-2</v>
      </c>
      <c r="E314" s="3">
        <f t="shared" si="296"/>
        <v>5.0364270464190349E-2</v>
      </c>
      <c r="F314" s="3">
        <f t="shared" si="296"/>
        <v>5.0364270464190349E-2</v>
      </c>
      <c r="G314" s="3">
        <f t="shared" si="296"/>
        <v>5.0364270464190349E-2</v>
      </c>
      <c r="H314" s="3">
        <f t="shared" si="296"/>
        <v>5.0364270464190349E-2</v>
      </c>
      <c r="I314" s="3">
        <f t="shared" si="296"/>
        <v>5.0364270464190349E-2</v>
      </c>
      <c r="J314" s="3">
        <f t="shared" si="296"/>
        <v>5.0364270464190342E-2</v>
      </c>
      <c r="K314" s="3">
        <f t="shared" si="296"/>
        <v>5.0364270464190321E-2</v>
      </c>
      <c r="L314" s="3">
        <f t="shared" si="296"/>
        <v>5.0364270464190064E-2</v>
      </c>
      <c r="M314" s="3">
        <f t="shared" si="296"/>
        <v>5.0364270464187517E-2</v>
      </c>
      <c r="N314" s="3">
        <f t="shared" si="296"/>
        <v>5.0364270464162038E-2</v>
      </c>
      <c r="O314" s="3">
        <f t="shared" si="296"/>
        <v>5.0364270463907228E-2</v>
      </c>
      <c r="P314" s="3">
        <f t="shared" si="296"/>
        <v>5.0364270461359099E-2</v>
      </c>
      <c r="Q314" s="3">
        <f t="shared" si="296"/>
        <v>5.0364270435877809E-2</v>
      </c>
      <c r="R314" s="3">
        <f t="shared" si="296"/>
        <v>5.0364270181065006E-2</v>
      </c>
      <c r="S314" s="3">
        <f t="shared" si="296"/>
        <v>5.0364267632936992E-2</v>
      </c>
      <c r="T314" s="3">
        <f t="shared" si="296"/>
        <v>5.0364242151663921E-2</v>
      </c>
      <c r="U314" s="3">
        <f t="shared" si="296"/>
        <v>5.0363987339642299E-2</v>
      </c>
      <c r="V314" s="3">
        <f t="shared" si="296"/>
        <v>5.0361439290330511E-2</v>
      </c>
      <c r="W314" s="3">
        <f t="shared" si="296"/>
        <v>5.0335965886332684E-2</v>
      </c>
      <c r="X314" s="3">
        <f t="shared" si="296"/>
        <v>5.0081939433078343E-2</v>
      </c>
      <c r="Y314" s="3">
        <f t="shared" si="296"/>
        <v>4.7611126721935577E-2</v>
      </c>
      <c r="Z314" s="3">
        <f t="shared" si="296"/>
        <v>2.8706593843180819E-2</v>
      </c>
      <c r="AA314" s="3">
        <f t="shared" si="296"/>
        <v>1.8226938138116784E-4</v>
      </c>
      <c r="AB314" s="3">
        <f t="shared" si="296"/>
        <v>1.9410390312727728E-26</v>
      </c>
      <c r="AC314" s="3">
        <f t="shared" si="296"/>
        <v>3.641159949822458E-246</v>
      </c>
      <c r="AD314" s="3">
        <f t="shared" si="296"/>
        <v>0</v>
      </c>
      <c r="AE314" s="3">
        <f t="shared" si="296"/>
        <v>0</v>
      </c>
      <c r="AF314" s="3">
        <f t="shared" si="296"/>
        <v>0</v>
      </c>
      <c r="AG314" s="3"/>
      <c r="AH314" s="3"/>
    </row>
    <row r="315" spans="1:34" x14ac:dyDescent="0.25">
      <c r="B315" s="3">
        <f t="shared" ref="B315:AF315" si="297">$C45*EXP(-B$285/$A45/EXP(-$F$126))</f>
        <v>4.7472549330169547E-2</v>
      </c>
      <c r="C315" s="3">
        <f t="shared" si="297"/>
        <v>4.7472549330169547E-2</v>
      </c>
      <c r="D315" s="3">
        <f t="shared" si="297"/>
        <v>4.7472549330169547E-2</v>
      </c>
      <c r="E315" s="3">
        <f t="shared" si="297"/>
        <v>4.7472549330169547E-2</v>
      </c>
      <c r="F315" s="3">
        <f t="shared" si="297"/>
        <v>4.7472549330169547E-2</v>
      </c>
      <c r="G315" s="3">
        <f t="shared" si="297"/>
        <v>4.7472549330169547E-2</v>
      </c>
      <c r="H315" s="3">
        <f t="shared" si="297"/>
        <v>4.7472549330169547E-2</v>
      </c>
      <c r="I315" s="3">
        <f t="shared" si="297"/>
        <v>4.7472549330169547E-2</v>
      </c>
      <c r="J315" s="3">
        <f t="shared" si="297"/>
        <v>4.7472549330169547E-2</v>
      </c>
      <c r="K315" s="3">
        <f t="shared" si="297"/>
        <v>4.747254933016954E-2</v>
      </c>
      <c r="L315" s="3">
        <f t="shared" si="297"/>
        <v>4.7472549330169519E-2</v>
      </c>
      <c r="M315" s="3">
        <f t="shared" si="297"/>
        <v>4.7472549330169277E-2</v>
      </c>
      <c r="N315" s="3">
        <f t="shared" si="297"/>
        <v>4.7472549330166883E-2</v>
      </c>
      <c r="O315" s="3">
        <f t="shared" si="297"/>
        <v>4.747254933014286E-2</v>
      </c>
      <c r="P315" s="3">
        <f t="shared" si="297"/>
        <v>4.7472549329902677E-2</v>
      </c>
      <c r="Q315" s="3">
        <f t="shared" si="297"/>
        <v>4.7472549327500856E-2</v>
      </c>
      <c r="R315" s="3">
        <f t="shared" si="297"/>
        <v>4.7472549303482603E-2</v>
      </c>
      <c r="S315" s="3">
        <f t="shared" si="297"/>
        <v>4.7472549063300166E-2</v>
      </c>
      <c r="T315" s="3">
        <f t="shared" si="297"/>
        <v>4.7472546661475781E-2</v>
      </c>
      <c r="U315" s="3">
        <f t="shared" si="297"/>
        <v>4.7472522643238611E-2</v>
      </c>
      <c r="V315" s="3">
        <f t="shared" si="297"/>
        <v>4.7472282461535294E-2</v>
      </c>
      <c r="W315" s="3">
        <f t="shared" si="297"/>
        <v>4.746988071133551E-2</v>
      </c>
      <c r="X315" s="3">
        <f t="shared" si="297"/>
        <v>4.7445869891427891E-2</v>
      </c>
      <c r="Y315" s="3">
        <f t="shared" si="297"/>
        <v>4.7206428652189471E-2</v>
      </c>
      <c r="Z315" s="3">
        <f t="shared" si="297"/>
        <v>4.4877480426904766E-2</v>
      </c>
      <c r="AA315" s="3">
        <f t="shared" si="297"/>
        <v>2.7058372528010584E-2</v>
      </c>
      <c r="AB315" s="3">
        <f t="shared" si="297"/>
        <v>1.7180418021043757E-4</v>
      </c>
      <c r="AC315" s="3">
        <f t="shared" si="297"/>
        <v>1.8295920960355866E-26</v>
      </c>
      <c r="AD315" s="3">
        <f t="shared" si="297"/>
        <v>3.432098663275319E-246</v>
      </c>
      <c r="AE315" s="3">
        <f t="shared" si="297"/>
        <v>0</v>
      </c>
      <c r="AF315" s="3">
        <f t="shared" si="297"/>
        <v>0</v>
      </c>
      <c r="AG315" s="3"/>
      <c r="AH315" s="3"/>
    </row>
    <row r="316" spans="1:34" x14ac:dyDescent="0.25">
      <c r="B316" s="3">
        <f t="shared" ref="B316:AF316" si="298">$C46*EXP(-B$285/$A46/EXP(-$F$126))</f>
        <v>3.4265272438938038E-2</v>
      </c>
      <c r="C316" s="3">
        <f t="shared" si="298"/>
        <v>3.4265272438938038E-2</v>
      </c>
      <c r="D316" s="3">
        <f t="shared" si="298"/>
        <v>3.4265272438938038E-2</v>
      </c>
      <c r="E316" s="3">
        <f t="shared" si="298"/>
        <v>3.4265272438938038E-2</v>
      </c>
      <c r="F316" s="3">
        <f t="shared" si="298"/>
        <v>3.4265272438938038E-2</v>
      </c>
      <c r="G316" s="3">
        <f t="shared" si="298"/>
        <v>3.4265272438938038E-2</v>
      </c>
      <c r="H316" s="3">
        <f t="shared" si="298"/>
        <v>3.4265272438938038E-2</v>
      </c>
      <c r="I316" s="3">
        <f t="shared" si="298"/>
        <v>3.4265272438938038E-2</v>
      </c>
      <c r="J316" s="3">
        <f t="shared" si="298"/>
        <v>3.4265272438938038E-2</v>
      </c>
      <c r="K316" s="3">
        <f t="shared" si="298"/>
        <v>3.4265272438938038E-2</v>
      </c>
      <c r="L316" s="3">
        <f t="shared" si="298"/>
        <v>3.4265272438938031E-2</v>
      </c>
      <c r="M316" s="3">
        <f t="shared" si="298"/>
        <v>3.4265272438938017E-2</v>
      </c>
      <c r="N316" s="3">
        <f t="shared" si="298"/>
        <v>3.4265272438937844E-2</v>
      </c>
      <c r="O316" s="3">
        <f t="shared" si="298"/>
        <v>3.4265272438936116E-2</v>
      </c>
      <c r="P316" s="3">
        <f t="shared" si="298"/>
        <v>3.4265272438918776E-2</v>
      </c>
      <c r="Q316" s="3">
        <f t="shared" si="298"/>
        <v>3.4265272438745414E-2</v>
      </c>
      <c r="R316" s="3">
        <f t="shared" si="298"/>
        <v>3.4265272437011801E-2</v>
      </c>
      <c r="S316" s="3">
        <f t="shared" si="298"/>
        <v>3.4265272419675634E-2</v>
      </c>
      <c r="T316" s="3">
        <f t="shared" si="298"/>
        <v>3.4265272246314045E-2</v>
      </c>
      <c r="U316" s="3">
        <f t="shared" si="298"/>
        <v>3.4265270512698134E-2</v>
      </c>
      <c r="V316" s="3">
        <f t="shared" si="298"/>
        <v>3.4265253176543831E-2</v>
      </c>
      <c r="W316" s="3">
        <f t="shared" si="298"/>
        <v>3.4265079815483282E-2</v>
      </c>
      <c r="X316" s="3">
        <f t="shared" si="298"/>
        <v>3.4263346253117513E-2</v>
      </c>
      <c r="Y316" s="3">
        <f t="shared" si="298"/>
        <v>3.424601545253432E-2</v>
      </c>
      <c r="Z316" s="3">
        <f t="shared" si="298"/>
        <v>3.4073188852501546E-2</v>
      </c>
      <c r="AA316" s="3">
        <f t="shared" si="298"/>
        <v>3.2392174317542786E-2</v>
      </c>
      <c r="AB316" s="3">
        <f t="shared" si="298"/>
        <v>1.9530497508743076E-2</v>
      </c>
      <c r="AC316" s="3">
        <f t="shared" si="298"/>
        <v>1.2400676020400325E-4</v>
      </c>
      <c r="AD316" s="3">
        <f t="shared" si="298"/>
        <v>1.3205836321696265E-26</v>
      </c>
      <c r="AE316" s="3">
        <f t="shared" si="298"/>
        <v>2.477258908438399E-246</v>
      </c>
      <c r="AF316" s="3">
        <f t="shared" si="298"/>
        <v>0</v>
      </c>
      <c r="AG316" s="3"/>
      <c r="AH316" s="3"/>
    </row>
    <row r="317" spans="1:34" x14ac:dyDescent="0.25">
      <c r="B317" s="3">
        <f t="shared" ref="B317:AF317" si="299">$C47*EXP(-B$285/$A47/EXP(-$F$126))</f>
        <v>1.7817533491132281E-2</v>
      </c>
      <c r="C317" s="3">
        <f t="shared" si="299"/>
        <v>1.7817533491132281E-2</v>
      </c>
      <c r="D317" s="3">
        <f t="shared" si="299"/>
        <v>1.7817533491132281E-2</v>
      </c>
      <c r="E317" s="3">
        <f t="shared" si="299"/>
        <v>1.7817533491132281E-2</v>
      </c>
      <c r="F317" s="3">
        <f t="shared" si="299"/>
        <v>1.7817533491132281E-2</v>
      </c>
      <c r="G317" s="3">
        <f t="shared" si="299"/>
        <v>1.7817533491132281E-2</v>
      </c>
      <c r="H317" s="3">
        <f t="shared" si="299"/>
        <v>1.7817533491132281E-2</v>
      </c>
      <c r="I317" s="3">
        <f t="shared" si="299"/>
        <v>1.7817533491132281E-2</v>
      </c>
      <c r="J317" s="3">
        <f t="shared" si="299"/>
        <v>1.7817533491132281E-2</v>
      </c>
      <c r="K317" s="3">
        <f t="shared" si="299"/>
        <v>1.7817533491132281E-2</v>
      </c>
      <c r="L317" s="3">
        <f t="shared" si="299"/>
        <v>1.7817533491132281E-2</v>
      </c>
      <c r="M317" s="3">
        <f t="shared" si="299"/>
        <v>1.7817533491132277E-2</v>
      </c>
      <c r="N317" s="3">
        <f t="shared" si="299"/>
        <v>1.781753349113227E-2</v>
      </c>
      <c r="O317" s="3">
        <f t="shared" si="299"/>
        <v>1.781753349113218E-2</v>
      </c>
      <c r="P317" s="3">
        <f t="shared" si="299"/>
        <v>1.7817533491131278E-2</v>
      </c>
      <c r="Q317" s="3">
        <f t="shared" si="299"/>
        <v>1.7817533491122264E-2</v>
      </c>
      <c r="R317" s="3">
        <f t="shared" si="299"/>
        <v>1.7817533491032118E-2</v>
      </c>
      <c r="S317" s="3">
        <f t="shared" si="299"/>
        <v>1.7817533490130658E-2</v>
      </c>
      <c r="T317" s="3">
        <f t="shared" si="299"/>
        <v>1.781753348111606E-2</v>
      </c>
      <c r="U317" s="3">
        <f t="shared" si="299"/>
        <v>1.7817533390970097E-2</v>
      </c>
      <c r="V317" s="3">
        <f t="shared" si="299"/>
        <v>1.7817532489510474E-2</v>
      </c>
      <c r="W317" s="3">
        <f t="shared" si="299"/>
        <v>1.7817523474916754E-2</v>
      </c>
      <c r="X317" s="3">
        <f t="shared" si="299"/>
        <v>1.781743332923039E-2</v>
      </c>
      <c r="Y317" s="3">
        <f t="shared" si="299"/>
        <v>1.781653189745085E-2</v>
      </c>
      <c r="Z317" s="3">
        <f t="shared" si="299"/>
        <v>1.7807520087596736E-2</v>
      </c>
      <c r="AA317" s="3">
        <f t="shared" si="299"/>
        <v>1.7717652314336505E-2</v>
      </c>
      <c r="AB317" s="3">
        <f t="shared" si="299"/>
        <v>1.6843544780853953E-2</v>
      </c>
      <c r="AC317" s="3">
        <f t="shared" si="299"/>
        <v>1.0155626052021848E-2</v>
      </c>
      <c r="AD317" s="3">
        <f t="shared" si="299"/>
        <v>6.4482038104294592E-5</v>
      </c>
      <c r="AE317" s="3">
        <f t="shared" si="299"/>
        <v>6.8668775758178879E-27</v>
      </c>
      <c r="AF317" s="3">
        <f t="shared" si="299"/>
        <v>1.2881451226154305E-246</v>
      </c>
      <c r="AG317" s="3"/>
      <c r="AH317" s="3"/>
    </row>
    <row r="318" spans="1:34" x14ac:dyDescent="0.25">
      <c r="B318" s="3">
        <f t="shared" ref="B318:AF318" si="300">$C48*EXP(-B$285/$A48/EXP(-$F$126))</f>
        <v>3.0591851493341829E-2</v>
      </c>
      <c r="C318" s="3">
        <f t="shared" si="300"/>
        <v>3.0591851493341829E-2</v>
      </c>
      <c r="D318" s="3">
        <f t="shared" si="300"/>
        <v>3.0591851493341829E-2</v>
      </c>
      <c r="E318" s="3">
        <f t="shared" si="300"/>
        <v>3.0591851493341829E-2</v>
      </c>
      <c r="F318" s="3">
        <f t="shared" si="300"/>
        <v>3.0591851493341829E-2</v>
      </c>
      <c r="G318" s="3">
        <f t="shared" si="300"/>
        <v>3.0591851493341829E-2</v>
      </c>
      <c r="H318" s="3">
        <f t="shared" si="300"/>
        <v>3.0591851493341829E-2</v>
      </c>
      <c r="I318" s="3">
        <f t="shared" si="300"/>
        <v>3.0591851493341829E-2</v>
      </c>
      <c r="J318" s="3">
        <f t="shared" si="300"/>
        <v>3.0591851493341829E-2</v>
      </c>
      <c r="K318" s="3">
        <f t="shared" si="300"/>
        <v>3.0591851493341829E-2</v>
      </c>
      <c r="L318" s="3">
        <f t="shared" si="300"/>
        <v>3.0591851493341829E-2</v>
      </c>
      <c r="M318" s="3">
        <f t="shared" si="300"/>
        <v>3.0591851493341829E-2</v>
      </c>
      <c r="N318" s="3">
        <f t="shared" si="300"/>
        <v>3.0591851493341825E-2</v>
      </c>
      <c r="O318" s="3">
        <f t="shared" si="300"/>
        <v>3.0591851493341812E-2</v>
      </c>
      <c r="P318" s="3">
        <f t="shared" si="300"/>
        <v>3.0591851493341655E-2</v>
      </c>
      <c r="Q318" s="3">
        <f t="shared" si="300"/>
        <v>3.0591851493340112E-2</v>
      </c>
      <c r="R318" s="3">
        <f t="shared" si="300"/>
        <v>3.0591851493324634E-2</v>
      </c>
      <c r="S318" s="3">
        <f t="shared" si="300"/>
        <v>3.0591851493169855E-2</v>
      </c>
      <c r="T318" s="3">
        <f t="shared" si="300"/>
        <v>3.0591851491622093E-2</v>
      </c>
      <c r="U318" s="3">
        <f t="shared" si="300"/>
        <v>3.059185147614446E-2</v>
      </c>
      <c r="V318" s="3">
        <f t="shared" si="300"/>
        <v>3.0591851321368158E-2</v>
      </c>
      <c r="W318" s="3">
        <f t="shared" si="300"/>
        <v>3.059184977360517E-2</v>
      </c>
      <c r="X318" s="3">
        <f t="shared" si="300"/>
        <v>3.0591834295979572E-2</v>
      </c>
      <c r="Y318" s="3">
        <f t="shared" si="300"/>
        <v>3.0591679520154326E-2</v>
      </c>
      <c r="Z318" s="3">
        <f t="shared" si="300"/>
        <v>3.0590131804970021E-2</v>
      </c>
      <c r="AA318" s="3">
        <f t="shared" si="300"/>
        <v>3.0574658959142031E-2</v>
      </c>
      <c r="AB318" s="3">
        <f t="shared" si="300"/>
        <v>3.0420360297378182E-2</v>
      </c>
      <c r="AC318" s="3">
        <f t="shared" si="300"/>
        <v>2.8919559534645325E-2</v>
      </c>
      <c r="AD318" s="3">
        <f t="shared" si="300"/>
        <v>1.7436723447720175E-2</v>
      </c>
      <c r="AE318" s="3">
        <f t="shared" si="300"/>
        <v>1.1071257055059597E-4</v>
      </c>
      <c r="AF318" s="3">
        <f t="shared" si="300"/>
        <v>1.1790099854557942E-26</v>
      </c>
      <c r="AG318" s="3"/>
      <c r="AH318" s="3"/>
    </row>
    <row r="319" spans="1:34" x14ac:dyDescent="0.25">
      <c r="A319" s="79">
        <f>AVERAGE(B319:AF319)</f>
        <v>5.0858750561313719E-2</v>
      </c>
      <c r="B319" s="80">
        <f>IF($A$64&lt;=B285,IF($B$64&gt;=B285,ABS((B287-B286)/B286),0),0)</f>
        <v>3.3813380785014933E-3</v>
      </c>
      <c r="C319" s="80">
        <f t="shared" ref="C319:AF319" si="301">IF($A$64&lt;=C285,IF($B$64&gt;=C285,ABS((C287-C286)/C286),0),0)</f>
        <v>1.2657700753181447E-2</v>
      </c>
      <c r="D319" s="80">
        <f t="shared" si="301"/>
        <v>9.7462722653936032E-3</v>
      </c>
      <c r="E319" s="80">
        <f t="shared" si="301"/>
        <v>1.080217018891348E-2</v>
      </c>
      <c r="F319" s="80">
        <f t="shared" si="301"/>
        <v>1.1612390624950394E-2</v>
      </c>
      <c r="G319" s="80">
        <f t="shared" si="301"/>
        <v>1.2300044339994334E-2</v>
      </c>
      <c r="H319" s="80">
        <f t="shared" si="301"/>
        <v>1.3651169442140147E-2</v>
      </c>
      <c r="I319" s="80">
        <f t="shared" si="301"/>
        <v>1.4235390196836201E-2</v>
      </c>
      <c r="J319" s="80">
        <f t="shared" si="301"/>
        <v>1.4231132556537492E-2</v>
      </c>
      <c r="K319" s="80">
        <f t="shared" si="301"/>
        <v>1.372388347857006E-2</v>
      </c>
      <c r="L319" s="80">
        <f t="shared" si="301"/>
        <v>1.6256537395898458E-2</v>
      </c>
      <c r="M319" s="80">
        <f t="shared" si="301"/>
        <v>1.9102406936222945E-2</v>
      </c>
      <c r="N319" s="80">
        <f t="shared" si="301"/>
        <v>1.8172625413078455E-2</v>
      </c>
      <c r="O319" s="80">
        <f t="shared" si="301"/>
        <v>1.3425526939966317E-2</v>
      </c>
      <c r="P319" s="80">
        <f t="shared" si="301"/>
        <v>2.7911137504834412E-4</v>
      </c>
      <c r="Q319" s="80">
        <f t="shared" si="301"/>
        <v>3.9193030769413037E-2</v>
      </c>
      <c r="R319" s="80">
        <f t="shared" si="301"/>
        <v>7.1626707804906126E-2</v>
      </c>
      <c r="S319" s="80">
        <f t="shared" si="301"/>
        <v>7.383866766399616E-2</v>
      </c>
      <c r="T319" s="80">
        <f t="shared" si="301"/>
        <v>5.8777826455946501E-2</v>
      </c>
      <c r="U319" s="80">
        <f t="shared" si="301"/>
        <v>3.111528953463237E-2</v>
      </c>
      <c r="V319" s="80">
        <f t="shared" si="301"/>
        <v>1.4326743456760459E-2</v>
      </c>
      <c r="W319" s="80">
        <f t="shared" si="301"/>
        <v>4.3314497492374223E-3</v>
      </c>
      <c r="X319" s="80">
        <f t="shared" si="301"/>
        <v>2.4765963904460096E-2</v>
      </c>
      <c r="Y319" s="80">
        <f t="shared" si="301"/>
        <v>4.9206610673892884E-2</v>
      </c>
      <c r="Z319" s="80">
        <f t="shared" si="301"/>
        <v>7.7163970040557306E-2</v>
      </c>
      <c r="AA319" s="80">
        <f t="shared" si="301"/>
        <v>0.10097974280194115</v>
      </c>
      <c r="AB319" s="80">
        <f t="shared" si="301"/>
        <v>0.10407664501472574</v>
      </c>
      <c r="AC319" s="80">
        <f t="shared" si="301"/>
        <v>8.8279991515746573E-2</v>
      </c>
      <c r="AD319" s="80">
        <f t="shared" si="301"/>
        <v>6.5753674557480934E-2</v>
      </c>
      <c r="AE319" s="80">
        <f t="shared" si="301"/>
        <v>0.31869216430585923</v>
      </c>
      <c r="AF319" s="80">
        <f t="shared" si="301"/>
        <v>0.27091508916593632</v>
      </c>
    </row>
    <row r="320" spans="1:34" x14ac:dyDescent="0.25">
      <c r="B320" s="21">
        <f>(B287-B286)^2</f>
        <v>423.72826207290365</v>
      </c>
      <c r="C320" s="21">
        <f t="shared" ref="C320:AF320" si="302">(C287-C286)^2</f>
        <v>5545.4554939528362</v>
      </c>
      <c r="D320" s="21">
        <f t="shared" si="302"/>
        <v>3158.7740277751886</v>
      </c>
      <c r="E320" s="21">
        <f t="shared" si="302"/>
        <v>3727.8946205874759</v>
      </c>
      <c r="F320" s="21">
        <f t="shared" si="302"/>
        <v>4117.3386068520476</v>
      </c>
      <c r="G320" s="21">
        <f t="shared" si="302"/>
        <v>4395.8335699677264</v>
      </c>
      <c r="H320" s="21">
        <f t="shared" si="302"/>
        <v>5113.6109840465651</v>
      </c>
      <c r="I320" s="21">
        <f t="shared" si="302"/>
        <v>5218.5698926083387</v>
      </c>
      <c r="J320" s="21">
        <f t="shared" si="302"/>
        <v>4879.6269411840394</v>
      </c>
      <c r="K320" s="21">
        <f t="shared" si="302"/>
        <v>4245.9288630695155</v>
      </c>
      <c r="L320" s="21">
        <f t="shared" si="302"/>
        <v>5520.8600588272602</v>
      </c>
      <c r="M320" s="21">
        <f t="shared" si="302"/>
        <v>6922.6853787966756</v>
      </c>
      <c r="N320" s="21">
        <f t="shared" si="302"/>
        <v>5628.5830691759793</v>
      </c>
      <c r="O320" s="21">
        <f t="shared" si="302"/>
        <v>2785.4144751139447</v>
      </c>
      <c r="P320" s="21">
        <f t="shared" si="302"/>
        <v>1.0990507982580684</v>
      </c>
      <c r="Q320" s="21">
        <f t="shared" si="302"/>
        <v>19609.280513188776</v>
      </c>
      <c r="R320" s="21">
        <f t="shared" si="302"/>
        <v>57788.871041055245</v>
      </c>
      <c r="S320" s="21">
        <f t="shared" si="302"/>
        <v>51261.026457512053</v>
      </c>
      <c r="T320" s="21">
        <f t="shared" si="302"/>
        <v>26297.013790144523</v>
      </c>
      <c r="U320" s="21">
        <f t="shared" si="302"/>
        <v>5884.0441337909961</v>
      </c>
      <c r="V320" s="21">
        <f t="shared" si="302"/>
        <v>990.86286252909156</v>
      </c>
      <c r="W320" s="21">
        <f t="shared" si="302"/>
        <v>70.406343738962903</v>
      </c>
      <c r="X320" s="21">
        <f t="shared" si="302"/>
        <v>1715.2631365163622</v>
      </c>
      <c r="Y320" s="21">
        <f t="shared" si="302"/>
        <v>4641.5823293308586</v>
      </c>
      <c r="Z320" s="21">
        <f t="shared" si="302"/>
        <v>6886.3665593238547</v>
      </c>
      <c r="AA320" s="21">
        <f t="shared" si="302"/>
        <v>6213.1831886931559</v>
      </c>
      <c r="AB320" s="21">
        <f t="shared" si="302"/>
        <v>3261.5375219119319</v>
      </c>
      <c r="AC320" s="21">
        <f t="shared" si="302"/>
        <v>1239.0591029257325</v>
      </c>
      <c r="AD320" s="21">
        <f t="shared" si="302"/>
        <v>444.64274033213479</v>
      </c>
      <c r="AE320" s="21">
        <f t="shared" si="302"/>
        <v>8060.9563332405614</v>
      </c>
      <c r="AF320" s="21">
        <f t="shared" si="302"/>
        <v>5050.4893338592719</v>
      </c>
      <c r="AG320" s="3"/>
      <c r="AH320" s="3"/>
    </row>
    <row r="321" spans="1:34" x14ac:dyDescent="0.25">
      <c r="A321" s="71">
        <f>SUM(B321:AF321)</f>
        <v>261099.98868292224</v>
      </c>
      <c r="B321" s="60">
        <f>IF($A$64&lt;=B285,IF($B$64&gt;=B285,ABS(B320),0),0)</f>
        <v>423.72826207290365</v>
      </c>
      <c r="C321" s="60">
        <f t="shared" ref="C321" si="303">IF($A$64&lt;=C285,IF($B$64&gt;=C285,ABS(C320),0),0)</f>
        <v>5545.4554939528362</v>
      </c>
      <c r="D321" s="60">
        <f t="shared" ref="D321" si="304">IF($A$64&lt;=D285,IF($B$64&gt;=D285,ABS(D320),0),0)</f>
        <v>3158.7740277751886</v>
      </c>
      <c r="E321" s="60">
        <f t="shared" ref="E321" si="305">IF($A$64&lt;=E285,IF($B$64&gt;=E285,ABS(E320),0),0)</f>
        <v>3727.8946205874759</v>
      </c>
      <c r="F321" s="60">
        <f t="shared" ref="F321" si="306">IF($A$64&lt;=F285,IF($B$64&gt;=F285,ABS(F320),0),0)</f>
        <v>4117.3386068520476</v>
      </c>
      <c r="G321" s="60">
        <f t="shared" ref="G321" si="307">IF($A$64&lt;=G285,IF($B$64&gt;=G285,ABS(G320),0),0)</f>
        <v>4395.8335699677264</v>
      </c>
      <c r="H321" s="60">
        <f t="shared" ref="H321" si="308">IF($A$64&lt;=H285,IF($B$64&gt;=H285,ABS(H320),0),0)</f>
        <v>5113.6109840465651</v>
      </c>
      <c r="I321" s="60">
        <f t="shared" ref="I321" si="309">IF($A$64&lt;=I285,IF($B$64&gt;=I285,ABS(I320),0),0)</f>
        <v>5218.5698926083387</v>
      </c>
      <c r="J321" s="60">
        <f t="shared" ref="J321" si="310">IF($A$64&lt;=J285,IF($B$64&gt;=J285,ABS(J320),0),0)</f>
        <v>4879.6269411840394</v>
      </c>
      <c r="K321" s="60">
        <f t="shared" ref="K321" si="311">IF($A$64&lt;=K285,IF($B$64&gt;=K285,ABS(K320),0),0)</f>
        <v>4245.9288630695155</v>
      </c>
      <c r="L321" s="60">
        <f t="shared" ref="L321" si="312">IF($A$64&lt;=L285,IF($B$64&gt;=L285,ABS(L320),0),0)</f>
        <v>5520.8600588272602</v>
      </c>
      <c r="M321" s="60">
        <f t="shared" ref="M321" si="313">IF($A$64&lt;=M285,IF($B$64&gt;=M285,ABS(M320),0),0)</f>
        <v>6922.6853787966756</v>
      </c>
      <c r="N321" s="60">
        <f t="shared" ref="N321" si="314">IF($A$64&lt;=N285,IF($B$64&gt;=N285,ABS(N320),0),0)</f>
        <v>5628.5830691759793</v>
      </c>
      <c r="O321" s="60">
        <f t="shared" ref="O321" si="315">IF($A$64&lt;=O285,IF($B$64&gt;=O285,ABS(O320),0),0)</f>
        <v>2785.4144751139447</v>
      </c>
      <c r="P321" s="60">
        <f t="shared" ref="P321" si="316">IF($A$64&lt;=P285,IF($B$64&gt;=P285,ABS(P320),0),0)</f>
        <v>1.0990507982580684</v>
      </c>
      <c r="Q321" s="60">
        <f t="shared" ref="Q321" si="317">IF($A$64&lt;=Q285,IF($B$64&gt;=Q285,ABS(Q320),0),0)</f>
        <v>19609.280513188776</v>
      </c>
      <c r="R321" s="60">
        <f t="shared" ref="R321" si="318">IF($A$64&lt;=R285,IF($B$64&gt;=R285,ABS(R320),0),0)</f>
        <v>57788.871041055245</v>
      </c>
      <c r="S321" s="60">
        <f t="shared" ref="S321" si="319">IF($A$64&lt;=S285,IF($B$64&gt;=S285,ABS(S320),0),0)</f>
        <v>51261.026457512053</v>
      </c>
      <c r="T321" s="60">
        <f t="shared" ref="T321" si="320">IF($A$64&lt;=T285,IF($B$64&gt;=T285,ABS(T320),0),0)</f>
        <v>26297.013790144523</v>
      </c>
      <c r="U321" s="60">
        <f t="shared" ref="U321" si="321">IF($A$64&lt;=U285,IF($B$64&gt;=U285,ABS(U320),0),0)</f>
        <v>5884.0441337909961</v>
      </c>
      <c r="V321" s="60">
        <f t="shared" ref="V321" si="322">IF($A$64&lt;=V285,IF($B$64&gt;=V285,ABS(V320),0),0)</f>
        <v>990.86286252909156</v>
      </c>
      <c r="W321" s="60">
        <f t="shared" ref="W321" si="323">IF($A$64&lt;=W285,IF($B$64&gt;=W285,ABS(W320),0),0)</f>
        <v>70.406343738962903</v>
      </c>
      <c r="X321" s="60">
        <f t="shared" ref="X321" si="324">IF($A$64&lt;=X285,IF($B$64&gt;=X285,ABS(X320),0),0)</f>
        <v>1715.2631365163622</v>
      </c>
      <c r="Y321" s="60">
        <f t="shared" ref="Y321" si="325">IF($A$64&lt;=Y285,IF($B$64&gt;=Y285,ABS(Y320),0),0)</f>
        <v>4641.5823293308586</v>
      </c>
      <c r="Z321" s="60">
        <f t="shared" ref="Z321" si="326">IF($A$64&lt;=Z285,IF($B$64&gt;=Z285,ABS(Z320),0),0)</f>
        <v>6886.3665593238547</v>
      </c>
      <c r="AA321" s="60">
        <f t="shared" ref="AA321" si="327">IF($A$64&lt;=AA285,IF($B$64&gt;=AA285,ABS(AA320),0),0)</f>
        <v>6213.1831886931559</v>
      </c>
      <c r="AB321" s="60">
        <f t="shared" ref="AB321" si="328">IF($A$64&lt;=AB285,IF($B$64&gt;=AB285,ABS(AB320),0),0)</f>
        <v>3261.5375219119319</v>
      </c>
      <c r="AC321" s="60">
        <f t="shared" ref="AC321" si="329">IF($A$64&lt;=AC285,IF($B$64&gt;=AC285,ABS(AC320),0),0)</f>
        <v>1239.0591029257325</v>
      </c>
      <c r="AD321" s="60">
        <f t="shared" ref="AD321" si="330">IF($A$64&lt;=AD285,IF($B$64&gt;=AD285,ABS(AD320),0),0)</f>
        <v>444.64274033213479</v>
      </c>
      <c r="AE321" s="60">
        <f t="shared" ref="AE321" si="331">IF($A$64&lt;=AE285,IF($B$64&gt;=AE285,ABS(AE320),0),0)</f>
        <v>8060.9563332405614</v>
      </c>
      <c r="AF321" s="60">
        <f t="shared" ref="AF321" si="332">IF($A$64&lt;=AF285,IF($B$64&gt;=AF285,ABS(AF320),0),0)</f>
        <v>5050.4893338592719</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5198.9716456093975</v>
      </c>
      <c r="C326" s="27">
        <f t="shared" ref="C326:AF326" si="333">($C$17+SUM(C327:C357))*$B$51</f>
        <v>5030.9465258662458</v>
      </c>
      <c r="D326" s="27">
        <f t="shared" si="333"/>
        <v>4863.3588712616456</v>
      </c>
      <c r="E326" s="27">
        <f t="shared" si="333"/>
        <v>4702.2583474716284</v>
      </c>
      <c r="F326" s="27">
        <f t="shared" si="333"/>
        <v>4510.069444672401</v>
      </c>
      <c r="G326" s="27">
        <f t="shared" si="333"/>
        <v>4280.174046462691</v>
      </c>
      <c r="H326" s="27">
        <f t="shared" si="333"/>
        <v>4057.5761326990414</v>
      </c>
      <c r="I326" s="27">
        <f t="shared" si="333"/>
        <v>3844.0653297368171</v>
      </c>
      <c r="J326" s="27">
        <f t="shared" si="333"/>
        <v>3551.2796724826312</v>
      </c>
      <c r="K326" s="27">
        <f t="shared" si="333"/>
        <v>3231.284849376259</v>
      </c>
      <c r="L326" s="27">
        <f t="shared" si="333"/>
        <v>2942.1999975823778</v>
      </c>
      <c r="M326" s="27">
        <f t="shared" si="333"/>
        <v>2686.8242858701701</v>
      </c>
      <c r="N326" s="27">
        <f t="shared" si="333"/>
        <v>2474.411560597116</v>
      </c>
      <c r="O326" s="27">
        <f t="shared" si="333"/>
        <v>2233.7619974243867</v>
      </c>
      <c r="P326" s="27">
        <f t="shared" si="333"/>
        <v>2016.7031761932953</v>
      </c>
      <c r="Q326" s="27">
        <f t="shared" si="333"/>
        <v>1790.7865887332259</v>
      </c>
      <c r="R326" s="27">
        <f t="shared" si="333"/>
        <v>1541.0180502108822</v>
      </c>
      <c r="S326" s="27">
        <f t="shared" si="333"/>
        <v>1255.0505539975122</v>
      </c>
      <c r="T326" s="27">
        <f t="shared" si="333"/>
        <v>951.75379093398965</v>
      </c>
      <c r="U326" s="27">
        <f t="shared" si="333"/>
        <v>676.87944557406536</v>
      </c>
      <c r="V326" s="27">
        <f t="shared" si="333"/>
        <v>479.14933043011473</v>
      </c>
      <c r="W326" s="27">
        <f t="shared" si="333"/>
        <v>347.68655375654544</v>
      </c>
      <c r="X326" s="27">
        <f t="shared" si="333"/>
        <v>206.72146570789226</v>
      </c>
      <c r="Y326" s="27">
        <f t="shared" si="333"/>
        <v>191.25449219227423</v>
      </c>
      <c r="Z326" s="27">
        <f t="shared" si="333"/>
        <v>191.25449218977511</v>
      </c>
      <c r="AA326" s="27">
        <f t="shared" si="333"/>
        <v>191.25449218977511</v>
      </c>
      <c r="AB326" s="27">
        <f t="shared" si="333"/>
        <v>191.25449218977511</v>
      </c>
      <c r="AC326" s="27">
        <f t="shared" si="333"/>
        <v>191.25449218977511</v>
      </c>
      <c r="AD326" s="27">
        <f t="shared" si="333"/>
        <v>191.25449218977511</v>
      </c>
      <c r="AE326" s="27">
        <f t="shared" si="333"/>
        <v>191.25449218977511</v>
      </c>
      <c r="AF326" s="27">
        <f t="shared" si="333"/>
        <v>191.25449218977511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7.3502125517838311E-169</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2.1615989252317851E-17</v>
      </c>
      <c r="C334" s="3">
        <f t="shared" si="341"/>
        <v>1.5086232001693638E-152</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1.1806813082312954E-3</v>
      </c>
      <c r="C335" s="3">
        <f t="shared" si="342"/>
        <v>7.5843709782294189E-16</v>
      </c>
      <c r="D335" s="3">
        <f t="shared" si="342"/>
        <v>9.0737825345747987E-138</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2.1335845635767518E-2</v>
      </c>
      <c r="C336" s="3">
        <f t="shared" si="343"/>
        <v>1.69539464745482E-3</v>
      </c>
      <c r="D336" s="3">
        <f t="shared" si="343"/>
        <v>1.7016893425708091E-14</v>
      </c>
      <c r="E336" s="3">
        <f t="shared" si="343"/>
        <v>1.7659361269142935E-124</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2.806767143126554E-2</v>
      </c>
      <c r="C337" s="3">
        <f t="shared" si="344"/>
        <v>2.2335298015557312E-2</v>
      </c>
      <c r="D337" s="3">
        <f t="shared" si="344"/>
        <v>2.2742878334712341E-3</v>
      </c>
      <c r="E337" s="3">
        <f t="shared" si="344"/>
        <v>2.7250984277560111E-13</v>
      </c>
      <c r="F337" s="3">
        <f t="shared" si="344"/>
        <v>1.6624547922021656E-112</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2.5536870612605057E-2</v>
      </c>
      <c r="C338" s="3">
        <f t="shared" si="345"/>
        <v>2.5015989781212961E-2</v>
      </c>
      <c r="D338" s="3">
        <f t="shared" si="345"/>
        <v>2.0357190399606054E-2</v>
      </c>
      <c r="E338" s="3">
        <f t="shared" si="345"/>
        <v>2.5925032898674073E-3</v>
      </c>
      <c r="F338" s="3">
        <f t="shared" si="345"/>
        <v>2.9089355023622381E-12</v>
      </c>
      <c r="G338" s="3">
        <f t="shared" si="345"/>
        <v>9.2019919918995054E-102</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3.1565463451039791E-2</v>
      </c>
      <c r="C339" s="3">
        <f t="shared" si="346"/>
        <v>3.1506837061537903E-2</v>
      </c>
      <c r="D339" s="3">
        <f t="shared" si="346"/>
        <v>3.0926528680203579E-2</v>
      </c>
      <c r="E339" s="3">
        <f t="shared" si="346"/>
        <v>2.5679990773587555E-2</v>
      </c>
      <c r="F339" s="3">
        <f t="shared" si="346"/>
        <v>4.001582171419083E-3</v>
      </c>
      <c r="G339" s="3">
        <f t="shared" si="346"/>
        <v>3.3775399937993287E-11</v>
      </c>
      <c r="H339" s="3">
        <f t="shared" si="346"/>
        <v>6.1985214486798215E-92</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4.0618291334893107E-2</v>
      </c>
      <c r="C340" s="3">
        <f t="shared" si="347"/>
        <v>4.0611480247947786E-2</v>
      </c>
      <c r="D340" s="3">
        <f t="shared" si="347"/>
        <v>4.0543432163427082E-2</v>
      </c>
      <c r="E340" s="3">
        <f t="shared" si="347"/>
        <v>3.9869191028351854E-2</v>
      </c>
      <c r="F340" s="3">
        <f t="shared" si="347"/>
        <v>3.3713710503209225E-2</v>
      </c>
      <c r="G340" s="3">
        <f t="shared" si="347"/>
        <v>6.3022822502592953E-3</v>
      </c>
      <c r="H340" s="3">
        <f t="shared" si="347"/>
        <v>3.2840579359911927E-10</v>
      </c>
      <c r="I340" s="3">
        <f t="shared" si="347"/>
        <v>4.847752270830627E-83</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3.7761157207456979E-2</v>
      </c>
      <c r="C341" s="3">
        <f t="shared" si="348"/>
        <v>3.7760585965905771E-2</v>
      </c>
      <c r="D341" s="3">
        <f t="shared" si="348"/>
        <v>3.7754874025660239E-2</v>
      </c>
      <c r="E341" s="3">
        <f t="shared" si="348"/>
        <v>3.7697802123270244E-2</v>
      </c>
      <c r="F341" s="3">
        <f t="shared" si="348"/>
        <v>3.7131806625877714E-2</v>
      </c>
      <c r="G341" s="3">
        <f t="shared" si="348"/>
        <v>3.1918801508813821E-2</v>
      </c>
      <c r="H341" s="3">
        <f t="shared" si="348"/>
        <v>7.0315575508186224E-3</v>
      </c>
      <c r="I341" s="3">
        <f t="shared" si="348"/>
        <v>1.8927843299852838E-9</v>
      </c>
      <c r="J341" s="3">
        <f t="shared" si="348"/>
        <v>3.7809165656681721E-75</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3.2047180394727211E-2</v>
      </c>
      <c r="C342" s="3">
        <f t="shared" si="349"/>
        <v>3.2047136661261043E-2</v>
      </c>
      <c r="D342" s="3">
        <f t="shared" si="349"/>
        <v>3.2046699329881821E-2</v>
      </c>
      <c r="E342" s="3">
        <f t="shared" si="349"/>
        <v>3.2042326344318618E-2</v>
      </c>
      <c r="F342" s="3">
        <f t="shared" si="349"/>
        <v>3.1998629295020106E-2</v>
      </c>
      <c r="G342" s="3">
        <f t="shared" si="349"/>
        <v>3.1564922930973252E-2</v>
      </c>
      <c r="H342" s="3">
        <f t="shared" si="349"/>
        <v>2.7538375341935373E-2</v>
      </c>
      <c r="I342" s="3">
        <f t="shared" si="349"/>
        <v>7.035162475651586E-3</v>
      </c>
      <c r="J342" s="3">
        <f t="shared" si="349"/>
        <v>8.3297563909756589E-9</v>
      </c>
      <c r="K342" s="3">
        <f t="shared" si="349"/>
        <v>4.5103888593147924E-68</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5.5060206398299921E-2</v>
      </c>
      <c r="C343" s="3">
        <f t="shared" si="350"/>
        <v>5.5060199620187468E-2</v>
      </c>
      <c r="D343" s="3">
        <f t="shared" si="350"/>
        <v>5.5060131839108795E-2</v>
      </c>
      <c r="E343" s="3">
        <f t="shared" si="350"/>
        <v>5.505945403291132E-2</v>
      </c>
      <c r="F343" s="3">
        <f t="shared" si="350"/>
        <v>5.5052676429839124E-2</v>
      </c>
      <c r="G343" s="3">
        <f t="shared" si="350"/>
        <v>5.4984946268477178E-2</v>
      </c>
      <c r="H343" s="3">
        <f t="shared" si="350"/>
        <v>5.4312210766741018E-2</v>
      </c>
      <c r="I343" s="3">
        <f t="shared" si="350"/>
        <v>4.8021336312114582E-2</v>
      </c>
      <c r="J343" s="3">
        <f t="shared" si="350"/>
        <v>1.4021737843593667E-2</v>
      </c>
      <c r="K343" s="3">
        <f t="shared" si="350"/>
        <v>6.3165198026913572E-8</v>
      </c>
      <c r="L343" s="3">
        <f t="shared" si="350"/>
        <v>2.1738924350646221E-61</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5.5367146027917008E-2</v>
      </c>
      <c r="C344" s="3">
        <f t="shared" si="351"/>
        <v>5.5367145413066282E-2</v>
      </c>
      <c r="D344" s="3">
        <f t="shared" si="351"/>
        <v>5.5367139264559433E-2</v>
      </c>
      <c r="E344" s="3">
        <f t="shared" si="351"/>
        <v>5.5367077779528449E-2</v>
      </c>
      <c r="F344" s="3">
        <f t="shared" si="351"/>
        <v>5.536646293297396E-2</v>
      </c>
      <c r="G344" s="3">
        <f t="shared" si="351"/>
        <v>5.5360314842946505E-2</v>
      </c>
      <c r="H344" s="3">
        <f t="shared" si="351"/>
        <v>5.5298871478990631E-2</v>
      </c>
      <c r="I344" s="3">
        <f t="shared" si="351"/>
        <v>5.4688176093933435E-2</v>
      </c>
      <c r="J344" s="3">
        <f t="shared" si="351"/>
        <v>4.8940133470385859E-2</v>
      </c>
      <c r="K344" s="3">
        <f t="shared" si="351"/>
        <v>1.6120638872359306E-2</v>
      </c>
      <c r="L344" s="3">
        <f t="shared" si="351"/>
        <v>2.4241151566021978E-7</v>
      </c>
      <c r="M344" s="3">
        <f t="shared" si="351"/>
        <v>1.4330562070545048E-55</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4.7007838253520937E-2</v>
      </c>
      <c r="C345" s="3">
        <f t="shared" si="352"/>
        <v>4.7007838206430307E-2</v>
      </c>
      <c r="D345" s="3">
        <f t="shared" si="352"/>
        <v>4.7007837735524097E-2</v>
      </c>
      <c r="E345" s="3">
        <f t="shared" si="352"/>
        <v>4.7007833026462227E-2</v>
      </c>
      <c r="F345" s="3">
        <f t="shared" si="352"/>
        <v>4.7007785935869441E-2</v>
      </c>
      <c r="G345" s="3">
        <f t="shared" si="352"/>
        <v>4.70073150325361E-2</v>
      </c>
      <c r="H345" s="3">
        <f t="shared" si="352"/>
        <v>4.7002606258646606E-2</v>
      </c>
      <c r="I345" s="3">
        <f t="shared" si="352"/>
        <v>4.6955544454522297E-2</v>
      </c>
      <c r="J345" s="3">
        <f t="shared" si="352"/>
        <v>4.6487510303286718E-2</v>
      </c>
      <c r="K345" s="3">
        <f t="shared" si="352"/>
        <v>4.2056231810710248E-2</v>
      </c>
      <c r="L345" s="3">
        <f t="shared" si="352"/>
        <v>1.5444400664849039E-2</v>
      </c>
      <c r="M345" s="3">
        <f t="shared" si="352"/>
        <v>6.8893473063661956E-7</v>
      </c>
      <c r="N345" s="3">
        <f t="shared" si="352"/>
        <v>2.1490586675535673E-50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4.3271313851708279E-2</v>
      </c>
      <c r="C346" s="3">
        <f t="shared" si="353"/>
        <v>4.3271313847797969E-2</v>
      </c>
      <c r="D346" s="3">
        <f t="shared" si="353"/>
        <v>4.3271313808694901E-2</v>
      </c>
      <c r="E346" s="3">
        <f t="shared" si="353"/>
        <v>4.3271313417664242E-2</v>
      </c>
      <c r="F346" s="3">
        <f t="shared" si="353"/>
        <v>4.3271309507357809E-2</v>
      </c>
      <c r="G346" s="3">
        <f t="shared" si="353"/>
        <v>4.3271270404312917E-2</v>
      </c>
      <c r="H346" s="3">
        <f t="shared" si="353"/>
        <v>4.3270879375807481E-2</v>
      </c>
      <c r="I346" s="3">
        <f t="shared" si="353"/>
        <v>4.3266969285095727E-2</v>
      </c>
      <c r="J346" s="3">
        <f t="shared" si="353"/>
        <v>4.3227887805746136E-2</v>
      </c>
      <c r="K346" s="3">
        <f t="shared" si="353"/>
        <v>4.2839009308873299E-2</v>
      </c>
      <c r="L346" s="3">
        <f t="shared" si="353"/>
        <v>3.9137533358268035E-2</v>
      </c>
      <c r="M346" s="3">
        <f t="shared" si="353"/>
        <v>1.5853814431421358E-2</v>
      </c>
      <c r="N346" s="3">
        <f t="shared" si="353"/>
        <v>1.8859794982298864E-6</v>
      </c>
      <c r="O346" s="3">
        <f t="shared" si="353"/>
        <v>1.0704562848790133E-45</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2.2304524360819099E-2</v>
      </c>
      <c r="C347" s="3">
        <f t="shared" si="354"/>
        <v>2.2304524360637276E-2</v>
      </c>
      <c r="D347" s="3">
        <f t="shared" si="354"/>
        <v>2.230452435881904E-2</v>
      </c>
      <c r="E347" s="3">
        <f t="shared" si="354"/>
        <v>2.2304524340636678E-2</v>
      </c>
      <c r="F347" s="3">
        <f t="shared" si="354"/>
        <v>2.2304524158813063E-2</v>
      </c>
      <c r="G347" s="3">
        <f t="shared" si="354"/>
        <v>2.2304522340576987E-2</v>
      </c>
      <c r="H347" s="3">
        <f t="shared" si="354"/>
        <v>2.2304504158224391E-2</v>
      </c>
      <c r="I347" s="3">
        <f t="shared" si="354"/>
        <v>2.2304322335513629E-2</v>
      </c>
      <c r="J347" s="3">
        <f t="shared" si="354"/>
        <v>2.2302504189924438E-2</v>
      </c>
      <c r="K347" s="3">
        <f t="shared" si="354"/>
        <v>2.2284330883416279E-2</v>
      </c>
      <c r="L347" s="3">
        <f t="shared" si="354"/>
        <v>2.2103410304050192E-2</v>
      </c>
      <c r="M347" s="3">
        <f t="shared" si="354"/>
        <v>2.0373054990443465E-2</v>
      </c>
      <c r="N347" s="3">
        <f t="shared" si="354"/>
        <v>9.0162278086546466E-3</v>
      </c>
      <c r="O347" s="3">
        <f t="shared" si="354"/>
        <v>2.5984362414349748E-6</v>
      </c>
      <c r="P347" s="3">
        <f t="shared" si="354"/>
        <v>1.0270319418785174E-41</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3.1643216322289593E-2</v>
      </c>
      <c r="C348" s="3">
        <f t="shared" si="355"/>
        <v>3.1643216322218247E-2</v>
      </c>
      <c r="D348" s="3">
        <f t="shared" si="355"/>
        <v>3.1643216321504818E-2</v>
      </c>
      <c r="E348" s="3">
        <f t="shared" si="355"/>
        <v>3.1643216314370524E-2</v>
      </c>
      <c r="F348" s="3">
        <f t="shared" si="355"/>
        <v>3.1643216243027621E-2</v>
      </c>
      <c r="G348" s="3">
        <f t="shared" si="355"/>
        <v>3.1643215529598548E-2</v>
      </c>
      <c r="H348" s="3">
        <f t="shared" si="355"/>
        <v>3.1643208395308736E-2</v>
      </c>
      <c r="I348" s="3">
        <f t="shared" si="355"/>
        <v>3.1643137052499069E-2</v>
      </c>
      <c r="J348" s="3">
        <f t="shared" si="355"/>
        <v>3.1642423633249088E-2</v>
      </c>
      <c r="K348" s="3">
        <f t="shared" si="355"/>
        <v>3.1635290325342125E-2</v>
      </c>
      <c r="L348" s="3">
        <f t="shared" si="355"/>
        <v>3.1564045631810041E-2</v>
      </c>
      <c r="M348" s="3">
        <f t="shared" si="355"/>
        <v>3.0860363961285785E-2</v>
      </c>
      <c r="N348" s="3">
        <f t="shared" si="355"/>
        <v>2.4631159443656757E-2</v>
      </c>
      <c r="O348" s="3">
        <f t="shared" si="355"/>
        <v>2.584181263949604E-3</v>
      </c>
      <c r="P348" s="3">
        <f t="shared" si="355"/>
        <v>4.1754583125360497E-13</v>
      </c>
      <c r="Q348" s="3">
        <f t="shared" si="355"/>
        <v>5.0642593532674168E-111</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3.5141037946939804E-2</v>
      </c>
      <c r="C349" s="3">
        <f t="shared" si="356"/>
        <v>3.5141037946931887E-2</v>
      </c>
      <c r="D349" s="3">
        <f t="shared" si="356"/>
        <v>3.5141037946852652E-2</v>
      </c>
      <c r="E349" s="3">
        <f t="shared" si="356"/>
        <v>3.5141037946060362E-2</v>
      </c>
      <c r="F349" s="3">
        <f t="shared" si="356"/>
        <v>3.514103793813745E-2</v>
      </c>
      <c r="G349" s="3">
        <f t="shared" si="356"/>
        <v>3.5141037858908347E-2</v>
      </c>
      <c r="H349" s="3">
        <f t="shared" si="356"/>
        <v>3.514103706661726E-2</v>
      </c>
      <c r="I349" s="3">
        <f t="shared" si="356"/>
        <v>3.5141029143707453E-2</v>
      </c>
      <c r="J349" s="3">
        <f t="shared" si="356"/>
        <v>3.5140949914707585E-2</v>
      </c>
      <c r="K349" s="3">
        <f t="shared" si="356"/>
        <v>3.5140157634533528E-2</v>
      </c>
      <c r="L349" s="3">
        <f t="shared" si="356"/>
        <v>3.5132235815168111E-2</v>
      </c>
      <c r="M349" s="3">
        <f t="shared" si="356"/>
        <v>3.5053115777134401E-2</v>
      </c>
      <c r="N349" s="3">
        <f t="shared" si="356"/>
        <v>3.4271649568560825E-2</v>
      </c>
      <c r="O349" s="3">
        <f t="shared" si="356"/>
        <v>2.7353872623775137E-2</v>
      </c>
      <c r="P349" s="3">
        <f t="shared" si="356"/>
        <v>2.8698350677530834E-3</v>
      </c>
      <c r="Q349" s="3">
        <f t="shared" si="356"/>
        <v>4.6370109002890586E-13</v>
      </c>
      <c r="R349" s="3">
        <f t="shared" si="356"/>
        <v>5.6240594601288057E-111</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3.5593088100757911E-2</v>
      </c>
      <c r="C350" s="3">
        <f t="shared" si="357"/>
        <v>3.5593088100757106E-2</v>
      </c>
      <c r="D350" s="3">
        <f t="shared" si="357"/>
        <v>3.5593088100749085E-2</v>
      </c>
      <c r="E350" s="3">
        <f t="shared" si="357"/>
        <v>3.5593088100668836E-2</v>
      </c>
      <c r="F350" s="3">
        <f t="shared" si="357"/>
        <v>3.5593088099866353E-2</v>
      </c>
      <c r="G350" s="3">
        <f t="shared" si="357"/>
        <v>3.5593088091841522E-2</v>
      </c>
      <c r="H350" s="3">
        <f t="shared" si="357"/>
        <v>3.5593088011593221E-2</v>
      </c>
      <c r="I350" s="3">
        <f t="shared" si="357"/>
        <v>3.5593087209110204E-2</v>
      </c>
      <c r="J350" s="3">
        <f t="shared" si="357"/>
        <v>3.5593079184281014E-2</v>
      </c>
      <c r="K350" s="3">
        <f t="shared" si="357"/>
        <v>3.5592998936088673E-2</v>
      </c>
      <c r="L350" s="3">
        <f t="shared" si="357"/>
        <v>3.5592196464116203E-2</v>
      </c>
      <c r="M350" s="3">
        <f t="shared" si="357"/>
        <v>3.558417273940389E-2</v>
      </c>
      <c r="N350" s="3">
        <f t="shared" si="357"/>
        <v>3.5504034910563392E-2</v>
      </c>
      <c r="O350" s="3">
        <f t="shared" si="357"/>
        <v>3.4712516013155691E-2</v>
      </c>
      <c r="P350" s="3">
        <f t="shared" si="357"/>
        <v>2.7705749604351154E-2</v>
      </c>
      <c r="Q350" s="3">
        <f t="shared" si="357"/>
        <v>2.9067522864694717E-3</v>
      </c>
      <c r="R350" s="3">
        <f t="shared" si="357"/>
        <v>4.6966608598005908E-13</v>
      </c>
      <c r="S350" s="3">
        <f t="shared" si="357"/>
        <v>5.6964066955140453E-111</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3.9001792876272798E-2</v>
      </c>
      <c r="C351" s="3">
        <f t="shared" si="358"/>
        <v>3.9001792876272708E-2</v>
      </c>
      <c r="D351" s="3">
        <f t="shared" si="358"/>
        <v>3.9001792876271826E-2</v>
      </c>
      <c r="E351" s="3">
        <f t="shared" si="358"/>
        <v>3.9001792876263035E-2</v>
      </c>
      <c r="F351" s="3">
        <f t="shared" si="358"/>
        <v>3.9001792876175098E-2</v>
      </c>
      <c r="G351" s="3">
        <f t="shared" si="358"/>
        <v>3.9001792875295767E-2</v>
      </c>
      <c r="H351" s="3">
        <f t="shared" si="358"/>
        <v>3.9001792866502405E-2</v>
      </c>
      <c r="I351" s="3">
        <f t="shared" si="358"/>
        <v>3.9001792778568828E-2</v>
      </c>
      <c r="J351" s="3">
        <f t="shared" si="358"/>
        <v>3.9001791899233029E-2</v>
      </c>
      <c r="K351" s="3">
        <f t="shared" si="358"/>
        <v>3.900178310587616E-2</v>
      </c>
      <c r="L351" s="3">
        <f t="shared" si="358"/>
        <v>3.9001695172416508E-2</v>
      </c>
      <c r="M351" s="3">
        <f t="shared" si="358"/>
        <v>3.9000815848723926E-2</v>
      </c>
      <c r="N351" s="3">
        <f t="shared" si="358"/>
        <v>3.8992023702101516E-2</v>
      </c>
      <c r="O351" s="3">
        <f t="shared" si="358"/>
        <v>3.8904211175322632E-2</v>
      </c>
      <c r="P351" s="3">
        <f t="shared" si="358"/>
        <v>3.8036889519866342E-2</v>
      </c>
      <c r="Q351" s="3">
        <f t="shared" si="358"/>
        <v>3.0359094004202707E-2</v>
      </c>
      <c r="R351" s="3">
        <f t="shared" si="358"/>
        <v>3.1851282557609942E-3</v>
      </c>
      <c r="S351" s="3">
        <f t="shared" si="358"/>
        <v>5.1464540965227172E-13</v>
      </c>
      <c r="T351" s="3">
        <f t="shared" si="358"/>
        <v>6.2419443193163395E-111</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4.5862342503385417E-2</v>
      </c>
      <c r="C352" s="3">
        <f t="shared" si="359"/>
        <v>4.586234250338541E-2</v>
      </c>
      <c r="D352" s="3">
        <f t="shared" si="359"/>
        <v>4.5862342503385299E-2</v>
      </c>
      <c r="E352" s="3">
        <f t="shared" si="359"/>
        <v>4.5862342503384265E-2</v>
      </c>
      <c r="F352" s="3">
        <f t="shared" si="359"/>
        <v>4.5862342503373933E-2</v>
      </c>
      <c r="G352" s="3">
        <f t="shared" si="359"/>
        <v>4.586234250327053E-2</v>
      </c>
      <c r="H352" s="3">
        <f t="shared" si="359"/>
        <v>4.586234250223651E-2</v>
      </c>
      <c r="I352" s="3">
        <f t="shared" si="359"/>
        <v>4.5862342491896371E-2</v>
      </c>
      <c r="J352" s="3">
        <f t="shared" si="359"/>
        <v>4.5862342388494973E-2</v>
      </c>
      <c r="K352" s="3">
        <f t="shared" si="359"/>
        <v>4.586234135448098E-2</v>
      </c>
      <c r="L352" s="3">
        <f t="shared" si="359"/>
        <v>4.5862331014342367E-2</v>
      </c>
      <c r="M352" s="3">
        <f t="shared" si="359"/>
        <v>4.5862227613084464E-2</v>
      </c>
      <c r="N352" s="3">
        <f t="shared" si="359"/>
        <v>4.5861193613327356E-2</v>
      </c>
      <c r="O352" s="3">
        <f t="shared" si="359"/>
        <v>4.585085489784789E-2</v>
      </c>
      <c r="P352" s="3">
        <f t="shared" si="359"/>
        <v>4.5747595845321849E-2</v>
      </c>
      <c r="Q352" s="3">
        <f t="shared" si="359"/>
        <v>4.4727709324993738E-2</v>
      </c>
      <c r="R352" s="3">
        <f t="shared" si="359"/>
        <v>3.569936314800197E-2</v>
      </c>
      <c r="S352" s="3">
        <f t="shared" si="359"/>
        <v>3.7454032804678889E-3</v>
      </c>
      <c r="T352" s="3">
        <f t="shared" si="359"/>
        <v>6.0517330883080111E-13</v>
      </c>
      <c r="U352" s="3">
        <f t="shared" si="359"/>
        <v>7.3399238124179332E-111</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5.0364270464190349E-2</v>
      </c>
      <c r="C353" s="3">
        <f t="shared" si="360"/>
        <v>5.0364270464190349E-2</v>
      </c>
      <c r="D353" s="3">
        <f t="shared" si="360"/>
        <v>5.0364270464190335E-2</v>
      </c>
      <c r="E353" s="3">
        <f t="shared" si="360"/>
        <v>5.0364270464190217E-2</v>
      </c>
      <c r="F353" s="3">
        <f t="shared" si="360"/>
        <v>5.0364270464189086E-2</v>
      </c>
      <c r="G353" s="3">
        <f t="shared" si="360"/>
        <v>5.0364270464177734E-2</v>
      </c>
      <c r="H353" s="3">
        <f t="shared" si="360"/>
        <v>5.0364270464064179E-2</v>
      </c>
      <c r="I353" s="3">
        <f t="shared" si="360"/>
        <v>5.0364270462928663E-2</v>
      </c>
      <c r="J353" s="3">
        <f t="shared" si="360"/>
        <v>5.0364270451573517E-2</v>
      </c>
      <c r="K353" s="3">
        <f t="shared" si="360"/>
        <v>5.0364270338022057E-2</v>
      </c>
      <c r="L353" s="3">
        <f t="shared" si="360"/>
        <v>5.0364269202507445E-2</v>
      </c>
      <c r="M353" s="3">
        <f t="shared" si="360"/>
        <v>5.036425784736269E-2</v>
      </c>
      <c r="N353" s="3">
        <f t="shared" si="360"/>
        <v>5.0364144296055985E-2</v>
      </c>
      <c r="O353" s="3">
        <f t="shared" si="360"/>
        <v>5.0363008797069585E-2</v>
      </c>
      <c r="P353" s="3">
        <f t="shared" si="360"/>
        <v>5.0351655215149484E-2</v>
      </c>
      <c r="Q353" s="3">
        <f t="shared" si="360"/>
        <v>5.0238260072960353E-2</v>
      </c>
      <c r="R353" s="3">
        <f t="shared" si="360"/>
        <v>4.9118259703402362E-2</v>
      </c>
      <c r="S353" s="3">
        <f t="shared" si="360"/>
        <v>3.9203675234264372E-2</v>
      </c>
      <c r="T353" s="3">
        <f t="shared" si="360"/>
        <v>4.1130586341294306E-3</v>
      </c>
      <c r="U353" s="3">
        <f t="shared" si="360"/>
        <v>6.6457818201095128E-13</v>
      </c>
      <c r="V353" s="3">
        <f t="shared" si="360"/>
        <v>8.0604236045701352E-111</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4.7472549330169547E-2</v>
      </c>
      <c r="C354" s="3">
        <f t="shared" si="361"/>
        <v>4.7472549330169547E-2</v>
      </c>
      <c r="D354" s="3">
        <f t="shared" si="361"/>
        <v>4.7472549330169547E-2</v>
      </c>
      <c r="E354" s="3">
        <f t="shared" si="361"/>
        <v>4.7472549330169533E-2</v>
      </c>
      <c r="F354" s="3">
        <f t="shared" si="361"/>
        <v>4.7472549330169429E-2</v>
      </c>
      <c r="G354" s="3">
        <f t="shared" si="361"/>
        <v>4.7472549330168354E-2</v>
      </c>
      <c r="H354" s="3">
        <f t="shared" si="361"/>
        <v>4.7472549330157654E-2</v>
      </c>
      <c r="I354" s="3">
        <f t="shared" si="361"/>
        <v>4.7472549330050622E-2</v>
      </c>
      <c r="J354" s="3">
        <f t="shared" si="361"/>
        <v>4.7472549328980304E-2</v>
      </c>
      <c r="K354" s="3">
        <f t="shared" si="361"/>
        <v>4.747254931827713E-2</v>
      </c>
      <c r="L354" s="3">
        <f t="shared" si="361"/>
        <v>4.747254921124535E-2</v>
      </c>
      <c r="M354" s="3">
        <f t="shared" si="361"/>
        <v>4.7472548140927578E-2</v>
      </c>
      <c r="N354" s="3">
        <f t="shared" si="361"/>
        <v>4.7472537437751212E-2</v>
      </c>
      <c r="O354" s="3">
        <f t="shared" si="361"/>
        <v>4.7472430406120272E-2</v>
      </c>
      <c r="P354" s="3">
        <f t="shared" si="361"/>
        <v>4.7471360103083032E-2</v>
      </c>
      <c r="Q354" s="3">
        <f t="shared" si="361"/>
        <v>4.7460658399815843E-2</v>
      </c>
      <c r="R354" s="3">
        <f t="shared" si="361"/>
        <v>4.7353773967027273E-2</v>
      </c>
      <c r="S354" s="3">
        <f t="shared" si="361"/>
        <v>4.6298079676141954E-2</v>
      </c>
      <c r="T354" s="3">
        <f t="shared" si="361"/>
        <v>3.6952752205669827E-2</v>
      </c>
      <c r="U354" s="3">
        <f t="shared" si="361"/>
        <v>3.8769027548094773E-3</v>
      </c>
      <c r="V354" s="3">
        <f t="shared" si="361"/>
        <v>6.2642067955101602E-13</v>
      </c>
      <c r="W354" s="3">
        <f t="shared" si="361"/>
        <v>7.5976253336596443E-111</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3.4265272438938038E-2</v>
      </c>
      <c r="C355" s="3">
        <f t="shared" si="362"/>
        <v>3.4265272438938038E-2</v>
      </c>
      <c r="D355" s="3">
        <f t="shared" si="362"/>
        <v>3.4265272438938038E-2</v>
      </c>
      <c r="E355" s="3">
        <f t="shared" si="362"/>
        <v>3.4265272438938038E-2</v>
      </c>
      <c r="F355" s="3">
        <f t="shared" si="362"/>
        <v>3.4265272438938031E-2</v>
      </c>
      <c r="G355" s="3">
        <f t="shared" si="362"/>
        <v>3.4265272438937948E-2</v>
      </c>
      <c r="H355" s="3">
        <f t="shared" si="362"/>
        <v>3.4265272438937178E-2</v>
      </c>
      <c r="I355" s="3">
        <f t="shared" si="362"/>
        <v>3.4265272438929455E-2</v>
      </c>
      <c r="J355" s="3">
        <f t="shared" si="362"/>
        <v>3.4265272438852197E-2</v>
      </c>
      <c r="K355" s="3">
        <f t="shared" si="362"/>
        <v>3.4265272438079655E-2</v>
      </c>
      <c r="L355" s="3">
        <f t="shared" si="362"/>
        <v>3.4265272430354196E-2</v>
      </c>
      <c r="M355" s="3">
        <f t="shared" si="362"/>
        <v>3.4265272353099591E-2</v>
      </c>
      <c r="N355" s="3">
        <f t="shared" si="362"/>
        <v>3.426527158055355E-2</v>
      </c>
      <c r="O355" s="3">
        <f t="shared" si="362"/>
        <v>3.4265263855094111E-2</v>
      </c>
      <c r="P355" s="3">
        <f t="shared" si="362"/>
        <v>3.4265186600595555E-2</v>
      </c>
      <c r="Q355" s="3">
        <f t="shared" si="362"/>
        <v>3.4264414065189708E-2</v>
      </c>
      <c r="R355" s="3">
        <f t="shared" si="362"/>
        <v>3.4256689669024239E-2</v>
      </c>
      <c r="S355" s="3">
        <f t="shared" si="362"/>
        <v>3.41795414168099E-2</v>
      </c>
      <c r="T355" s="3">
        <f t="shared" si="362"/>
        <v>3.3417550476786205E-2</v>
      </c>
      <c r="U355" s="3">
        <f t="shared" si="362"/>
        <v>2.6672174542165521E-2</v>
      </c>
      <c r="V355" s="3">
        <f t="shared" si="362"/>
        <v>2.7983146257618873E-3</v>
      </c>
      <c r="W355" s="3">
        <f t="shared" si="362"/>
        <v>4.5214498797854224E-13</v>
      </c>
      <c r="X355" s="3">
        <f t="shared" si="362"/>
        <v>5.4838997614433662E-111</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1.7817533491132281E-2</v>
      </c>
      <c r="C356" s="3">
        <f t="shared" si="363"/>
        <v>1.7817533491132281E-2</v>
      </c>
      <c r="D356" s="3">
        <f t="shared" si="363"/>
        <v>1.7817533491132281E-2</v>
      </c>
      <c r="E356" s="3">
        <f t="shared" si="363"/>
        <v>1.7817533491132281E-2</v>
      </c>
      <c r="F356" s="3">
        <f t="shared" si="363"/>
        <v>1.7817533491132281E-2</v>
      </c>
      <c r="G356" s="3">
        <f t="shared" si="363"/>
        <v>1.7817533491132277E-2</v>
      </c>
      <c r="H356" s="3">
        <f t="shared" si="363"/>
        <v>1.7817533491132236E-2</v>
      </c>
      <c r="I356" s="3">
        <f t="shared" si="363"/>
        <v>1.7817533491131833E-2</v>
      </c>
      <c r="J356" s="3">
        <f t="shared" si="363"/>
        <v>1.7817533491127819E-2</v>
      </c>
      <c r="K356" s="3">
        <f t="shared" si="363"/>
        <v>1.7817533491087646E-2</v>
      </c>
      <c r="L356" s="3">
        <f t="shared" si="363"/>
        <v>1.7817533490685929E-2</v>
      </c>
      <c r="M356" s="3">
        <f t="shared" si="363"/>
        <v>1.7817533486668785E-2</v>
      </c>
      <c r="N356" s="3">
        <f t="shared" si="363"/>
        <v>1.7817533446497311E-2</v>
      </c>
      <c r="O356" s="3">
        <f t="shared" si="363"/>
        <v>1.7817533044782573E-2</v>
      </c>
      <c r="P356" s="3">
        <f t="shared" si="363"/>
        <v>1.7817529027635691E-2</v>
      </c>
      <c r="Q356" s="3">
        <f t="shared" si="363"/>
        <v>1.7817488856216718E-2</v>
      </c>
      <c r="R356" s="3">
        <f t="shared" si="363"/>
        <v>1.7817087147008328E-2</v>
      </c>
      <c r="S356" s="3">
        <f t="shared" si="363"/>
        <v>1.7813070553017365E-2</v>
      </c>
      <c r="T356" s="3">
        <f t="shared" si="363"/>
        <v>1.7772954380876581E-2</v>
      </c>
      <c r="U356" s="3">
        <f t="shared" si="363"/>
        <v>1.7376728169104707E-2</v>
      </c>
      <c r="V356" s="3">
        <f t="shared" si="363"/>
        <v>1.3869213035829244E-2</v>
      </c>
      <c r="W356" s="3">
        <f t="shared" si="363"/>
        <v>1.4550902711218301E-3</v>
      </c>
      <c r="X356" s="3">
        <f t="shared" si="363"/>
        <v>2.3511000767647645E-13</v>
      </c>
      <c r="Y356" s="3">
        <f t="shared" si="363"/>
        <v>2.8515625502657683E-111</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3.0591851493341829E-2</v>
      </c>
      <c r="C357" s="3">
        <f t="shared" si="364"/>
        <v>3.0591851493341829E-2</v>
      </c>
      <c r="D357" s="3">
        <f t="shared" si="364"/>
        <v>3.0591851493341829E-2</v>
      </c>
      <c r="E357" s="3">
        <f t="shared" si="364"/>
        <v>3.0591851493341829E-2</v>
      </c>
      <c r="F357" s="3">
        <f t="shared" si="364"/>
        <v>3.0591851493341829E-2</v>
      </c>
      <c r="G357" s="3">
        <f t="shared" si="364"/>
        <v>3.0591851493341829E-2</v>
      </c>
      <c r="H357" s="3">
        <f t="shared" si="364"/>
        <v>3.0591851493341822E-2</v>
      </c>
      <c r="I357" s="3">
        <f t="shared" si="364"/>
        <v>3.0591851493341749E-2</v>
      </c>
      <c r="J357" s="3">
        <f t="shared" si="364"/>
        <v>3.0591851493341062E-2</v>
      </c>
      <c r="K357" s="3">
        <f t="shared" si="364"/>
        <v>3.0591851493334168E-2</v>
      </c>
      <c r="L357" s="3">
        <f t="shared" si="364"/>
        <v>3.0591851493265192E-2</v>
      </c>
      <c r="M357" s="3">
        <f t="shared" si="364"/>
        <v>3.0591851492575466E-2</v>
      </c>
      <c r="N357" s="3">
        <f t="shared" si="364"/>
        <v>3.059185148567822E-2</v>
      </c>
      <c r="O357" s="3">
        <f t="shared" si="364"/>
        <v>3.0591851416705722E-2</v>
      </c>
      <c r="P357" s="3">
        <f t="shared" si="364"/>
        <v>3.0591850726980761E-2</v>
      </c>
      <c r="Q357" s="3">
        <f t="shared" si="364"/>
        <v>3.0591843829732002E-2</v>
      </c>
      <c r="R357" s="3">
        <f t="shared" si="364"/>
        <v>3.0591774857329949E-2</v>
      </c>
      <c r="S357" s="3">
        <f t="shared" si="364"/>
        <v>3.0591085141862165E-2</v>
      </c>
      <c r="T357" s="3">
        <f t="shared" si="364"/>
        <v>3.0584188842386045E-2</v>
      </c>
      <c r="U357" s="3">
        <f t="shared" si="364"/>
        <v>3.0515311296499967E-2</v>
      </c>
      <c r="V357" s="3">
        <f t="shared" si="364"/>
        <v>2.9835009871259081E-2</v>
      </c>
      <c r="W357" s="3">
        <f t="shared" si="364"/>
        <v>2.3812774407455096E-2</v>
      </c>
      <c r="X357" s="3">
        <f t="shared" si="364"/>
        <v>2.4983202925208435E-3</v>
      </c>
      <c r="Y357" s="3">
        <f t="shared" si="364"/>
        <v>4.036726207371453E-13</v>
      </c>
      <c r="Z357" s="3">
        <f t="shared" si="364"/>
        <v>4.8959963007855049E-111</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0.11502046089552719</v>
      </c>
      <c r="B358" s="80">
        <f>IF($A$64&lt;=B324,IF($B$64&gt;=B324,ABS((B326-B325)/B325),0),0)</f>
        <v>2.8065523360408254E-2</v>
      </c>
      <c r="C358" s="80">
        <f t="shared" ref="C358:AF358" si="365">IF($A$64&lt;=C324,IF($B$64&gt;=C324,ABS((C326-C325)/C325),0),0)</f>
        <v>3.7560217833409001E-2</v>
      </c>
      <c r="D358" s="80">
        <f t="shared" si="365"/>
        <v>3.8159069122392787E-2</v>
      </c>
      <c r="E358" s="80">
        <f t="shared" si="365"/>
        <v>4.5371601538693608E-2</v>
      </c>
      <c r="F358" s="80">
        <f t="shared" si="365"/>
        <v>5.4372462162419102E-2</v>
      </c>
      <c r="G358" s="80">
        <f t="shared" si="365"/>
        <v>5.4989943829164098E-2</v>
      </c>
      <c r="H358" s="80">
        <f t="shared" si="365"/>
        <v>4.8139108536919849E-2</v>
      </c>
      <c r="I358" s="80">
        <f t="shared" si="365"/>
        <v>4.0130096443751095E-2</v>
      </c>
      <c r="J358" s="80">
        <f t="shared" si="365"/>
        <v>7.2667634580237967E-3</v>
      </c>
      <c r="K358" s="80">
        <f t="shared" si="365"/>
        <v>3.7491513319443712E-2</v>
      </c>
      <c r="L358" s="80">
        <f t="shared" si="365"/>
        <v>7.6829992213430953E-2</v>
      </c>
      <c r="M358" s="80">
        <f t="shared" si="365"/>
        <v>0.10348539066693273</v>
      </c>
      <c r="N358" s="80">
        <f t="shared" si="365"/>
        <v>0.11155004399384551</v>
      </c>
      <c r="O358" s="80">
        <f t="shared" si="365"/>
        <v>0.12355559019645973</v>
      </c>
      <c r="P358" s="80">
        <f t="shared" si="365"/>
        <v>0.11461558585768765</v>
      </c>
      <c r="Q358" s="80">
        <f t="shared" si="365"/>
        <v>7.9472555372536169E-2</v>
      </c>
      <c r="R358" s="80">
        <f t="shared" si="365"/>
        <v>3.9020293779472403E-3</v>
      </c>
      <c r="S358" s="80">
        <f t="shared" si="365"/>
        <v>9.6436669730758082E-2</v>
      </c>
      <c r="T358" s="80">
        <f t="shared" si="365"/>
        <v>0.18964548308268325</v>
      </c>
      <c r="U358" s="80">
        <f t="shared" si="365"/>
        <v>0.22985487091338347</v>
      </c>
      <c r="V358" s="80">
        <f t="shared" si="365"/>
        <v>0.196708007523719</v>
      </c>
      <c r="W358" s="80">
        <f t="shared" si="365"/>
        <v>7.4993638106415406E-2</v>
      </c>
      <c r="X358" s="80">
        <f t="shared" si="365"/>
        <v>0.27623834522764162</v>
      </c>
      <c r="Y358" s="80">
        <f t="shared" si="365"/>
        <v>0.2775438059233718</v>
      </c>
      <c r="Z358" s="80">
        <f t="shared" si="365"/>
        <v>0.23928277647118512</v>
      </c>
      <c r="AA358" s="80">
        <f t="shared" si="365"/>
        <v>0.21914021400508618</v>
      </c>
      <c r="AB358" s="80">
        <f t="shared" si="365"/>
        <v>0.18024527972571697</v>
      </c>
      <c r="AC358" s="80">
        <f t="shared" si="365"/>
        <v>0.14974147782316677</v>
      </c>
      <c r="AD358" s="80">
        <f t="shared" si="365"/>
        <v>0.14550780281108519</v>
      </c>
      <c r="AE358" s="80">
        <f t="shared" si="365"/>
        <v>0.14288306987558541</v>
      </c>
      <c r="AF358" s="80">
        <f t="shared" si="365"/>
        <v>0.14245535925808017</v>
      </c>
    </row>
    <row r="359" spans="1:34" x14ac:dyDescent="0.25">
      <c r="B359" s="21">
        <f>(B326-B325)^2</f>
        <v>20143.716379404006</v>
      </c>
      <c r="C359" s="21">
        <f t="shared" ref="C359:AF359" si="366">(C326-C325)^2</f>
        <v>33168.740742494621</v>
      </c>
      <c r="D359" s="21">
        <f t="shared" si="366"/>
        <v>31955.11423016671</v>
      </c>
      <c r="E359" s="21">
        <f t="shared" si="366"/>
        <v>41652.377431031273</v>
      </c>
      <c r="F359" s="21">
        <f t="shared" si="366"/>
        <v>54092.412141475565</v>
      </c>
      <c r="G359" s="21">
        <f t="shared" si="366"/>
        <v>49772.879972653296</v>
      </c>
      <c r="H359" s="21">
        <f t="shared" si="366"/>
        <v>34728.944961362096</v>
      </c>
      <c r="I359" s="21">
        <f t="shared" si="366"/>
        <v>21996.146357186586</v>
      </c>
      <c r="J359" s="21">
        <f t="shared" si="366"/>
        <v>656.39126107454729</v>
      </c>
      <c r="K359" s="21">
        <f t="shared" si="366"/>
        <v>15841.901010694055</v>
      </c>
      <c r="L359" s="21">
        <f t="shared" si="366"/>
        <v>59957.371701946897</v>
      </c>
      <c r="M359" s="21">
        <f t="shared" si="366"/>
        <v>96188.217158673229</v>
      </c>
      <c r="N359" s="21">
        <f t="shared" si="366"/>
        <v>96520.024508960996</v>
      </c>
      <c r="O359" s="21">
        <f t="shared" si="366"/>
        <v>99163.042827425088</v>
      </c>
      <c r="P359" s="21">
        <f t="shared" si="366"/>
        <v>68156.546510243221</v>
      </c>
      <c r="Q359" s="21">
        <f t="shared" si="366"/>
        <v>23902.786896563764</v>
      </c>
      <c r="R359" s="21">
        <f t="shared" si="366"/>
        <v>36.441178245139824</v>
      </c>
      <c r="S359" s="21">
        <f t="shared" si="366"/>
        <v>12185.398724876703</v>
      </c>
      <c r="T359" s="21">
        <f t="shared" si="366"/>
        <v>23019.671259259638</v>
      </c>
      <c r="U359" s="21">
        <f t="shared" si="366"/>
        <v>16003.771592283547</v>
      </c>
      <c r="V359" s="21">
        <f t="shared" si="366"/>
        <v>6203.1096189519731</v>
      </c>
      <c r="W359" s="21">
        <f t="shared" si="366"/>
        <v>588.31896421410681</v>
      </c>
      <c r="X359" s="21">
        <f t="shared" si="366"/>
        <v>6225.1230179058148</v>
      </c>
      <c r="Y359" s="21">
        <f t="shared" si="366"/>
        <v>5398.3784889384133</v>
      </c>
      <c r="Z359" s="21">
        <f t="shared" si="366"/>
        <v>3619.0923832971139</v>
      </c>
      <c r="AA359" s="21">
        <f t="shared" si="366"/>
        <v>2880.8545861267353</v>
      </c>
      <c r="AB359" s="21">
        <f t="shared" si="366"/>
        <v>1768.411121787143</v>
      </c>
      <c r="AC359" s="21">
        <f t="shared" si="366"/>
        <v>1134.5026954171717</v>
      </c>
      <c r="AD359" s="21">
        <f t="shared" si="366"/>
        <v>1060.6684540020458</v>
      </c>
      <c r="AE359" s="21">
        <f t="shared" si="366"/>
        <v>1016.4936907059982</v>
      </c>
      <c r="AF359" s="21">
        <f t="shared" si="366"/>
        <v>1009.4095276866893</v>
      </c>
      <c r="AG359" s="3"/>
      <c r="AH359" s="3"/>
    </row>
    <row r="360" spans="1:34" x14ac:dyDescent="0.25">
      <c r="A360" s="71">
        <f>SUM(B360:AF360)</f>
        <v>830046.25939505396</v>
      </c>
      <c r="B360" s="60">
        <f>IF($A$64&lt;=B324,IF($B$64&gt;=B324,ABS(B359),0),0)</f>
        <v>20143.716379404006</v>
      </c>
      <c r="C360" s="60">
        <f t="shared" ref="C360:AF360" si="367">IF($A$64&lt;=C324,IF($B$64&gt;=C324,ABS(C359),0),0)</f>
        <v>33168.740742494621</v>
      </c>
      <c r="D360" s="60">
        <f t="shared" si="367"/>
        <v>31955.11423016671</v>
      </c>
      <c r="E360" s="60">
        <f t="shared" si="367"/>
        <v>41652.377431031273</v>
      </c>
      <c r="F360" s="60">
        <f t="shared" si="367"/>
        <v>54092.412141475565</v>
      </c>
      <c r="G360" s="60">
        <f t="shared" si="367"/>
        <v>49772.879972653296</v>
      </c>
      <c r="H360" s="60">
        <f t="shared" si="367"/>
        <v>34728.944961362096</v>
      </c>
      <c r="I360" s="60">
        <f t="shared" si="367"/>
        <v>21996.146357186586</v>
      </c>
      <c r="J360" s="60">
        <f t="shared" si="367"/>
        <v>656.39126107454729</v>
      </c>
      <c r="K360" s="60">
        <f t="shared" si="367"/>
        <v>15841.901010694055</v>
      </c>
      <c r="L360" s="60">
        <f t="shared" si="367"/>
        <v>59957.371701946897</v>
      </c>
      <c r="M360" s="60">
        <f t="shared" si="367"/>
        <v>96188.217158673229</v>
      </c>
      <c r="N360" s="60">
        <f t="shared" si="367"/>
        <v>96520.024508960996</v>
      </c>
      <c r="O360" s="60">
        <f t="shared" si="367"/>
        <v>99163.042827425088</v>
      </c>
      <c r="P360" s="60">
        <f t="shared" si="367"/>
        <v>68156.546510243221</v>
      </c>
      <c r="Q360" s="60">
        <f t="shared" si="367"/>
        <v>23902.786896563764</v>
      </c>
      <c r="R360" s="60">
        <f t="shared" si="367"/>
        <v>36.441178245139824</v>
      </c>
      <c r="S360" s="60">
        <f t="shared" si="367"/>
        <v>12185.398724876703</v>
      </c>
      <c r="T360" s="60">
        <f t="shared" si="367"/>
        <v>23019.671259259638</v>
      </c>
      <c r="U360" s="60">
        <f t="shared" si="367"/>
        <v>16003.771592283547</v>
      </c>
      <c r="V360" s="60">
        <f t="shared" si="367"/>
        <v>6203.1096189519731</v>
      </c>
      <c r="W360" s="60">
        <f t="shared" si="367"/>
        <v>588.31896421410681</v>
      </c>
      <c r="X360" s="60">
        <f t="shared" si="367"/>
        <v>6225.1230179058148</v>
      </c>
      <c r="Y360" s="60">
        <f t="shared" si="367"/>
        <v>5398.3784889384133</v>
      </c>
      <c r="Z360" s="60">
        <f t="shared" si="367"/>
        <v>3619.0923832971139</v>
      </c>
      <c r="AA360" s="60">
        <f t="shared" si="367"/>
        <v>2880.8545861267353</v>
      </c>
      <c r="AB360" s="60">
        <f t="shared" si="367"/>
        <v>1768.411121787143</v>
      </c>
      <c r="AC360" s="60">
        <f t="shared" si="367"/>
        <v>1134.5026954171717</v>
      </c>
      <c r="AD360" s="60">
        <f t="shared" si="367"/>
        <v>1060.6684540020458</v>
      </c>
      <c r="AE360" s="60">
        <f t="shared" si="367"/>
        <v>1016.4936907059982</v>
      </c>
      <c r="AF360" s="60">
        <f t="shared" si="367"/>
        <v>1009.4095276866893</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4070.1694291539798</v>
      </c>
      <c r="C365" s="27">
        <f t="shared" ref="C365:AF365" si="368">($C$17+SUM(C366:C396))*$B$51</f>
        <v>3857.3166736383782</v>
      </c>
      <c r="D365" s="27">
        <f t="shared" si="368"/>
        <v>3570.3922701552569</v>
      </c>
      <c r="E365" s="27">
        <f t="shared" si="368"/>
        <v>3249.7907972008225</v>
      </c>
      <c r="F365" s="27">
        <f t="shared" si="368"/>
        <v>2957.9491704645152</v>
      </c>
      <c r="G365" s="27">
        <f t="shared" si="368"/>
        <v>2700.5025247119715</v>
      </c>
      <c r="H365" s="27">
        <f t="shared" si="368"/>
        <v>2485.4756763523496</v>
      </c>
      <c r="I365" s="27">
        <f t="shared" si="368"/>
        <v>2244.5477785531871</v>
      </c>
      <c r="J365" s="27">
        <f t="shared" si="368"/>
        <v>2028.1708233384256</v>
      </c>
      <c r="K365" s="27">
        <f t="shared" si="368"/>
        <v>1802.9236357929533</v>
      </c>
      <c r="L365" s="27">
        <f t="shared" si="368"/>
        <v>1554.733881024855</v>
      </c>
      <c r="M365" s="27">
        <f t="shared" si="368"/>
        <v>1270.4447498188322</v>
      </c>
      <c r="N365" s="27">
        <f t="shared" si="368"/>
        <v>967.23908985769026</v>
      </c>
      <c r="O365" s="27">
        <f t="shared" si="368"/>
        <v>689.8004286829472</v>
      </c>
      <c r="P365" s="27">
        <f t="shared" si="368"/>
        <v>487.78528554720282</v>
      </c>
      <c r="Q365" s="27">
        <f t="shared" si="368"/>
        <v>354.84962900666335</v>
      </c>
      <c r="R365" s="27">
        <f t="shared" si="368"/>
        <v>211.76921335176846</v>
      </c>
      <c r="S365" s="27">
        <f t="shared" si="368"/>
        <v>191.25449223188548</v>
      </c>
      <c r="T365" s="27">
        <f t="shared" si="368"/>
        <v>191.25449218977511</v>
      </c>
      <c r="U365" s="27">
        <f t="shared" si="368"/>
        <v>191.25449218977511</v>
      </c>
      <c r="V365" s="27">
        <f t="shared" si="368"/>
        <v>191.25449218977511</v>
      </c>
      <c r="W365" s="27">
        <f t="shared" si="368"/>
        <v>191.25449218977511</v>
      </c>
      <c r="X365" s="27">
        <f t="shared" si="368"/>
        <v>191.25449218977511</v>
      </c>
      <c r="Y365" s="27">
        <f t="shared" si="368"/>
        <v>191.25449218977511</v>
      </c>
      <c r="Z365" s="27">
        <f t="shared" si="368"/>
        <v>191.25449218977511</v>
      </c>
      <c r="AA365" s="27">
        <f t="shared" si="368"/>
        <v>191.25449218977511</v>
      </c>
      <c r="AB365" s="27">
        <f t="shared" si="368"/>
        <v>191.25449218977511</v>
      </c>
      <c r="AC365" s="27">
        <f t="shared" si="368"/>
        <v>191.25449218977511</v>
      </c>
      <c r="AD365" s="27">
        <f t="shared" si="368"/>
        <v>191.25449218977511</v>
      </c>
      <c r="AE365" s="27">
        <f t="shared" si="368"/>
        <v>191.25449218977511</v>
      </c>
      <c r="AF365" s="27">
        <f t="shared" si="368"/>
        <v>191.25449218977511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8.057140859306446E-82</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2.6839108408119672E-9</v>
      </c>
      <c r="C379" s="3">
        <f t="shared" si="382"/>
        <v>6.4433713566775869E-74</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8.4987245153524595E-3</v>
      </c>
      <c r="C380" s="3">
        <f t="shared" si="383"/>
        <v>1.2592828654993891E-8</v>
      </c>
      <c r="D380" s="3">
        <f t="shared" si="383"/>
        <v>6.4241950250492534E-67</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2.8013195977791516E-2</v>
      </c>
      <c r="C381" s="3">
        <f t="shared" si="384"/>
        <v>8.3467533047081564E-3</v>
      </c>
      <c r="D381" s="3">
        <f t="shared" si="384"/>
        <v>4.603273295159702E-8</v>
      </c>
      <c r="E381" s="3">
        <f t="shared" si="384"/>
        <v>1.1982807379322352E-60</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5.4396031758193505E-2</v>
      </c>
      <c r="C382" s="3">
        <f t="shared" si="385"/>
        <v>4.8767626331282246E-2</v>
      </c>
      <c r="D382" s="3">
        <f t="shared" si="385"/>
        <v>1.6359710259407998E-2</v>
      </c>
      <c r="E382" s="3">
        <f t="shared" si="385"/>
        <v>2.9526740611463171E-7</v>
      </c>
      <c r="F382" s="3">
        <f t="shared" si="385"/>
        <v>1.0829652456522149E-54</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5.5306564793165855E-2</v>
      </c>
      <c r="C383" s="3">
        <f t="shared" si="386"/>
        <v>5.4764307271181749E-2</v>
      </c>
      <c r="D383" s="3">
        <f t="shared" si="386"/>
        <v>4.9625710784455573E-2</v>
      </c>
      <c r="E383" s="3">
        <f t="shared" si="386"/>
        <v>1.852670373379648E-2</v>
      </c>
      <c r="F383" s="3">
        <f t="shared" si="386"/>
        <v>9.7434401367045562E-7</v>
      </c>
      <c r="G383" s="3">
        <f t="shared" si="386"/>
        <v>1.5770808817054329E-49</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4.7003196104115193E-2</v>
      </c>
      <c r="C384" s="3">
        <f t="shared" si="387"/>
        <v>4.6961437336096416E-2</v>
      </c>
      <c r="D384" s="3">
        <f t="shared" si="387"/>
        <v>4.6545884699216868E-2</v>
      </c>
      <c r="E384" s="3">
        <f t="shared" si="387"/>
        <v>4.2587326304336155E-2</v>
      </c>
      <c r="F384" s="3">
        <f t="shared" si="387"/>
        <v>1.7509398795359073E-2</v>
      </c>
      <c r="G384" s="3">
        <f t="shared" si="387"/>
        <v>2.4164611938346673E-6</v>
      </c>
      <c r="H384" s="3">
        <f t="shared" si="387"/>
        <v>6.0571137996620587E-45</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4.3270928360021103E-2</v>
      </c>
      <c r="C385" s="3">
        <f t="shared" si="388"/>
        <v>4.3267459085463471E-2</v>
      </c>
      <c r="D385" s="3">
        <f t="shared" si="388"/>
        <v>4.3232781634530801E-2</v>
      </c>
      <c r="E385" s="3">
        <f t="shared" si="388"/>
        <v>4.2887532061950694E-2</v>
      </c>
      <c r="F385" s="3">
        <f t="shared" si="388"/>
        <v>3.9583101496523436E-2</v>
      </c>
      <c r="G385" s="3">
        <f t="shared" si="388"/>
        <v>1.7754050953691584E-2</v>
      </c>
      <c r="H385" s="3">
        <f t="shared" si="388"/>
        <v>5.8502426842471131E-6</v>
      </c>
      <c r="I385" s="3">
        <f t="shared" si="388"/>
        <v>8.8295401249724617E-41</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2.2304506435939273E-2</v>
      </c>
      <c r="C386" s="3">
        <f t="shared" si="389"/>
        <v>2.2304345112487248E-2</v>
      </c>
      <c r="D386" s="3">
        <f t="shared" si="389"/>
        <v>2.23027319421405E-2</v>
      </c>
      <c r="E386" s="3">
        <f t="shared" si="389"/>
        <v>2.2286606654305027E-2</v>
      </c>
      <c r="F386" s="3">
        <f t="shared" si="389"/>
        <v>2.2125993625557543E-2</v>
      </c>
      <c r="G386" s="3">
        <f t="shared" si="389"/>
        <v>2.0582168598665337E-2</v>
      </c>
      <c r="H386" s="3">
        <f t="shared" si="389"/>
        <v>9.9856103648692275E-3</v>
      </c>
      <c r="I386" s="3">
        <f t="shared" si="389"/>
        <v>7.2145535664209998E-6</v>
      </c>
      <c r="J386" s="3">
        <f t="shared" si="389"/>
        <v>2.7961336434550712E-37</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3.1643209289025989E-2</v>
      </c>
      <c r="C387" s="3">
        <f t="shared" si="390"/>
        <v>3.1643145989652621E-2</v>
      </c>
      <c r="D387" s="3">
        <f t="shared" si="390"/>
        <v>3.1642513002883225E-2</v>
      </c>
      <c r="E387" s="3">
        <f t="shared" si="390"/>
        <v>3.1636183831569159E-2</v>
      </c>
      <c r="F387" s="3">
        <f t="shared" si="390"/>
        <v>3.1572961704904923E-2</v>
      </c>
      <c r="G387" s="3">
        <f t="shared" si="390"/>
        <v>3.0947647855753851E-2</v>
      </c>
      <c r="H387" s="3">
        <f t="shared" si="390"/>
        <v>2.5336748652498627E-2</v>
      </c>
      <c r="I387" s="3">
        <f t="shared" si="390"/>
        <v>3.4275456631179305E-3</v>
      </c>
      <c r="J387" s="3">
        <f t="shared" si="390"/>
        <v>7.0356934958288395E-12</v>
      </c>
      <c r="K387" s="3">
        <f t="shared" si="390"/>
        <v>9.3442302923370719E-99</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3.5141037165868104E-2</v>
      </c>
      <c r="C388" s="3">
        <f t="shared" si="391"/>
        <v>3.514103013621566E-2</v>
      </c>
      <c r="D388" s="3">
        <f t="shared" si="391"/>
        <v>3.514095983976858E-2</v>
      </c>
      <c r="E388" s="3">
        <f t="shared" si="391"/>
        <v>3.5140256883031927E-2</v>
      </c>
      <c r="F388" s="3">
        <f t="shared" si="391"/>
        <v>3.5133228089022646E-2</v>
      </c>
      <c r="G388" s="3">
        <f t="shared" si="391"/>
        <v>3.5063017427452561E-2</v>
      </c>
      <c r="H388" s="3">
        <f t="shared" si="391"/>
        <v>3.4368581770914029E-2</v>
      </c>
      <c r="I388" s="3">
        <f t="shared" si="391"/>
        <v>2.8137457228775989E-2</v>
      </c>
      <c r="J388" s="3">
        <f t="shared" si="391"/>
        <v>3.806424447682501E-3</v>
      </c>
      <c r="K388" s="3">
        <f t="shared" si="391"/>
        <v>7.8134147174459405E-12</v>
      </c>
      <c r="L388" s="3">
        <f t="shared" si="391"/>
        <v>1.037713574825755E-98</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3.5593088021645979E-2</v>
      </c>
      <c r="C389" s="3">
        <f t="shared" si="392"/>
        <v>3.5593087309637797E-2</v>
      </c>
      <c r="D389" s="3">
        <f t="shared" si="392"/>
        <v>3.5593080189556738E-2</v>
      </c>
      <c r="E389" s="3">
        <f t="shared" si="392"/>
        <v>3.5593008988824476E-2</v>
      </c>
      <c r="F389" s="3">
        <f t="shared" si="392"/>
        <v>3.5592296989335546E-2</v>
      </c>
      <c r="G389" s="3">
        <f t="shared" si="392"/>
        <v>3.5585177777751865E-2</v>
      </c>
      <c r="H389" s="3">
        <f t="shared" si="392"/>
        <v>3.5514063934539555E-2</v>
      </c>
      <c r="I389" s="3">
        <f t="shared" si="392"/>
        <v>3.481069513988972E-2</v>
      </c>
      <c r="J389" s="3">
        <f t="shared" si="392"/>
        <v>2.8499414148987098E-2</v>
      </c>
      <c r="K389" s="3">
        <f t="shared" si="392"/>
        <v>3.8553898413531983E-3</v>
      </c>
      <c r="L389" s="3">
        <f t="shared" si="392"/>
        <v>7.9139255597890697E-12</v>
      </c>
      <c r="M389" s="3">
        <f t="shared" si="392"/>
        <v>1.0510625994569166E-98</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3.9001792867603954E-2</v>
      </c>
      <c r="C390" s="3">
        <f t="shared" si="393"/>
        <v>3.9001792789584322E-2</v>
      </c>
      <c r="D390" s="3">
        <f t="shared" si="393"/>
        <v>3.9001792009388025E-2</v>
      </c>
      <c r="E390" s="3">
        <f t="shared" si="393"/>
        <v>3.9001784207425859E-2</v>
      </c>
      <c r="F390" s="3">
        <f t="shared" si="393"/>
        <v>3.9001706187890034E-2</v>
      </c>
      <c r="G390" s="3">
        <f t="shared" si="393"/>
        <v>3.9000926001115654E-2</v>
      </c>
      <c r="H390" s="3">
        <f t="shared" si="393"/>
        <v>3.8993124991693745E-2</v>
      </c>
      <c r="I390" s="3">
        <f t="shared" si="393"/>
        <v>3.8915200666168777E-2</v>
      </c>
      <c r="J390" s="3">
        <f t="shared" si="393"/>
        <v>3.8144471136690769E-2</v>
      </c>
      <c r="K390" s="3">
        <f t="shared" si="393"/>
        <v>3.1228766792793173E-2</v>
      </c>
      <c r="L390" s="3">
        <f t="shared" si="393"/>
        <v>4.2246156226759483E-3</v>
      </c>
      <c r="M390" s="3">
        <f t="shared" si="393"/>
        <v>8.6718321446956012E-12</v>
      </c>
      <c r="N390" s="3">
        <f t="shared" si="393"/>
        <v>1.1517215277294959E-98</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4.5862342502366045E-2</v>
      </c>
      <c r="C391" s="3">
        <f t="shared" si="394"/>
        <v>4.5862342493191689E-2</v>
      </c>
      <c r="D391" s="3">
        <f t="shared" si="394"/>
        <v>4.5862342401448132E-2</v>
      </c>
      <c r="E391" s="3">
        <f t="shared" si="394"/>
        <v>4.5862341484012623E-2</v>
      </c>
      <c r="F391" s="3">
        <f t="shared" si="394"/>
        <v>4.586233230965845E-2</v>
      </c>
      <c r="G391" s="3">
        <f t="shared" si="394"/>
        <v>4.5862240566217696E-2</v>
      </c>
      <c r="H391" s="3">
        <f t="shared" si="394"/>
        <v>4.5861323141903984E-2</v>
      </c>
      <c r="I391" s="3">
        <f t="shared" si="394"/>
        <v>4.5852149908070489E-2</v>
      </c>
      <c r="J391" s="3">
        <f t="shared" si="394"/>
        <v>4.5760518425438164E-2</v>
      </c>
      <c r="K391" s="3">
        <f t="shared" si="394"/>
        <v>4.4854214918557657E-2</v>
      </c>
      <c r="L391" s="3">
        <f t="shared" si="394"/>
        <v>3.6722014373876122E-2</v>
      </c>
      <c r="M391" s="3">
        <f t="shared" si="394"/>
        <v>4.9677400535652737E-3</v>
      </c>
      <c r="N391" s="3">
        <f t="shared" si="394"/>
        <v>1.0197237270952455E-11</v>
      </c>
      <c r="O391" s="3">
        <f t="shared" si="394"/>
        <v>1.3543133091552442E-98</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5.0364270464078403E-2</v>
      </c>
      <c r="C392" s="3">
        <f t="shared" si="395"/>
        <v>5.0364270463070911E-2</v>
      </c>
      <c r="D392" s="3">
        <f t="shared" si="395"/>
        <v>5.0364270452995984E-2</v>
      </c>
      <c r="E392" s="3">
        <f t="shared" si="395"/>
        <v>5.0364270352246721E-2</v>
      </c>
      <c r="F392" s="3">
        <f t="shared" si="395"/>
        <v>5.0364269344754131E-2</v>
      </c>
      <c r="G392" s="3">
        <f t="shared" si="395"/>
        <v>5.0364259269829265E-2</v>
      </c>
      <c r="H392" s="3">
        <f t="shared" si="395"/>
        <v>5.0364158520691496E-2</v>
      </c>
      <c r="I392" s="3">
        <f t="shared" si="395"/>
        <v>5.0363151040398429E-2</v>
      </c>
      <c r="J392" s="3">
        <f t="shared" si="395"/>
        <v>5.0353077345846355E-2</v>
      </c>
      <c r="K392" s="3">
        <f t="shared" si="395"/>
        <v>5.0252451156200931E-2</v>
      </c>
      <c r="L392" s="3">
        <f t="shared" si="395"/>
        <v>4.9257183307860983E-2</v>
      </c>
      <c r="M392" s="3">
        <f t="shared" si="395"/>
        <v>4.0326711697712778E-2</v>
      </c>
      <c r="N392" s="3">
        <f t="shared" si="395"/>
        <v>5.4553821282697056E-3</v>
      </c>
      <c r="O392" s="3">
        <f t="shared" si="395"/>
        <v>1.1198215962559285E-11</v>
      </c>
      <c r="P392" s="3">
        <f t="shared" si="395"/>
        <v>1.4872550784014659E-98</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4.7472549330158993E-2</v>
      </c>
      <c r="C393" s="3">
        <f t="shared" si="396"/>
        <v>4.7472549330064034E-2</v>
      </c>
      <c r="D393" s="3">
        <f t="shared" si="396"/>
        <v>4.7472549329114384E-2</v>
      </c>
      <c r="E393" s="3">
        <f t="shared" si="396"/>
        <v>4.7472549319617918E-2</v>
      </c>
      <c r="F393" s="3">
        <f t="shared" si="396"/>
        <v>4.7472549224653292E-2</v>
      </c>
      <c r="G393" s="3">
        <f t="shared" si="396"/>
        <v>4.7472548275007014E-2</v>
      </c>
      <c r="H393" s="3">
        <f t="shared" si="396"/>
        <v>4.7472538778545272E-2</v>
      </c>
      <c r="I393" s="3">
        <f t="shared" si="396"/>
        <v>4.7472443814032365E-2</v>
      </c>
      <c r="J393" s="3">
        <f t="shared" si="396"/>
        <v>4.7471494179351446E-2</v>
      </c>
      <c r="K393" s="3">
        <f t="shared" si="396"/>
        <v>4.7461998877282086E-2</v>
      </c>
      <c r="L393" s="3">
        <f t="shared" si="396"/>
        <v>4.7367150253290885E-2</v>
      </c>
      <c r="M393" s="3">
        <f t="shared" si="396"/>
        <v>4.6429026825877323E-2</v>
      </c>
      <c r="N393" s="3">
        <f t="shared" si="396"/>
        <v>3.801130826970614E-2</v>
      </c>
      <c r="O393" s="3">
        <f t="shared" si="396"/>
        <v>5.1421552384710448E-3</v>
      </c>
      <c r="P393" s="3">
        <f t="shared" si="396"/>
        <v>1.0555257820531081E-11</v>
      </c>
      <c r="Q393" s="3">
        <f t="shared" si="396"/>
        <v>1.4018626582938191E-98</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3.4265272438937275E-2</v>
      </c>
      <c r="C394" s="3">
        <f t="shared" si="397"/>
        <v>3.4265272438930419E-2</v>
      </c>
      <c r="D394" s="3">
        <f t="shared" si="397"/>
        <v>3.4265272438861877E-2</v>
      </c>
      <c r="E394" s="3">
        <f t="shared" si="397"/>
        <v>3.4265272438176432E-2</v>
      </c>
      <c r="F394" s="3">
        <f t="shared" si="397"/>
        <v>3.4265272431321964E-2</v>
      </c>
      <c r="G394" s="3">
        <f t="shared" si="397"/>
        <v>3.4265272362777321E-2</v>
      </c>
      <c r="H394" s="3">
        <f t="shared" si="397"/>
        <v>3.426527167733092E-2</v>
      </c>
      <c r="I394" s="3">
        <f t="shared" si="397"/>
        <v>3.4265264822867583E-2</v>
      </c>
      <c r="J394" s="3">
        <f t="shared" si="397"/>
        <v>3.4265196278309672E-2</v>
      </c>
      <c r="K394" s="3">
        <f t="shared" si="397"/>
        <v>3.4264510840271933E-2</v>
      </c>
      <c r="L394" s="3">
        <f t="shared" si="397"/>
        <v>3.4257657213978693E-2</v>
      </c>
      <c r="M394" s="3">
        <f t="shared" si="397"/>
        <v>3.4189196303676332E-2</v>
      </c>
      <c r="N394" s="3">
        <f t="shared" si="397"/>
        <v>3.3512066988414399E-2</v>
      </c>
      <c r="O394" s="3">
        <f t="shared" si="397"/>
        <v>2.7436231085112606E-2</v>
      </c>
      <c r="P394" s="3">
        <f t="shared" si="397"/>
        <v>3.7115628432776537E-3</v>
      </c>
      <c r="Q394" s="3">
        <f t="shared" si="397"/>
        <v>7.6186931181695847E-12</v>
      </c>
      <c r="R394" s="3">
        <f t="shared" si="397"/>
        <v>1.0118522511679078E-98</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1.7817533491132242E-2</v>
      </c>
      <c r="C395" s="3">
        <f t="shared" si="398"/>
        <v>1.7817533491131885E-2</v>
      </c>
      <c r="D395" s="3">
        <f t="shared" si="398"/>
        <v>1.7817533491128322E-2</v>
      </c>
      <c r="E395" s="3">
        <f t="shared" si="398"/>
        <v>1.7817533491092677E-2</v>
      </c>
      <c r="F395" s="3">
        <f t="shared" si="398"/>
        <v>1.7817533490736254E-2</v>
      </c>
      <c r="G395" s="3">
        <f t="shared" si="398"/>
        <v>1.7817533487172015E-2</v>
      </c>
      <c r="H395" s="3">
        <f t="shared" si="398"/>
        <v>1.7817533451529616E-2</v>
      </c>
      <c r="I395" s="3">
        <f t="shared" si="398"/>
        <v>1.7817533095105649E-2</v>
      </c>
      <c r="J395" s="3">
        <f t="shared" si="398"/>
        <v>1.781752953086637E-2</v>
      </c>
      <c r="K395" s="3">
        <f t="shared" si="398"/>
        <v>1.7817493888512774E-2</v>
      </c>
      <c r="L395" s="3">
        <f t="shared" si="398"/>
        <v>1.7817137468898275E-2</v>
      </c>
      <c r="M395" s="3">
        <f t="shared" si="398"/>
        <v>1.7813573664868021E-2</v>
      </c>
      <c r="N395" s="3">
        <f t="shared" si="398"/>
        <v>1.777797480703552E-2</v>
      </c>
      <c r="O395" s="3">
        <f t="shared" si="398"/>
        <v>1.742587562924533E-2</v>
      </c>
      <c r="P395" s="3">
        <f t="shared" si="398"/>
        <v>1.4266513336515263E-2</v>
      </c>
      <c r="Q395" s="3">
        <f t="shared" si="398"/>
        <v>1.9299684653723214E-3</v>
      </c>
      <c r="R395" s="3">
        <f t="shared" si="398"/>
        <v>3.9616296655323684E-12</v>
      </c>
      <c r="S395" s="3">
        <f t="shared" si="398"/>
        <v>5.2615111715190971E-99</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3.0591851493341822E-2</v>
      </c>
      <c r="C396" s="3">
        <f t="shared" si="399"/>
        <v>3.059185149334176E-2</v>
      </c>
      <c r="D396" s="3">
        <f t="shared" si="399"/>
        <v>3.0591851493341149E-2</v>
      </c>
      <c r="E396" s="3">
        <f t="shared" si="399"/>
        <v>3.0591851493335029E-2</v>
      </c>
      <c r="F396" s="3">
        <f t="shared" si="399"/>
        <v>3.0591851493273835E-2</v>
      </c>
      <c r="G396" s="3">
        <f t="shared" si="399"/>
        <v>3.0591851492661869E-2</v>
      </c>
      <c r="H396" s="3">
        <f t="shared" si="399"/>
        <v>3.059185148654224E-2</v>
      </c>
      <c r="I396" s="3">
        <f t="shared" si="399"/>
        <v>3.0591851425345953E-2</v>
      </c>
      <c r="J396" s="3">
        <f t="shared" si="399"/>
        <v>3.0591850813383076E-2</v>
      </c>
      <c r="K396" s="3">
        <f t="shared" si="399"/>
        <v>3.0591844693754967E-2</v>
      </c>
      <c r="L396" s="3">
        <f t="shared" si="399"/>
        <v>3.0591783497541217E-2</v>
      </c>
      <c r="M396" s="3">
        <f t="shared" si="399"/>
        <v>3.0591171542136641E-2</v>
      </c>
      <c r="N396" s="3">
        <f t="shared" si="399"/>
        <v>3.0585052661333129E-2</v>
      </c>
      <c r="O396" s="3">
        <f t="shared" si="399"/>
        <v>3.0523931127722066E-2</v>
      </c>
      <c r="P396" s="3">
        <f t="shared" si="399"/>
        <v>2.9919393706016296E-2</v>
      </c>
      <c r="Q396" s="3">
        <f t="shared" si="399"/>
        <v>2.4494919991909638E-2</v>
      </c>
      <c r="R396" s="3">
        <f t="shared" si="399"/>
        <v>3.3136634040220846E-3</v>
      </c>
      <c r="S396" s="3">
        <f t="shared" si="399"/>
        <v>6.8019283623011727E-12</v>
      </c>
      <c r="T396" s="3">
        <f t="shared" si="399"/>
        <v>9.0337626400298375E-99</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0.13919026896847794</v>
      </c>
      <c r="B397" s="80">
        <f>IF($A$64&lt;=B363,IF($B$64&gt;=B363,ABS((B365-B364)/B364),0),0)</f>
        <v>5.3580614254887353E-2</v>
      </c>
      <c r="C397" s="80">
        <f t="shared" ref="C397:AF397" si="400">IF($A$64&lt;=C363,IF($B$64&gt;=C363,ABS((C365-C364)/C364),0),0)</f>
        <v>5.9940322506402098E-2</v>
      </c>
      <c r="D397" s="80">
        <f t="shared" si="400"/>
        <v>2.9169264677972269E-2</v>
      </c>
      <c r="E397" s="80">
        <f t="shared" si="400"/>
        <v>1.5008799484403985E-2</v>
      </c>
      <c r="F397" s="80">
        <f t="shared" si="400"/>
        <v>5.4689442911805046E-2</v>
      </c>
      <c r="G397" s="80">
        <f t="shared" si="400"/>
        <v>7.8754997543898669E-2</v>
      </c>
      <c r="H397" s="80">
        <f t="shared" si="400"/>
        <v>8.5034650116181235E-2</v>
      </c>
      <c r="I397" s="80">
        <f t="shared" si="400"/>
        <v>9.2503129638880202E-2</v>
      </c>
      <c r="J397" s="80">
        <f t="shared" si="400"/>
        <v>7.8300492877529507E-2</v>
      </c>
      <c r="K397" s="80">
        <f t="shared" si="400"/>
        <v>4.1570997934957846E-2</v>
      </c>
      <c r="L397" s="80">
        <f t="shared" si="400"/>
        <v>2.6907067817273901E-2</v>
      </c>
      <c r="M397" s="80">
        <f t="shared" si="400"/>
        <v>0.12409715182757033</v>
      </c>
      <c r="N397" s="80">
        <f t="shared" si="400"/>
        <v>0.21297128765843087</v>
      </c>
      <c r="O397" s="80">
        <f t="shared" si="400"/>
        <v>0.23412048852146899</v>
      </c>
      <c r="P397" s="80">
        <f t="shared" si="400"/>
        <v>0.15548889149002648</v>
      </c>
      <c r="Q397" s="80">
        <f t="shared" si="400"/>
        <v>1.1576265256860688E-2</v>
      </c>
      <c r="R397" s="80">
        <f t="shared" si="400"/>
        <v>0.32800140755583584</v>
      </c>
      <c r="S397" s="80">
        <f t="shared" si="400"/>
        <v>0.34168995045394107</v>
      </c>
      <c r="T397" s="80">
        <f t="shared" si="400"/>
        <v>0.29833698339485637</v>
      </c>
      <c r="U397" s="80">
        <f t="shared" si="400"/>
        <v>0.26556564637524782</v>
      </c>
      <c r="V397" s="80">
        <f t="shared" si="400"/>
        <v>0.20717328928283443</v>
      </c>
      <c r="W397" s="80">
        <f t="shared" si="400"/>
        <v>0.17726944725786936</v>
      </c>
      <c r="X397" s="80">
        <f t="shared" si="400"/>
        <v>0.16565709743530921</v>
      </c>
      <c r="Y397" s="80">
        <f t="shared" si="400"/>
        <v>0.15840802759756681</v>
      </c>
      <c r="Z397" s="80">
        <f t="shared" si="400"/>
        <v>0.15299465116234612</v>
      </c>
      <c r="AA397" s="80">
        <f t="shared" si="400"/>
        <v>0.15122619191045003</v>
      </c>
      <c r="AB397" s="80">
        <f t="shared" si="400"/>
        <v>0.14637336599859538</v>
      </c>
      <c r="AC397" s="80">
        <f t="shared" si="400"/>
        <v>0.14588337198960533</v>
      </c>
      <c r="AD397" s="80">
        <f t="shared" si="400"/>
        <v>0.14135257492728578</v>
      </c>
      <c r="AE397" s="80">
        <f t="shared" si="400"/>
        <v>0.14121019415447159</v>
      </c>
      <c r="AF397" s="80">
        <f t="shared" si="400"/>
        <v>0.14004227400805139</v>
      </c>
    </row>
    <row r="398" spans="1:34" x14ac:dyDescent="0.25">
      <c r="B398" s="21">
        <f>(B365-B364)^2</f>
        <v>42845.460019082711</v>
      </c>
      <c r="C398" s="21">
        <f t="shared" ref="C398:AF398" si="401">(C365-C364)^2</f>
        <v>47582.352687947205</v>
      </c>
      <c r="D398" s="21">
        <f t="shared" si="401"/>
        <v>10240.21827385351</v>
      </c>
      <c r="E398" s="21">
        <f t="shared" si="401"/>
        <v>2452.0991039016853</v>
      </c>
      <c r="F398" s="21">
        <f t="shared" si="401"/>
        <v>29284.606750866336</v>
      </c>
      <c r="G398" s="21">
        <f t="shared" si="401"/>
        <v>53296.06316025008</v>
      </c>
      <c r="H398" s="21">
        <f t="shared" si="401"/>
        <v>53358.252514638487</v>
      </c>
      <c r="I398" s="21">
        <f t="shared" si="401"/>
        <v>52345.612958374797</v>
      </c>
      <c r="J398" s="21">
        <f t="shared" si="401"/>
        <v>29686.523573317965</v>
      </c>
      <c r="K398" s="21">
        <f t="shared" si="401"/>
        <v>6115.2704793198036</v>
      </c>
      <c r="L398" s="21">
        <f t="shared" si="401"/>
        <v>1659.5203660475227</v>
      </c>
      <c r="M398" s="21">
        <f t="shared" si="401"/>
        <v>19671.048036030657</v>
      </c>
      <c r="N398" s="21">
        <f t="shared" si="401"/>
        <v>28840.896189485215</v>
      </c>
      <c r="O398" s="21">
        <f t="shared" si="401"/>
        <v>17124.213676776002</v>
      </c>
      <c r="P398" s="21">
        <f t="shared" si="401"/>
        <v>4308.4849089795307</v>
      </c>
      <c r="Q398" s="21">
        <f t="shared" si="401"/>
        <v>16.490293613476183</v>
      </c>
      <c r="R398" s="21">
        <f t="shared" si="401"/>
        <v>10684.158809837005</v>
      </c>
      <c r="S398" s="21">
        <f t="shared" si="401"/>
        <v>9854.3215937305195</v>
      </c>
      <c r="T398" s="21">
        <f t="shared" si="401"/>
        <v>6612.7226049574574</v>
      </c>
      <c r="U398" s="21">
        <f t="shared" si="401"/>
        <v>4782.5675302745931</v>
      </c>
      <c r="V398" s="21">
        <f t="shared" si="401"/>
        <v>2497.6654449839698</v>
      </c>
      <c r="W398" s="21">
        <f t="shared" si="401"/>
        <v>1698.1491006700201</v>
      </c>
      <c r="X398" s="21">
        <f t="shared" si="401"/>
        <v>1441.9633848268697</v>
      </c>
      <c r="Y398" s="21">
        <f t="shared" si="401"/>
        <v>1295.9089630328729</v>
      </c>
      <c r="Z398" s="21">
        <f t="shared" si="401"/>
        <v>1193.4479394785938</v>
      </c>
      <c r="AA398" s="21">
        <f t="shared" si="401"/>
        <v>1161.1635187953798</v>
      </c>
      <c r="AB398" s="21">
        <f t="shared" si="401"/>
        <v>1075.5026756706416</v>
      </c>
      <c r="AC398" s="21">
        <f t="shared" si="401"/>
        <v>1067.0887025941413</v>
      </c>
      <c r="AD398" s="21">
        <f t="shared" si="401"/>
        <v>991.29061346345611</v>
      </c>
      <c r="AE398" s="21">
        <f t="shared" si="401"/>
        <v>988.96660896631158</v>
      </c>
      <c r="AF398" s="21">
        <f t="shared" si="401"/>
        <v>970.03497353385978</v>
      </c>
      <c r="AG398" s="3"/>
      <c r="AH398" s="3"/>
    </row>
    <row r="399" spans="1:34" x14ac:dyDescent="0.25">
      <c r="A399" s="71">
        <f>SUM(B399:AF399)</f>
        <v>445142.06545730063</v>
      </c>
      <c r="B399" s="60">
        <f>IF($A$64&lt;=B363,IF($B$64&gt;=B363,ABS(B398),0),0)</f>
        <v>42845.460019082711</v>
      </c>
      <c r="C399" s="60">
        <f t="shared" ref="C399" si="402">IF($A$64&lt;=C363,IF($B$64&gt;=C363,ABS(C398),0),0)</f>
        <v>47582.352687947205</v>
      </c>
      <c r="D399" s="60">
        <f t="shared" ref="D399" si="403">IF($A$64&lt;=D363,IF($B$64&gt;=D363,ABS(D398),0),0)</f>
        <v>10240.21827385351</v>
      </c>
      <c r="E399" s="60">
        <f t="shared" ref="E399" si="404">IF($A$64&lt;=E363,IF($B$64&gt;=E363,ABS(E398),0),0)</f>
        <v>2452.0991039016853</v>
      </c>
      <c r="F399" s="60">
        <f t="shared" ref="F399" si="405">IF($A$64&lt;=F363,IF($B$64&gt;=F363,ABS(F398),0),0)</f>
        <v>29284.606750866336</v>
      </c>
      <c r="G399" s="60">
        <f t="shared" ref="G399" si="406">IF($A$64&lt;=G363,IF($B$64&gt;=G363,ABS(G398),0),0)</f>
        <v>53296.06316025008</v>
      </c>
      <c r="H399" s="60">
        <f t="shared" ref="H399" si="407">IF($A$64&lt;=H363,IF($B$64&gt;=H363,ABS(H398),0),0)</f>
        <v>53358.252514638487</v>
      </c>
      <c r="I399" s="60">
        <f t="shared" ref="I399" si="408">IF($A$64&lt;=I363,IF($B$64&gt;=I363,ABS(I398),0),0)</f>
        <v>52345.612958374797</v>
      </c>
      <c r="J399" s="60">
        <f t="shared" ref="J399" si="409">IF($A$64&lt;=J363,IF($B$64&gt;=J363,ABS(J398),0),0)</f>
        <v>29686.523573317965</v>
      </c>
      <c r="K399" s="60">
        <f t="shared" ref="K399" si="410">IF($A$64&lt;=K363,IF($B$64&gt;=K363,ABS(K398),0),0)</f>
        <v>6115.2704793198036</v>
      </c>
      <c r="L399" s="60">
        <f t="shared" ref="L399" si="411">IF($A$64&lt;=L363,IF($B$64&gt;=L363,ABS(L398),0),0)</f>
        <v>1659.5203660475227</v>
      </c>
      <c r="M399" s="60">
        <f t="shared" ref="M399" si="412">IF($A$64&lt;=M363,IF($B$64&gt;=M363,ABS(M398),0),0)</f>
        <v>19671.048036030657</v>
      </c>
      <c r="N399" s="60">
        <f t="shared" ref="N399" si="413">IF($A$64&lt;=N363,IF($B$64&gt;=N363,ABS(N398),0),0)</f>
        <v>28840.896189485215</v>
      </c>
      <c r="O399" s="60">
        <f t="shared" ref="O399" si="414">IF($A$64&lt;=O363,IF($B$64&gt;=O363,ABS(O398),0),0)</f>
        <v>17124.213676776002</v>
      </c>
      <c r="P399" s="60">
        <f t="shared" ref="P399" si="415">IF($A$64&lt;=P363,IF($B$64&gt;=P363,ABS(P398),0),0)</f>
        <v>4308.4849089795307</v>
      </c>
      <c r="Q399" s="60">
        <f t="shared" ref="Q399" si="416">IF($A$64&lt;=Q363,IF($B$64&gt;=Q363,ABS(Q398),0),0)</f>
        <v>16.490293613476183</v>
      </c>
      <c r="R399" s="60">
        <f t="shared" ref="R399" si="417">IF($A$64&lt;=R363,IF($B$64&gt;=R363,ABS(R398),0),0)</f>
        <v>10684.158809837005</v>
      </c>
      <c r="S399" s="60">
        <f t="shared" ref="S399" si="418">IF($A$64&lt;=S363,IF($B$64&gt;=S363,ABS(S398),0),0)</f>
        <v>9854.3215937305195</v>
      </c>
      <c r="T399" s="60">
        <f t="shared" ref="T399" si="419">IF($A$64&lt;=T363,IF($B$64&gt;=T363,ABS(T398),0),0)</f>
        <v>6612.7226049574574</v>
      </c>
      <c r="U399" s="60">
        <f t="shared" ref="U399" si="420">IF($A$64&lt;=U363,IF($B$64&gt;=U363,ABS(U398),0),0)</f>
        <v>4782.5675302745931</v>
      </c>
      <c r="V399" s="60">
        <f t="shared" ref="V399" si="421">IF($A$64&lt;=V363,IF($B$64&gt;=V363,ABS(V398),0),0)</f>
        <v>2497.6654449839698</v>
      </c>
      <c r="W399" s="60">
        <f t="shared" ref="W399" si="422">IF($A$64&lt;=W363,IF($B$64&gt;=W363,ABS(W398),0),0)</f>
        <v>1698.1491006700201</v>
      </c>
      <c r="X399" s="60">
        <f t="shared" ref="X399" si="423">IF($A$64&lt;=X363,IF($B$64&gt;=X363,ABS(X398),0),0)</f>
        <v>1441.9633848268697</v>
      </c>
      <c r="Y399" s="60">
        <f t="shared" ref="Y399" si="424">IF($A$64&lt;=Y363,IF($B$64&gt;=Y363,ABS(Y398),0),0)</f>
        <v>1295.9089630328729</v>
      </c>
      <c r="Z399" s="60">
        <f t="shared" ref="Z399" si="425">IF($A$64&lt;=Z363,IF($B$64&gt;=Z363,ABS(Z398),0),0)</f>
        <v>1193.4479394785938</v>
      </c>
      <c r="AA399" s="60">
        <f t="shared" ref="AA399" si="426">IF($A$64&lt;=AA363,IF($B$64&gt;=AA363,ABS(AA398),0),0)</f>
        <v>1161.1635187953798</v>
      </c>
      <c r="AB399" s="60">
        <f t="shared" ref="AB399" si="427">IF($A$64&lt;=AB363,IF($B$64&gt;=AB363,ABS(AB398),0),0)</f>
        <v>1075.5026756706416</v>
      </c>
      <c r="AC399" s="60">
        <f t="shared" ref="AC399" si="428">IF($A$64&lt;=AC363,IF($B$64&gt;=AC363,ABS(AC398),0),0)</f>
        <v>1067.0887025941413</v>
      </c>
      <c r="AD399" s="60">
        <f t="shared" ref="AD399" si="429">IF($A$64&lt;=AD363,IF($B$64&gt;=AD363,ABS(AD398),0),0)</f>
        <v>991.29061346345611</v>
      </c>
      <c r="AE399" s="60">
        <f t="shared" ref="AE399" si="430">IF($A$64&lt;=AE363,IF($B$64&gt;=AE363,ABS(AE398),0),0)</f>
        <v>988.96660896631158</v>
      </c>
      <c r="AF399" s="60">
        <f t="shared" ref="AF399" si="431">IF($A$64&lt;=AF363,IF($B$64&gt;=AF363,ABS(AF398),0),0)</f>
        <v>970.03497353385978</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-20.678712849703782</v>
      </c>
      <c r="C403" s="107">
        <f t="shared" ref="C403:H403" si="432">IF(C125=$B$2,0,C126)</f>
        <v>-10.055147049029348</v>
      </c>
      <c r="D403" s="107">
        <f t="shared" si="432"/>
        <v>-4.6885587628636358</v>
      </c>
      <c r="E403" s="107">
        <f t="shared" si="432"/>
        <v>0</v>
      </c>
      <c r="F403" s="107">
        <f t="shared" si="432"/>
        <v>6.3317778924015702</v>
      </c>
      <c r="G403" s="107">
        <f t="shared" si="432"/>
        <v>21.641600502309181</v>
      </c>
      <c r="H403" s="107">
        <f t="shared" si="432"/>
        <v>35.337489771386515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1.0455603766040573E-24</v>
      </c>
      <c r="C404" s="3">
        <f t="shared" ref="C404:H419" si="433">$A404/EXP(-C$403)</f>
        <v>4.2964040953266768E-20</v>
      </c>
      <c r="D404" s="3">
        <f t="shared" si="433"/>
        <v>9.199935895207601E-18</v>
      </c>
      <c r="E404" s="3">
        <f t="shared" si="433"/>
        <v>1.0000000000000001E-15</v>
      </c>
      <c r="F404" s="3">
        <f t="shared" si="433"/>
        <v>5.6215515730344847E-13</v>
      </c>
      <c r="G404" s="3">
        <f t="shared" si="433"/>
        <v>2.5051150593613507E-6</v>
      </c>
      <c r="H404" s="3">
        <f t="shared" si="433"/>
        <v>2.2226793364704287</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1.0455603766040574E-23</v>
      </c>
      <c r="C405" s="3">
        <f t="shared" si="433"/>
        <v>4.2964040953266769E-19</v>
      </c>
      <c r="D405" s="3">
        <f t="shared" si="433"/>
        <v>9.1999358952075998E-17</v>
      </c>
      <c r="E405" s="3">
        <f t="shared" si="433"/>
        <v>1E-14</v>
      </c>
      <c r="F405" s="3">
        <f t="shared" si="433"/>
        <v>5.6215515730344837E-12</v>
      </c>
      <c r="G405" s="3">
        <f t="shared" si="433"/>
        <v>2.5051150593613502E-5</v>
      </c>
      <c r="H405" s="3">
        <f t="shared" si="433"/>
        <v>22.226793364704285</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1.0455603766040573E-22</v>
      </c>
      <c r="C406" s="3">
        <f t="shared" si="433"/>
        <v>4.2964040953266768E-18</v>
      </c>
      <c r="D406" s="3">
        <f t="shared" si="433"/>
        <v>9.1999358952076003E-16</v>
      </c>
      <c r="E406" s="3">
        <f t="shared" si="433"/>
        <v>1E-13</v>
      </c>
      <c r="F406" s="3">
        <f t="shared" si="433"/>
        <v>5.6215515730344843E-11</v>
      </c>
      <c r="G406" s="3">
        <f t="shared" si="433"/>
        <v>2.5051150593613503E-4</v>
      </c>
      <c r="H406" s="3">
        <f t="shared" si="433"/>
        <v>222.26793364704287</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1.0455603766040574E-21</v>
      </c>
      <c r="C407" s="3">
        <f t="shared" si="433"/>
        <v>4.2964040953266765E-17</v>
      </c>
      <c r="D407" s="3">
        <f t="shared" si="433"/>
        <v>9.1999358952075991E-15</v>
      </c>
      <c r="E407" s="3">
        <f t="shared" si="433"/>
        <v>9.9999999999999998E-13</v>
      </c>
      <c r="F407" s="3">
        <f t="shared" si="433"/>
        <v>5.6215515730344838E-10</v>
      </c>
      <c r="G407" s="3">
        <f t="shared" si="433"/>
        <v>2.5051150593613501E-3</v>
      </c>
      <c r="H407" s="3">
        <f t="shared" si="433"/>
        <v>2222.6793364704286</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1.0455603766040572E-20</v>
      </c>
      <c r="C408" s="3">
        <f t="shared" si="433"/>
        <v>4.2964040953266765E-16</v>
      </c>
      <c r="D408" s="3">
        <f t="shared" si="433"/>
        <v>9.1999358952075988E-14</v>
      </c>
      <c r="E408" s="3">
        <f t="shared" si="433"/>
        <v>9.9999999999999994E-12</v>
      </c>
      <c r="F408" s="3">
        <f t="shared" si="433"/>
        <v>5.6215515730344836E-9</v>
      </c>
      <c r="G408" s="3">
        <f t="shared" si="433"/>
        <v>2.50511505936135E-2</v>
      </c>
      <c r="H408" s="3">
        <f t="shared" si="433"/>
        <v>22226.793364704285</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1.0455603766040573E-19</v>
      </c>
      <c r="C409" s="3">
        <f t="shared" si="433"/>
        <v>4.296404095326677E-15</v>
      </c>
      <c r="D409" s="3">
        <f t="shared" si="433"/>
        <v>9.1999358952076008E-13</v>
      </c>
      <c r="E409" s="3">
        <f t="shared" si="433"/>
        <v>1E-10</v>
      </c>
      <c r="F409" s="3">
        <f t="shared" si="433"/>
        <v>5.6215515730344841E-8</v>
      </c>
      <c r="G409" s="3">
        <f t="shared" si="433"/>
        <v>0.25051150593613503</v>
      </c>
      <c r="H409" s="3">
        <f t="shared" si="433"/>
        <v>222267.93364704287</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1.0455603766040573E-18</v>
      </c>
      <c r="C410" s="3">
        <f t="shared" si="433"/>
        <v>4.2964040953266768E-14</v>
      </c>
      <c r="D410" s="3">
        <f t="shared" si="433"/>
        <v>9.1999358952075996E-12</v>
      </c>
      <c r="E410" s="3">
        <f t="shared" si="433"/>
        <v>1.0000000000000001E-9</v>
      </c>
      <c r="F410" s="3">
        <f t="shared" si="433"/>
        <v>5.6215515730344845E-7</v>
      </c>
      <c r="G410" s="3">
        <f t="shared" si="433"/>
        <v>2.5051150593613505</v>
      </c>
      <c r="H410" s="3">
        <f t="shared" si="433"/>
        <v>2222679.3364704289</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1.0455603766040574E-17</v>
      </c>
      <c r="C411" s="3">
        <f t="shared" si="433"/>
        <v>4.2964040953266768E-13</v>
      </c>
      <c r="D411" s="3">
        <f t="shared" si="433"/>
        <v>9.1999358952076002E-11</v>
      </c>
      <c r="E411" s="3">
        <f t="shared" si="433"/>
        <v>1E-8</v>
      </c>
      <c r="F411" s="3">
        <f t="shared" si="433"/>
        <v>5.6215515730344836E-6</v>
      </c>
      <c r="G411" s="3">
        <f t="shared" si="433"/>
        <v>25.051150593613503</v>
      </c>
      <c r="H411" s="3">
        <f t="shared" si="433"/>
        <v>22226793.364704289</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1.0455603766040572E-16</v>
      </c>
      <c r="C412" s="3">
        <f t="shared" si="433"/>
        <v>4.2964040953266768E-12</v>
      </c>
      <c r="D412" s="3">
        <f t="shared" si="433"/>
        <v>9.199935895207599E-10</v>
      </c>
      <c r="E412" s="3">
        <f t="shared" si="433"/>
        <v>9.9999999999999995E-8</v>
      </c>
      <c r="F412" s="3">
        <f t="shared" si="433"/>
        <v>5.6215515730344833E-5</v>
      </c>
      <c r="G412" s="3">
        <f t="shared" si="433"/>
        <v>250.51150593613502</v>
      </c>
      <c r="H412" s="3">
        <f t="shared" si="433"/>
        <v>222267933.64704284</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1.0455603766040572E-15</v>
      </c>
      <c r="C413" s="3">
        <f t="shared" si="433"/>
        <v>4.2964040953266763E-11</v>
      </c>
      <c r="D413" s="3">
        <f t="shared" si="433"/>
        <v>9.1999358952075992E-9</v>
      </c>
      <c r="E413" s="3">
        <f t="shared" si="433"/>
        <v>9.9999999999999995E-7</v>
      </c>
      <c r="F413" s="3">
        <f t="shared" si="433"/>
        <v>5.6215515730344832E-4</v>
      </c>
      <c r="G413" s="3">
        <f t="shared" si="433"/>
        <v>2505.1150593613502</v>
      </c>
      <c r="H413" s="3">
        <f t="shared" si="433"/>
        <v>2222679336.4704285</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1.0455603766040574E-14</v>
      </c>
      <c r="C414" s="3">
        <f t="shared" si="433"/>
        <v>4.2964040953266771E-10</v>
      </c>
      <c r="D414" s="3">
        <f t="shared" si="433"/>
        <v>9.1999358952076008E-8</v>
      </c>
      <c r="E414" s="3">
        <f t="shared" si="433"/>
        <v>1.0000000000000001E-5</v>
      </c>
      <c r="F414" s="3">
        <f t="shared" si="433"/>
        <v>5.6215515730344843E-3</v>
      </c>
      <c r="G414" s="3">
        <f t="shared" si="433"/>
        <v>25051.150593613504</v>
      </c>
      <c r="H414" s="3">
        <f t="shared" si="433"/>
        <v>22226793364.704288</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1.0455603766040573E-13</v>
      </c>
      <c r="C415" s="3">
        <f t="shared" si="433"/>
        <v>4.2964040953266767E-9</v>
      </c>
      <c r="D415" s="3">
        <f t="shared" si="433"/>
        <v>9.1999358952076E-7</v>
      </c>
      <c r="E415" s="3">
        <f t="shared" si="433"/>
        <v>1E-4</v>
      </c>
      <c r="F415" s="3">
        <f t="shared" si="433"/>
        <v>5.6215515730344841E-2</v>
      </c>
      <c r="G415" s="3">
        <f t="shared" si="433"/>
        <v>250511.50593613504</v>
      </c>
      <c r="H415" s="3">
        <f t="shared" si="433"/>
        <v>222267933647.04288</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1.0455603766040573E-12</v>
      </c>
      <c r="C416" s="3">
        <f t="shared" si="433"/>
        <v>4.2964040953266767E-8</v>
      </c>
      <c r="D416" s="3">
        <f t="shared" si="433"/>
        <v>9.1999358952075994E-6</v>
      </c>
      <c r="E416" s="3">
        <f t="shared" si="433"/>
        <v>1E-3</v>
      </c>
      <c r="F416" s="3">
        <f t="shared" si="433"/>
        <v>0.56215515730344845</v>
      </c>
      <c r="G416" s="3">
        <f t="shared" si="433"/>
        <v>2505115.0593613503</v>
      </c>
      <c r="H416" s="3">
        <f t="shared" si="433"/>
        <v>2222679336470.4287</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1.0455603766040574E-11</v>
      </c>
      <c r="C417" s="3">
        <f t="shared" si="433"/>
        <v>4.2964040953266766E-7</v>
      </c>
      <c r="D417" s="3">
        <f t="shared" si="433"/>
        <v>9.1999358952076001E-5</v>
      </c>
      <c r="E417" s="3">
        <f t="shared" si="433"/>
        <v>0.01</v>
      </c>
      <c r="F417" s="3">
        <f t="shared" si="433"/>
        <v>5.6215515730344841</v>
      </c>
      <c r="G417" s="3">
        <f t="shared" si="433"/>
        <v>25051150.593613505</v>
      </c>
      <c r="H417" s="3">
        <f t="shared" si="433"/>
        <v>22226793364704.285</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1.0455603766040574E-10</v>
      </c>
      <c r="C418" s="3">
        <f t="shared" si="433"/>
        <v>4.2964040953266771E-6</v>
      </c>
      <c r="D418" s="3">
        <f t="shared" si="433"/>
        <v>9.1999358952076003E-4</v>
      </c>
      <c r="E418" s="3">
        <f t="shared" si="433"/>
        <v>0.1</v>
      </c>
      <c r="F418" s="3">
        <f t="shared" si="433"/>
        <v>56.215515730344841</v>
      </c>
      <c r="G418" s="3">
        <f t="shared" si="433"/>
        <v>250511505.93613505</v>
      </c>
      <c r="H418" s="3">
        <f t="shared" si="433"/>
        <v>222267933647042.87</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1.0455603766040572E-9</v>
      </c>
      <c r="C419" s="3">
        <f t="shared" si="433"/>
        <v>4.2964040953266769E-5</v>
      </c>
      <c r="D419" s="3">
        <f t="shared" si="433"/>
        <v>9.1999358952076001E-3</v>
      </c>
      <c r="E419" s="3">
        <f t="shared" si="433"/>
        <v>1</v>
      </c>
      <c r="F419" s="3">
        <f t="shared" si="433"/>
        <v>562.15515730344839</v>
      </c>
      <c r="G419" s="3">
        <f t="shared" si="433"/>
        <v>2505115059.3613505</v>
      </c>
      <c r="H419" s="3">
        <f t="shared" si="433"/>
        <v>2222679336470428.7</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1.0455603766040574E-8</v>
      </c>
      <c r="C420" s="3">
        <f t="shared" si="434"/>
        <v>4.2964040953266767E-4</v>
      </c>
      <c r="D420" s="3">
        <f t="shared" si="434"/>
        <v>9.1999358952075991E-2</v>
      </c>
      <c r="E420" s="3">
        <f t="shared" si="434"/>
        <v>10</v>
      </c>
      <c r="F420" s="3">
        <f t="shared" si="434"/>
        <v>5621.5515730344841</v>
      </c>
      <c r="G420" s="3">
        <f t="shared" si="434"/>
        <v>25051150593.613503</v>
      </c>
      <c r="H420" s="3">
        <f t="shared" si="434"/>
        <v>2.2226793364704288E+16</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1.0455603766040573E-7</v>
      </c>
      <c r="C421" s="3">
        <f t="shared" si="434"/>
        <v>4.2964040953266764E-3</v>
      </c>
      <c r="D421" s="3">
        <f t="shared" si="434"/>
        <v>0.91999358952075994</v>
      </c>
      <c r="E421" s="3">
        <f t="shared" si="434"/>
        <v>100</v>
      </c>
      <c r="F421" s="3">
        <f t="shared" si="434"/>
        <v>56215.515730344836</v>
      </c>
      <c r="G421" s="3">
        <f t="shared" si="434"/>
        <v>250511505936.13504</v>
      </c>
      <c r="H421" s="3">
        <f t="shared" si="434"/>
        <v>2.2226793364704285E+17</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1.0455603766040574E-6</v>
      </c>
      <c r="C422" s="3">
        <f t="shared" si="434"/>
        <v>4.2964040953266766E-2</v>
      </c>
      <c r="D422" s="3">
        <f t="shared" si="434"/>
        <v>9.1999358952076005</v>
      </c>
      <c r="E422" s="3">
        <f t="shared" si="434"/>
        <v>1000</v>
      </c>
      <c r="F422" s="3">
        <f t="shared" si="434"/>
        <v>562155.15730344842</v>
      </c>
      <c r="G422" s="3">
        <f t="shared" si="434"/>
        <v>2505115059361.3501</v>
      </c>
      <c r="H422" s="3">
        <f t="shared" si="434"/>
        <v>2.2226793364704287E+18</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1.0455603766040574E-5</v>
      </c>
      <c r="C423" s="3">
        <f t="shared" si="434"/>
        <v>0.42964040953266769</v>
      </c>
      <c r="D423" s="3">
        <f t="shared" si="434"/>
        <v>91.999358952075994</v>
      </c>
      <c r="E423" s="3">
        <f t="shared" si="434"/>
        <v>10000</v>
      </c>
      <c r="F423" s="3">
        <f t="shared" si="434"/>
        <v>5621551.5730344839</v>
      </c>
      <c r="G423" s="3">
        <f t="shared" si="434"/>
        <v>25051150593613.504</v>
      </c>
      <c r="H423" s="3">
        <f t="shared" si="434"/>
        <v>2.2226793364704285E+19</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1.0455603766040573E-4</v>
      </c>
      <c r="C424" s="3">
        <f t="shared" si="434"/>
        <v>4.2964040953266771</v>
      </c>
      <c r="D424" s="3">
        <f t="shared" si="434"/>
        <v>919.99358952076</v>
      </c>
      <c r="E424" s="3">
        <f t="shared" si="434"/>
        <v>100000</v>
      </c>
      <c r="F424" s="3">
        <f t="shared" si="434"/>
        <v>56215515.730344839</v>
      </c>
      <c r="G424" s="3">
        <f t="shared" si="434"/>
        <v>250511505936135.03</v>
      </c>
      <c r="H424" s="3">
        <f t="shared" si="434"/>
        <v>2.2226793364704287E+20</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1.0455603766040573E-3</v>
      </c>
      <c r="C425" s="3">
        <f t="shared" si="434"/>
        <v>42.964040953266768</v>
      </c>
      <c r="D425" s="3">
        <f t="shared" si="434"/>
        <v>9199.9358952076</v>
      </c>
      <c r="E425" s="3">
        <f t="shared" si="434"/>
        <v>1000000</v>
      </c>
      <c r="F425" s="3">
        <f t="shared" si="434"/>
        <v>562155157.30344844</v>
      </c>
      <c r="G425" s="3">
        <f t="shared" si="434"/>
        <v>2505115059361350.5</v>
      </c>
      <c r="H425" s="3">
        <f t="shared" si="434"/>
        <v>2.2226793364704285E+21</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1.0455603766040574E-2</v>
      </c>
      <c r="C426" s="3">
        <f t="shared" si="434"/>
        <v>429.64040953266766</v>
      </c>
      <c r="D426" s="3">
        <f t="shared" si="434"/>
        <v>91999.358952076</v>
      </c>
      <c r="E426" s="3">
        <f t="shared" si="434"/>
        <v>10000000</v>
      </c>
      <c r="F426" s="3">
        <f t="shared" si="434"/>
        <v>5621551573.0344839</v>
      </c>
      <c r="G426" s="3">
        <f t="shared" si="434"/>
        <v>2.5051150593613504E+16</v>
      </c>
      <c r="H426" s="3">
        <f t="shared" si="434"/>
        <v>2.2226793364704285E+22</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0.10455603766040573</v>
      </c>
      <c r="C427" s="3">
        <f t="shared" si="434"/>
        <v>4296.4040953266767</v>
      </c>
      <c r="D427" s="3">
        <f t="shared" si="434"/>
        <v>919993.58952076</v>
      </c>
      <c r="E427" s="3">
        <f t="shared" si="434"/>
        <v>100000000</v>
      </c>
      <c r="F427" s="3">
        <f t="shared" si="434"/>
        <v>56215515730.344841</v>
      </c>
      <c r="G427" s="3">
        <f t="shared" si="434"/>
        <v>2.5051150593613504E+17</v>
      </c>
      <c r="H427" s="3">
        <f t="shared" si="434"/>
        <v>2.2226793364704287E+23</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1.0455603766040573</v>
      </c>
      <c r="C428" s="3">
        <f t="shared" si="434"/>
        <v>42964.040953266769</v>
      </c>
      <c r="D428" s="3">
        <f t="shared" si="434"/>
        <v>9199935.8952075988</v>
      </c>
      <c r="E428" s="3">
        <f t="shared" si="434"/>
        <v>1000000000</v>
      </c>
      <c r="F428" s="3">
        <f t="shared" si="434"/>
        <v>562155157303.44836</v>
      </c>
      <c r="G428" s="3">
        <f t="shared" si="434"/>
        <v>2.5051150593613501E+18</v>
      </c>
      <c r="H428" s="3">
        <f t="shared" si="434"/>
        <v>2.2226793364704286E+24</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10.455603766040573</v>
      </c>
      <c r="C429" s="3">
        <f t="shared" si="434"/>
        <v>429640.40953266766</v>
      </c>
      <c r="D429" s="3">
        <f t="shared" si="434"/>
        <v>91999358.952076003</v>
      </c>
      <c r="E429" s="3">
        <f t="shared" si="434"/>
        <v>10000000000</v>
      </c>
      <c r="F429" s="3">
        <f t="shared" si="434"/>
        <v>5621551573034.4834</v>
      </c>
      <c r="G429" s="3">
        <f t="shared" si="434"/>
        <v>2.5051150593613505E+19</v>
      </c>
      <c r="H429" s="3">
        <f t="shared" si="434"/>
        <v>2.2226793364704288E+25</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104.55603766040574</v>
      </c>
      <c r="C430" s="3">
        <f t="shared" si="434"/>
        <v>4296404.095326677</v>
      </c>
      <c r="D430" s="3">
        <f t="shared" si="434"/>
        <v>919993589.52075994</v>
      </c>
      <c r="E430" s="3">
        <f t="shared" si="434"/>
        <v>100000000000</v>
      </c>
      <c r="F430" s="3">
        <f t="shared" si="434"/>
        <v>56215515730344.836</v>
      </c>
      <c r="G430" s="3">
        <f t="shared" si="434"/>
        <v>2.5051150593613503E+20</v>
      </c>
      <c r="H430" s="3">
        <f t="shared" si="434"/>
        <v>2.2226793364704286E+26</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1045.5603766040574</v>
      </c>
      <c r="C431" s="3">
        <f t="shared" si="434"/>
        <v>42964040.95326677</v>
      </c>
      <c r="D431" s="3">
        <f t="shared" si="434"/>
        <v>9199935895.2075996</v>
      </c>
      <c r="E431" s="3">
        <f t="shared" si="434"/>
        <v>1000000000000</v>
      </c>
      <c r="F431" s="3">
        <f t="shared" si="434"/>
        <v>562155157303448.37</v>
      </c>
      <c r="G431" s="3">
        <f t="shared" si="434"/>
        <v>2.5051150593613502E+21</v>
      </c>
      <c r="H431" s="3">
        <f t="shared" si="434"/>
        <v>2.2226793364704286E+27</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10455.603766040573</v>
      </c>
      <c r="C432" s="3">
        <f t="shared" si="434"/>
        <v>429640409.5326677</v>
      </c>
      <c r="D432" s="3">
        <f t="shared" si="434"/>
        <v>91999358952.076004</v>
      </c>
      <c r="E432" s="3">
        <f t="shared" si="434"/>
        <v>10000000000000</v>
      </c>
      <c r="F432" s="3">
        <f t="shared" si="434"/>
        <v>5621551573034484</v>
      </c>
      <c r="G432" s="3">
        <f t="shared" si="434"/>
        <v>2.5051150593613502E+22</v>
      </c>
      <c r="H432" s="3">
        <f t="shared" si="434"/>
        <v>2.2226793364704285E+28</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104556.03766040572</v>
      </c>
      <c r="C433" s="3">
        <f t="shared" si="434"/>
        <v>4296404095.3266764</v>
      </c>
      <c r="D433" s="3">
        <f t="shared" si="434"/>
        <v>919993589520.76001</v>
      </c>
      <c r="E433" s="3">
        <f t="shared" si="434"/>
        <v>100000000000000</v>
      </c>
      <c r="F433" s="3">
        <f t="shared" si="434"/>
        <v>5.621551573034484E+16</v>
      </c>
      <c r="G433" s="3">
        <f t="shared" si="434"/>
        <v>2.5051150593613502E+23</v>
      </c>
      <c r="H433" s="3">
        <f t="shared" si="434"/>
        <v>2.2226793364704285E+29</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1045560.3766040573</v>
      </c>
      <c r="C434" s="3">
        <f t="shared" si="434"/>
        <v>42964040953.266769</v>
      </c>
      <c r="D434" s="3">
        <f t="shared" si="434"/>
        <v>9199935895207.5996</v>
      </c>
      <c r="E434" s="3">
        <f t="shared" si="434"/>
        <v>1000000000000000</v>
      </c>
      <c r="F434" s="3">
        <f t="shared" si="434"/>
        <v>5.6215515730344838E+17</v>
      </c>
      <c r="G434" s="3">
        <f t="shared" si="434"/>
        <v>2.5051150593613502E+24</v>
      </c>
      <c r="H434" s="3">
        <f t="shared" si="434"/>
        <v>2.2226793364704287E+30</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-20.678712849703782</v>
      </c>
      <c r="M1" s="54">
        <v>1</v>
      </c>
      <c r="N1" s="56">
        <f>INDEX($H$217:$P$217,1,Q1)</f>
        <v>0.18066511940073032</v>
      </c>
      <c r="O1" s="11"/>
      <c r="P1" s="55">
        <v>1</v>
      </c>
      <c r="Q1" s="11">
        <v>2</v>
      </c>
    </row>
    <row r="2" spans="1:17" x14ac:dyDescent="0.25">
      <c r="A2" s="11">
        <f>'Mastercurve bestimmen'!M119</f>
        <v>0</v>
      </c>
      <c r="B2" s="11">
        <f>'Mastercurve bestimmen'!N119</f>
        <v>-10.055147049029348</v>
      </c>
      <c r="M2" s="54">
        <v>2</v>
      </c>
      <c r="N2" s="56">
        <f t="shared" ref="N2:N9" si="0">INDEX($H$217:$P$217,1,Q2)</f>
        <v>4.0688761884168074E-4</v>
      </c>
      <c r="O2" s="11"/>
      <c r="P2" s="55">
        <v>2</v>
      </c>
      <c r="Q2" s="11">
        <f>Q1+1</f>
        <v>3</v>
      </c>
    </row>
    <row r="3" spans="1:17" x14ac:dyDescent="0.25">
      <c r="A3" s="11">
        <f>'Mastercurve bestimmen'!M120</f>
        <v>25</v>
      </c>
      <c r="B3" s="11">
        <f>'Mastercurve bestimmen'!N120</f>
        <v>-4.6885587628636358</v>
      </c>
      <c r="M3" s="54">
        <v>3</v>
      </c>
      <c r="N3" s="56">
        <f t="shared" si="0"/>
        <v>2.4610305707248392E-5</v>
      </c>
      <c r="O3" s="11"/>
      <c r="P3" s="55">
        <v>3</v>
      </c>
      <c r="Q3" s="11">
        <f t="shared" ref="Q3:Q8" si="1">Q2+1</f>
        <v>4</v>
      </c>
    </row>
    <row r="4" spans="1:17" x14ac:dyDescent="0.25">
      <c r="A4" s="11">
        <f>'Mastercurve bestimmen'!M121</f>
        <v>50</v>
      </c>
      <c r="B4" s="11">
        <f>'Mastercurve bestimmen'!N121</f>
        <v>0</v>
      </c>
      <c r="M4" s="54">
        <v>4</v>
      </c>
      <c r="N4" s="56">
        <f t="shared" si="0"/>
        <v>-2.1667070481069028E-8</v>
      </c>
      <c r="O4" s="11"/>
      <c r="P4" s="55">
        <v>4</v>
      </c>
      <c r="Q4" s="11">
        <f t="shared" si="1"/>
        <v>5</v>
      </c>
    </row>
    <row r="5" spans="1:17" x14ac:dyDescent="0.25">
      <c r="A5" s="11">
        <f>'Mastercurve bestimmen'!M122</f>
        <v>80</v>
      </c>
      <c r="B5" s="11">
        <f>'Mastercurve bestimmen'!N122</f>
        <v>6.3317778924015702</v>
      </c>
      <c r="M5" s="54">
        <v>5</v>
      </c>
      <c r="N5" s="56">
        <f t="shared" si="0"/>
        <v>-2.1515203586211635E-9</v>
      </c>
      <c r="O5" s="11"/>
      <c r="P5" s="55">
        <v>5</v>
      </c>
      <c r="Q5" s="11">
        <f t="shared" si="1"/>
        <v>6</v>
      </c>
    </row>
    <row r="6" spans="1:17" x14ac:dyDescent="0.25">
      <c r="A6" s="11">
        <f>'Mastercurve bestimmen'!M123</f>
        <v>125</v>
      </c>
      <c r="B6" s="11">
        <f>'Mastercurve bestimmen'!N123</f>
        <v>21.641600502309181</v>
      </c>
      <c r="M6" s="54">
        <v>6</v>
      </c>
      <c r="N6" s="56">
        <f t="shared" si="0"/>
        <v>2.8867709659472057E-12</v>
      </c>
      <c r="O6" s="11"/>
      <c r="P6" s="55">
        <v>6</v>
      </c>
      <c r="Q6" s="11">
        <f t="shared" si="1"/>
        <v>7</v>
      </c>
    </row>
    <row r="7" spans="1:17" x14ac:dyDescent="0.25">
      <c r="A7" s="11">
        <f>'Mastercurve bestimmen'!M124</f>
        <v>160</v>
      </c>
      <c r="B7" s="11">
        <f>'Mastercurve bestimmen'!N124</f>
        <v>35.337489771386515</v>
      </c>
      <c r="M7" s="54">
        <v>7</v>
      </c>
      <c r="N7" s="56">
        <f t="shared" si="0"/>
        <v>5.2713587331994581E-14</v>
      </c>
      <c r="O7" s="11"/>
      <c r="P7" s="55">
        <v>7</v>
      </c>
      <c r="Q7" s="11">
        <f t="shared" si="1"/>
        <v>8</v>
      </c>
    </row>
    <row r="8" spans="1:17" x14ac:dyDescent="0.25">
      <c r="A8" s="11"/>
      <c r="B8" s="11"/>
      <c r="M8" s="54">
        <v>8</v>
      </c>
      <c r="N8" s="56">
        <f t="shared" si="0"/>
        <v>1.3620116750076639E-17</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-20.678712849703782</v>
      </c>
      <c r="E15" s="11">
        <f>A15-'Mastercurve bestimmen'!$B$2</f>
        <v>-90</v>
      </c>
      <c r="F15" s="11">
        <f>B15</f>
        <v>-20.678712849703782</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-20.467272602442662</v>
      </c>
      <c r="E16" s="11">
        <f>A16-'Mastercurve bestimmen'!$B$2</f>
        <v>-89</v>
      </c>
      <c r="F16" s="11">
        <f t="shared" ref="F16:F79" si="4">B16</f>
        <v>-20.467272602442662</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-20.255629169824111</v>
      </c>
      <c r="E17" s="11">
        <f>A17-'Mastercurve bestimmen'!$B$2</f>
        <v>-88</v>
      </c>
      <c r="F17" s="11">
        <f t="shared" si="4"/>
        <v>-20.255629169824111</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-20.043579366490697</v>
      </c>
      <c r="E18" s="11">
        <f>A18-'Mastercurve bestimmen'!$B$2</f>
        <v>-87</v>
      </c>
      <c r="F18" s="11">
        <f t="shared" si="4"/>
        <v>-20.043579366490697</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-19.830920007084988</v>
      </c>
      <c r="E19" s="11">
        <f>A19-'Mastercurve bestimmen'!$B$2</f>
        <v>-86</v>
      </c>
      <c r="F19" s="11">
        <f t="shared" si="4"/>
        <v>-19.830920007084988</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-19.617447906249545</v>
      </c>
      <c r="E20" s="11">
        <f>A20-'Mastercurve bestimmen'!$B$2</f>
        <v>-85</v>
      </c>
      <c r="F20" s="11">
        <f t="shared" si="4"/>
        <v>-19.617447906249545</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-19.402959878626937</v>
      </c>
      <c r="E21" s="11">
        <f>A21-'Mastercurve bestimmen'!$B$2</f>
        <v>-84</v>
      </c>
      <c r="F21" s="11">
        <f t="shared" si="4"/>
        <v>-19.402959878626937</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-19.18725273885974</v>
      </c>
      <c r="E22" s="11">
        <f>A22-'Mastercurve bestimmen'!$B$2</f>
        <v>-83</v>
      </c>
      <c r="F22" s="11">
        <f t="shared" si="4"/>
        <v>-19.18725273885974</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-18.970123301590515</v>
      </c>
      <c r="E23" s="11">
        <f>A23-'Mastercurve bestimmen'!$B$2</f>
        <v>-82</v>
      </c>
      <c r="F23" s="11">
        <f t="shared" si="4"/>
        <v>-18.970123301590515</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-18.751368381461827</v>
      </c>
      <c r="E24" s="11">
        <f>A24-'Mastercurve bestimmen'!$B$2</f>
        <v>-81</v>
      </c>
      <c r="F24" s="11">
        <f t="shared" si="4"/>
        <v>-18.751368381461827</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-18.530784793116251</v>
      </c>
      <c r="E25" s="11">
        <f>A25-'Mastercurve bestimmen'!$B$2</f>
        <v>-80</v>
      </c>
      <c r="F25" s="11">
        <f t="shared" si="4"/>
        <v>-18.530784793116251</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-18.308169351196351</v>
      </c>
      <c r="E26" s="11">
        <f>A26-'Mastercurve bestimmen'!$B$2</f>
        <v>-79</v>
      </c>
      <c r="F26" s="11">
        <f t="shared" si="4"/>
        <v>-18.308169351196351</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-18.083318870344691</v>
      </c>
      <c r="E27" s="11">
        <f>A27-'Mastercurve bestimmen'!$B$2</f>
        <v>-78</v>
      </c>
      <c r="F27" s="11">
        <f t="shared" si="4"/>
        <v>-18.083318870344691</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-17.856030165203844</v>
      </c>
      <c r="E28" s="11">
        <f>A28-'Mastercurve bestimmen'!$B$2</f>
        <v>-77</v>
      </c>
      <c r="F28" s="11">
        <f t="shared" si="4"/>
        <v>-17.856030165203844</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-17.626100050416376</v>
      </c>
      <c r="E29" s="11">
        <f>A29-'Mastercurve bestimmen'!$B$2</f>
        <v>-76</v>
      </c>
      <c r="F29" s="11">
        <f t="shared" si="4"/>
        <v>-17.626100050416376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-17.393325340624852</v>
      </c>
      <c r="E30" s="11">
        <f>A30-'Mastercurve bestimmen'!$B$2</f>
        <v>-75</v>
      </c>
      <c r="F30" s="11">
        <f t="shared" si="4"/>
        <v>-17.393325340624852</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-17.157502850471843</v>
      </c>
      <c r="E31" s="11">
        <f>A31-'Mastercurve bestimmen'!$B$2</f>
        <v>-74</v>
      </c>
      <c r="F31" s="11">
        <f t="shared" si="4"/>
        <v>-17.157502850471843</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-16.918429394599912</v>
      </c>
      <c r="E32" s="11">
        <f>A32-'Mastercurve bestimmen'!$B$2</f>
        <v>-73</v>
      </c>
      <c r="F32" s="11">
        <f t="shared" si="4"/>
        <v>-16.918429394599912</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-16.675901787651632</v>
      </c>
      <c r="E33" s="11">
        <f>A33-'Mastercurve bestimmen'!$B$2</f>
        <v>-72</v>
      </c>
      <c r="F33" s="11">
        <f t="shared" si="4"/>
        <v>-16.675901787651632</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-16.429716844269571</v>
      </c>
      <c r="E34" s="11">
        <f>A34-'Mastercurve bestimmen'!$B$2</f>
        <v>-71</v>
      </c>
      <c r="F34" s="11">
        <f t="shared" si="4"/>
        <v>-16.429716844269571</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-16.179671379096291</v>
      </c>
      <c r="E35" s="11">
        <f>A35-'Mastercurve bestimmen'!$B$2</f>
        <v>-70</v>
      </c>
      <c r="F35" s="11">
        <f t="shared" si="4"/>
        <v>-16.179671379096291</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-15.925562206774361</v>
      </c>
      <c r="E36" s="11">
        <f>A36-'Mastercurve bestimmen'!$B$2</f>
        <v>-69</v>
      </c>
      <c r="F36" s="11">
        <f t="shared" si="4"/>
        <v>-15.925562206774361</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-15.667186141946353</v>
      </c>
      <c r="E37" s="11">
        <f>A37-'Mastercurve bestimmen'!$B$2</f>
        <v>-68</v>
      </c>
      <c r="F37" s="11">
        <f t="shared" si="4"/>
        <v>-15.667186141946353</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-15.40433999925483</v>
      </c>
      <c r="E38" s="11">
        <f>A38-'Mastercurve bestimmen'!$B$2</f>
        <v>-67</v>
      </c>
      <c r="F38" s="11">
        <f t="shared" si="4"/>
        <v>-15.40433999925483</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-15.13682059334236</v>
      </c>
      <c r="E39" s="11">
        <f>A39-'Mastercurve bestimmen'!$B$2</f>
        <v>-66</v>
      </c>
      <c r="F39" s="11">
        <f t="shared" si="4"/>
        <v>-15.13682059334236</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-14.864424738851511</v>
      </c>
      <c r="E40" s="11">
        <f>A40-'Mastercurve bestimmen'!$B$2</f>
        <v>-65</v>
      </c>
      <c r="F40" s="11">
        <f t="shared" si="4"/>
        <v>-14.864424738851511</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-14.586949250424855</v>
      </c>
      <c r="E41" s="11">
        <f>A41-'Mastercurve bestimmen'!$B$2</f>
        <v>-64</v>
      </c>
      <c r="F41" s="11">
        <f t="shared" si="4"/>
        <v>-14.586949250424855</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-14.304190942704954</v>
      </c>
      <c r="E42" s="11">
        <f>A42-'Mastercurve bestimmen'!$B$2</f>
        <v>-63</v>
      </c>
      <c r="F42" s="11">
        <f t="shared" si="4"/>
        <v>-14.304190942704954</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-14.015946630334376</v>
      </c>
      <c r="E43" s="11">
        <f>A43-'Mastercurve bestimmen'!$B$2</f>
        <v>-62</v>
      </c>
      <c r="F43" s="11">
        <f t="shared" si="4"/>
        <v>-14.015946630334376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-13.722013127955691</v>
      </c>
      <c r="E44" s="11">
        <f>A44-'Mastercurve bestimmen'!$B$2</f>
        <v>-61</v>
      </c>
      <c r="F44" s="11">
        <f t="shared" si="4"/>
        <v>-13.722013127955691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-13.422187250211465</v>
      </c>
      <c r="E45" s="11">
        <f>A45-'Mastercurve bestimmen'!$B$2</f>
        <v>-60</v>
      </c>
      <c r="F45" s="11">
        <f t="shared" si="4"/>
        <v>-13.422187250211465</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-13.116265811744269</v>
      </c>
      <c r="E46" s="11">
        <f>A46-'Mastercurve bestimmen'!$B$2</f>
        <v>-59</v>
      </c>
      <c r="F46" s="11">
        <f t="shared" si="4"/>
        <v>-13.116265811744269</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-12.804045627196663</v>
      </c>
      <c r="E47" s="11">
        <f>A47-'Mastercurve bestimmen'!$B$2</f>
        <v>-58</v>
      </c>
      <c r="F47" s="11">
        <f t="shared" si="4"/>
        <v>-12.804045627196663</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-12.48532351121122</v>
      </c>
      <c r="E48" s="11">
        <f>A48-'Mastercurve bestimmen'!$B$2</f>
        <v>-57</v>
      </c>
      <c r="F48" s="11">
        <f t="shared" si="4"/>
        <v>-12.48532351121122</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-12.159896278430509</v>
      </c>
      <c r="E49" s="11">
        <f>A49-'Mastercurve bestimmen'!$B$2</f>
        <v>-56</v>
      </c>
      <c r="F49" s="11">
        <f t="shared" si="4"/>
        <v>-12.159896278430509</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-11.827560743497093</v>
      </c>
      <c r="E50" s="11">
        <f>A50-'Mastercurve bestimmen'!$B$2</f>
        <v>-55</v>
      </c>
      <c r="F50" s="11">
        <f t="shared" si="4"/>
        <v>-11.827560743497093</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-11.488113721053546</v>
      </c>
      <c r="E51" s="11">
        <f>A51-'Mastercurve bestimmen'!$B$2</f>
        <v>-54</v>
      </c>
      <c r="F51" s="11">
        <f t="shared" si="4"/>
        <v>-11.488113721053546</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-11.141352025742428</v>
      </c>
      <c r="E52" s="11">
        <f>A52-'Mastercurve bestimmen'!$B$2</f>
        <v>-53</v>
      </c>
      <c r="F52" s="11">
        <f t="shared" si="4"/>
        <v>-11.141352025742428</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-10.787072472206312</v>
      </c>
      <c r="E53" s="11">
        <f>A53-'Mastercurve bestimmen'!$B$2</f>
        <v>-52</v>
      </c>
      <c r="F53" s="11">
        <f t="shared" si="4"/>
        <v>-10.787072472206312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-10.425071875087761</v>
      </c>
      <c r="E54" s="11">
        <f>A54-'Mastercurve bestimmen'!$B$2</f>
        <v>-51</v>
      </c>
      <c r="F54" s="11">
        <f t="shared" si="4"/>
        <v>-10.425071875087761</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-10.055147049029348</v>
      </c>
      <c r="E55" s="11">
        <f>A55-'Mastercurve bestimmen'!$B$2</f>
        <v>-50</v>
      </c>
      <c r="F55" s="11">
        <f t="shared" si="4"/>
        <v>-10.055147049029348</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-9.8881016062672078</v>
      </c>
      <c r="E56" s="11">
        <f>A56-'Mastercurve bestimmen'!$B$2</f>
        <v>-49</v>
      </c>
      <c r="F56" s="11">
        <f t="shared" si="4"/>
        <v>-9.8881016062672078</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-9.7134086615431841</v>
      </c>
      <c r="E57" s="11">
        <f>A57-'Mastercurve bestimmen'!$B$2</f>
        <v>-48</v>
      </c>
      <c r="F57" s="11">
        <f t="shared" si="4"/>
        <v>-9.7134086615431841</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-9.5315481271926927</v>
      </c>
      <c r="E58" s="11">
        <f>A58-'Mastercurve bestimmen'!$B$2</f>
        <v>-47</v>
      </c>
      <c r="F58" s="11">
        <f t="shared" si="4"/>
        <v>-9.5315481271926927</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-9.3429999155511467</v>
      </c>
      <c r="E59" s="11">
        <f>A59-'Mastercurve bestimmen'!$B$2</f>
        <v>-46</v>
      </c>
      <c r="F59" s="11">
        <f t="shared" si="4"/>
        <v>-9.3429999155511467</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-9.1482439389539572</v>
      </c>
      <c r="E60" s="11">
        <f>A60-'Mastercurve bestimmen'!$B$2</f>
        <v>-45</v>
      </c>
      <c r="F60" s="11">
        <f t="shared" si="4"/>
        <v>-9.1482439389539572</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-8.9477601097365458</v>
      </c>
      <c r="E61" s="11">
        <f>A61-'Mastercurve bestimmen'!$B$2</f>
        <v>-44</v>
      </c>
      <c r="F61" s="11">
        <f t="shared" si="4"/>
        <v>-8.9477601097365458</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-8.7420283402343202</v>
      </c>
      <c r="E62" s="11">
        <f>A62-'Mastercurve bestimmen'!$B$2</f>
        <v>-43</v>
      </c>
      <c r="F62" s="11">
        <f t="shared" si="4"/>
        <v>-8.7420283402343202</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-8.5315285427826968</v>
      </c>
      <c r="E63" s="11">
        <f>A63-'Mastercurve bestimmen'!$B$2</f>
        <v>-42</v>
      </c>
      <c r="F63" s="11">
        <f t="shared" si="4"/>
        <v>-8.5315285427826968</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-8.3167406297170903</v>
      </c>
      <c r="E64" s="11">
        <f>A64-'Mastercurve bestimmen'!$B$2</f>
        <v>-41</v>
      </c>
      <c r="F64" s="11">
        <f t="shared" si="4"/>
        <v>-8.3167406297170903</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-8.0981445133729153</v>
      </c>
      <c r="E65" s="11">
        <f>A65-'Mastercurve bestimmen'!$B$2</f>
        <v>-40</v>
      </c>
      <c r="F65" s="11">
        <f t="shared" si="4"/>
        <v>-8.0981445133729153</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-7.8762201060855839</v>
      </c>
      <c r="E66" s="11">
        <f>A66-'Mastercurve bestimmen'!$B$2</f>
        <v>-39</v>
      </c>
      <c r="F66" s="11">
        <f t="shared" si="4"/>
        <v>-7.8762201060855839</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-7.6514473201905124</v>
      </c>
      <c r="E67" s="11">
        <f>A67-'Mastercurve bestimmen'!$B$2</f>
        <v>-38</v>
      </c>
      <c r="F67" s="11">
        <f t="shared" si="4"/>
        <v>-7.6514473201905124</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-7.4243060680231139</v>
      </c>
      <c r="E68" s="11">
        <f>A68-'Mastercurve bestimmen'!$B$2</f>
        <v>-37</v>
      </c>
      <c r="F68" s="11">
        <f t="shared" si="4"/>
        <v>-7.4243060680231139</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-7.1952762619188029</v>
      </c>
      <c r="E69" s="11">
        <f>A69-'Mastercurve bestimmen'!$B$2</f>
        <v>-36</v>
      </c>
      <c r="F69" s="11">
        <f t="shared" si="4"/>
        <v>-7.1952762619188029</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-6.9648378142129941</v>
      </c>
      <c r="E70" s="11">
        <f>A70-'Mastercurve bestimmen'!$B$2</f>
        <v>-35</v>
      </c>
      <c r="F70" s="11">
        <f t="shared" si="4"/>
        <v>-6.9648378142129941</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-6.7334706372411013</v>
      </c>
      <c r="E71" s="11">
        <f>A71-'Mastercurve bestimmen'!$B$2</f>
        <v>-34</v>
      </c>
      <c r="F71" s="11">
        <f t="shared" si="4"/>
        <v>-6.7334706372411013</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-6.50165464333854</v>
      </c>
      <c r="E72" s="11">
        <f>A72-'Mastercurve bestimmen'!$B$2</f>
        <v>-33</v>
      </c>
      <c r="F72" s="11">
        <f t="shared" si="4"/>
        <v>-6.50165464333854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-6.2698697448407206</v>
      </c>
      <c r="E73" s="11">
        <f>A73-'Mastercurve bestimmen'!$B$2</f>
        <v>-32</v>
      </c>
      <c r="F73" s="11">
        <f t="shared" si="4"/>
        <v>-6.2698697448407206</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-6.038595854083062</v>
      </c>
      <c r="E74" s="11">
        <f>A74-'Mastercurve bestimmen'!$B$2</f>
        <v>-31</v>
      </c>
      <c r="F74" s="11">
        <f t="shared" si="4"/>
        <v>-6.038595854083062</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-5.8083128834009754</v>
      </c>
      <c r="E75" s="11">
        <f>A75-'Mastercurve bestimmen'!$B$2</f>
        <v>-30</v>
      </c>
      <c r="F75" s="11">
        <f t="shared" si="4"/>
        <v>-5.8083128834009754</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-5.5795007451298764</v>
      </c>
      <c r="E76" s="11">
        <f>A76-'Mastercurve bestimmen'!$B$2</f>
        <v>-29</v>
      </c>
      <c r="F76" s="11">
        <f t="shared" si="4"/>
        <v>-5.5795007451298764</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-5.3526393516051787</v>
      </c>
      <c r="E77" s="11">
        <f>A77-'Mastercurve bestimmen'!$B$2</f>
        <v>-28</v>
      </c>
      <c r="F77" s="11">
        <f t="shared" si="4"/>
        <v>-5.3526393516051787</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-5.1282086151622961</v>
      </c>
      <c r="E78" s="11">
        <f>A78-'Mastercurve bestimmen'!$B$2</f>
        <v>-27</v>
      </c>
      <c r="F78" s="11">
        <f t="shared" si="4"/>
        <v>-5.1282086151622961</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-4.9066884481366442</v>
      </c>
      <c r="E79" s="11">
        <f>A79-'Mastercurve bestimmen'!$B$2</f>
        <v>-26</v>
      </c>
      <c r="F79" s="11">
        <f t="shared" si="4"/>
        <v>-4.9066884481366442</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-4.6885587628636349</v>
      </c>
      <c r="E80" s="11">
        <f>A80-'Mastercurve bestimmen'!$B$2</f>
        <v>-25</v>
      </c>
      <c r="F80" s="11">
        <f t="shared" ref="F80:F143" si="10">B80</f>
        <v>-4.6885587628636349</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-4.4741880498046553</v>
      </c>
      <c r="E81" s="11">
        <f>A81-'Mastercurve bestimmen'!$B$2</f>
        <v>-24</v>
      </c>
      <c r="F81" s="11">
        <f t="shared" si="10"/>
        <v>-4.4741880498046553</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-4.2634991119249595</v>
      </c>
      <c r="E82" s="11">
        <f>A82-'Mastercurve bestimmen'!$B$2</f>
        <v>-23</v>
      </c>
      <c r="F82" s="11">
        <f t="shared" si="10"/>
        <v>-4.2634991119249595</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-4.0563033303157807</v>
      </c>
      <c r="E83" s="11">
        <f>A83-'Mastercurve bestimmen'!$B$2</f>
        <v>-22</v>
      </c>
      <c r="F83" s="11">
        <f t="shared" si="10"/>
        <v>-4.0563033303157807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-3.8524120860683428</v>
      </c>
      <c r="E84" s="11">
        <f>A84-'Mastercurve bestimmen'!$B$2</f>
        <v>-21</v>
      </c>
      <c r="F84" s="11">
        <f t="shared" si="10"/>
        <v>-3.8524120860683428</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-3.6516367602738771</v>
      </c>
      <c r="E85" s="11">
        <f>A85-'Mastercurve bestimmen'!$B$2</f>
        <v>-20</v>
      </c>
      <c r="F85" s="11">
        <f t="shared" si="10"/>
        <v>-3.6516367602738771</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-3.4537887340236111</v>
      </c>
      <c r="E86" s="11">
        <f>A86-'Mastercurve bestimmen'!$B$2</f>
        <v>-19</v>
      </c>
      <c r="F86" s="11">
        <f t="shared" si="10"/>
        <v>-3.4537887340236111</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-3.2586793884087721</v>
      </c>
      <c r="E87" s="11">
        <f>A87-'Mastercurve bestimmen'!$B$2</f>
        <v>-18</v>
      </c>
      <c r="F87" s="11">
        <f t="shared" si="10"/>
        <v>-3.2586793884087721</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-3.0661201045205901</v>
      </c>
      <c r="E88" s="11">
        <f>A88-'Mastercurve bestimmen'!$B$2</f>
        <v>-17</v>
      </c>
      <c r="F88" s="11">
        <f t="shared" si="10"/>
        <v>-3.0661201045205901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-2.8759222634502914</v>
      </c>
      <c r="E89" s="11">
        <f>A89-'Mastercurve bestimmen'!$B$2</f>
        <v>-16</v>
      </c>
      <c r="F89" s="11">
        <f t="shared" si="10"/>
        <v>-2.8759222634502914</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-2.6878972462891051</v>
      </c>
      <c r="E90" s="11">
        <f>A90-'Mastercurve bestimmen'!$B$2</f>
        <v>-15</v>
      </c>
      <c r="F90" s="11">
        <f t="shared" si="10"/>
        <v>-2.6878972462891051</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-2.5018564341282592</v>
      </c>
      <c r="E91" s="11">
        <f>A91-'Mastercurve bestimmen'!$B$2</f>
        <v>-14</v>
      </c>
      <c r="F91" s="11">
        <f t="shared" si="10"/>
        <v>-2.5018564341282592</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-2.3176112080589828</v>
      </c>
      <c r="E92" s="11">
        <f>A92-'Mastercurve bestimmen'!$B$2</f>
        <v>-13</v>
      </c>
      <c r="F92" s="11">
        <f t="shared" si="10"/>
        <v>-2.3176112080589828</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-2.1349729491725036</v>
      </c>
      <c r="E93" s="11">
        <f>A93-'Mastercurve bestimmen'!$B$2</f>
        <v>-12</v>
      </c>
      <c r="F93" s="11">
        <f t="shared" si="10"/>
        <v>-2.1349729491725036</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-1.953753038560049</v>
      </c>
      <c r="E94" s="11">
        <f>A94-'Mastercurve bestimmen'!$B$2</f>
        <v>-11</v>
      </c>
      <c r="F94" s="11">
        <f t="shared" si="10"/>
        <v>-1.953753038560049</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-1.7737628573128481</v>
      </c>
      <c r="E95" s="11">
        <f>A95-'Mastercurve bestimmen'!$B$2</f>
        <v>-10</v>
      </c>
      <c r="F95" s="11">
        <f t="shared" si="10"/>
        <v>-1.7737628573128481</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-1.5948137865221292</v>
      </c>
      <c r="E96" s="11">
        <f>A96-'Mastercurve bestimmen'!$B$2</f>
        <v>-9</v>
      </c>
      <c r="F96" s="11">
        <f t="shared" si="10"/>
        <v>-1.5948137865221292</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-1.4167172072791205</v>
      </c>
      <c r="E97" s="11">
        <f>A97-'Mastercurve bestimmen'!$B$2</f>
        <v>-8</v>
      </c>
      <c r="F97" s="11">
        <f t="shared" si="10"/>
        <v>-1.4167172072791205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-1.2392845006750501</v>
      </c>
      <c r="E98" s="11">
        <f>A98-'Mastercurve bestimmen'!$B$2</f>
        <v>-7</v>
      </c>
      <c r="F98" s="11">
        <f t="shared" si="10"/>
        <v>-1.2392845006750501</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-1.0623270478011462</v>
      </c>
      <c r="E99" s="11">
        <f>A99-'Mastercurve bestimmen'!$B$2</f>
        <v>-6</v>
      </c>
      <c r="F99" s="11">
        <f t="shared" si="10"/>
        <v>-1.0623270478011462</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-0.88565622974863667</v>
      </c>
      <c r="E100" s="11">
        <f>A100-'Mastercurve bestimmen'!$B$2</f>
        <v>-5</v>
      </c>
      <c r="F100" s="11">
        <f t="shared" si="10"/>
        <v>-0.88565622974863667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-0.70908342760875043</v>
      </c>
      <c r="E101" s="11">
        <f>A101-'Mastercurve bestimmen'!$B$2</f>
        <v>-4</v>
      </c>
      <c r="F101" s="11">
        <f t="shared" si="10"/>
        <v>-0.70908342760875043</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-0.53242002247271536</v>
      </c>
      <c r="E102" s="11">
        <f>A102-'Mastercurve bestimmen'!$B$2</f>
        <v>-3</v>
      </c>
      <c r="F102" s="11">
        <f t="shared" si="10"/>
        <v>-0.53242002247271536</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-0.35547739543175982</v>
      </c>
      <c r="E103" s="11">
        <f>A103-'Mastercurve bestimmen'!$B$2</f>
        <v>-2</v>
      </c>
      <c r="F103" s="11">
        <f t="shared" si="10"/>
        <v>-0.35547739543175982</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-0.17806692757711193</v>
      </c>
      <c r="E104" s="11">
        <f>A104-'Mastercurve bestimmen'!$B$2</f>
        <v>-1</v>
      </c>
      <c r="F104" s="11">
        <f t="shared" si="10"/>
        <v>-0.17806692757711193</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0.17890270867155644</v>
      </c>
      <c r="E106" s="11">
        <f>A106-'Mastercurve bestimmen'!$B$2</f>
        <v>1</v>
      </c>
      <c r="F106" s="11">
        <f t="shared" si="10"/>
        <v>0.17890270867155644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0.35878332966237259</v>
      </c>
      <c r="E107" s="11">
        <f>A107-'Mastercurve bestimmen'!$B$2</f>
        <v>2</v>
      </c>
      <c r="F107" s="11">
        <f t="shared" si="10"/>
        <v>0.35878332966237259</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0.53977469666047218</v>
      </c>
      <c r="E108" s="11">
        <f>A108-'Mastercurve bestimmen'!$B$2</f>
        <v>3</v>
      </c>
      <c r="F108" s="11">
        <f t="shared" si="10"/>
        <v>0.53977469666047218</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0.72200964335387929</v>
      </c>
      <c r="E109" s="11">
        <f>A109-'Mastercurve bestimmen'!$B$2</f>
        <v>4</v>
      </c>
      <c r="F109" s="11">
        <f t="shared" si="10"/>
        <v>0.72200964335387929</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0.9056210034306178</v>
      </c>
      <c r="E110" s="11">
        <f>A110-'Mastercurve bestimmen'!$B$2</f>
        <v>5</v>
      </c>
      <c r="F110" s="11">
        <f t="shared" si="10"/>
        <v>0.9056210034306178</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1.0907416105787113</v>
      </c>
      <c r="E111" s="11">
        <f>A111-'Mastercurve bestimmen'!$B$2</f>
        <v>6</v>
      </c>
      <c r="F111" s="11">
        <f t="shared" si="10"/>
        <v>1.0907416105787113</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1.277504298486184</v>
      </c>
      <c r="E112" s="11">
        <f>A112-'Mastercurve bestimmen'!$B$2</f>
        <v>7</v>
      </c>
      <c r="F112" s="11">
        <f t="shared" si="10"/>
        <v>1.277504298486184</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1.4660419008410595</v>
      </c>
      <c r="E113" s="11">
        <f>A113-'Mastercurve bestimmen'!$B$2</f>
        <v>8</v>
      </c>
      <c r="F113" s="11">
        <f t="shared" si="10"/>
        <v>1.4660419008410595</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1.6564872513313618</v>
      </c>
      <c r="E114" s="11">
        <f>A114-'Mastercurve bestimmen'!$B$2</f>
        <v>9</v>
      </c>
      <c r="F114" s="11">
        <f t="shared" si="10"/>
        <v>1.6564872513313618</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1.8489731836451149</v>
      </c>
      <c r="E115" s="11">
        <f>A115-'Mastercurve bestimmen'!$B$2</f>
        <v>10</v>
      </c>
      <c r="F115" s="11">
        <f t="shared" si="10"/>
        <v>1.8489731836451149</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2.0436325314703421</v>
      </c>
      <c r="E116" s="11">
        <f>A116-'Mastercurve bestimmen'!$B$2</f>
        <v>11</v>
      </c>
      <c r="F116" s="11">
        <f t="shared" si="10"/>
        <v>2.0436325314703421</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2.2405981284950678</v>
      </c>
      <c r="E117" s="11">
        <f>A117-'Mastercurve bestimmen'!$B$2</f>
        <v>12</v>
      </c>
      <c r="F117" s="11">
        <f t="shared" si="10"/>
        <v>2.2405981284950678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2.4400028084073164</v>
      </c>
      <c r="E118" s="11">
        <f>A118-'Mastercurve bestimmen'!$B$2</f>
        <v>13</v>
      </c>
      <c r="F118" s="11">
        <f t="shared" si="10"/>
        <v>2.4400028084073164</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2.6419794048951104</v>
      </c>
      <c r="E119" s="11">
        <f>A119-'Mastercurve bestimmen'!$B$2</f>
        <v>14</v>
      </c>
      <c r="F119" s="11">
        <f t="shared" si="10"/>
        <v>2.6419794048951104</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2.8466607516464748</v>
      </c>
      <c r="E120" s="11">
        <f>A120-'Mastercurve bestimmen'!$B$2</f>
        <v>15</v>
      </c>
      <c r="F120" s="11">
        <f t="shared" si="10"/>
        <v>2.8466607516464748</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3.0541796823494329</v>
      </c>
      <c r="E121" s="11">
        <f>A121-'Mastercurve bestimmen'!$B$2</f>
        <v>16</v>
      </c>
      <c r="F121" s="11">
        <f t="shared" si="10"/>
        <v>3.0541796823494329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3.2646690306920085</v>
      </c>
      <c r="E122" s="11">
        <f>A122-'Mastercurve bestimmen'!$B$2</f>
        <v>17</v>
      </c>
      <c r="F122" s="11">
        <f t="shared" si="10"/>
        <v>3.2646690306920085</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3.4782616303622267</v>
      </c>
      <c r="E123" s="11">
        <f>A123-'Mastercurve bestimmen'!$B$2</f>
        <v>18</v>
      </c>
      <c r="F123" s="11">
        <f t="shared" si="10"/>
        <v>3.4782616303622267</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3.6950903150481094</v>
      </c>
      <c r="E124" s="11">
        <f>A124-'Mastercurve bestimmen'!$B$2</f>
        <v>19</v>
      </c>
      <c r="F124" s="11">
        <f t="shared" si="10"/>
        <v>3.6950903150481094</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3.9152879184376821</v>
      </c>
      <c r="E125" s="11">
        <f>A125-'Mastercurve bestimmen'!$B$2</f>
        <v>20</v>
      </c>
      <c r="F125" s="11">
        <f t="shared" si="10"/>
        <v>3.9152879184376821</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4.1389872742189677</v>
      </c>
      <c r="E126" s="11">
        <f>A126-'Mastercurve bestimmen'!$B$2</f>
        <v>21</v>
      </c>
      <c r="F126" s="11">
        <f t="shared" si="10"/>
        <v>4.1389872742189677</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4.3663212160799896</v>
      </c>
      <c r="E127" s="11">
        <f>A127-'Mastercurve bestimmen'!$B$2</f>
        <v>22</v>
      </c>
      <c r="F127" s="11">
        <f t="shared" si="10"/>
        <v>4.3663212160799896</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4.597422577708774</v>
      </c>
      <c r="E128" s="11">
        <f>A128-'Mastercurve bestimmen'!$B$2</f>
        <v>23</v>
      </c>
      <c r="F128" s="11">
        <f t="shared" si="10"/>
        <v>4.597422577708774</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4.8324241927933418</v>
      </c>
      <c r="E129" s="11">
        <f>A129-'Mastercurve bestimmen'!$B$2</f>
        <v>24</v>
      </c>
      <c r="F129" s="11">
        <f t="shared" si="10"/>
        <v>4.8324241927933418</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5.0714588950217188</v>
      </c>
      <c r="E130" s="11">
        <f>A130-'Mastercurve bestimmen'!$B$2</f>
        <v>25</v>
      </c>
      <c r="F130" s="11">
        <f t="shared" si="10"/>
        <v>5.0714588950217188</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5.3146595180819292</v>
      </c>
      <c r="E131" s="11">
        <f>A131-'Mastercurve bestimmen'!$B$2</f>
        <v>26</v>
      </c>
      <c r="F131" s="11">
        <f t="shared" si="10"/>
        <v>5.3146595180819292</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5.5621588956619954</v>
      </c>
      <c r="E132" s="11">
        <f>A132-'Mastercurve bestimmen'!$B$2</f>
        <v>27</v>
      </c>
      <c r="F132" s="11">
        <f t="shared" si="10"/>
        <v>5.5621588956619954</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5.8140898614499417</v>
      </c>
      <c r="E133" s="11">
        <f>A133-'Mastercurve bestimmen'!$B$2</f>
        <v>28</v>
      </c>
      <c r="F133" s="11">
        <f t="shared" si="10"/>
        <v>5.8140898614499417</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6.0705852491337922</v>
      </c>
      <c r="E134" s="11">
        <f>A134-'Mastercurve bestimmen'!$B$2</f>
        <v>29</v>
      </c>
      <c r="F134" s="11">
        <f t="shared" si="10"/>
        <v>6.0705852491337922</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6.3317778924015711</v>
      </c>
      <c r="E135" s="11">
        <f>A135-'Mastercurve bestimmen'!$B$2</f>
        <v>30</v>
      </c>
      <c r="F135" s="11">
        <f t="shared" si="10"/>
        <v>6.3317778924015711</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6.5977626616588001</v>
      </c>
      <c r="E136" s="11">
        <f>A136-'Mastercurve bestimmen'!$B$2</f>
        <v>31</v>
      </c>
      <c r="F136" s="11">
        <f t="shared" si="10"/>
        <v>6.5977626616588001</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6.8684825741810069</v>
      </c>
      <c r="E137" s="11">
        <f>A137-'Mastercurve bestimmen'!$B$2</f>
        <v>32</v>
      </c>
      <c r="F137" s="11">
        <f t="shared" si="10"/>
        <v>6.8684825741810069</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7.1438426839612124</v>
      </c>
      <c r="E138" s="11">
        <f>A138-'Mastercurve bestimmen'!$B$2</f>
        <v>33</v>
      </c>
      <c r="F138" s="11">
        <f t="shared" si="10"/>
        <v>7.1438426839612124</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7.4237480449924407</v>
      </c>
      <c r="E139" s="11">
        <f>A139-'Mastercurve bestimmen'!$B$2</f>
        <v>34</v>
      </c>
      <c r="F139" s="11">
        <f t="shared" si="10"/>
        <v>7.4237480449924407</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7.7081037112677162</v>
      </c>
      <c r="E140" s="11">
        <f>A140-'Mastercurve bestimmen'!$B$2</f>
        <v>35</v>
      </c>
      <c r="F140" s="11">
        <f t="shared" si="10"/>
        <v>7.7081037112677162</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7.9968147367800615</v>
      </c>
      <c r="E141" s="11">
        <f>A141-'Mastercurve bestimmen'!$B$2</f>
        <v>36</v>
      </c>
      <c r="F141" s="11">
        <f t="shared" si="10"/>
        <v>7.9968147367800615</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8.2897861755225009</v>
      </c>
      <c r="E142" s="11">
        <f>A142-'Mastercurve bestimmen'!$B$2</f>
        <v>37</v>
      </c>
      <c r="F142" s="11">
        <f t="shared" si="10"/>
        <v>8.2897861755225009</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8.5869230814880595</v>
      </c>
      <c r="E143" s="11">
        <f>A143-'Mastercurve bestimmen'!$B$2</f>
        <v>38</v>
      </c>
      <c r="F143" s="11">
        <f t="shared" si="10"/>
        <v>8.5869230814880595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8.8881305086697591</v>
      </c>
      <c r="E144" s="11">
        <f>A144-'Mastercurve bestimmen'!$B$2</f>
        <v>39</v>
      </c>
      <c r="F144" s="11">
        <f t="shared" ref="F144:F207" si="15">B144</f>
        <v>8.8881305086697591</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9.193313511060623</v>
      </c>
      <c r="E145" s="11">
        <f>A145-'Mastercurve bestimmen'!$B$2</f>
        <v>40</v>
      </c>
      <c r="F145" s="11">
        <f t="shared" si="15"/>
        <v>9.193313511060623</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9.5023771426536783</v>
      </c>
      <c r="E146" s="11">
        <f>A146-'Mastercurve bestimmen'!$B$2</f>
        <v>41</v>
      </c>
      <c r="F146" s="11">
        <f t="shared" si="15"/>
        <v>9.5023771426536783</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9.8152264574419448</v>
      </c>
      <c r="E147" s="11">
        <f>A147-'Mastercurve bestimmen'!$B$2</f>
        <v>42</v>
      </c>
      <c r="F147" s="11">
        <f t="shared" si="15"/>
        <v>9.8152264574419448</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10.131766509418446</v>
      </c>
      <c r="E148" s="11">
        <f>A148-'Mastercurve bestimmen'!$B$2</f>
        <v>43</v>
      </c>
      <c r="F148" s="11">
        <f t="shared" si="15"/>
        <v>10.131766509418446</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10.451902352576209</v>
      </c>
      <c r="E149" s="11">
        <f>A149-'Mastercurve bestimmen'!$B$2</f>
        <v>44</v>
      </c>
      <c r="F149" s="11">
        <f t="shared" si="15"/>
        <v>10.451902352576209</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10.775539040908255</v>
      </c>
      <c r="E150" s="11">
        <f>A150-'Mastercurve bestimmen'!$B$2</f>
        <v>45</v>
      </c>
      <c r="F150" s="11">
        <f t="shared" si="15"/>
        <v>10.775539040908255</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11.102581628407609</v>
      </c>
      <c r="E151" s="11">
        <f>A151-'Mastercurve bestimmen'!$B$2</f>
        <v>46</v>
      </c>
      <c r="F151" s="11">
        <f t="shared" si="15"/>
        <v>11.102581628407609</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11.432935169067294</v>
      </c>
      <c r="E152" s="11">
        <f>A152-'Mastercurve bestimmen'!$B$2</f>
        <v>47</v>
      </c>
      <c r="F152" s="11">
        <f t="shared" si="15"/>
        <v>11.432935169067294</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11.766504716880334</v>
      </c>
      <c r="E153" s="11">
        <f>A153-'Mastercurve bestimmen'!$B$2</f>
        <v>48</v>
      </c>
      <c r="F153" s="11">
        <f t="shared" si="15"/>
        <v>11.766504716880334</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12.103195325839753</v>
      </c>
      <c r="E154" s="11">
        <f>A154-'Mastercurve bestimmen'!$B$2</f>
        <v>49</v>
      </c>
      <c r="F154" s="11">
        <f t="shared" si="15"/>
        <v>12.103195325839753</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12.442912049938574</v>
      </c>
      <c r="E155" s="11">
        <f>A155-'Mastercurve bestimmen'!$B$2</f>
        <v>50</v>
      </c>
      <c r="F155" s="11">
        <f t="shared" si="15"/>
        <v>12.442912049938574</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12.785559943169822</v>
      </c>
      <c r="E156" s="11">
        <f>A156-'Mastercurve bestimmen'!$B$2</f>
        <v>51</v>
      </c>
      <c r="F156" s="11">
        <f t="shared" si="15"/>
        <v>12.785559943169822</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13.131044059526518</v>
      </c>
      <c r="E157" s="11">
        <f>A157-'Mastercurve bestimmen'!$B$2</f>
        <v>52</v>
      </c>
      <c r="F157" s="11">
        <f t="shared" si="15"/>
        <v>13.131044059526518</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13.479269453001688</v>
      </c>
      <c r="E158" s="11">
        <f>A158-'Mastercurve bestimmen'!$B$2</f>
        <v>53</v>
      </c>
      <c r="F158" s="11">
        <f t="shared" si="15"/>
        <v>13.479269453001688</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13.830141177588356</v>
      </c>
      <c r="E159" s="11">
        <f>A159-'Mastercurve bestimmen'!$B$2</f>
        <v>54</v>
      </c>
      <c r="F159" s="11">
        <f t="shared" si="15"/>
        <v>13.830141177588356</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14.183564287279543</v>
      </c>
      <c r="E160" s="11">
        <f>A160-'Mastercurve bestimmen'!$B$2</f>
        <v>55</v>
      </c>
      <c r="F160" s="11">
        <f t="shared" si="15"/>
        <v>14.183564287279543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14.539443836068276</v>
      </c>
      <c r="E161" s="11">
        <f>A161-'Mastercurve bestimmen'!$B$2</f>
        <v>56</v>
      </c>
      <c r="F161" s="11">
        <f t="shared" si="15"/>
        <v>14.539443836068276</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14.897684877947576</v>
      </c>
      <c r="E162" s="11">
        <f>A162-'Mastercurve bestimmen'!$B$2</f>
        <v>57</v>
      </c>
      <c r="F162" s="11">
        <f t="shared" si="15"/>
        <v>14.897684877947576</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15.25819246691047</v>
      </c>
      <c r="E163" s="11">
        <f>A163-'Mastercurve bestimmen'!$B$2</f>
        <v>58</v>
      </c>
      <c r="F163" s="11">
        <f t="shared" si="15"/>
        <v>15.25819246691047</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15.620871656949978</v>
      </c>
      <c r="E164" s="11">
        <f>A164-'Mastercurve bestimmen'!$B$2</f>
        <v>59</v>
      </c>
      <c r="F164" s="11">
        <f t="shared" si="15"/>
        <v>15.620871656949978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15.985627502059126</v>
      </c>
      <c r="E165" s="11">
        <f>A165-'Mastercurve bestimmen'!$B$2</f>
        <v>60</v>
      </c>
      <c r="F165" s="11">
        <f t="shared" si="15"/>
        <v>15.985627502059126</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16.352365056230937</v>
      </c>
      <c r="E166" s="11">
        <f>A166-'Mastercurve bestimmen'!$B$2</f>
        <v>61</v>
      </c>
      <c r="F166" s="11">
        <f t="shared" si="15"/>
        <v>16.352365056230937</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16.720989373458433</v>
      </c>
      <c r="E167" s="11">
        <f>A167-'Mastercurve bestimmen'!$B$2</f>
        <v>62</v>
      </c>
      <c r="F167" s="11">
        <f t="shared" si="15"/>
        <v>16.720989373458433</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17.091405507734642</v>
      </c>
      <c r="E168" s="11">
        <f>A168-'Mastercurve bestimmen'!$B$2</f>
        <v>63</v>
      </c>
      <c r="F168" s="11">
        <f t="shared" si="15"/>
        <v>17.091405507734642</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17.463518513052584</v>
      </c>
      <c r="E169" s="11">
        <f>A169-'Mastercurve bestimmen'!$B$2</f>
        <v>64</v>
      </c>
      <c r="F169" s="11">
        <f t="shared" si="15"/>
        <v>17.463518513052584</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17.837233443405285</v>
      </c>
      <c r="E170" s="11">
        <f>A170-'Mastercurve bestimmen'!$B$2</f>
        <v>65</v>
      </c>
      <c r="F170" s="11">
        <f t="shared" si="15"/>
        <v>17.837233443405285</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18.212455352785764</v>
      </c>
      <c r="E171" s="11">
        <f>A171-'Mastercurve bestimmen'!$B$2</f>
        <v>66</v>
      </c>
      <c r="F171" s="11">
        <f t="shared" si="15"/>
        <v>18.212455352785764</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18.589089295187051</v>
      </c>
      <c r="E172" s="11">
        <f>A172-'Mastercurve bestimmen'!$B$2</f>
        <v>67</v>
      </c>
      <c r="F172" s="11">
        <f t="shared" si="15"/>
        <v>18.589089295187051</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18.967040324602166</v>
      </c>
      <c r="E173" s="11">
        <f>A173-'Mastercurve bestimmen'!$B$2</f>
        <v>68</v>
      </c>
      <c r="F173" s="11">
        <f t="shared" si="15"/>
        <v>18.967040324602166</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19.346213495024138</v>
      </c>
      <c r="E174" s="11">
        <f>A174-'Mastercurve bestimmen'!$B$2</f>
        <v>69</v>
      </c>
      <c r="F174" s="11">
        <f t="shared" si="15"/>
        <v>19.346213495024138</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19.72651386044598</v>
      </c>
      <c r="E175" s="11">
        <f>A175-'Mastercurve bestimmen'!$B$2</f>
        <v>70</v>
      </c>
      <c r="F175" s="11">
        <f t="shared" si="15"/>
        <v>19.72651386044598</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20.107846474860725</v>
      </c>
      <c r="E176" s="11">
        <f>A176-'Mastercurve bestimmen'!$B$2</f>
        <v>71</v>
      </c>
      <c r="F176" s="11">
        <f t="shared" si="15"/>
        <v>20.107846474860725</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20.490116392261395</v>
      </c>
      <c r="E177" s="11">
        <f>A177-'Mastercurve bestimmen'!$B$2</f>
        <v>72</v>
      </c>
      <c r="F177" s="11">
        <f t="shared" si="15"/>
        <v>20.490116392261395</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20.873228666641012</v>
      </c>
      <c r="E178" s="11">
        <f>A178-'Mastercurve bestimmen'!$B$2</f>
        <v>73</v>
      </c>
      <c r="F178" s="11">
        <f t="shared" si="15"/>
        <v>20.873228666641012</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21.2570883519926</v>
      </c>
      <c r="E179" s="11">
        <f>A179-'Mastercurve bestimmen'!$B$2</f>
        <v>74</v>
      </c>
      <c r="F179" s="11">
        <f t="shared" si="15"/>
        <v>21.2570883519926</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21.641600502309181</v>
      </c>
      <c r="E180" s="11">
        <f>A180-'Mastercurve bestimmen'!$B$2</f>
        <v>75</v>
      </c>
      <c r="F180" s="11">
        <f t="shared" si="15"/>
        <v>21.641600502309181</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22.026683341066096</v>
      </c>
      <c r="E181" s="11">
        <f>A181-'Mastercurve bestimmen'!$B$2</f>
        <v>76</v>
      </c>
      <c r="F181" s="11">
        <f t="shared" si="15"/>
        <v>22.026683341066096</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22.412307769667947</v>
      </c>
      <c r="E182" s="11">
        <f>A182-'Mastercurve bestimmen'!$B$2</f>
        <v>77</v>
      </c>
      <c r="F182" s="11">
        <f t="shared" si="15"/>
        <v>22.412307769667947</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22.798457859001637</v>
      </c>
      <c r="E183" s="11">
        <f>A183-'Mastercurve bestimmen'!$B$2</f>
        <v>78</v>
      </c>
      <c r="F183" s="11">
        <f t="shared" si="15"/>
        <v>22.798457859001637</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23.185117679954093</v>
      </c>
      <c r="E184" s="11">
        <f>A184-'Mastercurve bestimmen'!$B$2</f>
        <v>79</v>
      </c>
      <c r="F184" s="11">
        <f t="shared" si="15"/>
        <v>23.185117679954093</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23.572271303412222</v>
      </c>
      <c r="E185" s="11">
        <f>A185-'Mastercurve bestimmen'!$B$2</f>
        <v>80</v>
      </c>
      <c r="F185" s="11">
        <f t="shared" si="15"/>
        <v>23.572271303412222</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23.959902800262938</v>
      </c>
      <c r="E186" s="11">
        <f>A186-'Mastercurve bestimmen'!$B$2</f>
        <v>81</v>
      </c>
      <c r="F186" s="11">
        <f t="shared" si="15"/>
        <v>23.959902800262938</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24.347996241393155</v>
      </c>
      <c r="E187" s="11">
        <f>A187-'Mastercurve bestimmen'!$B$2</f>
        <v>82</v>
      </c>
      <c r="F187" s="11">
        <f t="shared" si="15"/>
        <v>24.347996241393155</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24.736535697689781</v>
      </c>
      <c r="E188" s="11">
        <f>A188-'Mastercurve bestimmen'!$B$2</f>
        <v>83</v>
      </c>
      <c r="F188" s="11">
        <f t="shared" si="15"/>
        <v>24.736535697689781</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25.125505240039743</v>
      </c>
      <c r="E189" s="11">
        <f>A189-'Mastercurve bestimmen'!$B$2</f>
        <v>84</v>
      </c>
      <c r="F189" s="11">
        <f t="shared" si="15"/>
        <v>25.125505240039743</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25.514888939329946</v>
      </c>
      <c r="E190" s="11">
        <f>A190-'Mastercurve bestimmen'!$B$2</f>
        <v>85</v>
      </c>
      <c r="F190" s="11">
        <f t="shared" si="15"/>
        <v>25.514888939329946</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25.904670866447304</v>
      </c>
      <c r="E191" s="11">
        <f>A191-'Mastercurve bestimmen'!$B$2</f>
        <v>86</v>
      </c>
      <c r="F191" s="11">
        <f t="shared" si="15"/>
        <v>25.904670866447304</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26.294835092278735</v>
      </c>
      <c r="E192" s="11">
        <f>A192-'Mastercurve bestimmen'!$B$2</f>
        <v>87</v>
      </c>
      <c r="F192" s="11">
        <f t="shared" si="15"/>
        <v>26.294835092278735</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26.685365687711148</v>
      </c>
      <c r="E193" s="11">
        <f>A193-'Mastercurve bestimmen'!$B$2</f>
        <v>88</v>
      </c>
      <c r="F193" s="11">
        <f t="shared" si="15"/>
        <v>26.685365687711148</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27.076246723631456</v>
      </c>
      <c r="E194" s="11">
        <f>A194-'Mastercurve bestimmen'!$B$2</f>
        <v>89</v>
      </c>
      <c r="F194" s="11">
        <f t="shared" si="15"/>
        <v>27.076246723631456</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27.467462270926575</v>
      </c>
      <c r="E195" s="11">
        <f>A195-'Mastercurve bestimmen'!$B$2</f>
        <v>90</v>
      </c>
      <c r="F195" s="11">
        <f t="shared" si="15"/>
        <v>27.467462270926575</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27.85899640048342</v>
      </c>
      <c r="E196" s="11">
        <f>A196-'Mastercurve bestimmen'!$B$2</f>
        <v>91</v>
      </c>
      <c r="F196" s="11">
        <f t="shared" si="15"/>
        <v>27.85899640048342</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28.250833183188909</v>
      </c>
      <c r="E197" s="11">
        <f>A197-'Mastercurve bestimmen'!$B$2</f>
        <v>92</v>
      </c>
      <c r="F197" s="11">
        <f t="shared" si="15"/>
        <v>28.250833183188909</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28.642956689929942</v>
      </c>
      <c r="E198" s="11">
        <f>A198-'Mastercurve bestimmen'!$B$2</f>
        <v>93</v>
      </c>
      <c r="F198" s="11">
        <f t="shared" si="15"/>
        <v>28.642956689929942</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29.035350991593443</v>
      </c>
      <c r="E199" s="11">
        <f>A199-'Mastercurve bestimmen'!$B$2</f>
        <v>94</v>
      </c>
      <c r="F199" s="11">
        <f t="shared" si="15"/>
        <v>29.035350991593443</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29.428000159066329</v>
      </c>
      <c r="E200" s="11">
        <f>A200-'Mastercurve bestimmen'!$B$2</f>
        <v>95</v>
      </c>
      <c r="F200" s="11">
        <f t="shared" si="15"/>
        <v>29.428000159066329</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29.820888263235503</v>
      </c>
      <c r="E201" s="11">
        <f>A201-'Mastercurve bestimmen'!$B$2</f>
        <v>96</v>
      </c>
      <c r="F201" s="11">
        <f t="shared" si="15"/>
        <v>29.820888263235503</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30.213999374987889</v>
      </c>
      <c r="E202" s="11">
        <f>A202-'Mastercurve bestimmen'!$B$2</f>
        <v>97</v>
      </c>
      <c r="F202" s="11">
        <f t="shared" si="15"/>
        <v>30.213999374987889</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30.607317565210394</v>
      </c>
      <c r="E203" s="11">
        <f>A203-'Mastercurve bestimmen'!$B$2</f>
        <v>98</v>
      </c>
      <c r="F203" s="11">
        <f t="shared" si="15"/>
        <v>30.607317565210394</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31.000826904789935</v>
      </c>
      <c r="E204" s="11">
        <f>A204-'Mastercurve bestimmen'!$B$2</f>
        <v>99</v>
      </c>
      <c r="F204" s="11">
        <f t="shared" si="15"/>
        <v>31.000826904789935</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31.394511464613419</v>
      </c>
      <c r="E205" s="11">
        <f>A205-'Mastercurve bestimmen'!$B$2</f>
        <v>100</v>
      </c>
      <c r="F205" s="11">
        <f t="shared" si="15"/>
        <v>31.394511464613419</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31.788355315567774</v>
      </c>
      <c r="E206" s="11">
        <f>A206-'Mastercurve bestimmen'!$B$2</f>
        <v>101</v>
      </c>
      <c r="F206" s="11">
        <f t="shared" si="15"/>
        <v>31.788355315567774</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32.182342528539898</v>
      </c>
      <c r="E207" s="11">
        <f>A207-'Mastercurve bestimmen'!$B$2</f>
        <v>102</v>
      </c>
      <c r="F207" s="11">
        <f t="shared" si="15"/>
        <v>32.182342528539898</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32.576457174416717</v>
      </c>
      <c r="E208" s="11">
        <f>A208-'Mastercurve bestimmen'!$B$2</f>
        <v>103</v>
      </c>
      <c r="F208" s="11">
        <f t="shared" ref="F208:F215" si="21">B208</f>
        <v>32.576457174416717</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32.970683324085144</v>
      </c>
      <c r="E209" s="11">
        <f>A209-'Mastercurve bestimmen'!$B$2</f>
        <v>104</v>
      </c>
      <c r="F209" s="11">
        <f t="shared" si="21"/>
        <v>32.970683324085144</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33.365005048432074</v>
      </c>
      <c r="E210" s="11">
        <f>A210-'Mastercurve bestimmen'!$B$2</f>
        <v>105</v>
      </c>
      <c r="F210" s="11">
        <f t="shared" si="21"/>
        <v>33.365005048432074</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33.759406418344447</v>
      </c>
      <c r="E211" s="11">
        <f>A211-'Mastercurve bestimmen'!$B$2</f>
        <v>106</v>
      </c>
      <c r="F211" s="11">
        <f t="shared" si="21"/>
        <v>33.759406418344447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34.153871504709159</v>
      </c>
      <c r="E212" s="11">
        <f>A212-'Mastercurve bestimmen'!$B$2</f>
        <v>107</v>
      </c>
      <c r="F212" s="11">
        <f t="shared" si="21"/>
        <v>34.153871504709159</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34.548384378413132</v>
      </c>
      <c r="E213" s="11">
        <f>A213-'Mastercurve bestimmen'!$B$2</f>
        <v>108</v>
      </c>
      <c r="F213" s="11">
        <f t="shared" si="21"/>
        <v>34.548384378413132</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34.942929110343286</v>
      </c>
      <c r="E214" s="11">
        <f>A214-'Mastercurve bestimmen'!$B$2</f>
        <v>109</v>
      </c>
      <c r="F214" s="11">
        <f t="shared" si="21"/>
        <v>34.942929110343286</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35.337489771386515</v>
      </c>
      <c r="E215" s="11">
        <f>A215-'Mastercurve bestimmen'!$B$2</f>
        <v>110</v>
      </c>
      <c r="F215" s="11">
        <f t="shared" si="21"/>
        <v>35.337489771386515</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0.18066511940073032</v>
      </c>
      <c r="J217" s="98">
        <v>4.0688761884168074E-4</v>
      </c>
      <c r="K217" s="98">
        <v>2.4610305707248392E-5</v>
      </c>
      <c r="L217" s="98">
        <v>-2.1667070481069028E-8</v>
      </c>
      <c r="M217" s="98">
        <v>-2.1515203586211635E-9</v>
      </c>
      <c r="N217" s="98">
        <v>2.8867709659472057E-12</v>
      </c>
      <c r="O217" s="98">
        <v>5.2713587331994581E-14</v>
      </c>
      <c r="P217" s="98">
        <v>1.3620116750076639E-17</v>
      </c>
    </row>
    <row r="218" spans="1:16" x14ac:dyDescent="0.25">
      <c r="G218" s="11"/>
      <c r="H218" s="11">
        <v>0</v>
      </c>
      <c r="I218" s="11">
        <v>8.1730779826269637E-4</v>
      </c>
      <c r="J218" s="11">
        <v>1.8356801993404109E-5</v>
      </c>
      <c r="K218" s="3">
        <v>6.864942864316836E-7</v>
      </c>
      <c r="L218" s="3">
        <v>1.0306143445026209E-8</v>
      </c>
      <c r="M218" s="3">
        <v>1.6761399973530811E-10</v>
      </c>
      <c r="N218" s="3">
        <v>1.9378916076137638E-12</v>
      </c>
      <c r="O218" s="11">
        <v>1.2138309628401993E-14</v>
      </c>
      <c r="P218" s="11">
        <v>1.2252074789814789E-16</v>
      </c>
    </row>
    <row r="219" spans="1:16" x14ac:dyDescent="0.25">
      <c r="G219" s="11"/>
      <c r="H219" s="11">
        <v>0.99996863708697992</v>
      </c>
      <c r="I219" s="11">
        <v>9.1595481955506888E-2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-20.550543778063499</v>
      </c>
      <c r="G222">
        <f>F15</f>
        <v>-20.678712849703782</v>
      </c>
    </row>
    <row r="223" spans="1:16" x14ac:dyDescent="0.25">
      <c r="E223" s="11">
        <f t="shared" ref="E223:E286" si="25">E16</f>
        <v>-89</v>
      </c>
      <c r="F223" s="11">
        <f t="shared" ref="F223:F286" si="26">$H$217*0+E223*$I$217+E223^2*$J$217+E223^3*$K$217+E223^4*$L$217+E223^5*$M$217+E223^6*$N$217+E223^7*$O$217+E223^8*$P$217</f>
        <v>-20.394268745896362</v>
      </c>
      <c r="G223" s="11">
        <f t="shared" ref="G223:G286" si="27">F16</f>
        <v>-20.467272602442662</v>
      </c>
    </row>
    <row r="224" spans="1:16" x14ac:dyDescent="0.25">
      <c r="E224" s="11">
        <f t="shared" si="25"/>
        <v>-88</v>
      </c>
      <c r="F224" s="11">
        <f t="shared" si="26"/>
        <v>-20.228596369842272</v>
      </c>
      <c r="G224" s="11">
        <f t="shared" si="27"/>
        <v>-20.255629169824111</v>
      </c>
    </row>
    <row r="225" spans="5:7" x14ac:dyDescent="0.25">
      <c r="E225" s="11">
        <f t="shared" si="25"/>
        <v>-87</v>
      </c>
      <c r="F225" s="11">
        <f t="shared" si="26"/>
        <v>-20.053929866556317</v>
      </c>
      <c r="G225" s="11">
        <f t="shared" si="27"/>
        <v>-20.043579366490697</v>
      </c>
    </row>
    <row r="226" spans="5:7" x14ac:dyDescent="0.25">
      <c r="E226" s="11">
        <f t="shared" si="25"/>
        <v>-86</v>
      </c>
      <c r="F226" s="11">
        <f t="shared" si="26"/>
        <v>-19.870671010958166</v>
      </c>
      <c r="G226" s="11">
        <f t="shared" si="27"/>
        <v>-19.830920007084988</v>
      </c>
    </row>
    <row r="227" spans="5:7" x14ac:dyDescent="0.25">
      <c r="E227" s="11">
        <f t="shared" si="25"/>
        <v>-85</v>
      </c>
      <c r="F227" s="11">
        <f t="shared" si="26"/>
        <v>-19.679219620509052</v>
      </c>
      <c r="G227" s="11">
        <f t="shared" si="27"/>
        <v>-19.617447906249545</v>
      </c>
    </row>
    <row r="228" spans="5:7" x14ac:dyDescent="0.25">
      <c r="E228" s="11">
        <f t="shared" si="25"/>
        <v>-84</v>
      </c>
      <c r="F228" s="11">
        <f t="shared" si="26"/>
        <v>-19.479973058445662</v>
      </c>
      <c r="G228" s="11">
        <f t="shared" si="27"/>
        <v>-19.402959878626937</v>
      </c>
    </row>
    <row r="229" spans="5:7" x14ac:dyDescent="0.25">
      <c r="E229" s="11">
        <f t="shared" si="25"/>
        <v>-83</v>
      </c>
      <c r="F229" s="11">
        <f t="shared" si="26"/>
        <v>-19.273325755752783</v>
      </c>
      <c r="G229" s="11">
        <f t="shared" si="27"/>
        <v>-19.18725273885974</v>
      </c>
    </row>
    <row r="230" spans="5:7" x14ac:dyDescent="0.25">
      <c r="E230" s="11">
        <f t="shared" si="25"/>
        <v>-82</v>
      </c>
      <c r="F230" s="11">
        <f t="shared" si="26"/>
        <v>-19.059668751656012</v>
      </c>
      <c r="G230" s="11">
        <f t="shared" si="27"/>
        <v>-18.970123301590515</v>
      </c>
    </row>
    <row r="231" spans="5:7" x14ac:dyDescent="0.25">
      <c r="E231" s="11">
        <f t="shared" si="25"/>
        <v>-81</v>
      </c>
      <c r="F231" s="11">
        <f t="shared" si="26"/>
        <v>-18.839389252415209</v>
      </c>
      <c r="G231" s="11">
        <f t="shared" si="27"/>
        <v>-18.751368381461827</v>
      </c>
    </row>
    <row r="232" spans="5:7" x14ac:dyDescent="0.25">
      <c r="E232" s="11">
        <f t="shared" si="25"/>
        <v>-80</v>
      </c>
      <c r="F232" s="11">
        <f t="shared" si="26"/>
        <v>-18.612870208198881</v>
      </c>
      <c r="G232" s="11">
        <f t="shared" si="27"/>
        <v>-18.530784793116251</v>
      </c>
    </row>
    <row r="233" spans="5:7" x14ac:dyDescent="0.25">
      <c r="E233" s="11">
        <f t="shared" si="25"/>
        <v>-79</v>
      </c>
      <c r="F233" s="11">
        <f t="shared" si="26"/>
        <v>-18.380489907819193</v>
      </c>
      <c r="G233" s="11">
        <f t="shared" si="27"/>
        <v>-18.308169351196351</v>
      </c>
    </row>
    <row r="234" spans="5:7" x14ac:dyDescent="0.25">
      <c r="E234" s="11">
        <f t="shared" si="25"/>
        <v>-78</v>
      </c>
      <c r="F234" s="11">
        <f t="shared" si="26"/>
        <v>-18.14262159110654</v>
      </c>
      <c r="G234" s="11">
        <f t="shared" si="27"/>
        <v>-18.083318870344691</v>
      </c>
    </row>
    <row r="235" spans="5:7" x14ac:dyDescent="0.25">
      <c r="E235" s="11">
        <f t="shared" si="25"/>
        <v>-77</v>
      </c>
      <c r="F235" s="11">
        <f t="shared" si="26"/>
        <v>-17.899633078702397</v>
      </c>
      <c r="G235" s="11">
        <f t="shared" si="27"/>
        <v>-17.856030165203844</v>
      </c>
    </row>
    <row r="236" spans="5:7" x14ac:dyDescent="0.25">
      <c r="E236" s="11">
        <f t="shared" si="25"/>
        <v>-76</v>
      </c>
      <c r="F236" s="11">
        <f t="shared" si="26"/>
        <v>-17.651886419048314</v>
      </c>
      <c r="G236" s="11">
        <f t="shared" si="27"/>
        <v>-17.626100050416376</v>
      </c>
    </row>
    <row r="237" spans="5:7" x14ac:dyDescent="0.25">
      <c r="E237" s="11">
        <f t="shared" si="25"/>
        <v>-75</v>
      </c>
      <c r="F237" s="11">
        <f t="shared" si="26"/>
        <v>-17.399737552348412</v>
      </c>
      <c r="G237" s="11">
        <f t="shared" si="27"/>
        <v>-17.393325340624852</v>
      </c>
    </row>
    <row r="238" spans="5:7" x14ac:dyDescent="0.25">
      <c r="E238" s="11">
        <f t="shared" si="25"/>
        <v>-74</v>
      </c>
      <c r="F238" s="11">
        <f t="shared" si="26"/>
        <v>-17.14353599128253</v>
      </c>
      <c r="G238" s="11">
        <f t="shared" si="27"/>
        <v>-17.157502850471843</v>
      </c>
    </row>
    <row r="239" spans="5:7" x14ac:dyDescent="0.25">
      <c r="E239" s="11">
        <f t="shared" si="25"/>
        <v>-73</v>
      </c>
      <c r="F239" s="11">
        <f t="shared" si="26"/>
        <v>-16.883624518246044</v>
      </c>
      <c r="G239" s="11">
        <f t="shared" si="27"/>
        <v>-16.918429394599912</v>
      </c>
    </row>
    <row r="240" spans="5:7" x14ac:dyDescent="0.25">
      <c r="E240" s="11">
        <f t="shared" si="25"/>
        <v>-72</v>
      </c>
      <c r="F240" s="11">
        <f t="shared" si="26"/>
        <v>-16.620338898892371</v>
      </c>
      <c r="G240" s="11">
        <f t="shared" si="27"/>
        <v>-16.675901787651632</v>
      </c>
    </row>
    <row r="241" spans="5:7" x14ac:dyDescent="0.25">
      <c r="E241" s="11">
        <f t="shared" si="25"/>
        <v>-71</v>
      </c>
      <c r="F241" s="11">
        <f t="shared" si="26"/>
        <v>-16.354007611753261</v>
      </c>
      <c r="G241" s="11">
        <f t="shared" si="27"/>
        <v>-16.429716844269571</v>
      </c>
    </row>
    <row r="242" spans="5:7" x14ac:dyDescent="0.25">
      <c r="E242" s="11">
        <f t="shared" si="25"/>
        <v>-70</v>
      </c>
      <c r="F242" s="11">
        <f t="shared" si="26"/>
        <v>-16.084951593711676</v>
      </c>
      <c r="G242" s="11">
        <f t="shared" si="27"/>
        <v>-16.179671379096291</v>
      </c>
    </row>
    <row r="243" spans="5:7" x14ac:dyDescent="0.25">
      <c r="E243" s="11">
        <f t="shared" si="25"/>
        <v>-69</v>
      </c>
      <c r="F243" s="11">
        <f t="shared" si="26"/>
        <v>-15.813484001101243</v>
      </c>
      <c r="G243" s="11">
        <f t="shared" si="27"/>
        <v>-15.925562206774361</v>
      </c>
    </row>
    <row r="244" spans="5:7" x14ac:dyDescent="0.25">
      <c r="E244" s="11">
        <f t="shared" si="25"/>
        <v>-68</v>
      </c>
      <c r="F244" s="11">
        <f t="shared" si="26"/>
        <v>-15.53990998620605</v>
      </c>
      <c r="G244" s="11">
        <f t="shared" si="27"/>
        <v>-15.667186141946353</v>
      </c>
    </row>
    <row r="245" spans="5:7" x14ac:dyDescent="0.25">
      <c r="E245" s="11">
        <f t="shared" si="25"/>
        <v>-67</v>
      </c>
      <c r="F245" s="11">
        <f t="shared" si="26"/>
        <v>-15.264526488933697</v>
      </c>
      <c r="G245" s="11">
        <f t="shared" si="27"/>
        <v>-15.40433999925483</v>
      </c>
    </row>
    <row r="246" spans="5:7" x14ac:dyDescent="0.25">
      <c r="E246" s="11">
        <f t="shared" si="25"/>
        <v>-66</v>
      </c>
      <c r="F246" s="11">
        <f t="shared" si="26"/>
        <v>-14.987622043434095</v>
      </c>
      <c r="G246" s="11">
        <f t="shared" si="27"/>
        <v>-15.13682059334236</v>
      </c>
    </row>
    <row r="247" spans="5:7" x14ac:dyDescent="0.25">
      <c r="E247" s="11">
        <f t="shared" si="25"/>
        <v>-65</v>
      </c>
      <c r="F247" s="11">
        <f t="shared" si="26"/>
        <v>-14.709476599436044</v>
      </c>
      <c r="G247" s="11">
        <f t="shared" si="27"/>
        <v>-14.864424738851511</v>
      </c>
    </row>
    <row r="248" spans="5:7" x14ac:dyDescent="0.25">
      <c r="E248" s="11">
        <f t="shared" si="25"/>
        <v>-64</v>
      </c>
      <c r="F248" s="11">
        <f t="shared" si="26"/>
        <v>-14.430361358072897</v>
      </c>
      <c r="G248" s="11">
        <f t="shared" si="27"/>
        <v>-14.586949250424855</v>
      </c>
    </row>
    <row r="249" spans="5:7" x14ac:dyDescent="0.25">
      <c r="E249" s="11">
        <f t="shared" si="25"/>
        <v>-63</v>
      </c>
      <c r="F249" s="11">
        <f t="shared" si="26"/>
        <v>-14.150538621968179</v>
      </c>
      <c r="G249" s="11">
        <f t="shared" si="27"/>
        <v>-14.304190942704954</v>
      </c>
    </row>
    <row r="250" spans="5:7" x14ac:dyDescent="0.25">
      <c r="E250" s="11">
        <f t="shared" si="25"/>
        <v>-62</v>
      </c>
      <c r="F250" s="11">
        <f t="shared" si="26"/>
        <v>-13.870261659351479</v>
      </c>
      <c r="G250" s="11">
        <f t="shared" si="27"/>
        <v>-14.015946630334376</v>
      </c>
    </row>
    <row r="251" spans="5:7" x14ac:dyDescent="0.25">
      <c r="E251" s="11">
        <f t="shared" si="25"/>
        <v>-61</v>
      </c>
      <c r="F251" s="11">
        <f t="shared" si="26"/>
        <v>-13.589774581974313</v>
      </c>
      <c r="G251" s="11">
        <f t="shared" si="27"/>
        <v>-13.722013127955691</v>
      </c>
    </row>
    <row r="252" spans="5:7" x14ac:dyDescent="0.25">
      <c r="E252" s="11">
        <f t="shared" si="25"/>
        <v>-60</v>
      </c>
      <c r="F252" s="11">
        <f t="shared" si="26"/>
        <v>-13.309312236595188</v>
      </c>
      <c r="G252" s="11">
        <f t="shared" si="27"/>
        <v>-13.422187250211465</v>
      </c>
    </row>
    <row r="253" spans="5:7" x14ac:dyDescent="0.25">
      <c r="E253" s="11">
        <f t="shared" si="25"/>
        <v>-59</v>
      </c>
      <c r="F253" s="11">
        <f t="shared" si="26"/>
        <v>-13.029100109802529</v>
      </c>
      <c r="G253" s="11">
        <f t="shared" si="27"/>
        <v>-13.116265811744269</v>
      </c>
    </row>
    <row r="254" spans="5:7" x14ac:dyDescent="0.25">
      <c r="E254" s="11">
        <f t="shared" si="25"/>
        <v>-58</v>
      </c>
      <c r="F254" s="11">
        <f t="shared" si="26"/>
        <v>-12.749354245943492</v>
      </c>
      <c r="G254" s="11">
        <f t="shared" si="27"/>
        <v>-12.804045627196663</v>
      </c>
    </row>
    <row r="255" spans="5:7" x14ac:dyDescent="0.25">
      <c r="E255" s="11">
        <f t="shared" si="25"/>
        <v>-57</v>
      </c>
      <c r="F255" s="11">
        <f t="shared" si="26"/>
        <v>-12.470281177926296</v>
      </c>
      <c r="G255" s="11">
        <f t="shared" si="27"/>
        <v>-12.48532351121122</v>
      </c>
    </row>
    <row r="256" spans="5:7" x14ac:dyDescent="0.25">
      <c r="E256" s="11">
        <f t="shared" si="25"/>
        <v>-56</v>
      </c>
      <c r="F256" s="11">
        <f t="shared" si="26"/>
        <v>-12.192077870663029</v>
      </c>
      <c r="G256" s="11">
        <f t="shared" si="27"/>
        <v>-12.159896278430509</v>
      </c>
    </row>
    <row r="257" spans="5:7" x14ac:dyDescent="0.25">
      <c r="E257" s="11">
        <f t="shared" si="25"/>
        <v>-55</v>
      </c>
      <c r="F257" s="11">
        <f t="shared" si="26"/>
        <v>-11.914931676919389</v>
      </c>
      <c r="G257" s="11">
        <f t="shared" si="27"/>
        <v>-11.827560743497093</v>
      </c>
    </row>
    <row r="258" spans="5:7" x14ac:dyDescent="0.25">
      <c r="E258" s="11">
        <f t="shared" si="25"/>
        <v>-54</v>
      </c>
      <c r="F258" s="11">
        <f t="shared" si="26"/>
        <v>-11.639020305337233</v>
      </c>
      <c r="G258" s="11">
        <f t="shared" si="27"/>
        <v>-11.488113721053546</v>
      </c>
    </row>
    <row r="259" spans="5:7" x14ac:dyDescent="0.25">
      <c r="E259" s="11">
        <f t="shared" si="25"/>
        <v>-53</v>
      </c>
      <c r="F259" s="11">
        <f t="shared" si="26"/>
        <v>-11.364511800395338</v>
      </c>
      <c r="G259" s="11">
        <f t="shared" si="27"/>
        <v>-11.141352025742428</v>
      </c>
    </row>
    <row r="260" spans="5:7" x14ac:dyDescent="0.25">
      <c r="E260" s="11">
        <f t="shared" si="25"/>
        <v>-52</v>
      </c>
      <c r="F260" s="11">
        <f t="shared" si="26"/>
        <v>-11.091564534073138</v>
      </c>
      <c r="G260" s="11">
        <f t="shared" si="27"/>
        <v>-10.787072472206312</v>
      </c>
    </row>
    <row r="261" spans="5:7" x14ac:dyDescent="0.25">
      <c r="E261" s="11">
        <f t="shared" si="25"/>
        <v>-51</v>
      </c>
      <c r="F261" s="11">
        <f t="shared" si="26"/>
        <v>-10.820327208981688</v>
      </c>
      <c r="G261" s="11">
        <f t="shared" si="27"/>
        <v>-10.425071875087761</v>
      </c>
    </row>
    <row r="262" spans="5:7" x14ac:dyDescent="0.25">
      <c r="E262" s="11">
        <f t="shared" si="25"/>
        <v>-50</v>
      </c>
      <c r="F262" s="11">
        <f t="shared" si="26"/>
        <v>-10.550938872725574</v>
      </c>
      <c r="G262" s="11">
        <f t="shared" si="27"/>
        <v>-10.055147049029348</v>
      </c>
    </row>
    <row r="263" spans="5:7" x14ac:dyDescent="0.25">
      <c r="E263" s="11">
        <f t="shared" si="25"/>
        <v>-49</v>
      </c>
      <c r="F263" s="11">
        <f t="shared" si="26"/>
        <v>-10.283528943258942</v>
      </c>
      <c r="G263" s="11">
        <f t="shared" si="27"/>
        <v>-9.8881016062672078</v>
      </c>
    </row>
    <row r="264" spans="5:7" x14ac:dyDescent="0.25">
      <c r="E264" s="11">
        <f t="shared" si="25"/>
        <v>-48</v>
      </c>
      <c r="F264" s="11">
        <f t="shared" si="26"/>
        <v>-10.01821724499818</v>
      </c>
      <c r="G264" s="11">
        <f t="shared" si="27"/>
        <v>-9.7134086615431841</v>
      </c>
    </row>
    <row r="265" spans="5:7" x14ac:dyDescent="0.25">
      <c r="E265" s="11">
        <f t="shared" si="25"/>
        <v>-47</v>
      </c>
      <c r="F265" s="11">
        <f t="shared" si="26"/>
        <v>-9.7551140554534062</v>
      </c>
      <c r="G265" s="11">
        <f t="shared" si="27"/>
        <v>-9.5315481271926927</v>
      </c>
    </row>
    <row r="266" spans="5:7" x14ac:dyDescent="0.25">
      <c r="E266" s="11">
        <f t="shared" si="25"/>
        <v>-46</v>
      </c>
      <c r="F266" s="11">
        <f t="shared" si="26"/>
        <v>-9.4943201621401965</v>
      </c>
      <c r="G266" s="11">
        <f t="shared" si="27"/>
        <v>-9.3429999155511467</v>
      </c>
    </row>
    <row r="267" spans="5:7" x14ac:dyDescent="0.25">
      <c r="E267" s="11">
        <f t="shared" si="25"/>
        <v>-45</v>
      </c>
      <c r="F267" s="11">
        <f t="shared" si="26"/>
        <v>-9.2359269295325497</v>
      </c>
      <c r="G267" s="11">
        <f t="shared" si="27"/>
        <v>-9.1482439389539572</v>
      </c>
    </row>
    <row r="268" spans="5:7" x14ac:dyDescent="0.25">
      <c r="E268" s="11">
        <f t="shared" si="25"/>
        <v>-44</v>
      </c>
      <c r="F268" s="11">
        <f t="shared" si="26"/>
        <v>-8.9800163758174545</v>
      </c>
      <c r="G268" s="11">
        <f t="shared" si="27"/>
        <v>-8.9477601097365458</v>
      </c>
    </row>
    <row r="269" spans="5:7" x14ac:dyDescent="0.25">
      <c r="E269" s="11">
        <f t="shared" si="25"/>
        <v>-43</v>
      </c>
      <c r="F269" s="11">
        <f t="shared" si="26"/>
        <v>-8.7266612592109887</v>
      </c>
      <c r="G269" s="11">
        <f t="shared" si="27"/>
        <v>-8.7420283402343202</v>
      </c>
    </row>
    <row r="270" spans="5:7" x14ac:dyDescent="0.25">
      <c r="E270" s="11">
        <f t="shared" si="25"/>
        <v>-42</v>
      </c>
      <c r="F270" s="11">
        <f t="shared" si="26"/>
        <v>-8.4759251735951917</v>
      </c>
      <c r="G270" s="11">
        <f t="shared" si="27"/>
        <v>-8.5315285427826968</v>
      </c>
    </row>
    <row r="271" spans="5:7" x14ac:dyDescent="0.25">
      <c r="E271" s="11">
        <f t="shared" si="25"/>
        <v>-41</v>
      </c>
      <c r="F271" s="11">
        <f t="shared" si="26"/>
        <v>-8.2278626532344958</v>
      </c>
      <c r="G271" s="11">
        <f t="shared" si="27"/>
        <v>-8.3167406297170903</v>
      </c>
    </row>
    <row r="272" spans="5:7" x14ac:dyDescent="0.25">
      <c r="E272" s="11">
        <f t="shared" si="25"/>
        <v>-40</v>
      </c>
      <c r="F272" s="11">
        <f t="shared" si="26"/>
        <v>-7.9825192863299703</v>
      </c>
      <c r="G272" s="11">
        <f t="shared" si="27"/>
        <v>-8.0981445133729153</v>
      </c>
    </row>
    <row r="273" spans="5:7" x14ac:dyDescent="0.25">
      <c r="E273" s="11">
        <f t="shared" si="25"/>
        <v>-39</v>
      </c>
      <c r="F273" s="11">
        <f t="shared" si="26"/>
        <v>-7.7399318371689549</v>
      </c>
      <c r="G273" s="11">
        <f t="shared" si="27"/>
        <v>-7.8762201060855839</v>
      </c>
    </row>
    <row r="274" spans="5:7" x14ac:dyDescent="0.25">
      <c r="E274" s="11">
        <f t="shared" si="25"/>
        <v>-38</v>
      </c>
      <c r="F274" s="11">
        <f t="shared" si="26"/>
        <v>-7.5001283766272735</v>
      </c>
      <c r="G274" s="11">
        <f t="shared" si="27"/>
        <v>-7.6514473201905124</v>
      </c>
    </row>
    <row r="275" spans="5:7" x14ac:dyDescent="0.25">
      <c r="E275" s="11">
        <f t="shared" si="25"/>
        <v>-37</v>
      </c>
      <c r="F275" s="11">
        <f t="shared" si="26"/>
        <v>-7.2631284207805642</v>
      </c>
      <c r="G275" s="11">
        <f t="shared" si="27"/>
        <v>-7.4243060680231139</v>
      </c>
    </row>
    <row r="276" spans="5:7" x14ac:dyDescent="0.25">
      <c r="E276" s="11">
        <f t="shared" si="25"/>
        <v>-36</v>
      </c>
      <c r="F276" s="11">
        <f t="shared" si="26"/>
        <v>-7.028943077380732</v>
      </c>
      <c r="G276" s="11">
        <f t="shared" si="27"/>
        <v>-7.1952762619188029</v>
      </c>
    </row>
    <row r="277" spans="5:7" x14ac:dyDescent="0.25">
      <c r="E277" s="11">
        <f t="shared" si="25"/>
        <v>-35</v>
      </c>
      <c r="F277" s="11">
        <f t="shared" si="26"/>
        <v>-6.7975751999529992</v>
      </c>
      <c r="G277" s="11">
        <f t="shared" si="27"/>
        <v>-6.9648378142129941</v>
      </c>
    </row>
    <row r="278" spans="5:7" x14ac:dyDescent="0.25">
      <c r="E278" s="11">
        <f t="shared" si="25"/>
        <v>-34</v>
      </c>
      <c r="F278" s="11">
        <f t="shared" si="26"/>
        <v>-6.5690195492684769</v>
      </c>
      <c r="G278" s="11">
        <f t="shared" si="27"/>
        <v>-6.7334706372411013</v>
      </c>
    </row>
    <row r="279" spans="5:7" x14ac:dyDescent="0.25">
      <c r="E279" s="11">
        <f t="shared" si="25"/>
        <v>-33</v>
      </c>
      <c r="F279" s="11">
        <f t="shared" si="26"/>
        <v>-6.3432629619466194</v>
      </c>
      <c r="G279" s="11">
        <f t="shared" si="27"/>
        <v>-6.50165464333854</v>
      </c>
    </row>
    <row r="280" spans="5:7" x14ac:dyDescent="0.25">
      <c r="E280" s="11">
        <f t="shared" si="25"/>
        <v>-32</v>
      </c>
      <c r="F280" s="11">
        <f t="shared" si="26"/>
        <v>-6.1202845259413738</v>
      </c>
      <c r="G280" s="11">
        <f t="shared" si="27"/>
        <v>-6.2698697448407206</v>
      </c>
    </row>
    <row r="281" spans="5:7" x14ac:dyDescent="0.25">
      <c r="E281" s="11">
        <f t="shared" si="25"/>
        <v>-31</v>
      </c>
      <c r="F281" s="11">
        <f t="shared" si="26"/>
        <v>-5.9000557626643149</v>
      </c>
      <c r="G281" s="11">
        <f t="shared" si="27"/>
        <v>-6.038595854083062</v>
      </c>
    </row>
    <row r="282" spans="5:7" x14ac:dyDescent="0.25">
      <c r="E282" s="11">
        <f t="shared" si="25"/>
        <v>-30</v>
      </c>
      <c r="F282" s="11">
        <f t="shared" si="26"/>
        <v>-5.6825408154974495</v>
      </c>
      <c r="G282" s="11">
        <f t="shared" si="27"/>
        <v>-5.8083128834009754</v>
      </c>
    </row>
    <row r="283" spans="5:7" x14ac:dyDescent="0.25">
      <c r="E283" s="11">
        <f t="shared" si="25"/>
        <v>-29</v>
      </c>
      <c r="F283" s="11">
        <f t="shared" si="26"/>
        <v>-5.4676966444479183</v>
      </c>
      <c r="G283" s="11">
        <f t="shared" si="27"/>
        <v>-5.5795007451298764</v>
      </c>
    </row>
    <row r="284" spans="5:7" x14ac:dyDescent="0.25">
      <c r="E284" s="11">
        <f t="shared" si="25"/>
        <v>-28</v>
      </c>
      <c r="F284" s="11">
        <f t="shared" si="26"/>
        <v>-5.2554732266961359</v>
      </c>
      <c r="G284" s="11">
        <f t="shared" si="27"/>
        <v>-5.3526393516051787</v>
      </c>
    </row>
    <row r="285" spans="5:7" x14ac:dyDescent="0.25">
      <c r="E285" s="11">
        <f t="shared" si="25"/>
        <v>-27</v>
      </c>
      <c r="F285" s="11">
        <f t="shared" si="26"/>
        <v>-5.0458137627885424</v>
      </c>
      <c r="G285" s="11">
        <f t="shared" si="27"/>
        <v>-5.1282086151622961</v>
      </c>
    </row>
    <row r="286" spans="5:7" x14ac:dyDescent="0.25">
      <c r="E286" s="11">
        <f t="shared" si="25"/>
        <v>-26</v>
      </c>
      <c r="F286" s="11">
        <f t="shared" si="26"/>
        <v>-4.8386548882254017</v>
      </c>
      <c r="G286" s="11">
        <f t="shared" si="27"/>
        <v>-4.9066884481366442</v>
      </c>
    </row>
    <row r="287" spans="5:7" x14ac:dyDescent="0.25">
      <c r="E287" s="11">
        <f t="shared" ref="E287:E350" si="28">E80</f>
        <v>-25</v>
      </c>
      <c r="F287" s="11">
        <f t="shared" ref="F287:F350" si="29">$H$217*0+E287*$I$217+E287^2*$J$217+E287^3*$K$217+E287^4*$L$217+E287^5*$M$217+E287^6*$N$217+E287^7*$O$217+E287^8*$P$217</f>
        <v>-4.633926890193659</v>
      </c>
      <c r="G287" s="11">
        <f t="shared" ref="G287:G350" si="30">F80</f>
        <v>-4.6885587628636349</v>
      </c>
    </row>
    <row r="288" spans="5:7" x14ac:dyDescent="0.25">
      <c r="E288" s="11">
        <f t="shared" si="28"/>
        <v>-24</v>
      </c>
      <c r="F288" s="11">
        <f t="shared" si="29"/>
        <v>-4.4315539291943047</v>
      </c>
      <c r="G288" s="11">
        <f t="shared" si="30"/>
        <v>-4.4741880498046553</v>
      </c>
    </row>
    <row r="289" spans="5:7" x14ac:dyDescent="0.25">
      <c r="E289" s="11">
        <f t="shared" si="28"/>
        <v>-23</v>
      </c>
      <c r="F289" s="11">
        <f t="shared" si="29"/>
        <v>-4.2314542653130696</v>
      </c>
      <c r="G289" s="11">
        <f t="shared" si="30"/>
        <v>-4.2634991119249595</v>
      </c>
    </row>
    <row r="290" spans="5:7" x14ac:dyDescent="0.25">
      <c r="E290" s="11">
        <f t="shared" si="28"/>
        <v>-22</v>
      </c>
      <c r="F290" s="11">
        <f t="shared" si="29"/>
        <v>-4.033540488882819</v>
      </c>
      <c r="G290" s="11">
        <f t="shared" si="30"/>
        <v>-4.0563033303157807</v>
      </c>
    </row>
    <row r="291" spans="5:7" x14ac:dyDescent="0.25">
      <c r="E291" s="11">
        <f t="shared" si="28"/>
        <v>-21</v>
      </c>
      <c r="F291" s="11">
        <f t="shared" si="29"/>
        <v>-3.8377197552854203</v>
      </c>
      <c r="G291" s="11">
        <f t="shared" si="30"/>
        <v>-3.8524120860683428</v>
      </c>
    </row>
    <row r="292" spans="5:7" x14ac:dyDescent="0.25">
      <c r="E292" s="11">
        <f t="shared" si="28"/>
        <v>-20</v>
      </c>
      <c r="F292" s="11">
        <f t="shared" si="29"/>
        <v>-3.6438940236402799</v>
      </c>
      <c r="G292" s="11">
        <f t="shared" si="30"/>
        <v>-3.6516367602738771</v>
      </c>
    </row>
    <row r="293" spans="5:7" x14ac:dyDescent="0.25">
      <c r="E293" s="11">
        <f t="shared" si="28"/>
        <v>-19</v>
      </c>
      <c r="F293" s="11">
        <f t="shared" si="29"/>
        <v>-3.4519602991262754</v>
      </c>
      <c r="G293" s="11">
        <f t="shared" si="30"/>
        <v>-3.4537887340236111</v>
      </c>
    </row>
    <row r="294" spans="5:7" x14ac:dyDescent="0.25">
      <c r="E294" s="11">
        <f t="shared" si="28"/>
        <v>-18</v>
      </c>
      <c r="F294" s="11">
        <f t="shared" si="29"/>
        <v>-3.2618108786831783</v>
      </c>
      <c r="G294" s="11">
        <f t="shared" si="30"/>
        <v>-3.2586793884087721</v>
      </c>
    </row>
    <row r="295" spans="5:7" x14ac:dyDescent="0.25">
      <c r="E295" s="11">
        <f t="shared" si="28"/>
        <v>-17</v>
      </c>
      <c r="F295" s="11">
        <f t="shared" si="29"/>
        <v>-3.0733335998381661</v>
      </c>
      <c r="G295" s="11">
        <f t="shared" si="30"/>
        <v>-3.0661201045205901</v>
      </c>
    </row>
    <row r="296" spans="5:7" x14ac:dyDescent="0.25">
      <c r="E296" s="11">
        <f t="shared" si="28"/>
        <v>-16</v>
      </c>
      <c r="F296" s="11">
        <f t="shared" si="29"/>
        <v>-2.8864120924024488</v>
      </c>
      <c r="G296" s="11">
        <f t="shared" si="30"/>
        <v>-2.8759222634502914</v>
      </c>
    </row>
    <row r="297" spans="5:7" x14ac:dyDescent="0.25">
      <c r="E297" s="11">
        <f t="shared" si="28"/>
        <v>-15</v>
      </c>
      <c r="F297" s="11">
        <f t="shared" si="29"/>
        <v>-2.700926032782498</v>
      </c>
      <c r="G297" s="11">
        <f t="shared" si="30"/>
        <v>-2.6878972462891051</v>
      </c>
    </row>
    <row r="298" spans="5:7" x14ac:dyDescent="0.25">
      <c r="E298" s="11">
        <f t="shared" si="28"/>
        <v>-14</v>
      </c>
      <c r="F298" s="11">
        <f t="shared" si="29"/>
        <v>-2.5167514006498086</v>
      </c>
      <c r="G298" s="11">
        <f t="shared" si="30"/>
        <v>-2.5018564341282592</v>
      </c>
    </row>
    <row r="299" spans="5:7" x14ac:dyDescent="0.25">
      <c r="E299" s="11">
        <f t="shared" si="28"/>
        <v>-13</v>
      </c>
      <c r="F299" s="11">
        <f t="shared" si="29"/>
        <v>-2.3337607377125749</v>
      </c>
      <c r="G299" s="11">
        <f t="shared" si="30"/>
        <v>-2.3176112080589828</v>
      </c>
    </row>
    <row r="300" spans="5:7" x14ac:dyDescent="0.25">
      <c r="E300" s="11">
        <f t="shared" si="28"/>
        <v>-12</v>
      </c>
      <c r="F300" s="11">
        <f t="shared" si="29"/>
        <v>-2.1518234083321301</v>
      </c>
      <c r="G300" s="11">
        <f t="shared" si="30"/>
        <v>-2.1349729491725036</v>
      </c>
    </row>
    <row r="301" spans="5:7" x14ac:dyDescent="0.25">
      <c r="E301" s="11">
        <f t="shared" si="28"/>
        <v>-11</v>
      </c>
      <c r="F301" s="11">
        <f t="shared" si="29"/>
        <v>-1.970805861726413</v>
      </c>
      <c r="G301" s="11">
        <f t="shared" si="30"/>
        <v>-1.953753038560049</v>
      </c>
    </row>
    <row r="302" spans="5:7" x14ac:dyDescent="0.25">
      <c r="E302" s="11">
        <f t="shared" si="28"/>
        <v>-10</v>
      </c>
      <c r="F302" s="11">
        <f t="shared" si="29"/>
        <v>-1.7905718955022278</v>
      </c>
      <c r="G302" s="11">
        <f t="shared" si="30"/>
        <v>-1.7737628573128481</v>
      </c>
    </row>
    <row r="303" spans="5:7" x14ac:dyDescent="0.25">
      <c r="E303" s="11">
        <f t="shared" si="28"/>
        <v>-9</v>
      </c>
      <c r="F303" s="11">
        <f t="shared" si="29"/>
        <v>-1.6109829202574544</v>
      </c>
      <c r="G303" s="11">
        <f t="shared" si="30"/>
        <v>-1.5948137865221292</v>
      </c>
    </row>
    <row r="304" spans="5:7" x14ac:dyDescent="0.25">
      <c r="E304" s="11">
        <f t="shared" si="28"/>
        <v>-8</v>
      </c>
      <c r="F304" s="11">
        <f t="shared" si="29"/>
        <v>-1.4318982249938748</v>
      </c>
      <c r="G304" s="11">
        <f t="shared" si="30"/>
        <v>-1.4167172072791205</v>
      </c>
    </row>
    <row r="305" spans="5:7" x14ac:dyDescent="0.25">
      <c r="E305" s="11">
        <f t="shared" si="28"/>
        <v>-7</v>
      </c>
      <c r="F305" s="11">
        <f t="shared" si="29"/>
        <v>-1.2531752430806853</v>
      </c>
      <c r="G305" s="11">
        <f t="shared" si="30"/>
        <v>-1.2392845006750501</v>
      </c>
    </row>
    <row r="306" spans="5:7" x14ac:dyDescent="0.25">
      <c r="E306" s="11">
        <f t="shared" si="28"/>
        <v>-6</v>
      </c>
      <c r="F306" s="11">
        <f t="shared" si="29"/>
        <v>-1.0746698185082502</v>
      </c>
      <c r="G306" s="11">
        <f t="shared" si="30"/>
        <v>-1.0623270478011462</v>
      </c>
    </row>
    <row r="307" spans="5:7" x14ac:dyDescent="0.25">
      <c r="E307" s="11">
        <f t="shared" si="28"/>
        <v>-5</v>
      </c>
      <c r="F307" s="11">
        <f t="shared" si="29"/>
        <v>-0.89623647217107771</v>
      </c>
      <c r="G307" s="11">
        <f t="shared" si="30"/>
        <v>-0.88565622974863667</v>
      </c>
    </row>
    <row r="308" spans="5:7" x14ac:dyDescent="0.25">
      <c r="E308" s="11">
        <f t="shared" si="28"/>
        <v>-4</v>
      </c>
      <c r="F308" s="11">
        <f t="shared" si="29"/>
        <v>-0.71772866791846723</v>
      </c>
      <c r="G308" s="11">
        <f t="shared" si="30"/>
        <v>-0.70908342760875043</v>
      </c>
    </row>
    <row r="309" spans="5:7" x14ac:dyDescent="0.25">
      <c r="E309" s="11">
        <f t="shared" si="28"/>
        <v>-3</v>
      </c>
      <c r="F309" s="11">
        <f t="shared" si="29"/>
        <v>-0.53899907811071257</v>
      </c>
      <c r="G309" s="11">
        <f t="shared" si="30"/>
        <v>-0.53242002247271536</v>
      </c>
    </row>
    <row r="310" spans="5:7" x14ac:dyDescent="0.25">
      <c r="E310" s="11">
        <f t="shared" si="28"/>
        <v>-2</v>
      </c>
      <c r="F310" s="11">
        <f t="shared" si="29"/>
        <v>-0.35989984841821859</v>
      </c>
      <c r="G310" s="11">
        <f t="shared" si="30"/>
        <v>-0.35547739543175982</v>
      </c>
    </row>
    <row r="311" spans="5:7" x14ac:dyDescent="0.25">
      <c r="E311" s="11">
        <f t="shared" si="28"/>
        <v>-1</v>
      </c>
      <c r="F311" s="11">
        <f t="shared" si="29"/>
        <v>-0.18028286160031196</v>
      </c>
      <c r="G311" s="11">
        <f t="shared" si="30"/>
        <v>-0.17806692757711193</v>
      </c>
    </row>
    <row r="312" spans="5:7" x14ac:dyDescent="0.25">
      <c r="E312" s="11">
        <f t="shared" si="28"/>
        <v>0</v>
      </c>
      <c r="F312" s="11">
        <f t="shared" si="29"/>
        <v>0</v>
      </c>
      <c r="G312" s="11">
        <f t="shared" si="30"/>
        <v>0</v>
      </c>
    </row>
    <row r="313" spans="5:7" x14ac:dyDescent="0.25">
      <c r="E313" s="11">
        <f t="shared" si="28"/>
        <v>1</v>
      </c>
      <c r="F313" s="11">
        <f t="shared" si="29"/>
        <v>0.1810965935096279</v>
      </c>
      <c r="G313" s="11">
        <f t="shared" si="30"/>
        <v>0.17890270867155644</v>
      </c>
    </row>
    <row r="314" spans="5:7" x14ac:dyDescent="0.25">
      <c r="E314" s="11">
        <f t="shared" si="28"/>
        <v>2</v>
      </c>
      <c r="F314" s="11">
        <f t="shared" si="29"/>
        <v>0.36315425639221027</v>
      </c>
      <c r="G314" s="11">
        <f t="shared" si="30"/>
        <v>0.35878332966237259</v>
      </c>
    </row>
    <row r="315" spans="5:7" x14ac:dyDescent="0.25">
      <c r="E315" s="11">
        <f t="shared" si="28"/>
        <v>3</v>
      </c>
      <c r="F315" s="11">
        <f t="shared" si="29"/>
        <v>0.54631954939353577</v>
      </c>
      <c r="G315" s="11">
        <f t="shared" si="30"/>
        <v>0.53977469666047218</v>
      </c>
    </row>
    <row r="316" spans="5:7" x14ac:dyDescent="0.25">
      <c r="E316" s="11">
        <f t="shared" si="28"/>
        <v>4</v>
      </c>
      <c r="F316" s="11">
        <f t="shared" si="29"/>
        <v>0.73073800183152759</v>
      </c>
      <c r="G316" s="11">
        <f t="shared" si="30"/>
        <v>0.72200964335387929</v>
      </c>
    </row>
    <row r="317" spans="5:7" x14ac:dyDescent="0.25">
      <c r="E317" s="11">
        <f t="shared" si="28"/>
        <v>5</v>
      </c>
      <c r="F317" s="11">
        <f t="shared" si="29"/>
        <v>0.91655385949729384</v>
      </c>
      <c r="G317" s="11">
        <f t="shared" si="30"/>
        <v>0.9056210034306178</v>
      </c>
    </row>
    <row r="318" spans="5:7" x14ac:dyDescent="0.25">
      <c r="E318" s="11">
        <f t="shared" si="28"/>
        <v>6</v>
      </c>
      <c r="F318" s="11">
        <f t="shared" si="29"/>
        <v>1.1039098354342896</v>
      </c>
      <c r="G318" s="11">
        <f t="shared" si="30"/>
        <v>1.0907416105787113</v>
      </c>
    </row>
    <row r="319" spans="5:7" x14ac:dyDescent="0.25">
      <c r="E319" s="11">
        <f t="shared" si="28"/>
        <v>7</v>
      </c>
      <c r="F319" s="11">
        <f t="shared" si="29"/>
        <v>1.2929468638631889</v>
      </c>
      <c r="G319" s="11">
        <f t="shared" si="30"/>
        <v>1.277504298486184</v>
      </c>
    </row>
    <row r="320" spans="5:7" x14ac:dyDescent="0.25">
      <c r="E320" s="11">
        <f t="shared" si="28"/>
        <v>8</v>
      </c>
      <c r="F320" s="11">
        <f t="shared" si="29"/>
        <v>1.4838038575206205</v>
      </c>
      <c r="G320" s="11">
        <f t="shared" si="30"/>
        <v>1.4660419008410595</v>
      </c>
    </row>
    <row r="321" spans="5:7" x14ac:dyDescent="0.25">
      <c r="E321" s="11">
        <f t="shared" si="28"/>
        <v>9</v>
      </c>
      <c r="F321" s="11">
        <f t="shared" si="29"/>
        <v>1.6766174686804549</v>
      </c>
      <c r="G321" s="11">
        <f t="shared" si="30"/>
        <v>1.6564872513313618</v>
      </c>
    </row>
    <row r="322" spans="5:7" x14ac:dyDescent="0.25">
      <c r="E322" s="11">
        <f t="shared" si="28"/>
        <v>10</v>
      </c>
      <c r="F322" s="11">
        <f t="shared" si="29"/>
        <v>1.8715218541268976</v>
      </c>
      <c r="G322" s="11">
        <f t="shared" si="30"/>
        <v>1.8489731836451149</v>
      </c>
    </row>
    <row r="323" spans="5:7" x14ac:dyDescent="0.25">
      <c r="E323" s="11">
        <f t="shared" si="28"/>
        <v>11</v>
      </c>
      <c r="F323" s="11">
        <f t="shared" si="29"/>
        <v>2.0686484443491775</v>
      </c>
      <c r="G323" s="11">
        <f t="shared" si="30"/>
        <v>2.0436325314703421</v>
      </c>
    </row>
    <row r="324" spans="5:7" x14ac:dyDescent="0.25">
      <c r="E324" s="11">
        <f t="shared" si="28"/>
        <v>12</v>
      </c>
      <c r="F324" s="11">
        <f t="shared" si="29"/>
        <v>2.2681257172281759</v>
      </c>
      <c r="G324" s="11">
        <f t="shared" si="30"/>
        <v>2.2405981284950678</v>
      </c>
    </row>
    <row r="325" spans="5:7" x14ac:dyDescent="0.25">
      <c r="E325" s="11">
        <f t="shared" si="28"/>
        <v>13</v>
      </c>
      <c r="F325" s="11">
        <f t="shared" si="29"/>
        <v>2.4700789764858979</v>
      </c>
      <c r="G325" s="11">
        <f t="shared" si="30"/>
        <v>2.4400028084073164</v>
      </c>
    </row>
    <row r="326" spans="5:7" x14ac:dyDescent="0.25">
      <c r="E326" s="11">
        <f t="shared" si="28"/>
        <v>14</v>
      </c>
      <c r="F326" s="11">
        <f t="shared" si="29"/>
        <v>2.6746301351692079</v>
      </c>
      <c r="G326" s="11">
        <f t="shared" si="30"/>
        <v>2.6419794048951104</v>
      </c>
    </row>
    <row r="327" spans="5:7" x14ac:dyDescent="0.25">
      <c r="E327" s="11">
        <f t="shared" si="28"/>
        <v>15</v>
      </c>
      <c r="F327" s="11">
        <f t="shared" si="29"/>
        <v>2.8818975044398525</v>
      </c>
      <c r="G327" s="11">
        <f t="shared" si="30"/>
        <v>2.8466607516464748</v>
      </c>
    </row>
    <row r="328" spans="5:7" x14ac:dyDescent="0.25">
      <c r="E328" s="11">
        <f t="shared" si="28"/>
        <v>16</v>
      </c>
      <c r="F328" s="11">
        <f t="shared" si="29"/>
        <v>3.0919955879432828</v>
      </c>
      <c r="G328" s="11">
        <f t="shared" si="30"/>
        <v>3.0541796823494329</v>
      </c>
    </row>
    <row r="329" spans="5:7" x14ac:dyDescent="0.25">
      <c r="E329" s="11">
        <f t="shared" si="28"/>
        <v>17</v>
      </c>
      <c r="F329" s="11">
        <f t="shared" si="29"/>
        <v>3.3050348820293762</v>
      </c>
      <c r="G329" s="11">
        <f t="shared" si="30"/>
        <v>3.2646690306920085</v>
      </c>
    </row>
    <row r="330" spans="5:7" x14ac:dyDescent="0.25">
      <c r="E330" s="11">
        <f t="shared" si="28"/>
        <v>18</v>
      </c>
      <c r="F330" s="11">
        <f t="shared" si="29"/>
        <v>3.5211216820987064</v>
      </c>
      <c r="G330" s="11">
        <f t="shared" si="30"/>
        <v>3.4782616303622267</v>
      </c>
    </row>
    <row r="331" spans="5:7" x14ac:dyDescent="0.25">
      <c r="E331" s="11">
        <f t="shared" si="28"/>
        <v>19</v>
      </c>
      <c r="F331" s="11">
        <f t="shared" si="29"/>
        <v>3.7403578953485415</v>
      </c>
      <c r="G331" s="11">
        <f t="shared" si="30"/>
        <v>3.6950903150481094</v>
      </c>
    </row>
    <row r="332" spans="5:7" x14ac:dyDescent="0.25">
      <c r="E332" s="11">
        <f t="shared" si="28"/>
        <v>20</v>
      </c>
      <c r="F332" s="11">
        <f t="shared" si="29"/>
        <v>3.962840860193301</v>
      </c>
      <c r="G332" s="11">
        <f t="shared" si="30"/>
        <v>3.9152879184376821</v>
      </c>
    </row>
    <row r="333" spans="5:7" x14ac:dyDescent="0.25">
      <c r="E333" s="11">
        <f t="shared" si="28"/>
        <v>21</v>
      </c>
      <c r="F333" s="11">
        <f t="shared" si="29"/>
        <v>4.1886631726347749</v>
      </c>
      <c r="G333" s="11">
        <f t="shared" si="30"/>
        <v>4.1389872742189677</v>
      </c>
    </row>
    <row r="334" spans="5:7" x14ac:dyDescent="0.25">
      <c r="E334" s="11">
        <f t="shared" si="28"/>
        <v>22</v>
      </c>
      <c r="F334" s="11">
        <f t="shared" si="29"/>
        <v>4.4179125198579259</v>
      </c>
      <c r="G334" s="11">
        <f t="shared" si="30"/>
        <v>4.3663212160799896</v>
      </c>
    </row>
    <row r="335" spans="5:7" x14ac:dyDescent="0.25">
      <c r="E335" s="11">
        <f t="shared" si="28"/>
        <v>23</v>
      </c>
      <c r="F335" s="11">
        <f t="shared" si="29"/>
        <v>4.6506715213286727</v>
      </c>
      <c r="G335" s="11">
        <f t="shared" si="30"/>
        <v>4.597422577708774</v>
      </c>
    </row>
    <row r="336" spans="5:7" x14ac:dyDescent="0.25">
      <c r="E336" s="11">
        <f t="shared" si="28"/>
        <v>24</v>
      </c>
      <c r="F336" s="11">
        <f t="shared" si="29"/>
        <v>4.8870175776705729</v>
      </c>
      <c r="G336" s="11">
        <f t="shared" si="30"/>
        <v>4.8324241927933418</v>
      </c>
    </row>
    <row r="337" spans="5:7" x14ac:dyDescent="0.25">
      <c r="E337" s="11">
        <f t="shared" si="28"/>
        <v>25</v>
      </c>
      <c r="F337" s="11">
        <f t="shared" si="29"/>
        <v>5.1270227275979101</v>
      </c>
      <c r="G337" s="11">
        <f t="shared" si="30"/>
        <v>5.0714588950217188</v>
      </c>
    </row>
    <row r="338" spans="5:7" x14ac:dyDescent="0.25">
      <c r="E338" s="11">
        <f t="shared" si="28"/>
        <v>26</v>
      </c>
      <c r="F338" s="11">
        <f t="shared" si="29"/>
        <v>5.3707535131831987</v>
      </c>
      <c r="G338" s="11">
        <f t="shared" si="30"/>
        <v>5.3146595180819292</v>
      </c>
    </row>
    <row r="339" spans="5:7" x14ac:dyDescent="0.25">
      <c r="E339" s="11">
        <f t="shared" si="28"/>
        <v>27</v>
      </c>
      <c r="F339" s="11">
        <f t="shared" si="29"/>
        <v>5.6182708537376929</v>
      </c>
      <c r="G339" s="11">
        <f t="shared" si="30"/>
        <v>5.5621588956619954</v>
      </c>
    </row>
    <row r="340" spans="5:7" x14ac:dyDescent="0.25">
      <c r="E340" s="11">
        <f t="shared" si="28"/>
        <v>28</v>
      </c>
      <c r="F340" s="11">
        <f t="shared" si="29"/>
        <v>5.8696299285840361</v>
      </c>
      <c r="G340" s="11">
        <f t="shared" si="30"/>
        <v>5.8140898614499417</v>
      </c>
    </row>
    <row r="341" spans="5:7" x14ac:dyDescent="0.25">
      <c r="E341" s="11">
        <f t="shared" si="28"/>
        <v>29</v>
      </c>
      <c r="F341" s="11">
        <f t="shared" si="29"/>
        <v>6.1248800690007412</v>
      </c>
      <c r="G341" s="11">
        <f t="shared" si="30"/>
        <v>6.0705852491337922</v>
      </c>
    </row>
    <row r="342" spans="5:7" x14ac:dyDescent="0.25">
      <c r="E342" s="11">
        <f t="shared" si="28"/>
        <v>30</v>
      </c>
      <c r="F342" s="11">
        <f t="shared" si="29"/>
        <v>6.3840646596186952</v>
      </c>
      <c r="G342" s="11">
        <f t="shared" si="30"/>
        <v>6.3317778924015711</v>
      </c>
    </row>
    <row r="343" spans="5:7" x14ac:dyDescent="0.25">
      <c r="E343" s="11">
        <f t="shared" si="28"/>
        <v>31</v>
      </c>
      <c r="F343" s="11">
        <f t="shared" si="29"/>
        <v>6.6472210495505051</v>
      </c>
      <c r="G343" s="11">
        <f t="shared" si="30"/>
        <v>6.5977626616588001</v>
      </c>
    </row>
    <row r="344" spans="5:7" x14ac:dyDescent="0.25">
      <c r="E344" s="11">
        <f t="shared" si="28"/>
        <v>32</v>
      </c>
      <c r="F344" s="11">
        <f t="shared" si="29"/>
        <v>6.9143804735339902</v>
      </c>
      <c r="G344" s="11">
        <f t="shared" si="30"/>
        <v>6.8684825741810069</v>
      </c>
    </row>
    <row r="345" spans="5:7" x14ac:dyDescent="0.25">
      <c r="E345" s="11">
        <f t="shared" si="28"/>
        <v>33</v>
      </c>
      <c r="F345" s="11">
        <f t="shared" si="29"/>
        <v>7.1855679833717172</v>
      </c>
      <c r="G345" s="11">
        <f t="shared" si="30"/>
        <v>7.1438426839612124</v>
      </c>
    </row>
    <row r="346" spans="5:7" x14ac:dyDescent="0.25">
      <c r="E346" s="11">
        <f t="shared" si="28"/>
        <v>34</v>
      </c>
      <c r="F346" s="11">
        <f t="shared" si="29"/>
        <v>7.4608023899489666</v>
      </c>
      <c r="G346" s="11">
        <f t="shared" si="30"/>
        <v>7.4237480449924407</v>
      </c>
    </row>
    <row r="347" spans="5:7" x14ac:dyDescent="0.25">
      <c r="E347" s="11">
        <f t="shared" si="28"/>
        <v>35</v>
      </c>
      <c r="F347" s="11">
        <f t="shared" si="29"/>
        <v>7.7400962161131597</v>
      </c>
      <c r="G347" s="11">
        <f t="shared" si="30"/>
        <v>7.7081037112677162</v>
      </c>
    </row>
    <row r="348" spans="5:7" x14ac:dyDescent="0.25">
      <c r="E348" s="11">
        <f t="shared" si="28"/>
        <v>36</v>
      </c>
      <c r="F348" s="11">
        <f t="shared" si="29"/>
        <v>8.0234556606982164</v>
      </c>
      <c r="G348" s="11">
        <f t="shared" si="30"/>
        <v>7.9968147367800615</v>
      </c>
    </row>
    <row r="349" spans="5:7" x14ac:dyDescent="0.25">
      <c r="E349" s="11">
        <f t="shared" si="28"/>
        <v>37</v>
      </c>
      <c r="F349" s="11">
        <f t="shared" si="29"/>
        <v>8.310880573977963</v>
      </c>
      <c r="G349" s="11">
        <f t="shared" si="30"/>
        <v>8.2897861755225009</v>
      </c>
    </row>
    <row r="350" spans="5:7" x14ac:dyDescent="0.25">
      <c r="E350" s="11">
        <f t="shared" si="28"/>
        <v>38</v>
      </c>
      <c r="F350" s="11">
        <f t="shared" si="29"/>
        <v>8.6023644448331726</v>
      </c>
      <c r="G350" s="11">
        <f t="shared" si="30"/>
        <v>8.5869230814880595</v>
      </c>
    </row>
    <row r="351" spans="5:7" x14ac:dyDescent="0.25">
      <c r="E351" s="11">
        <f t="shared" ref="E351:E414" si="31">E144</f>
        <v>39</v>
      </c>
      <c r="F351" s="11">
        <f t="shared" ref="F351:F414" si="32">$H$217*0+E351*$I$217+E351^2*$J$217+E351^3*$K$217+E351^4*$L$217+E351^5*$M$217+E351^6*$N$217+E351^7*$O$217+E351^8*$P$217</f>
        <v>8.8978943999174334</v>
      </c>
      <c r="G351" s="11">
        <f t="shared" ref="G351:G414" si="33">F144</f>
        <v>8.8881305086697591</v>
      </c>
    </row>
    <row r="352" spans="5:7" x14ac:dyDescent="0.25">
      <c r="E352" s="11">
        <f t="shared" si="31"/>
        <v>40</v>
      </c>
      <c r="F352" s="11">
        <f t="shared" si="32"/>
        <v>9.1974512151075807</v>
      </c>
      <c r="G352" s="11">
        <f t="shared" si="33"/>
        <v>9.193313511060623</v>
      </c>
    </row>
    <row r="353" spans="5:7" x14ac:dyDescent="0.25">
      <c r="E353" s="11">
        <f t="shared" si="31"/>
        <v>41</v>
      </c>
      <c r="F353" s="11">
        <f t="shared" si="32"/>
        <v>9.5010093395249235</v>
      </c>
      <c r="G353" s="11">
        <f t="shared" si="33"/>
        <v>9.5023771426536783</v>
      </c>
    </row>
    <row r="354" spans="5:7" x14ac:dyDescent="0.25">
      <c r="E354" s="11">
        <f t="shared" si="31"/>
        <v>42</v>
      </c>
      <c r="F354" s="11">
        <f t="shared" si="32"/>
        <v>9.8085369324140874</v>
      </c>
      <c r="G354" s="11">
        <f t="shared" si="33"/>
        <v>9.8152264574419448</v>
      </c>
    </row>
    <row r="355" spans="5:7" x14ac:dyDescent="0.25">
      <c r="E355" s="11">
        <f t="shared" si="31"/>
        <v>43</v>
      </c>
      <c r="F355" s="11">
        <f t="shared" si="32"/>
        <v>10.119995913166917</v>
      </c>
      <c r="G355" s="11">
        <f t="shared" si="33"/>
        <v>10.131766509418446</v>
      </c>
    </row>
    <row r="356" spans="5:7" x14ac:dyDescent="0.25">
      <c r="E356" s="11">
        <f t="shared" si="31"/>
        <v>44</v>
      </c>
      <c r="F356" s="11">
        <f t="shared" si="32"/>
        <v>10.435342024779233</v>
      </c>
      <c r="G356" s="11">
        <f t="shared" si="33"/>
        <v>10.451902352576209</v>
      </c>
    </row>
    <row r="357" spans="5:7" x14ac:dyDescent="0.25">
      <c r="E357" s="11">
        <f t="shared" si="31"/>
        <v>45</v>
      </c>
      <c r="F357" s="11">
        <f t="shared" si="32"/>
        <v>10.754524911029023</v>
      </c>
      <c r="G357" s="11">
        <f t="shared" si="33"/>
        <v>10.775539040908255</v>
      </c>
    </row>
    <row r="358" spans="5:7" x14ac:dyDescent="0.25">
      <c r="E358" s="11">
        <f t="shared" si="31"/>
        <v>46</v>
      </c>
      <c r="F358" s="11">
        <f t="shared" si="32"/>
        <v>11.077488207665011</v>
      </c>
      <c r="G358" s="11">
        <f t="shared" si="33"/>
        <v>11.102581628407609</v>
      </c>
    </row>
    <row r="359" spans="5:7" x14ac:dyDescent="0.25">
      <c r="E359" s="11">
        <f t="shared" si="31"/>
        <v>47</v>
      </c>
      <c r="F359" s="11">
        <f t="shared" si="32"/>
        <v>11.404169647895189</v>
      </c>
      <c r="G359" s="11">
        <f t="shared" si="33"/>
        <v>11.432935169067294</v>
      </c>
    </row>
    <row r="360" spans="5:7" x14ac:dyDescent="0.25">
      <c r="E360" s="11">
        <f t="shared" si="31"/>
        <v>48</v>
      </c>
      <c r="F360" s="11">
        <f t="shared" si="32"/>
        <v>11.734501182465461</v>
      </c>
      <c r="G360" s="11">
        <f t="shared" si="33"/>
        <v>11.766504716880334</v>
      </c>
    </row>
    <row r="361" spans="5:7" x14ac:dyDescent="0.25">
      <c r="E361" s="11">
        <f t="shared" si="31"/>
        <v>49</v>
      </c>
      <c r="F361" s="11">
        <f t="shared" si="32"/>
        <v>12.068409114618996</v>
      </c>
      <c r="G361" s="11">
        <f t="shared" si="33"/>
        <v>12.103195325839753</v>
      </c>
    </row>
    <row r="362" spans="5:7" x14ac:dyDescent="0.25">
      <c r="E362" s="11">
        <f t="shared" si="31"/>
        <v>50</v>
      </c>
      <c r="F362" s="11">
        <f t="shared" si="32"/>
        <v>12.405814250227568</v>
      </c>
      <c r="G362" s="11">
        <f t="shared" si="33"/>
        <v>12.442912049938574</v>
      </c>
    </row>
    <row r="363" spans="5:7" x14ac:dyDescent="0.25">
      <c r="E363" s="11">
        <f t="shared" si="31"/>
        <v>51</v>
      </c>
      <c r="F363" s="11">
        <f t="shared" si="32"/>
        <v>12.746632063386592</v>
      </c>
      <c r="G363" s="11">
        <f t="shared" si="33"/>
        <v>12.785559943169822</v>
      </c>
    </row>
    <row r="364" spans="5:7" x14ac:dyDescent="0.25">
      <c r="E364" s="11">
        <f t="shared" si="31"/>
        <v>52</v>
      </c>
      <c r="F364" s="11">
        <f t="shared" si="32"/>
        <v>13.090772877766197</v>
      </c>
      <c r="G364" s="11">
        <f t="shared" si="33"/>
        <v>13.131044059526518</v>
      </c>
    </row>
    <row r="365" spans="5:7" x14ac:dyDescent="0.25">
      <c r="E365" s="11">
        <f t="shared" si="31"/>
        <v>53</v>
      </c>
      <c r="F365" s="11">
        <f t="shared" si="32"/>
        <v>13.438142064011213</v>
      </c>
      <c r="G365" s="11">
        <f t="shared" si="33"/>
        <v>13.479269453001688</v>
      </c>
    </row>
    <row r="366" spans="5:7" x14ac:dyDescent="0.25">
      <c r="E366" s="11">
        <f t="shared" si="31"/>
        <v>54</v>
      </c>
      <c r="F366" s="11">
        <f t="shared" si="32"/>
        <v>13.788640253483418</v>
      </c>
      <c r="G366" s="11">
        <f t="shared" si="33"/>
        <v>13.830141177588356</v>
      </c>
    </row>
    <row r="367" spans="5:7" x14ac:dyDescent="0.25">
      <c r="E367" s="11">
        <f t="shared" si="31"/>
        <v>55</v>
      </c>
      <c r="F367" s="11">
        <f t="shared" si="32"/>
        <v>14.14216356864006</v>
      </c>
      <c r="G367" s="11">
        <f t="shared" si="33"/>
        <v>14.183564287279543</v>
      </c>
    </row>
    <row r="368" spans="5:7" x14ac:dyDescent="0.25">
      <c r="E368" s="11">
        <f t="shared" si="31"/>
        <v>56</v>
      </c>
      <c r="F368" s="11">
        <f t="shared" si="32"/>
        <v>14.498603870343162</v>
      </c>
      <c r="G368" s="11">
        <f t="shared" si="33"/>
        <v>14.539443836068276</v>
      </c>
    </row>
    <row r="369" spans="5:7" x14ac:dyDescent="0.25">
      <c r="E369" s="11">
        <f t="shared" si="31"/>
        <v>57</v>
      </c>
      <c r="F369" s="11">
        <f t="shared" si="32"/>
        <v>14.85784902239463</v>
      </c>
      <c r="G369" s="11">
        <f t="shared" si="33"/>
        <v>14.897684877947576</v>
      </c>
    </row>
    <row r="370" spans="5:7" x14ac:dyDescent="0.25">
      <c r="E370" s="11">
        <f t="shared" si="31"/>
        <v>58</v>
      </c>
      <c r="F370" s="11">
        <f t="shared" si="32"/>
        <v>15.219783173592775</v>
      </c>
      <c r="G370" s="11">
        <f t="shared" si="33"/>
        <v>15.25819246691047</v>
      </c>
    </row>
    <row r="371" spans="5:7" x14ac:dyDescent="0.25">
      <c r="E371" s="11">
        <f t="shared" si="31"/>
        <v>59</v>
      </c>
      <c r="F371" s="11">
        <f t="shared" si="32"/>
        <v>15.584287057606467</v>
      </c>
      <c r="G371" s="11">
        <f t="shared" si="33"/>
        <v>15.620871656949978</v>
      </c>
    </row>
    <row r="372" spans="5:7" x14ac:dyDescent="0.25">
      <c r="E372" s="11">
        <f t="shared" si="31"/>
        <v>60</v>
      </c>
      <c r="F372" s="11">
        <f t="shared" si="32"/>
        <v>15.951238310963504</v>
      </c>
      <c r="G372" s="11">
        <f t="shared" si="33"/>
        <v>15.985627502059126</v>
      </c>
    </row>
    <row r="373" spans="5:7" x14ac:dyDescent="0.25">
      <c r="E373" s="11">
        <f t="shared" si="31"/>
        <v>61</v>
      </c>
      <c r="F373" s="11">
        <f t="shared" si="32"/>
        <v>16.320511809450611</v>
      </c>
      <c r="G373" s="11">
        <f t="shared" si="33"/>
        <v>16.352365056230937</v>
      </c>
    </row>
    <row r="374" spans="5:7" x14ac:dyDescent="0.25">
      <c r="E374" s="11">
        <f t="shared" si="31"/>
        <v>62</v>
      </c>
      <c r="F374" s="11">
        <f t="shared" si="32"/>
        <v>16.691980023222694</v>
      </c>
      <c r="G374" s="11">
        <f t="shared" si="33"/>
        <v>16.720989373458433</v>
      </c>
    </row>
    <row r="375" spans="5:7" x14ac:dyDescent="0.25">
      <c r="E375" s="11">
        <f t="shared" si="31"/>
        <v>63</v>
      </c>
      <c r="F375" s="11">
        <f t="shared" si="32"/>
        <v>17.065513390919836</v>
      </c>
      <c r="G375" s="11">
        <f t="shared" si="33"/>
        <v>17.091405507734642</v>
      </c>
    </row>
    <row r="376" spans="5:7" x14ac:dyDescent="0.25">
      <c r="E376" s="11">
        <f t="shared" si="31"/>
        <v>64</v>
      </c>
      <c r="F376" s="11">
        <f t="shared" si="32"/>
        <v>17.440980713090894</v>
      </c>
      <c r="G376" s="11">
        <f t="shared" si="33"/>
        <v>17.463518513052584</v>
      </c>
    </row>
    <row r="377" spans="5:7" x14ac:dyDescent="0.25">
      <c r="E377" s="11">
        <f t="shared" si="31"/>
        <v>65</v>
      </c>
      <c r="F377" s="11">
        <f t="shared" si="32"/>
        <v>17.81824956522313</v>
      </c>
      <c r="G377" s="11">
        <f t="shared" si="33"/>
        <v>17.837233443405285</v>
      </c>
    </row>
    <row r="378" spans="5:7" x14ac:dyDescent="0.25">
      <c r="E378" s="11">
        <f t="shared" si="31"/>
        <v>66</v>
      </c>
      <c r="F378" s="11">
        <f t="shared" si="32"/>
        <v>18.197186730677863</v>
      </c>
      <c r="G378" s="11">
        <f t="shared" si="33"/>
        <v>18.212455352785764</v>
      </c>
    </row>
    <row r="379" spans="5:7" x14ac:dyDescent="0.25">
      <c r="E379" s="11">
        <f t="shared" si="31"/>
        <v>67</v>
      </c>
      <c r="F379" s="11">
        <f t="shared" si="32"/>
        <v>18.577658653832767</v>
      </c>
      <c r="G379" s="11">
        <f t="shared" si="33"/>
        <v>18.589089295187051</v>
      </c>
    </row>
    <row r="380" spans="5:7" x14ac:dyDescent="0.25">
      <c r="E380" s="11">
        <f t="shared" si="31"/>
        <v>68</v>
      </c>
      <c r="F380" s="11">
        <f t="shared" si="32"/>
        <v>18.959531913731791</v>
      </c>
      <c r="G380" s="11">
        <f t="shared" si="33"/>
        <v>18.967040324602166</v>
      </c>
    </row>
    <row r="381" spans="5:7" x14ac:dyDescent="0.25">
      <c r="E381" s="11">
        <f t="shared" si="31"/>
        <v>69</v>
      </c>
      <c r="F381" s="11">
        <f t="shared" si="32"/>
        <v>19.342673718544493</v>
      </c>
      <c r="G381" s="11">
        <f t="shared" si="33"/>
        <v>19.346213495024138</v>
      </c>
    </row>
    <row r="382" spans="5:7" x14ac:dyDescent="0.25">
      <c r="E382" s="11">
        <f t="shared" si="31"/>
        <v>70</v>
      </c>
      <c r="F382" s="11">
        <f t="shared" si="32"/>
        <v>19.726952421136847</v>
      </c>
      <c r="G382" s="11">
        <f t="shared" si="33"/>
        <v>19.72651386044598</v>
      </c>
    </row>
    <row r="383" spans="5:7" x14ac:dyDescent="0.25">
      <c r="E383" s="11">
        <f t="shared" si="31"/>
        <v>71</v>
      </c>
      <c r="F383" s="11">
        <f t="shared" si="32"/>
        <v>20.112238056056356</v>
      </c>
      <c r="G383" s="11">
        <f t="shared" si="33"/>
        <v>20.107846474860725</v>
      </c>
    </row>
    <row r="384" spans="5:7" x14ac:dyDescent="0.25">
      <c r="E384" s="11">
        <f t="shared" si="31"/>
        <v>72</v>
      </c>
      <c r="F384" s="11">
        <f t="shared" si="32"/>
        <v>20.498402898234737</v>
      </c>
      <c r="G384" s="11">
        <f t="shared" si="33"/>
        <v>20.490116392261395</v>
      </c>
    </row>
    <row r="385" spans="5:7" x14ac:dyDescent="0.25">
      <c r="E385" s="11">
        <f t="shared" si="31"/>
        <v>73</v>
      </c>
      <c r="F385" s="11">
        <f t="shared" si="32"/>
        <v>20.885322043712002</v>
      </c>
      <c r="G385" s="11">
        <f t="shared" si="33"/>
        <v>20.873228666641012</v>
      </c>
    </row>
    <row r="386" spans="5:7" x14ac:dyDescent="0.25">
      <c r="E386" s="11">
        <f t="shared" si="31"/>
        <v>74</v>
      </c>
      <c r="F386" s="11">
        <f t="shared" si="32"/>
        <v>21.272874012686355</v>
      </c>
      <c r="G386" s="11">
        <f t="shared" si="33"/>
        <v>21.2570883519926</v>
      </c>
    </row>
    <row r="387" spans="5:7" x14ac:dyDescent="0.25">
      <c r="E387" s="11">
        <f t="shared" si="31"/>
        <v>75</v>
      </c>
      <c r="F387" s="11">
        <f t="shared" si="32"/>
        <v>21.660941375194884</v>
      </c>
      <c r="G387" s="11">
        <f t="shared" si="33"/>
        <v>21.641600502309181</v>
      </c>
    </row>
    <row r="388" spans="5:7" x14ac:dyDescent="0.25">
      <c r="E388" s="11">
        <f t="shared" si="31"/>
        <v>76</v>
      </c>
      <c r="F388" s="11">
        <f t="shared" si="32"/>
        <v>22.04941139973041</v>
      </c>
      <c r="G388" s="11">
        <f t="shared" si="33"/>
        <v>22.026683341066096</v>
      </c>
    </row>
    <row r="389" spans="5:7" x14ac:dyDescent="0.25">
      <c r="E389" s="11">
        <f t="shared" si="31"/>
        <v>77</v>
      </c>
      <c r="F389" s="11">
        <f t="shared" si="32"/>
        <v>22.438176725100686</v>
      </c>
      <c r="G389" s="11">
        <f t="shared" si="33"/>
        <v>22.412307769667947</v>
      </c>
    </row>
    <row r="390" spans="5:7" x14ac:dyDescent="0.25">
      <c r="E390" s="11">
        <f t="shared" si="31"/>
        <v>78</v>
      </c>
      <c r="F390" s="11">
        <f t="shared" si="32"/>
        <v>22.827136055836423</v>
      </c>
      <c r="G390" s="11">
        <f t="shared" si="33"/>
        <v>22.798457859001637</v>
      </c>
    </row>
    <row r="391" spans="5:7" x14ac:dyDescent="0.25">
      <c r="E391" s="11">
        <f t="shared" si="31"/>
        <v>79</v>
      </c>
      <c r="F391" s="11">
        <f t="shared" si="32"/>
        <v>23.216194881455362</v>
      </c>
      <c r="G391" s="11">
        <f t="shared" si="33"/>
        <v>23.185117679954093</v>
      </c>
    </row>
    <row r="392" spans="5:7" x14ac:dyDescent="0.25">
      <c r="E392" s="11">
        <f t="shared" si="31"/>
        <v>80</v>
      </c>
      <c r="F392" s="11">
        <f t="shared" si="32"/>
        <v>23.605266219890002</v>
      </c>
      <c r="G392" s="11">
        <f t="shared" si="33"/>
        <v>23.572271303412222</v>
      </c>
    </row>
    <row r="393" spans="5:7" x14ac:dyDescent="0.25">
      <c r="E393" s="11">
        <f t="shared" si="31"/>
        <v>81</v>
      </c>
      <c r="F393" s="11">
        <f t="shared" si="32"/>
        <v>23.994271385387293</v>
      </c>
      <c r="G393" s="11">
        <f t="shared" si="33"/>
        <v>23.959902800262938</v>
      </c>
    </row>
    <row r="394" spans="5:7" x14ac:dyDescent="0.25">
      <c r="E394" s="11">
        <f t="shared" si="31"/>
        <v>82</v>
      </c>
      <c r="F394" s="11">
        <f t="shared" si="32"/>
        <v>24.383140781189013</v>
      </c>
      <c r="G394" s="11">
        <f t="shared" si="33"/>
        <v>24.347996241393155</v>
      </c>
    </row>
    <row r="395" spans="5:7" x14ac:dyDescent="0.25">
      <c r="E395" s="11">
        <f t="shared" si="31"/>
        <v>83</v>
      </c>
      <c r="F395" s="11">
        <f t="shared" si="32"/>
        <v>24.771814717302249</v>
      </c>
      <c r="G395" s="11">
        <f t="shared" si="33"/>
        <v>24.736535697689781</v>
      </c>
    </row>
    <row r="396" spans="5:7" x14ac:dyDescent="0.25">
      <c r="E396" s="11">
        <f t="shared" si="31"/>
        <v>84</v>
      </c>
      <c r="F396" s="11">
        <f t="shared" si="32"/>
        <v>25.160244253669735</v>
      </c>
      <c r="G396" s="11">
        <f t="shared" si="33"/>
        <v>25.125505240039743</v>
      </c>
    </row>
    <row r="397" spans="5:7" x14ac:dyDescent="0.25">
      <c r="E397" s="11">
        <f t="shared" si="31"/>
        <v>85</v>
      </c>
      <c r="F397" s="11">
        <f t="shared" si="32"/>
        <v>25.548392069050664</v>
      </c>
      <c r="G397" s="11">
        <f t="shared" si="33"/>
        <v>25.514888939329946</v>
      </c>
    </row>
    <row r="398" spans="5:7" x14ac:dyDescent="0.25">
      <c r="E398" s="11">
        <f t="shared" si="31"/>
        <v>86</v>
      </c>
      <c r="F398" s="11">
        <f t="shared" si="32"/>
        <v>25.936233355922766</v>
      </c>
      <c r="G398" s="11">
        <f t="shared" si="33"/>
        <v>25.904670866447304</v>
      </c>
    </row>
    <row r="399" spans="5:7" x14ac:dyDescent="0.25">
      <c r="E399" s="11">
        <f t="shared" si="31"/>
        <v>87</v>
      </c>
      <c r="F399" s="11">
        <f t="shared" si="32"/>
        <v>26.323756741717286</v>
      </c>
      <c r="G399" s="11">
        <f t="shared" si="33"/>
        <v>26.294835092278735</v>
      </c>
    </row>
    <row r="400" spans="5:7" x14ac:dyDescent="0.25">
      <c r="E400" s="11">
        <f t="shared" si="31"/>
        <v>88</v>
      </c>
      <c r="F400" s="11">
        <f t="shared" si="32"/>
        <v>26.710965236698961</v>
      </c>
      <c r="G400" s="11">
        <f t="shared" si="33"/>
        <v>26.685365687711148</v>
      </c>
    </row>
    <row r="401" spans="5:7" x14ac:dyDescent="0.25">
      <c r="E401" s="11">
        <f t="shared" si="31"/>
        <v>89</v>
      </c>
      <c r="F401" s="11">
        <f t="shared" si="32"/>
        <v>27.097877208803602</v>
      </c>
      <c r="G401" s="11">
        <f t="shared" si="33"/>
        <v>27.076246723631456</v>
      </c>
    </row>
    <row r="402" spans="5:7" x14ac:dyDescent="0.25">
      <c r="E402" s="11">
        <f t="shared" si="31"/>
        <v>90</v>
      </c>
      <c r="F402" s="11">
        <f t="shared" si="32"/>
        <v>27.484527385746354</v>
      </c>
      <c r="G402" s="11">
        <f t="shared" si="33"/>
        <v>27.467462270926575</v>
      </c>
    </row>
    <row r="403" spans="5:7" x14ac:dyDescent="0.25">
      <c r="E403" s="11">
        <f t="shared" si="31"/>
        <v>91</v>
      </c>
      <c r="F403" s="11">
        <f t="shared" si="32"/>
        <v>27.870967884714563</v>
      </c>
      <c r="G403" s="11">
        <f t="shared" si="33"/>
        <v>27.85899640048342</v>
      </c>
    </row>
    <row r="404" spans="5:7" x14ac:dyDescent="0.25">
      <c r="E404" s="11">
        <f t="shared" si="31"/>
        <v>92</v>
      </c>
      <c r="F404" s="11">
        <f t="shared" si="32"/>
        <v>28.257269269959444</v>
      </c>
      <c r="G404" s="11">
        <f t="shared" si="33"/>
        <v>28.250833183188909</v>
      </c>
    </row>
    <row r="405" spans="5:7" x14ac:dyDescent="0.25">
      <c r="E405" s="11">
        <f t="shared" si="31"/>
        <v>93</v>
      </c>
      <c r="F405" s="11">
        <f t="shared" si="32"/>
        <v>28.643521638601122</v>
      </c>
      <c r="G405" s="11">
        <f t="shared" si="33"/>
        <v>28.642956689929942</v>
      </c>
    </row>
    <row r="406" spans="5:7" x14ac:dyDescent="0.25">
      <c r="E406" s="11">
        <f t="shared" si="31"/>
        <v>94</v>
      </c>
      <c r="F406" s="11">
        <f t="shared" si="32"/>
        <v>29.029835734963044</v>
      </c>
      <c r="G406" s="11">
        <f t="shared" si="33"/>
        <v>29.035350991593443</v>
      </c>
    </row>
    <row r="407" spans="5:7" x14ac:dyDescent="0.25">
      <c r="E407" s="11">
        <f t="shared" si="31"/>
        <v>95</v>
      </c>
      <c r="F407" s="11">
        <f t="shared" si="32"/>
        <v>29.416344093750915</v>
      </c>
      <c r="G407" s="11">
        <f t="shared" si="33"/>
        <v>29.428000159066329</v>
      </c>
    </row>
    <row r="408" spans="5:7" x14ac:dyDescent="0.25">
      <c r="E408" s="11">
        <f t="shared" si="31"/>
        <v>96</v>
      </c>
      <c r="F408" s="11">
        <f t="shared" si="32"/>
        <v>29.803202212393295</v>
      </c>
      <c r="G408" s="11">
        <f t="shared" si="33"/>
        <v>29.820888263235503</v>
      </c>
    </row>
    <row r="409" spans="5:7" x14ac:dyDescent="0.25">
      <c r="E409" s="11">
        <f t="shared" si="31"/>
        <v>97</v>
      </c>
      <c r="F409" s="11">
        <f t="shared" si="32"/>
        <v>30.190589752860383</v>
      </c>
      <c r="G409" s="11">
        <f t="shared" si="33"/>
        <v>30.213999374987889</v>
      </c>
    </row>
    <row r="410" spans="5:7" x14ac:dyDescent="0.25">
      <c r="E410" s="11">
        <f t="shared" si="31"/>
        <v>98</v>
      </c>
      <c r="F410" s="11">
        <f t="shared" si="32"/>
        <v>30.57871177327895</v>
      </c>
      <c r="G410" s="11">
        <f t="shared" si="33"/>
        <v>30.607317565210394</v>
      </c>
    </row>
    <row r="411" spans="5:7" x14ac:dyDescent="0.25">
      <c r="E411" s="11">
        <f t="shared" si="31"/>
        <v>99</v>
      </c>
      <c r="F411" s="11">
        <f t="shared" si="32"/>
        <v>30.967799989661362</v>
      </c>
      <c r="G411" s="11">
        <f t="shared" si="33"/>
        <v>31.000826904789935</v>
      </c>
    </row>
    <row r="412" spans="5:7" x14ac:dyDescent="0.25">
      <c r="E412" s="11">
        <f t="shared" si="31"/>
        <v>100</v>
      </c>
      <c r="F412" s="11">
        <f t="shared" si="32"/>
        <v>31.358114068067117</v>
      </c>
      <c r="G412" s="11">
        <f t="shared" si="33"/>
        <v>31.394511464613419</v>
      </c>
    </row>
    <row r="413" spans="5:7" x14ac:dyDescent="0.25">
      <c r="E413" s="11">
        <f t="shared" si="31"/>
        <v>101</v>
      </c>
      <c r="F413" s="11">
        <f t="shared" si="32"/>
        <v>31.749942947516786</v>
      </c>
      <c r="G413" s="11">
        <f t="shared" si="33"/>
        <v>31.788355315567774</v>
      </c>
    </row>
    <row r="414" spans="5:7" x14ac:dyDescent="0.25">
      <c r="E414" s="11">
        <f t="shared" si="31"/>
        <v>102</v>
      </c>
      <c r="F414" s="11">
        <f t="shared" si="32"/>
        <v>32.143606193977348</v>
      </c>
      <c r="G414" s="11">
        <f t="shared" si="33"/>
        <v>32.182342528539898</v>
      </c>
    </row>
    <row r="415" spans="5:7" x14ac:dyDescent="0.25">
      <c r="E415" s="11">
        <f t="shared" ref="E415:E422" si="34">E208</f>
        <v>103</v>
      </c>
      <c r="F415" s="11">
        <f t="shared" ref="F415:F422" si="35">$H$217*0+E415*$I$217+E415^2*$J$217+E415^3*$K$217+E415^4*$L$217+E415^5*$M$217+E415^6*$N$217+E415^7*$O$217+E415^8*$P$217</f>
        <v>32.539455385739771</v>
      </c>
      <c r="G415" s="11">
        <f t="shared" ref="G415:G422" si="36">F208</f>
        <v>32.576457174416717</v>
      </c>
    </row>
    <row r="416" spans="5:7" x14ac:dyDescent="0.25">
      <c r="E416" s="11">
        <f t="shared" si="34"/>
        <v>104</v>
      </c>
      <c r="F416" s="11">
        <f t="shared" si="35"/>
        <v>32.937875530509594</v>
      </c>
      <c r="G416" s="11">
        <f t="shared" si="36"/>
        <v>32.970683324085144</v>
      </c>
    </row>
    <row r="417" spans="5:7" x14ac:dyDescent="0.25">
      <c r="E417" s="11">
        <f t="shared" si="34"/>
        <v>105</v>
      </c>
      <c r="F417" s="11">
        <f t="shared" si="35"/>
        <v>33.339286514531629</v>
      </c>
      <c r="G417" s="11">
        <f t="shared" si="36"/>
        <v>33.365005048432074</v>
      </c>
    </row>
    <row r="418" spans="5:7" x14ac:dyDescent="0.25">
      <c r="E418" s="11">
        <f t="shared" si="34"/>
        <v>106</v>
      </c>
      <c r="F418" s="11">
        <f t="shared" si="35"/>
        <v>33.744144584071293</v>
      </c>
      <c r="G418" s="11">
        <f t="shared" si="36"/>
        <v>33.759406418344447</v>
      </c>
    </row>
    <row r="419" spans="5:7" x14ac:dyDescent="0.25">
      <c r="E419" s="11">
        <f t="shared" si="34"/>
        <v>107</v>
      </c>
      <c r="F419" s="11">
        <f t="shared" si="35"/>
        <v>34.152943859574563</v>
      </c>
      <c r="G419" s="11">
        <f t="shared" si="36"/>
        <v>34.153871504709159</v>
      </c>
    </row>
    <row r="420" spans="5:7" x14ac:dyDescent="0.25">
      <c r="E420" s="11">
        <f t="shared" si="34"/>
        <v>108</v>
      </c>
      <c r="F420" s="11">
        <f t="shared" si="35"/>
        <v>34.566217882829882</v>
      </c>
      <c r="G420" s="11">
        <f t="shared" si="36"/>
        <v>34.548384378413132</v>
      </c>
    </row>
    <row r="421" spans="5:7" x14ac:dyDescent="0.25">
      <c r="E421" s="11">
        <f t="shared" si="34"/>
        <v>109</v>
      </c>
      <c r="F421" s="11">
        <f t="shared" si="35"/>
        <v>34.98454119745567</v>
      </c>
      <c r="G421" s="11">
        <f t="shared" si="36"/>
        <v>34.942929110343286</v>
      </c>
    </row>
    <row r="422" spans="5:7" x14ac:dyDescent="0.25">
      <c r="E422" s="11">
        <f t="shared" si="34"/>
        <v>110</v>
      </c>
      <c r="F422" s="11">
        <f t="shared" si="35"/>
        <v>35.408530963037357</v>
      </c>
      <c r="G422" s="11">
        <f t="shared" si="36"/>
        <v>35.337489771386515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2022-01-08T10:05:45Z</dcterms:modified>
</cp:coreProperties>
</file>