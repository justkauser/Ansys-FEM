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1" i="43"/>
  <c r="D416" i="43"/>
  <c r="D423" i="43"/>
  <c r="D428" i="43"/>
  <c r="D404" i="43"/>
  <c r="D424" i="43"/>
  <c r="D433" i="43"/>
  <c r="D409" i="43"/>
  <c r="D421" i="43"/>
  <c r="D434" i="43"/>
  <c r="D405" i="43"/>
  <c r="D413" i="43"/>
  <c r="D419" i="43"/>
  <c r="D426" i="43"/>
  <c r="D407" i="43"/>
  <c r="D414" i="43"/>
  <c r="D418" i="43"/>
  <c r="D425" i="43"/>
  <c r="D427" i="43"/>
  <c r="D429" i="43"/>
  <c r="D432" i="43"/>
  <c r="D408" i="43"/>
  <c r="D415" i="43"/>
  <c r="D417" i="43"/>
  <c r="D430" i="43"/>
  <c r="D410" i="43"/>
  <c r="D412" i="43"/>
  <c r="D420" i="43"/>
  <c r="D422" i="43"/>
  <c r="D431" i="43"/>
  <c r="B405" i="43"/>
  <c r="B424" i="43"/>
  <c r="B425" i="43"/>
  <c r="B413" i="43"/>
  <c r="B414" i="43"/>
  <c r="B408" i="43"/>
  <c r="B415" i="43"/>
  <c r="B417" i="43"/>
  <c r="B409" i="43"/>
  <c r="B406" i="43"/>
  <c r="B429" i="43"/>
  <c r="B411" i="43"/>
  <c r="B416" i="43"/>
  <c r="B432" i="43"/>
  <c r="B404" i="43"/>
  <c r="B428" i="43"/>
  <c r="B410" i="43"/>
  <c r="B407" i="43"/>
  <c r="B431" i="43"/>
  <c r="B427" i="43"/>
  <c r="B420" i="43"/>
  <c r="B434" i="43"/>
  <c r="B430" i="43"/>
  <c r="B423" i="43"/>
  <c r="B418" i="43"/>
  <c r="B419" i="43"/>
  <c r="B433" i="43"/>
  <c r="B426" i="43"/>
  <c r="B421" i="43"/>
  <c r="B422" i="43"/>
  <c r="B412" i="43"/>
  <c r="C406" i="43"/>
  <c r="C409" i="43"/>
  <c r="C421" i="43"/>
  <c r="C434" i="43"/>
  <c r="C417" i="43"/>
  <c r="C423" i="43"/>
  <c r="C407" i="43"/>
  <c r="C414" i="43"/>
  <c r="C418" i="43"/>
  <c r="C425" i="43"/>
  <c r="C427" i="43"/>
  <c r="C429" i="43"/>
  <c r="C432" i="43"/>
  <c r="C426" i="43"/>
  <c r="C430" i="43"/>
  <c r="C410" i="43"/>
  <c r="C412" i="43"/>
  <c r="C420" i="43"/>
  <c r="C422" i="43"/>
  <c r="C431" i="43"/>
  <c r="C405" i="43"/>
  <c r="C408" i="43"/>
  <c r="C415" i="43"/>
  <c r="C424" i="43"/>
  <c r="C433" i="43"/>
  <c r="C419" i="43"/>
  <c r="C428" i="43"/>
  <c r="C404" i="43"/>
  <c r="C413" i="43"/>
  <c r="C411" i="43"/>
  <c r="C416" i="43"/>
  <c r="H434" i="43"/>
  <c r="H418" i="43"/>
  <c r="H415" i="43"/>
  <c r="H410" i="43"/>
  <c r="H424" i="43"/>
  <c r="H405" i="43"/>
  <c r="H417" i="43"/>
  <c r="H414" i="43"/>
  <c r="H430" i="43"/>
  <c r="H423" i="43"/>
  <c r="H419" i="43"/>
  <c r="H429" i="43"/>
  <c r="H416" i="43"/>
  <c r="H404" i="43"/>
  <c r="H413" i="43"/>
  <c r="H427" i="43"/>
  <c r="H409" i="43"/>
  <c r="H422" i="43"/>
  <c r="H421" i="43"/>
  <c r="H431" i="43"/>
  <c r="H406" i="43"/>
  <c r="H433" i="43"/>
  <c r="H428" i="43"/>
  <c r="H426" i="43"/>
  <c r="H408" i="43"/>
  <c r="H420" i="43"/>
  <c r="H432" i="43"/>
  <c r="H412" i="43"/>
  <c r="H425" i="43"/>
  <c r="H407" i="43"/>
  <c r="H411" i="43"/>
  <c r="G410" i="43"/>
  <c r="G413" i="43"/>
  <c r="G431" i="43"/>
  <c r="G434" i="43"/>
  <c r="G416" i="43"/>
  <c r="G428" i="43"/>
  <c r="G429" i="43"/>
  <c r="G411" i="43"/>
  <c r="G427" i="43"/>
  <c r="G409" i="43"/>
  <c r="G422" i="43"/>
  <c r="G426" i="43"/>
  <c r="G408" i="43"/>
  <c r="G424" i="43"/>
  <c r="G420" i="43"/>
  <c r="G414" i="43"/>
  <c r="G406" i="43"/>
  <c r="G419" i="43"/>
  <c r="G423" i="43"/>
  <c r="G405" i="43"/>
  <c r="G421" i="43"/>
  <c r="G404" i="43"/>
  <c r="G430" i="43"/>
  <c r="G407" i="43"/>
  <c r="G418" i="43"/>
  <c r="G412" i="43"/>
  <c r="G417" i="43"/>
  <c r="G433" i="43"/>
  <c r="G415" i="43"/>
  <c r="G425" i="43"/>
  <c r="G432" i="43"/>
  <c r="E405" i="43"/>
  <c r="E424" i="43"/>
  <c r="E406" i="43"/>
  <c r="E417" i="43"/>
  <c r="E419" i="43"/>
  <c r="E426" i="43"/>
  <c r="E430" i="43"/>
  <c r="E410" i="43"/>
  <c r="E415" i="43"/>
  <c r="E411" i="43"/>
  <c r="E416" i="43"/>
  <c r="E423" i="43"/>
  <c r="E404" i="43"/>
  <c r="E420" i="43"/>
  <c r="E408" i="43"/>
  <c r="E433" i="43"/>
  <c r="E434" i="43"/>
  <c r="E422" i="43"/>
  <c r="E418" i="43"/>
  <c r="E425" i="43"/>
  <c r="E427" i="43"/>
  <c r="E429" i="43"/>
  <c r="E431" i="43"/>
  <c r="E413" i="43"/>
  <c r="E421" i="43"/>
  <c r="E409" i="43"/>
  <c r="E432" i="43"/>
  <c r="E412" i="43"/>
  <c r="E407" i="43"/>
  <c r="E428" i="43"/>
  <c r="E414" i="43"/>
  <c r="F415" i="43"/>
  <c r="F410" i="43"/>
  <c r="F424" i="43"/>
  <c r="F431" i="43"/>
  <c r="F419" i="43"/>
  <c r="F430" i="43"/>
  <c r="F416" i="43"/>
  <c r="F423" i="43"/>
  <c r="F404" i="43"/>
  <c r="F427" i="43"/>
  <c r="F434" i="43"/>
  <c r="F420" i="43"/>
  <c r="F421" i="43"/>
  <c r="F425" i="43"/>
  <c r="F426" i="43"/>
  <c r="F412" i="43"/>
  <c r="F417" i="43"/>
  <c r="F414" i="43"/>
  <c r="F422" i="43"/>
  <c r="F411" i="43"/>
  <c r="F405" i="43"/>
  <c r="F432" i="43"/>
  <c r="F418" i="43"/>
  <c r="F409" i="43"/>
  <c r="F413"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<sst xmlns="http://schemas.openxmlformats.org/spreadsheetml/2006/main" count="311" uniqueCount="164">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</sst>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97143520"/>
        <c:axId val="4971486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435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8616"/>
        <c:crossesAt val="-8.0000000000000019E-3"/>
        <c:crossBetween val="midCat"/>
      </c:valAx>
      <c:valAx>
        <c:axId val="497148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3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7149400"/>
        <c:axId val="497147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494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7440"/>
        <c:crosses val="autoZero"/>
        <c:crossBetween val="midCat"/>
      </c:valAx>
      <c:valAx>
        <c:axId val="49714744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94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7150576"/>
        <c:axId val="4971509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71505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50968"/>
        <c:crosses val="autoZero"/>
        <c:crossBetween val="midCat"/>
        <c:majorUnit val="10000"/>
      </c:valAx>
      <c:valAx>
        <c:axId val="4971509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5057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97150184"/>
        <c:axId val="497143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50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7143912"/>
        <c:crosses val="autoZero"/>
        <c:crossBetween val="midCat"/>
        <c:majorUnit val="10000"/>
      </c:valAx>
      <c:valAx>
        <c:axId val="49714391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715018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7147832"/>
        <c:axId val="4942519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478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251936"/>
        <c:crosses val="autoZero"/>
        <c:crossBetween val="midCat"/>
        <c:majorUnit val="10000"/>
      </c:valAx>
      <c:valAx>
        <c:axId val="49425193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783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1.1879141856060553E-2</c:v>
                </c:pt>
                <c:pt idx="1">
                  <c:v>1.6024722275259397E-2</c:v>
                </c:pt>
                <c:pt idx="2">
                  <c:v>4.3912843514903018E-3</c:v>
                </c:pt>
                <c:pt idx="3">
                  <c:v>7.4653472309422781E-4</c:v>
                </c:pt>
                <c:pt idx="4">
                  <c:v>1.091689070767824E-4</c:v>
                </c:pt>
                <c:pt idx="5">
                  <c:v>1.436062704788852E-5</c:v>
                </c:pt>
                <c:pt idx="6">
                  <c:v>2.7167626771269863E-6</c:v>
                </c:pt>
                <c:pt idx="7">
                  <c:v>2.2182760972461923E-6</c:v>
                </c:pt>
                <c:pt idx="8">
                  <c:v>2.4974910126537301E-6</c:v>
                </c:pt>
                <c:pt idx="9">
                  <c:v>3.1911526491301459E-6</c:v>
                </c:pt>
                <c:pt idx="10">
                  <c:v>6.0987882881709582E-6</c:v>
                </c:pt>
                <c:pt idx="11">
                  <c:v>1.2099847463829815E-5</c:v>
                </c:pt>
                <c:pt idx="12">
                  <c:v>1.8634876719213451E-5</c:v>
                </c:pt>
                <c:pt idx="13">
                  <c:v>1.9319704777914508E-5</c:v>
                </c:pt>
                <c:pt idx="14">
                  <c:v>1.4785984452566524E-5</c:v>
                </c:pt>
                <c:pt idx="15">
                  <c:v>1.1254252794852276E-5</c:v>
                </c:pt>
                <c:pt idx="16">
                  <c:v>1.4801315861683327E-5</c:v>
                </c:pt>
                <c:pt idx="17">
                  <c:v>2.5871362685921203E-5</c:v>
                </c:pt>
                <c:pt idx="18">
                  <c:v>3.6463907347145104E-5</c:v>
                </c:pt>
                <c:pt idx="19">
                  <c:v>4.0308879656601989E-5</c:v>
                </c:pt>
                <c:pt idx="20">
                  <c:v>4.8935003575507476E-5</c:v>
                </c:pt>
                <c:pt idx="21">
                  <c:v>5.1977690493514377E-5</c:v>
                </c:pt>
                <c:pt idx="22">
                  <c:v>7.5361556081272893E-5</c:v>
                </c:pt>
                <c:pt idx="23">
                  <c:v>1.3269882054051904E-4</c:v>
                </c:pt>
                <c:pt idx="24">
                  <c:v>1.8103901174491868E-4</c:v>
                </c:pt>
                <c:pt idx="25">
                  <c:v>1.8790762091040554E-4</c:v>
                </c:pt>
                <c:pt idx="26">
                  <c:v>1.6908722890432283E-4</c:v>
                </c:pt>
                <c:pt idx="27">
                  <c:v>1.4704329527179288E-4</c:v>
                </c:pt>
                <c:pt idx="28">
                  <c:v>1.4688931973260374E-4</c:v>
                </c:pt>
                <c:pt idx="29">
                  <c:v>2.650905211427317E-5</c:v>
                </c:pt>
                <c:pt idx="30">
                  <c:v>1.0550715221562944E-4</c:v>
                </c:pt>
              </c:numCache>
            </c:numRef>
          </c:yVal>
          <c:smooth val="1"/>
        </c:ser>
        <c:dLbls>
          <c:showLegendKey val="0"/>
          <c:showVal val="0"/>
          <c:showCatName val="0"/>
          <c:showSerName val="0"/>
          <c:showPercent val="0"/>
          <c:showBubbleSize val="0"/>
        </c:dLbls>
        <c:axId val="496679632"/>
        <c:axId val="496677672"/>
      </c:scatterChart>
      <c:valAx>
        <c:axId val="496679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7672"/>
        <c:crossesAt val="-1.5000000000000005E-3"/>
        <c:crossBetween val="midCat"/>
      </c:valAx>
      <c:valAx>
        <c:axId val="49667767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963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4996.9697526026439</c:v>
                </c:pt>
                <c:pt idx="1">
                  <c:v>4926.5247056201688</c:v>
                </c:pt>
                <c:pt idx="2">
                  <c:v>4664.0275306247404</c:v>
                </c:pt>
                <c:pt idx="3">
                  <c:v>4501.5272460802498</c:v>
                </c:pt>
                <c:pt idx="4">
                  <c:v>4277.0247205352516</c:v>
                </c:pt>
                <c:pt idx="5">
                  <c:v>4057.1339447184118</c:v>
                </c:pt>
                <c:pt idx="6">
                  <c:v>3871.2085792615189</c:v>
                </c:pt>
                <c:pt idx="7">
                  <c:v>3695.7625493946439</c:v>
                </c:pt>
                <c:pt idx="8">
                  <c:v>3525.6507332792175</c:v>
                </c:pt>
                <c:pt idx="9">
                  <c:v>3357.1601763672447</c:v>
                </c:pt>
                <c:pt idx="10">
                  <c:v>3187.0425045347711</c:v>
                </c:pt>
                <c:pt idx="11">
                  <c:v>2997.0028018093208</c:v>
                </c:pt>
                <c:pt idx="12">
                  <c:v>2785.0363810762474</c:v>
                </c:pt>
                <c:pt idx="13">
                  <c:v>2548.712876778392</c:v>
                </c:pt>
                <c:pt idx="14">
                  <c:v>2277.7375849845675</c:v>
                </c:pt>
                <c:pt idx="15">
                  <c:v>1945.4137442071965</c:v>
                </c:pt>
                <c:pt idx="16">
                  <c:v>1547.0318046663995</c:v>
                </c:pt>
                <c:pt idx="17">
                  <c:v>1144.6926744741063</c:v>
                </c:pt>
                <c:pt idx="18">
                  <c:v>800.0022694204547</c:v>
                </c:pt>
                <c:pt idx="19">
                  <c:v>550.39561645469337</c:v>
                </c:pt>
                <c:pt idx="20">
                  <c:v>400.36991500319726</c:v>
                </c:pt>
                <c:pt idx="21">
                  <c:v>323.44807762127937</c:v>
                </c:pt>
                <c:pt idx="22">
                  <c:v>285.59938965207465</c:v>
                </c:pt>
                <c:pt idx="23">
                  <c:v>264.76327977544184</c:v>
                </c:pt>
                <c:pt idx="24">
                  <c:v>251.36786936213514</c:v>
                </c:pt>
                <c:pt idx="25">
                  <c:v>244.9741090491205</c:v>
                </c:pt>
                <c:pt idx="26">
                  <c:v>233.26752352666406</c:v>
                </c:pt>
                <c:pt idx="27">
                  <c:v>224.96994724712687</c:v>
                </c:pt>
                <c:pt idx="28">
                  <c:v>223.78952034508092</c:v>
                </c:pt>
                <c:pt idx="29">
                  <c:v>223.13107522763994</c:v>
                </c:pt>
                <c:pt idx="30">
                  <c:v>223.04922894872254</c:v>
                </c:pt>
              </c:numCache>
            </c:numRef>
          </c:yVal>
          <c:smooth val="1"/>
        </c:ser>
        <c:dLbls>
          <c:showLegendKey val="0"/>
          <c:showVal val="0"/>
          <c:showCatName val="0"/>
          <c:showSerName val="0"/>
          <c:showPercent val="0"/>
          <c:showBubbleSize val="0"/>
        </c:dLbls>
        <c:axId val="496680808"/>
        <c:axId val="496680416"/>
      </c:scatterChart>
      <c:valAx>
        <c:axId val="496680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0416"/>
        <c:crosses val="autoZero"/>
        <c:crossBetween val="midCat"/>
      </c:valAx>
      <c:valAx>
        <c:axId val="4966804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08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7.3474162083799364E-3</c:v>
                </c:pt>
                <c:pt idx="11">
                  <c:v>7.4397255058995613E-3</c:v>
                </c:pt>
                <c:pt idx="12">
                  <c:v>8.3608897545369154E-3</c:v>
                </c:pt>
                <c:pt idx="13">
                  <c:v>1.7323075794531673E-2</c:v>
                </c:pt>
                <c:pt idx="14">
                  <c:v>8.3857311458767403E-2</c:v>
                </c:pt>
                <c:pt idx="15">
                  <c:v>0.15955467421815822</c:v>
                </c:pt>
                <c:pt idx="16">
                  <c:v>0.1431224264732873</c:v>
                </c:pt>
                <c:pt idx="17">
                  <c:v>0.12560951608329002</c:v>
                </c:pt>
                <c:pt idx="18">
                  <c:v>0.10541268661522285</c:v>
                </c:pt>
                <c:pt idx="19">
                  <c:v>8.2445220247135895E-2</c:v>
                </c:pt>
                <c:pt idx="20">
                  <c:v>5.5054536532654991E-2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2.9934269458170119E-3</c:v>
                </c:pt>
                <c:pt idx="1">
                  <c:v>3.142197632604672E-3</c:v>
                </c:pt>
                <c:pt idx="2">
                  <c:v>4.6510055698296858E-3</c:v>
                </c:pt>
                <c:pt idx="3">
                  <c:v>1.5946381532453174E-2</c:v>
                </c:pt>
                <c:pt idx="4">
                  <c:v>2.5399674797116516E-2</c:v>
                </c:pt>
                <c:pt idx="5">
                  <c:v>7.2840684725498303E-2</c:v>
                </c:pt>
                <c:pt idx="6">
                  <c:v>0.11873118441899647</c:v>
                </c:pt>
                <c:pt idx="7">
                  <c:v>9.8589287629305786E-2</c:v>
                </c:pt>
                <c:pt idx="8">
                  <c:v>7.6166907464297592E-2</c:v>
                </c:pt>
                <c:pt idx="9">
                  <c:v>4.9700390321410819E-2</c:v>
                </c:pt>
                <c:pt idx="10">
                  <c:v>2.100550645190238E-2</c:v>
                </c:pt>
                <c:pt idx="11">
                  <c:v>4.1793363357170406E-3</c:v>
                </c:pt>
                <c:pt idx="12">
                  <c:v>2.603680208052557E-2</c:v>
                </c:pt>
                <c:pt idx="13">
                  <c:v>2.3709205149967393E-2</c:v>
                </c:pt>
                <c:pt idx="14">
                  <c:v>2.8146030999049089E-2</c:v>
                </c:pt>
                <c:pt idx="15">
                  <c:v>2.6741014294124142E-2</c:v>
                </c:pt>
                <c:pt idx="16">
                  <c:v>2.0231904357595358E-2</c:v>
                </c:pt>
                <c:pt idx="17">
                  <c:v>1.4857149505849727E-3</c:v>
                </c:pt>
                <c:pt idx="18">
                  <c:v>4.4678455802997813E-2</c:v>
                </c:pt>
                <c:pt idx="19">
                  <c:v>9.5655663322030807E-2</c:v>
                </c:pt>
                <c:pt idx="20">
                  <c:v>0.14068854769491923</c:v>
                </c:pt>
                <c:pt idx="21">
                  <c:v>0.16990978158708697</c:v>
                </c:pt>
                <c:pt idx="22">
                  <c:v>0.19063746369744142</c:v>
                </c:pt>
                <c:pt idx="23">
                  <c:v>0.19827807481223533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3.1701039491312762E-2</c:v>
                </c:pt>
                <c:pt idx="11">
                  <c:v>3.746611644104942E-2</c:v>
                </c:pt>
                <c:pt idx="12">
                  <c:v>3.5505407941072306E-2</c:v>
                </c:pt>
                <c:pt idx="13">
                  <c:v>3.2880264051101296E-2</c:v>
                </c:pt>
                <c:pt idx="14">
                  <c:v>3.455618722382079E-2</c:v>
                </c:pt>
                <c:pt idx="15">
                  <c:v>3.2799372207876397E-2</c:v>
                </c:pt>
                <c:pt idx="16">
                  <c:v>2.1138300925595915E-2</c:v>
                </c:pt>
                <c:pt idx="17">
                  <c:v>1.405246977313874E-2</c:v>
                </c:pt>
                <c:pt idx="18">
                  <c:v>5.3279801833079676E-2</c:v>
                </c:pt>
                <c:pt idx="19">
                  <c:v>8.8951066223292324E-2</c:v>
                </c:pt>
                <c:pt idx="20">
                  <c:v>0.10737905077403503</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1.2788262602406657E-2</c:v>
                </c:pt>
                <c:pt idx="11">
                  <c:v>2.3586325058291622E-3</c:v>
                </c:pt>
                <c:pt idx="12">
                  <c:v>7.6672662165327178E-3</c:v>
                </c:pt>
                <c:pt idx="13">
                  <c:v>2.4860277771485598E-2</c:v>
                </c:pt>
                <c:pt idx="14">
                  <c:v>5.8461738653450897E-2</c:v>
                </c:pt>
                <c:pt idx="15">
                  <c:v>8.1768600377783829E-2</c:v>
                </c:pt>
                <c:pt idx="16">
                  <c:v>9.7087160641577921E-2</c:v>
                </c:pt>
                <c:pt idx="17">
                  <c:v>9.0854493096755987E-2</c:v>
                </c:pt>
                <c:pt idx="18">
                  <c:v>7.909938349961193E-2</c:v>
                </c:pt>
                <c:pt idx="19">
                  <c:v>5.9953045844615679E-2</c:v>
                </c:pt>
                <c:pt idx="20">
                  <c:v>3.5581527389726815E-2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96678064"/>
        <c:axId val="496681592"/>
      </c:scatterChart>
      <c:valAx>
        <c:axId val="4966780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1592"/>
        <c:crossesAt val="1.0000000000000005E-9"/>
        <c:crossBetween val="midCat"/>
      </c:valAx>
      <c:valAx>
        <c:axId val="496681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806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-44.148639789513958</c:v>
                </c:pt>
                <c:pt idx="1">
                  <c:v>-32.523099905859404</c:v>
                </c:pt>
                <c:pt idx="2">
                  <c:v>-27.199076392270609</c:v>
                </c:pt>
                <c:pt idx="3">
                  <c:v>-22.864640601908093</c:v>
                </c:pt>
                <c:pt idx="4">
                  <c:v>-15.183616272404954</c:v>
                </c:pt>
                <c:pt idx="5">
                  <c:v>0</c:v>
                </c:pt>
                <c:pt idx="6">
                  <c:v>13.89414998788293</c:v>
                </c:pt>
              </c:numCache>
            </c:numRef>
          </c:yVal>
          <c:smooth val="0"/>
        </c:ser>
        <c:dLbls>
          <c:showLegendKey val="0"/>
          <c:showVal val="0"/>
          <c:showCatName val="0"/>
          <c:showSerName val="0"/>
          <c:showPercent val="0"/>
          <c:showBubbleSize val="0"/>
        </c:dLbls>
        <c:axId val="496681200"/>
        <c:axId val="496684336"/>
      </c:scatterChart>
      <c:valAx>
        <c:axId val="496681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4336"/>
        <c:crossesAt val="-100"/>
        <c:crossBetween val="midCat"/>
      </c:valAx>
      <c:valAx>
        <c:axId val="496684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120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96681984"/>
        <c:axId val="496682376"/>
      </c:scatterChart>
      <c:valAx>
        <c:axId val="4966819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2376"/>
        <c:crosses val="autoZero"/>
        <c:crossBetween val="midCat"/>
      </c:valAx>
      <c:valAx>
        <c:axId val="4966823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198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6.7063984979372177E-35</c:v>
                </c:pt>
                <c:pt idx="1">
                  <c:v>6.7063984979372166E-34</c:v>
                </c:pt>
                <c:pt idx="2">
                  <c:v>6.7063984979372166E-33</c:v>
                </c:pt>
                <c:pt idx="3">
                  <c:v>6.7063984979372169E-32</c:v>
                </c:pt>
                <c:pt idx="4">
                  <c:v>6.7063984979372166E-31</c:v>
                </c:pt>
                <c:pt idx="5">
                  <c:v>6.706398497937217E-30</c:v>
                </c:pt>
                <c:pt idx="6">
                  <c:v>6.706398497937217E-29</c:v>
                </c:pt>
                <c:pt idx="7">
                  <c:v>6.7063984979372172E-28</c:v>
                </c:pt>
                <c:pt idx="8">
                  <c:v>6.7063984979372167E-27</c:v>
                </c:pt>
                <c:pt idx="9">
                  <c:v>6.7063984979372161E-26</c:v>
                </c:pt>
                <c:pt idx="10">
                  <c:v>6.7063984979372175E-25</c:v>
                </c:pt>
                <c:pt idx="11">
                  <c:v>6.7063984979372166E-24</c:v>
                </c:pt>
                <c:pt idx="12">
                  <c:v>6.7063984979372174E-23</c:v>
                </c:pt>
                <c:pt idx="13">
                  <c:v>6.7063984979372172E-22</c:v>
                </c:pt>
                <c:pt idx="14">
                  <c:v>6.7063984979372168E-21</c:v>
                </c:pt>
                <c:pt idx="15">
                  <c:v>6.7063984979372173E-20</c:v>
                </c:pt>
                <c:pt idx="16">
                  <c:v>6.7063984979372173E-19</c:v>
                </c:pt>
                <c:pt idx="17">
                  <c:v>6.7063984979372165E-18</c:v>
                </c:pt>
                <c:pt idx="18">
                  <c:v>6.7063984979372171E-17</c:v>
                </c:pt>
                <c:pt idx="19">
                  <c:v>6.7063984979372166E-16</c:v>
                </c:pt>
                <c:pt idx="20">
                  <c:v>6.7063984979372168E-15</c:v>
                </c:pt>
                <c:pt idx="21">
                  <c:v>6.7063984979372173E-14</c:v>
                </c:pt>
                <c:pt idx="22">
                  <c:v>6.7063984979372171E-13</c:v>
                </c:pt>
                <c:pt idx="23">
                  <c:v>6.7063984979372165E-12</c:v>
                </c:pt>
                <c:pt idx="24">
                  <c:v>6.7063984979372163E-11</c:v>
                </c:pt>
                <c:pt idx="25">
                  <c:v>6.7063984979372165E-10</c:v>
                </c:pt>
                <c:pt idx="26">
                  <c:v>6.706398497937217E-9</c:v>
                </c:pt>
                <c:pt idx="27">
                  <c:v>6.7063984979372163E-8</c:v>
                </c:pt>
                <c:pt idx="28">
                  <c:v>6.7063984979372166E-7</c:v>
                </c:pt>
                <c:pt idx="29">
                  <c:v>6.7063984979372172E-6</c:v>
                </c:pt>
                <c:pt idx="30">
                  <c:v>6.7063984979372172E-5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7.505803257846905E-30</c:v>
                </c:pt>
                <c:pt idx="1">
                  <c:v>7.505803257846905E-29</c:v>
                </c:pt>
                <c:pt idx="2">
                  <c:v>7.5058032578469052E-28</c:v>
                </c:pt>
                <c:pt idx="3">
                  <c:v>7.5058032578469045E-27</c:v>
                </c:pt>
                <c:pt idx="4">
                  <c:v>7.5058032578469042E-26</c:v>
                </c:pt>
                <c:pt idx="5">
                  <c:v>7.5058032578469053E-25</c:v>
                </c:pt>
                <c:pt idx="6">
                  <c:v>7.5058032578469055E-24</c:v>
                </c:pt>
                <c:pt idx="7">
                  <c:v>7.5058032578469055E-23</c:v>
                </c:pt>
                <c:pt idx="8">
                  <c:v>7.5058032578469051E-22</c:v>
                </c:pt>
                <c:pt idx="9">
                  <c:v>7.5058032578469053E-21</c:v>
                </c:pt>
                <c:pt idx="10">
                  <c:v>7.5058032578469056E-20</c:v>
                </c:pt>
                <c:pt idx="11">
                  <c:v>7.5058032578469051E-19</c:v>
                </c:pt>
                <c:pt idx="12">
                  <c:v>7.5058032578469051E-18</c:v>
                </c:pt>
                <c:pt idx="13">
                  <c:v>7.5058032578469057E-17</c:v>
                </c:pt>
                <c:pt idx="14">
                  <c:v>7.5058032578469059E-16</c:v>
                </c:pt>
                <c:pt idx="15">
                  <c:v>7.5058032578469044E-15</c:v>
                </c:pt>
                <c:pt idx="16">
                  <c:v>7.505803257846905E-14</c:v>
                </c:pt>
                <c:pt idx="17">
                  <c:v>7.5058032578469047E-13</c:v>
                </c:pt>
                <c:pt idx="18">
                  <c:v>7.5058032578469043E-12</c:v>
                </c:pt>
                <c:pt idx="19">
                  <c:v>7.505803257846905E-11</c:v>
                </c:pt>
                <c:pt idx="20">
                  <c:v>7.5058032578469052E-10</c:v>
                </c:pt>
                <c:pt idx="21">
                  <c:v>7.5058032578469054E-9</c:v>
                </c:pt>
                <c:pt idx="22">
                  <c:v>7.5058032578469048E-8</c:v>
                </c:pt>
                <c:pt idx="23">
                  <c:v>7.5058032578469053E-7</c:v>
                </c:pt>
                <c:pt idx="24">
                  <c:v>7.5058032578469047E-6</c:v>
                </c:pt>
                <c:pt idx="25">
                  <c:v>7.5058032578469055E-5</c:v>
                </c:pt>
                <c:pt idx="26">
                  <c:v>7.505803257846905E-4</c:v>
                </c:pt>
                <c:pt idx="27">
                  <c:v>7.5058032578469054E-3</c:v>
                </c:pt>
                <c:pt idx="28">
                  <c:v>7.5058032578469047E-2</c:v>
                </c:pt>
                <c:pt idx="29">
                  <c:v>0.75058032578469047</c:v>
                </c:pt>
                <c:pt idx="30">
                  <c:v>7.5058032578469049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1.5402499734235971E-27</c:v>
                </c:pt>
                <c:pt idx="1">
                  <c:v>1.540249973423597E-26</c:v>
                </c:pt>
                <c:pt idx="2">
                  <c:v>1.5402499734235972E-25</c:v>
                </c:pt>
                <c:pt idx="3">
                  <c:v>1.5402499734235971E-24</c:v>
                </c:pt>
                <c:pt idx="4">
                  <c:v>1.5402499734235971E-23</c:v>
                </c:pt>
                <c:pt idx="5">
                  <c:v>1.5402499734235973E-22</c:v>
                </c:pt>
                <c:pt idx="6">
                  <c:v>1.5402499734235972E-21</c:v>
                </c:pt>
                <c:pt idx="7">
                  <c:v>1.5402499734235972E-20</c:v>
                </c:pt>
                <c:pt idx="8">
                  <c:v>1.5402499734235971E-19</c:v>
                </c:pt>
                <c:pt idx="9">
                  <c:v>1.5402499734235971E-18</c:v>
                </c:pt>
                <c:pt idx="10">
                  <c:v>1.5402499734235973E-17</c:v>
                </c:pt>
                <c:pt idx="11">
                  <c:v>1.5402499734235973E-16</c:v>
                </c:pt>
                <c:pt idx="12">
                  <c:v>1.5402499734235971E-15</c:v>
                </c:pt>
                <c:pt idx="13">
                  <c:v>1.5402499734235971E-14</c:v>
                </c:pt>
                <c:pt idx="14">
                  <c:v>1.5402499734235971E-13</c:v>
                </c:pt>
                <c:pt idx="15">
                  <c:v>1.5402499734235971E-12</c:v>
                </c:pt>
                <c:pt idx="16">
                  <c:v>1.540249973423597E-11</c:v>
                </c:pt>
                <c:pt idx="17">
                  <c:v>1.540249973423597E-10</c:v>
                </c:pt>
                <c:pt idx="18">
                  <c:v>1.5402499734235972E-9</c:v>
                </c:pt>
                <c:pt idx="19">
                  <c:v>1.540249973423597E-8</c:v>
                </c:pt>
                <c:pt idx="20">
                  <c:v>1.540249973423597E-7</c:v>
                </c:pt>
                <c:pt idx="21">
                  <c:v>1.5402499734235972E-6</c:v>
                </c:pt>
                <c:pt idx="22">
                  <c:v>1.5402499734235973E-5</c:v>
                </c:pt>
                <c:pt idx="23">
                  <c:v>1.5402499734235971E-4</c:v>
                </c:pt>
                <c:pt idx="24">
                  <c:v>1.5402499734235972E-3</c:v>
                </c:pt>
                <c:pt idx="25">
                  <c:v>1.5402499734235971E-2</c:v>
                </c:pt>
                <c:pt idx="26">
                  <c:v>0.15402499734235972</c:v>
                </c:pt>
                <c:pt idx="27">
                  <c:v>1.540249973423597</c:v>
                </c:pt>
                <c:pt idx="28">
                  <c:v>15.40249973423597</c:v>
                </c:pt>
                <c:pt idx="29">
                  <c:v>154.02499734235971</c:v>
                </c:pt>
                <c:pt idx="30">
                  <c:v>1540.2499734235971</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1.1749320639766188E-25</c:v>
                </c:pt>
                <c:pt idx="1">
                  <c:v>1.1749320639766185E-24</c:v>
                </c:pt>
                <c:pt idx="2">
                  <c:v>1.1749320639766187E-23</c:v>
                </c:pt>
                <c:pt idx="3">
                  <c:v>1.1749320639766186E-22</c:v>
                </c:pt>
                <c:pt idx="4">
                  <c:v>1.1749320639766186E-21</c:v>
                </c:pt>
                <c:pt idx="5">
                  <c:v>1.1749320639766187E-20</c:v>
                </c:pt>
                <c:pt idx="6">
                  <c:v>1.1749320639766188E-19</c:v>
                </c:pt>
                <c:pt idx="7">
                  <c:v>1.1749320639766186E-18</c:v>
                </c:pt>
                <c:pt idx="8">
                  <c:v>1.1749320639766185E-17</c:v>
                </c:pt>
                <c:pt idx="9">
                  <c:v>1.1749320639766185E-16</c:v>
                </c:pt>
                <c:pt idx="10">
                  <c:v>1.1749320639766186E-15</c:v>
                </c:pt>
                <c:pt idx="11">
                  <c:v>1.1749320639766186E-14</c:v>
                </c:pt>
                <c:pt idx="12">
                  <c:v>1.1749320639766186E-13</c:v>
                </c:pt>
                <c:pt idx="13">
                  <c:v>1.1749320639766187E-12</c:v>
                </c:pt>
                <c:pt idx="14">
                  <c:v>1.1749320639766186E-11</c:v>
                </c:pt>
                <c:pt idx="15">
                  <c:v>1.1749320639766186E-10</c:v>
                </c:pt>
                <c:pt idx="16">
                  <c:v>1.1749320639766185E-9</c:v>
                </c:pt>
                <c:pt idx="17">
                  <c:v>1.1749320639766186E-8</c:v>
                </c:pt>
                <c:pt idx="18">
                  <c:v>1.1749320639766186E-7</c:v>
                </c:pt>
                <c:pt idx="19">
                  <c:v>1.1749320639766185E-6</c:v>
                </c:pt>
                <c:pt idx="20">
                  <c:v>1.1749320639766187E-5</c:v>
                </c:pt>
                <c:pt idx="21">
                  <c:v>1.1749320639766186E-4</c:v>
                </c:pt>
                <c:pt idx="22">
                  <c:v>1.1749320639766186E-3</c:v>
                </c:pt>
                <c:pt idx="23">
                  <c:v>1.1749320639766187E-2</c:v>
                </c:pt>
                <c:pt idx="24">
                  <c:v>0.11749320639766186</c:v>
                </c:pt>
                <c:pt idx="25">
                  <c:v>1.1749320639766185</c:v>
                </c:pt>
                <c:pt idx="26">
                  <c:v>11.749320639766186</c:v>
                </c:pt>
                <c:pt idx="27">
                  <c:v>117.49320639766187</c:v>
                </c:pt>
                <c:pt idx="28">
                  <c:v>1174.9320639766186</c:v>
                </c:pt>
                <c:pt idx="29">
                  <c:v>11749.320639766185</c:v>
                </c:pt>
                <c:pt idx="30">
                  <c:v>117493.20639766187</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2.5458876689307422E-22</c:v>
                </c:pt>
                <c:pt idx="1">
                  <c:v>2.5458876689307419E-21</c:v>
                </c:pt>
                <c:pt idx="2">
                  <c:v>2.545887668930742E-20</c:v>
                </c:pt>
                <c:pt idx="3">
                  <c:v>2.5458876689307421E-19</c:v>
                </c:pt>
                <c:pt idx="4">
                  <c:v>2.5458876689307418E-18</c:v>
                </c:pt>
                <c:pt idx="5">
                  <c:v>2.5458876689307419E-17</c:v>
                </c:pt>
                <c:pt idx="6">
                  <c:v>2.5458876689307422E-16</c:v>
                </c:pt>
                <c:pt idx="7">
                  <c:v>2.5458876689307421E-15</c:v>
                </c:pt>
                <c:pt idx="8">
                  <c:v>2.5458876689307419E-14</c:v>
                </c:pt>
                <c:pt idx="9">
                  <c:v>2.5458876689307416E-13</c:v>
                </c:pt>
                <c:pt idx="10">
                  <c:v>2.545887668930742E-12</c:v>
                </c:pt>
                <c:pt idx="11">
                  <c:v>2.545887668930742E-11</c:v>
                </c:pt>
                <c:pt idx="12">
                  <c:v>2.545887668930742E-10</c:v>
                </c:pt>
                <c:pt idx="13">
                  <c:v>2.545887668930742E-9</c:v>
                </c:pt>
                <c:pt idx="14">
                  <c:v>2.5458876689307422E-8</c:v>
                </c:pt>
                <c:pt idx="15">
                  <c:v>2.5458876689307419E-7</c:v>
                </c:pt>
                <c:pt idx="16">
                  <c:v>2.545887668930742E-6</c:v>
                </c:pt>
                <c:pt idx="17">
                  <c:v>2.5458876689307419E-5</c:v>
                </c:pt>
                <c:pt idx="18">
                  <c:v>2.545887668930742E-4</c:v>
                </c:pt>
                <c:pt idx="19">
                  <c:v>2.5458876689307421E-3</c:v>
                </c:pt>
                <c:pt idx="20">
                  <c:v>2.5458876689307419E-2</c:v>
                </c:pt>
                <c:pt idx="21">
                  <c:v>0.25458876689307419</c:v>
                </c:pt>
                <c:pt idx="22">
                  <c:v>2.5458876689307419</c:v>
                </c:pt>
                <c:pt idx="23">
                  <c:v>25.45887668930742</c:v>
                </c:pt>
                <c:pt idx="24">
                  <c:v>254.58876689307419</c:v>
                </c:pt>
                <c:pt idx="25">
                  <c:v>2545.8876689307417</c:v>
                </c:pt>
                <c:pt idx="26">
                  <c:v>25458.876689307421</c:v>
                </c:pt>
                <c:pt idx="27">
                  <c:v>254588.76689307421</c:v>
                </c:pt>
                <c:pt idx="28">
                  <c:v>2545887.668930742</c:v>
                </c:pt>
                <c:pt idx="29">
                  <c:v>25458876.689307418</c:v>
                </c:pt>
                <c:pt idx="30">
                  <c:v>254588766.89307418</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1.0818141819105362E-9</c:v>
                </c:pt>
                <c:pt idx="1">
                  <c:v>1.0818141819105361E-8</c:v>
                </c:pt>
                <c:pt idx="2">
                  <c:v>1.0818141819105362E-7</c:v>
                </c:pt>
                <c:pt idx="3">
                  <c:v>1.0818141819105361E-6</c:v>
                </c:pt>
                <c:pt idx="4">
                  <c:v>1.0818141819105361E-5</c:v>
                </c:pt>
                <c:pt idx="5">
                  <c:v>1.0818141819105362E-4</c:v>
                </c:pt>
                <c:pt idx="6">
                  <c:v>1.0818141819105361E-3</c:v>
                </c:pt>
                <c:pt idx="7">
                  <c:v>1.0818141819105362E-2</c:v>
                </c:pt>
                <c:pt idx="8">
                  <c:v>0.1081814181910536</c:v>
                </c:pt>
                <c:pt idx="9">
                  <c:v>1.081814181910536</c:v>
                </c:pt>
                <c:pt idx="10">
                  <c:v>10.818141819105362</c:v>
                </c:pt>
                <c:pt idx="11">
                  <c:v>108.18141819105361</c:v>
                </c:pt>
                <c:pt idx="12">
                  <c:v>1081.814181910536</c:v>
                </c:pt>
                <c:pt idx="13">
                  <c:v>10818.141819105362</c:v>
                </c:pt>
                <c:pt idx="14">
                  <c:v>108181.41819105361</c:v>
                </c:pt>
                <c:pt idx="15">
                  <c:v>1081814.181910536</c:v>
                </c:pt>
                <c:pt idx="16">
                  <c:v>10818141.819105361</c:v>
                </c:pt>
                <c:pt idx="17">
                  <c:v>108181418.19105361</c:v>
                </c:pt>
                <c:pt idx="18">
                  <c:v>1081814181.9105361</c:v>
                </c:pt>
                <c:pt idx="19">
                  <c:v>10818141819.105362</c:v>
                </c:pt>
                <c:pt idx="20">
                  <c:v>108181418191.0536</c:v>
                </c:pt>
                <c:pt idx="21">
                  <c:v>1081814181910.5361</c:v>
                </c:pt>
                <c:pt idx="22">
                  <c:v>10818141819105.361</c:v>
                </c:pt>
                <c:pt idx="23">
                  <c:v>108181418191053.61</c:v>
                </c:pt>
                <c:pt idx="24">
                  <c:v>1081814181910536.1</c:v>
                </c:pt>
                <c:pt idx="25">
                  <c:v>1.0818141819105362E+16</c:v>
                </c:pt>
                <c:pt idx="26">
                  <c:v>1.0818141819105362E+17</c:v>
                </c:pt>
                <c:pt idx="27">
                  <c:v>1.0818141819105361E+18</c:v>
                </c:pt>
                <c:pt idx="28">
                  <c:v>1.0818141819105362E+19</c:v>
                </c:pt>
                <c:pt idx="29">
                  <c:v>1.081814181910536E+20</c:v>
                </c:pt>
                <c:pt idx="30">
                  <c:v>1.0818141819105361E+21</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6683944"/>
        <c:axId val="496676888"/>
      </c:scatterChart>
      <c:valAx>
        <c:axId val="49668394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6888"/>
        <c:crosses val="autoZero"/>
        <c:crossBetween val="midCat"/>
      </c:valAx>
      <c:valAx>
        <c:axId val="496676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394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6.7063984979372177E-35</c:v>
                </c:pt>
                <c:pt idx="1">
                  <c:v>6.7063984979372166E-34</c:v>
                </c:pt>
                <c:pt idx="2">
                  <c:v>6.7063984979372166E-33</c:v>
                </c:pt>
                <c:pt idx="3">
                  <c:v>6.7063984979372169E-32</c:v>
                </c:pt>
                <c:pt idx="4">
                  <c:v>6.7063984979372166E-31</c:v>
                </c:pt>
                <c:pt idx="5">
                  <c:v>6.706398497937217E-30</c:v>
                </c:pt>
                <c:pt idx="6">
                  <c:v>6.706398497937217E-29</c:v>
                </c:pt>
                <c:pt idx="7">
                  <c:v>6.7063984979372172E-28</c:v>
                </c:pt>
                <c:pt idx="8">
                  <c:v>6.7063984979372167E-27</c:v>
                </c:pt>
                <c:pt idx="9">
                  <c:v>6.7063984979372161E-26</c:v>
                </c:pt>
                <c:pt idx="10">
                  <c:v>6.7063984979372175E-25</c:v>
                </c:pt>
                <c:pt idx="11">
                  <c:v>6.7063984979372166E-24</c:v>
                </c:pt>
                <c:pt idx="12">
                  <c:v>6.7063984979372174E-23</c:v>
                </c:pt>
                <c:pt idx="13">
                  <c:v>6.7063984979372172E-22</c:v>
                </c:pt>
                <c:pt idx="14">
                  <c:v>6.7063984979372168E-21</c:v>
                </c:pt>
                <c:pt idx="15">
                  <c:v>6.7063984979372173E-20</c:v>
                </c:pt>
                <c:pt idx="16">
                  <c:v>6.7063984979372173E-19</c:v>
                </c:pt>
                <c:pt idx="17">
                  <c:v>6.7063984979372165E-18</c:v>
                </c:pt>
                <c:pt idx="18">
                  <c:v>6.7063984979372171E-17</c:v>
                </c:pt>
                <c:pt idx="19">
                  <c:v>6.7063984979372166E-16</c:v>
                </c:pt>
                <c:pt idx="20">
                  <c:v>6.7063984979372168E-15</c:v>
                </c:pt>
                <c:pt idx="21">
                  <c:v>6.7063984979372173E-14</c:v>
                </c:pt>
                <c:pt idx="22">
                  <c:v>6.7063984979372171E-13</c:v>
                </c:pt>
                <c:pt idx="23">
                  <c:v>6.7063984979372165E-12</c:v>
                </c:pt>
                <c:pt idx="24">
                  <c:v>6.7063984979372163E-11</c:v>
                </c:pt>
                <c:pt idx="25">
                  <c:v>6.7063984979372165E-10</c:v>
                </c:pt>
                <c:pt idx="26">
                  <c:v>6.706398497937217E-9</c:v>
                </c:pt>
                <c:pt idx="27">
                  <c:v>6.7063984979372163E-8</c:v>
                </c:pt>
                <c:pt idx="28">
                  <c:v>6.7063984979372166E-7</c:v>
                </c:pt>
                <c:pt idx="29">
                  <c:v>6.7063984979372172E-6</c:v>
                </c:pt>
                <c:pt idx="30">
                  <c:v>6.7063984979372172E-5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7.505803257846905E-30</c:v>
                </c:pt>
                <c:pt idx="1">
                  <c:v>7.505803257846905E-29</c:v>
                </c:pt>
                <c:pt idx="2">
                  <c:v>7.5058032578469052E-28</c:v>
                </c:pt>
                <c:pt idx="3">
                  <c:v>7.5058032578469045E-27</c:v>
                </c:pt>
                <c:pt idx="4">
                  <c:v>7.5058032578469042E-26</c:v>
                </c:pt>
                <c:pt idx="5">
                  <c:v>7.5058032578469053E-25</c:v>
                </c:pt>
                <c:pt idx="6">
                  <c:v>7.5058032578469055E-24</c:v>
                </c:pt>
                <c:pt idx="7">
                  <c:v>7.5058032578469055E-23</c:v>
                </c:pt>
                <c:pt idx="8">
                  <c:v>7.5058032578469051E-22</c:v>
                </c:pt>
                <c:pt idx="9">
                  <c:v>7.5058032578469053E-21</c:v>
                </c:pt>
                <c:pt idx="10">
                  <c:v>7.5058032578469056E-20</c:v>
                </c:pt>
                <c:pt idx="11">
                  <c:v>7.5058032578469051E-19</c:v>
                </c:pt>
                <c:pt idx="12">
                  <c:v>7.5058032578469051E-18</c:v>
                </c:pt>
                <c:pt idx="13">
                  <c:v>7.5058032578469057E-17</c:v>
                </c:pt>
                <c:pt idx="14">
                  <c:v>7.5058032578469059E-16</c:v>
                </c:pt>
                <c:pt idx="15">
                  <c:v>7.5058032578469044E-15</c:v>
                </c:pt>
                <c:pt idx="16">
                  <c:v>7.505803257846905E-14</c:v>
                </c:pt>
                <c:pt idx="17">
                  <c:v>7.5058032578469047E-13</c:v>
                </c:pt>
                <c:pt idx="18">
                  <c:v>7.5058032578469043E-12</c:v>
                </c:pt>
                <c:pt idx="19">
                  <c:v>7.505803257846905E-11</c:v>
                </c:pt>
                <c:pt idx="20">
                  <c:v>7.5058032578469052E-10</c:v>
                </c:pt>
                <c:pt idx="21">
                  <c:v>7.5058032578469054E-9</c:v>
                </c:pt>
                <c:pt idx="22">
                  <c:v>7.5058032578469048E-8</c:v>
                </c:pt>
                <c:pt idx="23">
                  <c:v>7.5058032578469053E-7</c:v>
                </c:pt>
                <c:pt idx="24">
                  <c:v>7.5058032578469047E-6</c:v>
                </c:pt>
                <c:pt idx="25">
                  <c:v>7.5058032578469055E-5</c:v>
                </c:pt>
                <c:pt idx="26">
                  <c:v>7.505803257846905E-4</c:v>
                </c:pt>
                <c:pt idx="27">
                  <c:v>7.5058032578469054E-3</c:v>
                </c:pt>
                <c:pt idx="28">
                  <c:v>7.5058032578469047E-2</c:v>
                </c:pt>
                <c:pt idx="29">
                  <c:v>0.75058032578469047</c:v>
                </c:pt>
                <c:pt idx="30">
                  <c:v>7.5058032578469049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1.5402499734235971E-27</c:v>
                </c:pt>
                <c:pt idx="1">
                  <c:v>1.540249973423597E-26</c:v>
                </c:pt>
                <c:pt idx="2">
                  <c:v>1.5402499734235972E-25</c:v>
                </c:pt>
                <c:pt idx="3">
                  <c:v>1.5402499734235971E-24</c:v>
                </c:pt>
                <c:pt idx="4">
                  <c:v>1.5402499734235971E-23</c:v>
                </c:pt>
                <c:pt idx="5">
                  <c:v>1.5402499734235973E-22</c:v>
                </c:pt>
                <c:pt idx="6">
                  <c:v>1.5402499734235972E-21</c:v>
                </c:pt>
                <c:pt idx="7">
                  <c:v>1.5402499734235972E-20</c:v>
                </c:pt>
                <c:pt idx="8">
                  <c:v>1.5402499734235971E-19</c:v>
                </c:pt>
                <c:pt idx="9">
                  <c:v>1.5402499734235971E-18</c:v>
                </c:pt>
                <c:pt idx="10">
                  <c:v>1.5402499734235973E-17</c:v>
                </c:pt>
                <c:pt idx="11">
                  <c:v>1.5402499734235973E-16</c:v>
                </c:pt>
                <c:pt idx="12">
                  <c:v>1.5402499734235971E-15</c:v>
                </c:pt>
                <c:pt idx="13">
                  <c:v>1.5402499734235971E-14</c:v>
                </c:pt>
                <c:pt idx="14">
                  <c:v>1.5402499734235971E-13</c:v>
                </c:pt>
                <c:pt idx="15">
                  <c:v>1.5402499734235971E-12</c:v>
                </c:pt>
                <c:pt idx="16">
                  <c:v>1.540249973423597E-11</c:v>
                </c:pt>
                <c:pt idx="17">
                  <c:v>1.540249973423597E-10</c:v>
                </c:pt>
                <c:pt idx="18">
                  <c:v>1.5402499734235972E-9</c:v>
                </c:pt>
                <c:pt idx="19">
                  <c:v>1.540249973423597E-8</c:v>
                </c:pt>
                <c:pt idx="20">
                  <c:v>1.540249973423597E-7</c:v>
                </c:pt>
                <c:pt idx="21">
                  <c:v>1.5402499734235972E-6</c:v>
                </c:pt>
                <c:pt idx="22">
                  <c:v>1.5402499734235973E-5</c:v>
                </c:pt>
                <c:pt idx="23">
                  <c:v>1.5402499734235971E-4</c:v>
                </c:pt>
                <c:pt idx="24">
                  <c:v>1.5402499734235972E-3</c:v>
                </c:pt>
                <c:pt idx="25">
                  <c:v>1.5402499734235971E-2</c:v>
                </c:pt>
                <c:pt idx="26">
                  <c:v>0.15402499734235972</c:v>
                </c:pt>
                <c:pt idx="27">
                  <c:v>1.540249973423597</c:v>
                </c:pt>
                <c:pt idx="28">
                  <c:v>15.40249973423597</c:v>
                </c:pt>
                <c:pt idx="29">
                  <c:v>154.02499734235971</c:v>
                </c:pt>
                <c:pt idx="30">
                  <c:v>1540.2499734235971</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1.1749320639766188E-25</c:v>
                </c:pt>
                <c:pt idx="1">
                  <c:v>1.1749320639766185E-24</c:v>
                </c:pt>
                <c:pt idx="2">
                  <c:v>1.1749320639766187E-23</c:v>
                </c:pt>
                <c:pt idx="3">
                  <c:v>1.1749320639766186E-22</c:v>
                </c:pt>
                <c:pt idx="4">
                  <c:v>1.1749320639766186E-21</c:v>
                </c:pt>
                <c:pt idx="5">
                  <c:v>1.1749320639766187E-20</c:v>
                </c:pt>
                <c:pt idx="6">
                  <c:v>1.1749320639766188E-19</c:v>
                </c:pt>
                <c:pt idx="7">
                  <c:v>1.1749320639766186E-18</c:v>
                </c:pt>
                <c:pt idx="8">
                  <c:v>1.1749320639766185E-17</c:v>
                </c:pt>
                <c:pt idx="9">
                  <c:v>1.1749320639766185E-16</c:v>
                </c:pt>
                <c:pt idx="10">
                  <c:v>1.1749320639766186E-15</c:v>
                </c:pt>
                <c:pt idx="11">
                  <c:v>1.1749320639766186E-14</c:v>
                </c:pt>
                <c:pt idx="12">
                  <c:v>1.1749320639766186E-13</c:v>
                </c:pt>
                <c:pt idx="13">
                  <c:v>1.1749320639766187E-12</c:v>
                </c:pt>
                <c:pt idx="14">
                  <c:v>1.1749320639766186E-11</c:v>
                </c:pt>
                <c:pt idx="15">
                  <c:v>1.1749320639766186E-10</c:v>
                </c:pt>
                <c:pt idx="16">
                  <c:v>1.1749320639766185E-9</c:v>
                </c:pt>
                <c:pt idx="17">
                  <c:v>1.1749320639766186E-8</c:v>
                </c:pt>
                <c:pt idx="18">
                  <c:v>1.1749320639766186E-7</c:v>
                </c:pt>
                <c:pt idx="19">
                  <c:v>1.1749320639766185E-6</c:v>
                </c:pt>
                <c:pt idx="20">
                  <c:v>1.1749320639766187E-5</c:v>
                </c:pt>
                <c:pt idx="21">
                  <c:v>1.1749320639766186E-4</c:v>
                </c:pt>
                <c:pt idx="22">
                  <c:v>1.1749320639766186E-3</c:v>
                </c:pt>
                <c:pt idx="23">
                  <c:v>1.1749320639766187E-2</c:v>
                </c:pt>
                <c:pt idx="24">
                  <c:v>0.11749320639766186</c:v>
                </c:pt>
                <c:pt idx="25">
                  <c:v>1.1749320639766185</c:v>
                </c:pt>
                <c:pt idx="26">
                  <c:v>11.749320639766186</c:v>
                </c:pt>
                <c:pt idx="27">
                  <c:v>117.49320639766187</c:v>
                </c:pt>
                <c:pt idx="28">
                  <c:v>1174.9320639766186</c:v>
                </c:pt>
                <c:pt idx="29">
                  <c:v>11749.320639766185</c:v>
                </c:pt>
                <c:pt idx="30">
                  <c:v>117493.20639766187</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2.5458876689307422E-22</c:v>
                </c:pt>
                <c:pt idx="1">
                  <c:v>2.5458876689307419E-21</c:v>
                </c:pt>
                <c:pt idx="2">
                  <c:v>2.545887668930742E-20</c:v>
                </c:pt>
                <c:pt idx="3">
                  <c:v>2.5458876689307421E-19</c:v>
                </c:pt>
                <c:pt idx="4">
                  <c:v>2.5458876689307418E-18</c:v>
                </c:pt>
                <c:pt idx="5">
                  <c:v>2.5458876689307419E-17</c:v>
                </c:pt>
                <c:pt idx="6">
                  <c:v>2.5458876689307422E-16</c:v>
                </c:pt>
                <c:pt idx="7">
                  <c:v>2.5458876689307421E-15</c:v>
                </c:pt>
                <c:pt idx="8">
                  <c:v>2.5458876689307419E-14</c:v>
                </c:pt>
                <c:pt idx="9">
                  <c:v>2.5458876689307416E-13</c:v>
                </c:pt>
                <c:pt idx="10">
                  <c:v>2.545887668930742E-12</c:v>
                </c:pt>
                <c:pt idx="11">
                  <c:v>2.545887668930742E-11</c:v>
                </c:pt>
                <c:pt idx="12">
                  <c:v>2.545887668930742E-10</c:v>
                </c:pt>
                <c:pt idx="13">
                  <c:v>2.545887668930742E-9</c:v>
                </c:pt>
                <c:pt idx="14">
                  <c:v>2.5458876689307422E-8</c:v>
                </c:pt>
                <c:pt idx="15">
                  <c:v>2.5458876689307419E-7</c:v>
                </c:pt>
                <c:pt idx="16">
                  <c:v>2.545887668930742E-6</c:v>
                </c:pt>
                <c:pt idx="17">
                  <c:v>2.5458876689307419E-5</c:v>
                </c:pt>
                <c:pt idx="18">
                  <c:v>2.545887668930742E-4</c:v>
                </c:pt>
                <c:pt idx="19">
                  <c:v>2.5458876689307421E-3</c:v>
                </c:pt>
                <c:pt idx="20">
                  <c:v>2.5458876689307419E-2</c:v>
                </c:pt>
                <c:pt idx="21">
                  <c:v>0.25458876689307419</c:v>
                </c:pt>
                <c:pt idx="22">
                  <c:v>2.5458876689307419</c:v>
                </c:pt>
                <c:pt idx="23">
                  <c:v>25.45887668930742</c:v>
                </c:pt>
                <c:pt idx="24">
                  <c:v>254.58876689307419</c:v>
                </c:pt>
                <c:pt idx="25">
                  <c:v>2545.8876689307417</c:v>
                </c:pt>
                <c:pt idx="26">
                  <c:v>25458.876689307421</c:v>
                </c:pt>
                <c:pt idx="27">
                  <c:v>254588.76689307421</c:v>
                </c:pt>
                <c:pt idx="28">
                  <c:v>2545887.668930742</c:v>
                </c:pt>
                <c:pt idx="29">
                  <c:v>25458876.689307418</c:v>
                </c:pt>
                <c:pt idx="30">
                  <c:v>254588766.89307418</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1.0818141819105362E-9</c:v>
                </c:pt>
                <c:pt idx="1">
                  <c:v>1.0818141819105361E-8</c:v>
                </c:pt>
                <c:pt idx="2">
                  <c:v>1.0818141819105362E-7</c:v>
                </c:pt>
                <c:pt idx="3">
                  <c:v>1.0818141819105361E-6</c:v>
                </c:pt>
                <c:pt idx="4">
                  <c:v>1.0818141819105361E-5</c:v>
                </c:pt>
                <c:pt idx="5">
                  <c:v>1.0818141819105362E-4</c:v>
                </c:pt>
                <c:pt idx="6">
                  <c:v>1.0818141819105361E-3</c:v>
                </c:pt>
                <c:pt idx="7">
                  <c:v>1.0818141819105362E-2</c:v>
                </c:pt>
                <c:pt idx="8">
                  <c:v>0.1081814181910536</c:v>
                </c:pt>
                <c:pt idx="9">
                  <c:v>1.081814181910536</c:v>
                </c:pt>
                <c:pt idx="10">
                  <c:v>10.818141819105362</c:v>
                </c:pt>
                <c:pt idx="11">
                  <c:v>108.18141819105361</c:v>
                </c:pt>
                <c:pt idx="12">
                  <c:v>1081.814181910536</c:v>
                </c:pt>
                <c:pt idx="13">
                  <c:v>10818.141819105362</c:v>
                </c:pt>
                <c:pt idx="14">
                  <c:v>108181.41819105361</c:v>
                </c:pt>
                <c:pt idx="15">
                  <c:v>1081814.181910536</c:v>
                </c:pt>
                <c:pt idx="16">
                  <c:v>10818141.819105361</c:v>
                </c:pt>
                <c:pt idx="17">
                  <c:v>108181418.19105361</c:v>
                </c:pt>
                <c:pt idx="18">
                  <c:v>1081814181.9105361</c:v>
                </c:pt>
                <c:pt idx="19">
                  <c:v>10818141819.105362</c:v>
                </c:pt>
                <c:pt idx="20">
                  <c:v>108181418191.0536</c:v>
                </c:pt>
                <c:pt idx="21">
                  <c:v>1081814181910.5361</c:v>
                </c:pt>
                <c:pt idx="22">
                  <c:v>10818141819105.361</c:v>
                </c:pt>
                <c:pt idx="23">
                  <c:v>108181418191053.61</c:v>
                </c:pt>
                <c:pt idx="24">
                  <c:v>1081814181910536.1</c:v>
                </c:pt>
                <c:pt idx="25">
                  <c:v>1.0818141819105362E+16</c:v>
                </c:pt>
                <c:pt idx="26">
                  <c:v>1.0818141819105362E+17</c:v>
                </c:pt>
                <c:pt idx="27">
                  <c:v>1.0818141819105361E+18</c:v>
                </c:pt>
                <c:pt idx="28">
                  <c:v>1.0818141819105362E+19</c:v>
                </c:pt>
                <c:pt idx="29">
                  <c:v>1.081814181910536E+20</c:v>
                </c:pt>
                <c:pt idx="30">
                  <c:v>1.0818141819105361E+21</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6677280"/>
        <c:axId val="497148224"/>
      </c:scatterChart>
      <c:valAx>
        <c:axId val="4966772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8224"/>
        <c:crosses val="autoZero"/>
        <c:crossBetween val="midCat"/>
      </c:valAx>
      <c:valAx>
        <c:axId val="497148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728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-44.148639789513958</c:v>
                </c:pt>
                <c:pt idx="1">
                  <c:v>-43.918987289151943</c:v>
                </c:pt>
                <c:pt idx="2">
                  <c:v>-43.689105948276868</c:v>
                </c:pt>
                <c:pt idx="3">
                  <c:v>-43.458766926375674</c:v>
                </c:pt>
                <c:pt idx="4">
                  <c:v>-43.227741382935321</c:v>
                </c:pt>
                <c:pt idx="5">
                  <c:v>-42.995800477442749</c:v>
                </c:pt>
                <c:pt idx="6">
                  <c:v>-42.762715369384892</c:v>
                </c:pt>
                <c:pt idx="7">
                  <c:v>-42.528257218248704</c:v>
                </c:pt>
                <c:pt idx="8">
                  <c:v>-42.292197183521125</c:v>
                </c:pt>
                <c:pt idx="9">
                  <c:v>-42.054306424689102</c:v>
                </c:pt>
                <c:pt idx="10">
                  <c:v>-41.814356101239568</c:v>
                </c:pt>
                <c:pt idx="11">
                  <c:v>-41.572117372659491</c:v>
                </c:pt>
                <c:pt idx="12">
                  <c:v>-41.327361398435798</c:v>
                </c:pt>
                <c:pt idx="13">
                  <c:v>-41.079859338055428</c:v>
                </c:pt>
                <c:pt idx="14">
                  <c:v>-40.829382351005343</c:v>
                </c:pt>
                <c:pt idx="15">
                  <c:v>-40.575701596772475</c:v>
                </c:pt>
                <c:pt idx="16">
                  <c:v>-40.318588234843773</c:v>
                </c:pt>
                <c:pt idx="17">
                  <c:v>-40.057813424706175</c:v>
                </c:pt>
                <c:pt idx="18">
                  <c:v>-39.79314832584663</c:v>
                </c:pt>
                <c:pt idx="19">
                  <c:v>-39.524364097752091</c:v>
                </c:pt>
                <c:pt idx="20">
                  <c:v>-39.251231899909484</c:v>
                </c:pt>
                <c:pt idx="21">
                  <c:v>-38.973522891805771</c:v>
                </c:pt>
                <c:pt idx="22">
                  <c:v>-38.691008232927885</c:v>
                </c:pt>
                <c:pt idx="23">
                  <c:v>-38.40345908276278</c:v>
                </c:pt>
                <c:pt idx="24">
                  <c:v>-38.110646600797381</c:v>
                </c:pt>
                <c:pt idx="25">
                  <c:v>-37.812341946518643</c:v>
                </c:pt>
                <c:pt idx="26">
                  <c:v>-37.508316279413528</c:v>
                </c:pt>
                <c:pt idx="27">
                  <c:v>-37.198340758968961</c:v>
                </c:pt>
                <c:pt idx="28">
                  <c:v>-36.882186544671882</c:v>
                </c:pt>
                <c:pt idx="29">
                  <c:v>-36.559624796009246</c:v>
                </c:pt>
                <c:pt idx="30">
                  <c:v>-36.230426672467999</c:v>
                </c:pt>
                <c:pt idx="31">
                  <c:v>-35.894363333535075</c:v>
                </c:pt>
                <c:pt idx="32">
                  <c:v>-35.551205938697429</c:v>
                </c:pt>
                <c:pt idx="33">
                  <c:v>-35.200725647441999</c:v>
                </c:pt>
                <c:pt idx="34">
                  <c:v>-34.842693619255733</c:v>
                </c:pt>
                <c:pt idx="35">
                  <c:v>-34.476881013625572</c:v>
                </c:pt>
                <c:pt idx="36">
                  <c:v>-34.103058990038463</c:v>
                </c:pt>
                <c:pt idx="37">
                  <c:v>-33.720998707981337</c:v>
                </c:pt>
                <c:pt idx="38">
                  <c:v>-33.330471326941165</c:v>
                </c:pt>
                <c:pt idx="39">
                  <c:v>-32.931248006404871</c:v>
                </c:pt>
                <c:pt idx="40">
                  <c:v>-32.523099905859404</c:v>
                </c:pt>
                <c:pt idx="41">
                  <c:v>-32.356855853195633</c:v>
                </c:pt>
                <c:pt idx="42">
                  <c:v>-32.182065166147972</c:v>
                </c:pt>
                <c:pt idx="43">
                  <c:v>-31.999334830854753</c:v>
                </c:pt>
                <c:pt idx="44">
                  <c:v>-31.809271833454318</c:v>
                </c:pt>
                <c:pt idx="45">
                  <c:v>-31.612483160084999</c:v>
                </c:pt>
                <c:pt idx="46">
                  <c:v>-31.409575796885132</c:v>
                </c:pt>
                <c:pt idx="47">
                  <c:v>-31.201156729993052</c:v>
                </c:pt>
                <c:pt idx="48">
                  <c:v>-30.987832945547098</c:v>
                </c:pt>
                <c:pt idx="49">
                  <c:v>-30.770211429685602</c:v>
                </c:pt>
                <c:pt idx="50">
                  <c:v>-30.548899168546903</c:v>
                </c:pt>
                <c:pt idx="51">
                  <c:v>-30.324503148269343</c:v>
                </c:pt>
                <c:pt idx="52">
                  <c:v>-30.097630354991246</c:v>
                </c:pt>
                <c:pt idx="53">
                  <c:v>-29.868887774850958</c:v>
                </c:pt>
                <c:pt idx="54">
                  <c:v>-29.638882393986808</c:v>
                </c:pt>
                <c:pt idx="55">
                  <c:v>-29.408221198537134</c:v>
                </c:pt>
                <c:pt idx="56">
                  <c:v>-29.17751117464028</c:v>
                </c:pt>
                <c:pt idx="57">
                  <c:v>-28.947359308434571</c:v>
                </c:pt>
                <c:pt idx="58">
                  <c:v>-28.718372586058344</c:v>
                </c:pt>
                <c:pt idx="59">
                  <c:v>-28.491157993649942</c:v>
                </c:pt>
                <c:pt idx="60">
                  <c:v>-28.266322517347696</c:v>
                </c:pt>
                <c:pt idx="61">
                  <c:v>-28.044473143289949</c:v>
                </c:pt>
                <c:pt idx="62">
                  <c:v>-27.82621685761503</c:v>
                </c:pt>
                <c:pt idx="63">
                  <c:v>-27.612160646461273</c:v>
                </c:pt>
                <c:pt idx="64">
                  <c:v>-27.402911495967022</c:v>
                </c:pt>
                <c:pt idx="65">
                  <c:v>-27.199076392270609</c:v>
                </c:pt>
                <c:pt idx="66">
                  <c:v>-27.001084813807207</c:v>
                </c:pt>
                <c:pt idx="67">
                  <c:v>-26.808656208199356</c:v>
                </c:pt>
                <c:pt idx="68">
                  <c:v>-26.621332515366422</c:v>
                </c:pt>
                <c:pt idx="69">
                  <c:v>-26.438655675227785</c:v>
                </c:pt>
                <c:pt idx="70">
                  <c:v>-26.26016762770281</c:v>
                </c:pt>
                <c:pt idx="71">
                  <c:v>-26.085410312710884</c:v>
                </c:pt>
                <c:pt idx="72">
                  <c:v>-25.913925670171363</c:v>
                </c:pt>
                <c:pt idx="73">
                  <c:v>-25.745255640003634</c:v>
                </c:pt>
                <c:pt idx="74">
                  <c:v>-25.57894216212706</c:v>
                </c:pt>
                <c:pt idx="75">
                  <c:v>-25.414527176461021</c:v>
                </c:pt>
                <c:pt idx="76">
                  <c:v>-25.251552622924887</c:v>
                </c:pt>
                <c:pt idx="77">
                  <c:v>-25.089560441438032</c:v>
                </c:pt>
                <c:pt idx="78">
                  <c:v>-24.928092571919827</c:v>
                </c:pt>
                <c:pt idx="79">
                  <c:v>-24.766690954289651</c:v>
                </c:pt>
                <c:pt idx="80">
                  <c:v>-24.604897528466871</c:v>
                </c:pt>
                <c:pt idx="81">
                  <c:v>-24.442254234370864</c:v>
                </c:pt>
                <c:pt idx="82">
                  <c:v>-24.278303011921004</c:v>
                </c:pt>
                <c:pt idx="83">
                  <c:v>-24.112585801036658</c:v>
                </c:pt>
                <c:pt idx="84">
                  <c:v>-23.944644541637203</c:v>
                </c:pt>
                <c:pt idx="85">
                  <c:v>-23.774021173642016</c:v>
                </c:pt>
                <c:pt idx="86">
                  <c:v>-23.600257636970461</c:v>
                </c:pt>
                <c:pt idx="87">
                  <c:v>-23.422895871541925</c:v>
                </c:pt>
                <c:pt idx="88">
                  <c:v>-23.241477817275765</c:v>
                </c:pt>
                <c:pt idx="89">
                  <c:v>-23.055545414091362</c:v>
                </c:pt>
                <c:pt idx="90">
                  <c:v>-22.864640601908093</c:v>
                </c:pt>
                <c:pt idx="91">
                  <c:v>-22.66840273798682</c:v>
                </c:pt>
                <c:pt idx="92">
                  <c:v>-22.466860848954401</c:v>
                </c:pt>
                <c:pt idx="93">
                  <c:v>-22.260141378779171</c:v>
                </c:pt>
                <c:pt idx="94">
                  <c:v>-22.048370771429489</c:v>
                </c:pt>
                <c:pt idx="95">
                  <c:v>-21.831675470873687</c:v>
                </c:pt>
                <c:pt idx="96">
                  <c:v>-21.610181921080127</c:v>
                </c:pt>
                <c:pt idx="97">
                  <c:v>-21.384016566017142</c:v>
                </c:pt>
                <c:pt idx="98">
                  <c:v>-21.153305849653091</c:v>
                </c:pt>
                <c:pt idx="99">
                  <c:v>-20.918176215956301</c:v>
                </c:pt>
                <c:pt idx="100">
                  <c:v>-20.678754108895138</c:v>
                </c:pt>
                <c:pt idx="101">
                  <c:v>-20.43516597243794</c:v>
                </c:pt>
                <c:pt idx="102">
                  <c:v>-20.18753825055305</c:v>
                </c:pt>
                <c:pt idx="103">
                  <c:v>-19.935997387208822</c:v>
                </c:pt>
                <c:pt idx="104">
                  <c:v>-19.680669826373595</c:v>
                </c:pt>
                <c:pt idx="105">
                  <c:v>-19.421682012015715</c:v>
                </c:pt>
                <c:pt idx="106">
                  <c:v>-19.159160388103537</c:v>
                </c:pt>
                <c:pt idx="107">
                  <c:v>-18.893231398605394</c:v>
                </c:pt>
                <c:pt idx="108">
                  <c:v>-18.624021487489646</c:v>
                </c:pt>
                <c:pt idx="109">
                  <c:v>-18.35165709872463</c:v>
                </c:pt>
                <c:pt idx="110">
                  <c:v>-18.076264676278697</c:v>
                </c:pt>
                <c:pt idx="111">
                  <c:v>-17.797970664120186</c:v>
                </c:pt>
                <c:pt idx="112">
                  <c:v>-17.516901506217451</c:v>
                </c:pt>
                <c:pt idx="113">
                  <c:v>-17.233183646538837</c:v>
                </c:pt>
                <c:pt idx="114">
                  <c:v>-16.946943529052685</c:v>
                </c:pt>
                <c:pt idx="115">
                  <c:v>-16.658307597727347</c:v>
                </c:pt>
                <c:pt idx="116">
                  <c:v>-16.367402296531168</c:v>
                </c:pt>
                <c:pt idx="117">
                  <c:v>-16.074354069432495</c:v>
                </c:pt>
                <c:pt idx="118">
                  <c:v>-15.779289360399668</c:v>
                </c:pt>
                <c:pt idx="119">
                  <c:v>-15.48233461340104</c:v>
                </c:pt>
                <c:pt idx="120">
                  <c:v>-15.183616272404953</c:v>
                </c:pt>
                <c:pt idx="121">
                  <c:v>-14.883239203765635</c:v>
                </c:pt>
                <c:pt idx="122">
                  <c:v>-14.581221963380811</c:v>
                </c:pt>
                <c:pt idx="123">
                  <c:v>-14.277561529534097</c:v>
                </c:pt>
                <c:pt idx="124">
                  <c:v>-13.972254880509098</c:v>
                </c:pt>
                <c:pt idx="125">
                  <c:v>-13.665298994589424</c:v>
                </c:pt>
                <c:pt idx="126">
                  <c:v>-13.356690850058682</c:v>
                </c:pt>
                <c:pt idx="127">
                  <c:v>-13.046427425200486</c:v>
                </c:pt>
                <c:pt idx="128">
                  <c:v>-12.73450569829844</c:v>
                </c:pt>
                <c:pt idx="129">
                  <c:v>-12.420922647636155</c:v>
                </c:pt>
                <c:pt idx="130">
                  <c:v>-12.105675251497239</c:v>
                </c:pt>
                <c:pt idx="131">
                  <c:v>-11.788760488165304</c:v>
                </c:pt>
                <c:pt idx="132">
                  <c:v>-11.470175335923955</c:v>
                </c:pt>
                <c:pt idx="133">
                  <c:v>-11.149916773056804</c:v>
                </c:pt>
                <c:pt idx="134">
                  <c:v>-10.827981777847457</c:v>
                </c:pt>
                <c:pt idx="135">
                  <c:v>-10.504367328579526</c:v>
                </c:pt>
                <c:pt idx="136">
                  <c:v>-10.179070403536619</c:v>
                </c:pt>
                <c:pt idx="137">
                  <c:v>-9.8520879810023452</c:v>
                </c:pt>
                <c:pt idx="138">
                  <c:v>-9.5234170392603108</c:v>
                </c:pt>
                <c:pt idx="139">
                  <c:v>-9.1930545565941273</c:v>
                </c:pt>
                <c:pt idx="140">
                  <c:v>-8.8609975112874064</c:v>
                </c:pt>
                <c:pt idx="141">
                  <c:v>-8.5272428816237493</c:v>
                </c:pt>
                <c:pt idx="142">
                  <c:v>-8.1917876458867749</c:v>
                </c:pt>
                <c:pt idx="143">
                  <c:v>-7.8546287823600851</c:v>
                </c:pt>
                <c:pt idx="144">
                  <c:v>-7.51576326932729</c:v>
                </c:pt>
                <c:pt idx="145">
                  <c:v>-7.1751880850720013</c:v>
                </c:pt>
                <c:pt idx="146">
                  <c:v>-6.8329002078778247</c:v>
                </c:pt>
                <c:pt idx="147">
                  <c:v>-6.488896616028371</c:v>
                </c:pt>
                <c:pt idx="148">
                  <c:v>-6.1431742878072484</c:v>
                </c:pt>
                <c:pt idx="149">
                  <c:v>-5.7957302014980669</c:v>
                </c:pt>
                <c:pt idx="150">
                  <c:v>-5.4465613353844349</c:v>
                </c:pt>
                <c:pt idx="151">
                  <c:v>-5.0956646677499613</c:v>
                </c:pt>
                <c:pt idx="152">
                  <c:v>-4.7430371768782544</c:v>
                </c:pt>
                <c:pt idx="153">
                  <c:v>-4.3886758410529252</c:v>
                </c:pt>
                <c:pt idx="154">
                  <c:v>-4.0325776385575809</c:v>
                </c:pt>
                <c:pt idx="155">
                  <c:v>-3.6747395476758307</c:v>
                </c:pt>
                <c:pt idx="156">
                  <c:v>-3.3151585466912841</c:v>
                </c:pt>
                <c:pt idx="157">
                  <c:v>-2.9538316138875498</c:v>
                </c:pt>
                <c:pt idx="158">
                  <c:v>-2.5907557275482369</c:v>
                </c:pt>
                <c:pt idx="159">
                  <c:v>-2.2259278659569546</c:v>
                </c:pt>
                <c:pt idx="160">
                  <c:v>-1.8593450073973115</c:v>
                </c:pt>
                <c:pt idx="161">
                  <c:v>-1.4910041301529164</c:v>
                </c:pt>
                <c:pt idx="162">
                  <c:v>-1.1209022125073789</c:v>
                </c:pt>
                <c:pt idx="163">
                  <c:v>-0.74903623274430764</c:v>
                </c:pt>
                <c:pt idx="164">
                  <c:v>-0.3754031691473117</c:v>
                </c:pt>
                <c:pt idx="165">
                  <c:v>0</c:v>
                </c:pt>
                <c:pt idx="166">
                  <c:v>0.3771673493314453</c:v>
                </c:pt>
                <c:pt idx="167">
                  <c:v>0.75605716515054855</c:v>
                </c:pt>
                <c:pt idx="168">
                  <c:v>1.1366187866782611</c:v>
                </c:pt>
                <c:pt idx="169">
                  <c:v>1.5188015531355339</c:v>
                </c:pt>
                <c:pt idx="170">
                  <c:v>1.9025548037433186</c:v>
                </c:pt>
                <c:pt idx="171">
                  <c:v>2.2878278777225662</c:v>
                </c:pt>
                <c:pt idx="172">
                  <c:v>2.674570114294228</c:v>
                </c:pt>
                <c:pt idx="173">
                  <c:v>3.0627308526792554</c:v>
                </c:pt>
                <c:pt idx="174">
                  <c:v>3.4522594320985989</c:v>
                </c:pt>
                <c:pt idx="175">
                  <c:v>3.8431051917732106</c:v>
                </c:pt>
                <c:pt idx="176">
                  <c:v>4.2352174709240415</c:v>
                </c:pt>
                <c:pt idx="177">
                  <c:v>4.6285456087720425</c:v>
                </c:pt>
                <c:pt idx="178">
                  <c:v>5.0230389445381656</c:v>
                </c:pt>
                <c:pt idx="179">
                  <c:v>5.4186468174433609</c:v>
                </c:pt>
                <c:pt idx="180">
                  <c:v>5.8153185667085809</c:v>
                </c:pt>
                <c:pt idx="181">
                  <c:v>6.2130035315547758</c:v>
                </c:pt>
                <c:pt idx="182">
                  <c:v>6.6116510512028972</c:v>
                </c:pt>
                <c:pt idx="183">
                  <c:v>7.0112104648738969</c:v>
                </c:pt>
                <c:pt idx="184">
                  <c:v>7.4116311117887248</c:v>
                </c:pt>
                <c:pt idx="185">
                  <c:v>7.8128623311683336</c:v>
                </c:pt>
                <c:pt idx="186">
                  <c:v>8.2148534622336715</c:v>
                </c:pt>
                <c:pt idx="187">
                  <c:v>8.6175538442056965</c:v>
                </c:pt>
                <c:pt idx="188">
                  <c:v>9.0209128163053531</c:v>
                </c:pt>
                <c:pt idx="189">
                  <c:v>9.4248797177535941</c:v>
                </c:pt>
                <c:pt idx="190">
                  <c:v>9.8294038877713721</c:v>
                </c:pt>
                <c:pt idx="191">
                  <c:v>10.234434665579638</c:v>
                </c:pt>
                <c:pt idx="192">
                  <c:v>10.639921390399344</c:v>
                </c:pt>
                <c:pt idx="193">
                  <c:v>11.045813401451438</c:v>
                </c:pt>
                <c:pt idx="194">
                  <c:v>11.452060037956873</c:v>
                </c:pt>
                <c:pt idx="195">
                  <c:v>11.858610639136604</c:v>
                </c:pt>
                <c:pt idx="196">
                  <c:v>12.265414544211577</c:v>
                </c:pt>
                <c:pt idx="197">
                  <c:v>12.672421092402743</c:v>
                </c:pt>
                <c:pt idx="198">
                  <c:v>13.079579622931057</c:v>
                </c:pt>
                <c:pt idx="199">
                  <c:v>13.486839475017469</c:v>
                </c:pt>
                <c:pt idx="200">
                  <c:v>13.89414998788293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-44.148639789513958</c:v>
                </c:pt>
                <c:pt idx="1">
                  <c:v>-32.523099905859404</c:v>
                </c:pt>
                <c:pt idx="2">
                  <c:v>-27.199076392270609</c:v>
                </c:pt>
                <c:pt idx="3">
                  <c:v>-22.864640601908093</c:v>
                </c:pt>
                <c:pt idx="4">
                  <c:v>-15.183616272404954</c:v>
                </c:pt>
                <c:pt idx="5">
                  <c:v>0</c:v>
                </c:pt>
                <c:pt idx="6">
                  <c:v>13.89414998788293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-43.932170983951664</c:v>
                </c:pt>
                <c:pt idx="1">
                  <c:v>-43.782855532948815</c:v>
                </c:pt>
                <c:pt idx="2">
                  <c:v>-43.622050488396098</c:v>
                </c:pt>
                <c:pt idx="3">
                  <c:v>-43.449949704013648</c:v>
                </c:pt>
                <c:pt idx="4">
                  <c:v>-43.266797519508941</c:v>
                </c:pt>
                <c:pt idx="5">
                  <c:v>-43.07288382586546</c:v>
                </c:pt>
                <c:pt idx="6">
                  <c:v>-42.868539356184328</c:v>
                </c:pt>
                <c:pt idx="7">
                  <c:v>-42.654131196477579</c:v>
                </c:pt>
                <c:pt idx="8">
                  <c:v>-42.430058510885146</c:v>
                </c:pt>
                <c:pt idx="9">
                  <c:v>-42.196748475828372</c:v>
                </c:pt>
                <c:pt idx="10">
                  <c:v>-41.954652417696252</c:v>
                </c:pt>
                <c:pt idx="11">
                  <c:v>-41.704242148708317</c:v>
                </c:pt>
                <c:pt idx="12">
                  <c:v>-41.446006495666722</c:v>
                </c:pt>
                <c:pt idx="13">
                  <c:v>-41.180448016364323</c:v>
                </c:pt>
                <c:pt idx="14">
                  <c:v>-40.908079898490485</c:v>
                </c:pt>
                <c:pt idx="15">
                  <c:v>-40.629423035916375</c:v>
                </c:pt>
                <c:pt idx="16">
                  <c:v>-40.345003277329056</c:v>
                </c:pt>
                <c:pt idx="17">
                  <c:v>-40.055348842221406</c:v>
                </c:pt>
                <c:pt idx="18">
                  <c:v>-39.760987899323084</c:v>
                </c:pt>
                <c:pt idx="19">
                  <c:v>-39.46244630261134</c:v>
                </c:pt>
                <c:pt idx="20">
                  <c:v>-39.16024548010239</c:v>
                </c:pt>
                <c:pt idx="21">
                  <c:v>-38.854900470691348</c:v>
                </c:pt>
                <c:pt idx="22">
                  <c:v>-38.546918104359122</c:v>
                </c:pt>
                <c:pt idx="23">
                  <c:v>-38.236795321139567</c:v>
                </c:pt>
                <c:pt idx="24">
                  <c:v>-37.925017624292281</c:v>
                </c:pt>
                <c:pt idx="25">
                  <c:v>-37.612057663190882</c:v>
                </c:pt>
                <c:pt idx="26">
                  <c:v>-37.298373941499193</c:v>
                </c:pt>
                <c:pt idx="27">
                  <c:v>-36.984409646265789</c:v>
                </c:pt>
                <c:pt idx="28">
                  <c:v>-36.670591593635521</c:v>
                </c:pt>
                <c:pt idx="29">
                  <c:v>-36.357329286930224</c:v>
                </c:pt>
                <c:pt idx="30">
                  <c:v>-36.045014082917533</c:v>
                </c:pt>
                <c:pt idx="31">
                  <c:v>-35.734018462148583</c:v>
                </c:pt>
                <c:pt idx="32">
                  <c:v>-35.424695399301669</c:v>
                </c:pt>
                <c:pt idx="33">
                  <c:v>-35.117377829537162</c:v>
                </c:pt>
                <c:pt idx="34">
                  <c:v>-34.812378206926155</c:v>
                </c:pt>
                <c:pt idx="35">
                  <c:v>-34.509988151077124</c:v>
                </c:pt>
                <c:pt idx="36">
                  <c:v>-34.210478178150879</c:v>
                </c:pt>
                <c:pt idx="37">
                  <c:v>-33.914097512506117</c:v>
                </c:pt>
                <c:pt idx="38">
                  <c:v>-33.621073975292319</c:v>
                </c:pt>
                <c:pt idx="39">
                  <c:v>-33.331613946356455</c:v>
                </c:pt>
                <c:pt idx="40">
                  <c:v>-33.0459023958975</c:v>
                </c:pt>
                <c:pt idx="41">
                  <c:v>-32.764102982365884</c:v>
                </c:pt>
                <c:pt idx="42">
                  <c:v>-32.48635821315942</c:v>
                </c:pt>
                <c:pt idx="43">
                  <c:v>-32.2127896647375</c:v>
                </c:pt>
                <c:pt idx="44">
                  <c:v>-31.943498258829408</c:v>
                </c:pt>
                <c:pt idx="45">
                  <c:v>-31.678564591480139</c:v>
                </c:pt>
                <c:pt idx="46">
                  <c:v>-31.418049311733576</c:v>
                </c:pt>
                <c:pt idx="47">
                  <c:v>-31.161993546817939</c:v>
                </c:pt>
                <c:pt idx="48">
                  <c:v>-30.910419370758753</c:v>
                </c:pt>
                <c:pt idx="49">
                  <c:v>-30.663330313405666</c:v>
                </c:pt>
                <c:pt idx="50">
                  <c:v>-30.420711906921973</c:v>
                </c:pt>
                <c:pt idx="51">
                  <c:v>-30.182532266846053</c:v>
                </c:pt>
                <c:pt idx="52">
                  <c:v>-29.948742704896887</c:v>
                </c:pt>
                <c:pt idx="53">
                  <c:v>-29.719278370756193</c:v>
                </c:pt>
                <c:pt idx="54">
                  <c:v>-29.494058920120985</c:v>
                </c:pt>
                <c:pt idx="55">
                  <c:v>-29.272989206384665</c:v>
                </c:pt>
                <c:pt idx="56">
                  <c:v>-29.055959993361366</c:v>
                </c:pt>
                <c:pt idx="57">
                  <c:v>-28.842848686535365</c:v>
                </c:pt>
                <c:pt idx="58">
                  <c:v>-28.633520080374087</c:v>
                </c:pt>
                <c:pt idx="59">
                  <c:v>-28.427827119308173</c:v>
                </c:pt>
                <c:pt idx="60">
                  <c:v>-28.225611670042053</c:v>
                </c:pt>
                <c:pt idx="61">
                  <c:v>-28.026705302919655</c:v>
                </c:pt>
                <c:pt idx="62">
                  <c:v>-27.830930080133037</c:v>
                </c:pt>
                <c:pt idx="63">
                  <c:v>-27.638099348621679</c:v>
                </c:pt>
                <c:pt idx="64">
                  <c:v>-27.448018535572192</c:v>
                </c:pt>
                <c:pt idx="65">
                  <c:v>-27.260485944490377</c:v>
                </c:pt>
                <c:pt idx="66">
                  <c:v>-27.075293549878133</c:v>
                </c:pt>
                <c:pt idx="67">
                  <c:v>-26.89222778860994</c:v>
                </c:pt>
                <c:pt idx="68">
                  <c:v>-26.711070346164888</c:v>
                </c:pt>
                <c:pt idx="69">
                  <c:v>-26.531598935931818</c:v>
                </c:pt>
                <c:pt idx="70">
                  <c:v>-26.353588069866653</c:v>
                </c:pt>
                <c:pt idx="71">
                  <c:v>-26.176809818842706</c:v>
                </c:pt>
                <c:pt idx="72">
                  <c:v>-26.001034561095835</c:v>
                </c:pt>
                <c:pt idx="73">
                  <c:v>-25.826031717228766</c:v>
                </c:pt>
                <c:pt idx="74">
                  <c:v>-25.651570470299028</c:v>
                </c:pt>
                <c:pt idx="75">
                  <c:v>-25.477420469578075</c:v>
                </c:pt>
                <c:pt idx="76">
                  <c:v>-25.303352516629467</c:v>
                </c:pt>
                <c:pt idx="77">
                  <c:v>-25.129139232416218</c:v>
                </c:pt>
                <c:pt idx="78">
                  <c:v>-24.954555704208605</c:v>
                </c:pt>
                <c:pt idx="79">
                  <c:v>-24.779380111125434</c:v>
                </c:pt>
                <c:pt idx="80">
                  <c:v>-24.603394327203304</c:v>
                </c:pt>
                <c:pt idx="81">
                  <c:v>-24.42638450094994</c:v>
                </c:pt>
                <c:pt idx="82">
                  <c:v>-24.248141610399006</c:v>
                </c:pt>
                <c:pt idx="83">
                  <c:v>-24.068461992745696</c:v>
                </c:pt>
                <c:pt idx="84">
                  <c:v>-23.887147847703655</c:v>
                </c:pt>
                <c:pt idx="85">
                  <c:v>-23.704007713785455</c:v>
                </c:pt>
                <c:pt idx="86">
                  <c:v>-23.518856916770446</c:v>
                </c:pt>
                <c:pt idx="87">
                  <c:v>-23.331517989685008</c:v>
                </c:pt>
                <c:pt idx="88">
                  <c:v>-23.141821063682308</c:v>
                </c:pt>
                <c:pt idx="89">
                  <c:v>-22.949604229269745</c:v>
                </c:pt>
                <c:pt idx="90">
                  <c:v>-22.754713867394017</c:v>
                </c:pt>
                <c:pt idx="91">
                  <c:v>-22.557004949955161</c:v>
                </c:pt>
                <c:pt idx="92">
                  <c:v>-22.35634130938271</c:v>
                </c:pt>
                <c:pt idx="93">
                  <c:v>-22.152595876968313</c:v>
                </c:pt>
                <c:pt idx="94">
                  <c:v>-21.945650889710922</c:v>
                </c:pt>
                <c:pt idx="95">
                  <c:v>-21.735398065492095</c:v>
                </c:pt>
                <c:pt idx="96">
                  <c:v>-21.521738746460652</c:v>
                </c:pt>
                <c:pt idx="97">
                  <c:v>-21.304584010567158</c:v>
                </c:pt>
                <c:pt idx="98">
                  <c:v>-21.083854751250616</c:v>
                </c:pt>
                <c:pt idx="99">
                  <c:v>-20.859481725341013</c:v>
                </c:pt>
                <c:pt idx="100">
                  <c:v>-20.631405569303013</c:v>
                </c:pt>
                <c:pt idx="101">
                  <c:v>-20.399576784007611</c:v>
                </c:pt>
                <c:pt idx="102">
                  <c:v>-20.16395568828014</c:v>
                </c:pt>
                <c:pt idx="103">
                  <c:v>-19.924512341534495</c:v>
                </c:pt>
                <c:pt idx="104">
                  <c:v>-19.681226435864986</c:v>
                </c:pt>
                <c:pt idx="105">
                  <c:v>-19.434087158028877</c:v>
                </c:pt>
                <c:pt idx="106">
                  <c:v>-19.183093021814017</c:v>
                </c:pt>
                <c:pt idx="107">
                  <c:v>-18.928251671347727</c:v>
                </c:pt>
                <c:pt idx="108">
                  <c:v>-18.669579655964434</c:v>
                </c:pt>
                <c:pt idx="109">
                  <c:v>-18.407102177311188</c:v>
                </c:pt>
                <c:pt idx="110">
                  <c:v>-18.140852809431912</c:v>
                </c:pt>
                <c:pt idx="111">
                  <c:v>-17.870873192632263</c:v>
                </c:pt>
                <c:pt idx="112">
                  <c:v>-17.597212701989147</c:v>
                </c:pt>
                <c:pt idx="113">
                  <c:v>-17.319928091430068</c:v>
                </c:pt>
                <c:pt idx="114">
                  <c:v>-17.039083114369046</c:v>
                </c:pt>
                <c:pt idx="115">
                  <c:v>-16.754748121947657</c:v>
                </c:pt>
                <c:pt idx="116">
                  <c:v>-16.466999639990913</c:v>
                </c:pt>
                <c:pt idx="117">
                  <c:v>-16.175919925849524</c:v>
                </c:pt>
                <c:pt idx="118">
                  <c:v>-15.88159650636155</c:v>
                </c:pt>
                <c:pt idx="119">
                  <c:v>-15.584121698227797</c:v>
                </c:pt>
                <c:pt idx="120">
                  <c:v>-15.283592112157294</c:v>
                </c:pt>
                <c:pt idx="121">
                  <c:v>-14.980108142200132</c:v>
                </c:pt>
                <c:pt idx="122">
                  <c:v>-14.673773441747063</c:v>
                </c:pt>
                <c:pt idx="123">
                  <c:v>-14.364694387736376</c:v>
                </c:pt>
                <c:pt idx="124">
                  <c:v>-14.052979534670344</c:v>
                </c:pt>
                <c:pt idx="125">
                  <c:v>-13.738739060104917</c:v>
                </c:pt>
                <c:pt idx="126">
                  <c:v>-13.422084203338091</c:v>
                </c:pt>
                <c:pt idx="127">
                  <c:v>-13.103126699083608</c:v>
                </c:pt>
                <c:pt idx="128">
                  <c:v>-12.781978207978497</c:v>
                </c:pt>
                <c:pt idx="129">
                  <c:v>-12.458749745834316</c:v>
                </c:pt>
                <c:pt idx="130">
                  <c:v>-12.133551113603497</c:v>
                </c:pt>
                <c:pt idx="131">
                  <c:v>-11.806490330093885</c:v>
                </c:pt>
                <c:pt idx="132">
                  <c:v>-11.477673069525899</c:v>
                </c:pt>
                <c:pt idx="133">
                  <c:v>-11.147202106088431</c:v>
                </c:pt>
                <c:pt idx="134">
                  <c:v>-10.81517676771106</c:v>
                </c:pt>
                <c:pt idx="135">
                  <c:v>-10.481692401331783</c:v>
                </c:pt>
                <c:pt idx="136">
                  <c:v>-10.146839852000832</c:v>
                </c:pt>
                <c:pt idx="137">
                  <c:v>-9.8107049582229333</c:v>
                </c:pt>
                <c:pt idx="138">
                  <c:v>-9.473368066001667</c:v>
                </c:pt>
                <c:pt idx="139">
                  <c:v>-9.134903564111255</c:v>
                </c:pt>
                <c:pt idx="140">
                  <c:v>-8.7953794431826591</c:v>
                </c:pt>
                <c:pt idx="141">
                  <c:v>-8.4548568812522689</c:v>
                </c:pt>
                <c:pt idx="142">
                  <c:v>-8.1133898584832274</c:v>
                </c:pt>
                <c:pt idx="143">
                  <c:v>-7.7710248038307084</c:v>
                </c:pt>
                <c:pt idx="144">
                  <c:v>-7.4278002764842448</c:v>
                </c:pt>
                <c:pt idx="145">
                  <c:v>-7.0837466849816</c:v>
                </c:pt>
                <c:pt idx="146">
                  <c:v>-6.7388860469502445</c:v>
                </c:pt>
                <c:pt idx="147">
                  <c:v>-6.3932317924940669</c:v>
                </c:pt>
                <c:pt idx="148">
                  <c:v>-6.0467886143044627</c:v>
                </c:pt>
                <c:pt idx="149">
                  <c:v>-5.6995523676364943</c:v>
                </c:pt>
                <c:pt idx="150">
                  <c:v>-5.3515100233523256</c:v>
                </c:pt>
                <c:pt idx="151">
                  <c:v>-5.0026396772957433</c:v>
                </c:pt>
                <c:pt idx="152">
                  <c:v>-4.652910619323019</c:v>
                </c:pt>
                <c:pt idx="153">
                  <c:v>-4.302283465377001</c:v>
                </c:pt>
                <c:pt idx="154">
                  <c:v>-3.9507103560527805</c:v>
                </c:pt>
                <c:pt idx="155">
                  <c:v>-3.5981352251648868</c:v>
                </c:pt>
                <c:pt idx="156">
                  <c:v>-3.2444941418874533</c:v>
                </c:pt>
                <c:pt idx="157">
                  <c:v>-2.8897157301003631</c:v>
                </c:pt>
                <c:pt idx="158">
                  <c:v>-2.5337216686359025</c:v>
                </c:pt>
                <c:pt idx="159">
                  <c:v>-2.176427276182022</c:v>
                </c:pt>
                <c:pt idx="160">
                  <c:v>-1.8177421846597928</c:v>
                </c:pt>
                <c:pt idx="161">
                  <c:v>-1.4575711049542457</c:v>
                </c:pt>
                <c:pt idx="162">
                  <c:v>-1.0958146889392595</c:v>
                </c:pt>
                <c:pt idx="163">
                  <c:v>-0.73237049179875391</c:v>
                </c:pt>
                <c:pt idx="164">
                  <c:v>-0.36713403870794797</c:v>
                </c:pt>
                <c:pt idx="165">
                  <c:v>0</c:v>
                </c:pt>
                <c:pt idx="166">
                  <c:v>0.36913652099511979</c:v>
                </c:pt>
                <c:pt idx="167">
                  <c:v>0.74037858319113492</c:v>
                </c:pt>
                <c:pt idx="168">
                  <c:v>1.1138258817554172</c:v>
                </c:pt>
                <c:pt idx="169">
                  <c:v>1.489573096516924</c:v>
                </c:pt>
                <c:pt idx="170">
                  <c:v>1.8677081103391111</c:v>
                </c:pt>
                <c:pt idx="171">
                  <c:v>2.2483100929632678</c:v>
                </c:pt>
                <c:pt idx="172">
                  <c:v>2.6314474457662071</c:v>
                </c:pt>
                <c:pt idx="173">
                  <c:v>3.0171756028146675</c:v>
                </c:pt>
                <c:pt idx="174">
                  <c:v>3.405534683537276</c:v>
                </c:pt>
                <c:pt idx="175">
                  <c:v>3.7965469922733712</c:v>
                </c:pt>
                <c:pt idx="176">
                  <c:v>4.1902143598964354</c:v>
                </c:pt>
                <c:pt idx="177">
                  <c:v>4.5865153226483679</c:v>
                </c:pt>
                <c:pt idx="178">
                  <c:v>4.98540213325927</c:v>
                </c:pt>
                <c:pt idx="179">
                  <c:v>5.3867975993659059</c:v>
                </c:pt>
                <c:pt idx="180">
                  <c:v>5.7905917441804053</c:v>
                </c:pt>
                <c:pt idx="181">
                  <c:v>6.1966382842993131</c:v>
                </c:pt>
                <c:pt idx="182">
                  <c:v>6.604750919481484</c:v>
                </c:pt>
                <c:pt idx="183">
                  <c:v>7.014699429161821</c:v>
                </c:pt>
                <c:pt idx="184">
                  <c:v>7.4262055704063004</c:v>
                </c:pt>
                <c:pt idx="185">
                  <c:v>7.8389387719522023</c:v>
                </c:pt>
                <c:pt idx="186">
                  <c:v>8.2525116189158929</c:v>
                </c:pt>
                <c:pt idx="187">
                  <c:v>8.66647512268902</c:v>
                </c:pt>
                <c:pt idx="188">
                  <c:v>9.0803137704823875</c:v>
                </c:pt>
                <c:pt idx="189">
                  <c:v>9.4934403489152892</c:v>
                </c:pt>
                <c:pt idx="190">
                  <c:v>9.9051905359864723</c:v>
                </c:pt>
                <c:pt idx="191">
                  <c:v>10.314817255701463</c:v>
                </c:pt>
                <c:pt idx="192">
                  <c:v>10.721484789569329</c:v>
                </c:pt>
                <c:pt idx="193">
                  <c:v>11.124262639120539</c:v>
                </c:pt>
                <c:pt idx="194">
                  <c:v>11.522119133535915</c:v>
                </c:pt>
                <c:pt idx="195">
                  <c:v>11.913914776415259</c:v>
                </c:pt>
                <c:pt idx="196">
                  <c:v>12.298395325652562</c:v>
                </c:pt>
                <c:pt idx="197">
                  <c:v>12.674184600323313</c:v>
                </c:pt>
                <c:pt idx="198">
                  <c:v>13.039777008427745</c:v>
                </c:pt>
                <c:pt idx="199">
                  <c:v>13.39352978927244</c:v>
                </c:pt>
                <c:pt idx="200">
                  <c:v>13.733654964211054</c:v>
                </c:pt>
              </c:numCache>
            </c:numRef>
          </c:yVal>
          <c:smooth val="1"/>
        </c:ser>
        <c:dLbls>
          <c:showLegendKey val="0"/>
          <c:showVal val="0"/>
          <c:showCatName val="0"/>
          <c:showSerName val="0"/>
          <c:showPercent val="0"/>
          <c:showBubbleSize val="0"/>
        </c:dLbls>
        <c:axId val="497144696"/>
        <c:axId val="497145088"/>
      </c:scatterChart>
      <c:valAx>
        <c:axId val="4971446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5088"/>
        <c:crossesAt val="-1000"/>
        <c:crossBetween val="midCat"/>
      </c:valAx>
      <c:valAx>
        <c:axId val="497145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46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0.36811790140473383</v>
      </c>
      <c r="D59" s="55">
        <v>1</v>
      </c>
    </row>
    <row r="60" spans="1:4" s="11" customFormat="1" x14ac:dyDescent="0.25">
      <c r="A60" s="54">
        <v>2</v>
      </c>
      <c r="B60" s="56">
        <f>'Shiftfunktion bestimmen'!N2</f>
        <v>1.0013170433171759E-3</v>
      </c>
      <c r="D60" s="55">
        <v>2</v>
      </c>
    </row>
    <row r="61" spans="1:4" s="11" customFormat="1" x14ac:dyDescent="0.25">
      <c r="A61" s="54">
        <v>3</v>
      </c>
      <c r="B61" s="56">
        <f>'Shiftfunktion bestimmen'!N3</f>
        <v>1.7390647060256478E-5</v>
      </c>
      <c r="D61" s="55">
        <v>3</v>
      </c>
    </row>
    <row r="62" spans="1:4" s="11" customFormat="1" x14ac:dyDescent="0.25">
      <c r="A62" s="54">
        <v>4</v>
      </c>
      <c r="B62" s="56">
        <f>'Shiftfunktion bestimmen'!N4</f>
        <v>-7.5731375387443209E-8</v>
      </c>
      <c r="D62" s="55">
        <v>4</v>
      </c>
    </row>
    <row r="63" spans="1:4" s="11" customFormat="1" x14ac:dyDescent="0.25">
      <c r="A63" s="54">
        <v>5</v>
      </c>
      <c r="B63" s="56">
        <f>'Shiftfunktion bestimmen'!N5</f>
        <v>-1.219939891810129E-8</v>
      </c>
      <c r="D63" s="55">
        <v>5</v>
      </c>
    </row>
    <row r="64" spans="1:4" s="11" customFormat="1" x14ac:dyDescent="0.25">
      <c r="A64" s="54">
        <v>6</v>
      </c>
      <c r="B64" s="56">
        <f>'Shiftfunktion bestimmen'!N6</f>
        <v>-1.6835439719889624E-10</v>
      </c>
      <c r="D64" s="55">
        <v>6</v>
      </c>
    </row>
    <row r="65" spans="1:5" s="11" customFormat="1" x14ac:dyDescent="0.25">
      <c r="A65" s="54">
        <v>7</v>
      </c>
      <c r="B65" s="56">
        <f>'Shiftfunktion bestimmen'!N7</f>
        <v>-8.6124966554903782E-13</v>
      </c>
      <c r="D65" s="55">
        <v>7</v>
      </c>
    </row>
    <row r="66" spans="1:5" x14ac:dyDescent="0.25">
      <c r="A66" s="54">
        <v>8</v>
      </c>
      <c r="B66" s="56">
        <f>'Shiftfunktion bestimmen'!N8</f>
        <v>-1.5262640175208399E-15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0.19143202464260001</v>
      </c>
      <c r="D74" s="51">
        <v>1</v>
      </c>
      <c r="E74" s="56">
        <f>'Mastercurve bestimmen'!A18</f>
        <v>1.0000000000000001E-20</v>
      </c>
    </row>
    <row r="75" spans="1:5" x14ac:dyDescent="0.25">
      <c r="A75" s="50">
        <f>A74+1</f>
        <v>2</v>
      </c>
      <c r="B75" s="56">
        <f>'Mastercurve bestimmen'!C19</f>
        <v>5.4135576469364788E-2</v>
      </c>
      <c r="D75" s="51">
        <v>2</v>
      </c>
      <c r="E75" s="56">
        <f>'Mastercurve bestimmen'!A19</f>
        <v>3.9038946506297401E-14</v>
      </c>
    </row>
    <row r="76" spans="1:5" x14ac:dyDescent="0.25">
      <c r="A76" s="50">
        <f t="shared" ref="A76:A104" si="0">A75+1</f>
        <v>3</v>
      </c>
      <c r="B76" s="56">
        <f>'Mastercurve bestimmen'!C20</f>
        <v>2.1015020588822823E-2</v>
      </c>
      <c r="D76" s="51">
        <v>3</v>
      </c>
      <c r="E76" s="56">
        <f>'Mastercurve bestimmen'!A20</f>
        <v>4.3276437088188502E-13</v>
      </c>
    </row>
    <row r="77" spans="1:5" x14ac:dyDescent="0.25">
      <c r="A77" s="50">
        <f t="shared" si="0"/>
        <v>4</v>
      </c>
      <c r="B77" s="56">
        <f>'Mastercurve bestimmen'!C21</f>
        <v>4.0498121245543535E-2</v>
      </c>
      <c r="D77" s="51">
        <v>4</v>
      </c>
      <c r="E77" s="56">
        <f>'Mastercurve bestimmen'!A21</f>
        <v>4.7973886968128502E-12</v>
      </c>
    </row>
    <row r="78" spans="1:5" x14ac:dyDescent="0.25">
      <c r="A78" s="50">
        <f t="shared" si="0"/>
        <v>5</v>
      </c>
      <c r="B78" s="56">
        <f>'Mastercurve bestimmen'!C22</f>
        <v>3.8180364153293539E-2</v>
      </c>
      <c r="D78" s="51">
        <v>5</v>
      </c>
      <c r="E78" s="56">
        <f>'Mastercurve bestimmen'!A22</f>
        <v>5.31812225239524E-11</v>
      </c>
    </row>
    <row r="79" spans="1:5" x14ac:dyDescent="0.25">
      <c r="A79" s="50">
        <f t="shared" si="0"/>
        <v>6</v>
      </c>
      <c r="B79" s="56">
        <f>'Mastercurve bestimmen'!C23</f>
        <v>3.033915085060401E-2</v>
      </c>
      <c r="D79" s="51">
        <v>6</v>
      </c>
      <c r="E79" s="56">
        <f>'Mastercurve bestimmen'!A23</f>
        <v>5.8953789402578301E-10</v>
      </c>
    </row>
    <row r="80" spans="1:5" x14ac:dyDescent="0.25">
      <c r="A80" s="50">
        <f t="shared" si="0"/>
        <v>7</v>
      </c>
      <c r="B80" s="56">
        <f>'Mastercurve bestimmen'!C24</f>
        <v>2.9818488774257267E-2</v>
      </c>
      <c r="D80" s="51">
        <v>7</v>
      </c>
      <c r="E80" s="56">
        <f>'Mastercurve bestimmen'!A24</f>
        <v>6.5352940755699598E-9</v>
      </c>
    </row>
    <row r="81" spans="1:5" x14ac:dyDescent="0.25">
      <c r="A81" s="50">
        <f t="shared" si="0"/>
        <v>8</v>
      </c>
      <c r="B81" s="56">
        <f>'Mastercurve bestimmen'!C25</f>
        <v>2.8586713902441586E-2</v>
      </c>
      <c r="D81" s="51">
        <v>8</v>
      </c>
      <c r="E81" s="56">
        <f>'Mastercurve bestimmen'!A25</f>
        <v>7.2446689325643296E-8</v>
      </c>
    </row>
    <row r="82" spans="1:5" x14ac:dyDescent="0.25">
      <c r="A82" s="50">
        <f t="shared" si="0"/>
        <v>9</v>
      </c>
      <c r="B82" s="56">
        <f>'Mastercurve bestimmen'!C26</f>
        <v>2.8589469167233993E-2</v>
      </c>
      <c r="D82" s="51">
        <f>A82</f>
        <v>9</v>
      </c>
      <c r="E82" s="56">
        <f>'Mastercurve bestimmen'!A26</f>
        <v>8.03104303120212E-7</v>
      </c>
    </row>
    <row r="83" spans="1:5" x14ac:dyDescent="0.25">
      <c r="A83" s="50">
        <f t="shared" si="0"/>
        <v>10</v>
      </c>
      <c r="B83" s="56">
        <f>'Mastercurve bestimmen'!C27</f>
        <v>2.8115831969051441E-2</v>
      </c>
      <c r="C83" s="11"/>
      <c r="D83" s="51">
        <f t="shared" ref="D83:D104" si="1">A83</f>
        <v>10</v>
      </c>
      <c r="E83" s="56">
        <f>'Mastercurve bestimmen'!A27</f>
        <v>8.9027742702096099E-6</v>
      </c>
    </row>
    <row r="84" spans="1:5" x14ac:dyDescent="0.25">
      <c r="A84" s="50">
        <f t="shared" si="0"/>
        <v>11</v>
      </c>
      <c r="B84" s="56">
        <f>'Mastercurve bestimmen'!C28</f>
        <v>3.3973946984022944E-2</v>
      </c>
      <c r="C84" s="11"/>
      <c r="D84" s="51">
        <f t="shared" si="1"/>
        <v>11</v>
      </c>
      <c r="E84" s="56">
        <f>'Mastercurve bestimmen'!A28</f>
        <v>9.86912775817142E-5</v>
      </c>
    </row>
    <row r="85" spans="1:5" x14ac:dyDescent="0.25">
      <c r="A85" s="50">
        <f t="shared" si="0"/>
        <v>12</v>
      </c>
      <c r="B85" s="56">
        <f>'Mastercurve bestimmen'!C29</f>
        <v>3.6313930353248758E-2</v>
      </c>
      <c r="C85" s="11"/>
      <c r="D85" s="51">
        <f t="shared" si="1"/>
        <v>12</v>
      </c>
      <c r="E85" s="56">
        <f>'Mastercurve bestimmen'!A29</f>
        <v>1.0940374286813801E-3</v>
      </c>
    </row>
    <row r="86" spans="1:5" x14ac:dyDescent="0.25">
      <c r="A86" s="50">
        <f t="shared" si="0"/>
        <v>13</v>
      </c>
      <c r="B86" s="56">
        <f>'Mastercurve bestimmen'!C30</f>
        <v>4.1806327659667623E-2</v>
      </c>
      <c r="C86" s="11"/>
      <c r="D86" s="51">
        <f t="shared" si="1"/>
        <v>13</v>
      </c>
      <c r="E86" s="56">
        <f>'Mastercurve bestimmen'!A30</f>
        <v>1.2127899493091E-2</v>
      </c>
    </row>
    <row r="87" spans="1:5" x14ac:dyDescent="0.25">
      <c r="A87" s="50">
        <f t="shared" si="0"/>
        <v>14</v>
      </c>
      <c r="B87" s="56">
        <f>'Mastercurve bestimmen'!C31</f>
        <v>4.6977125912982913E-2</v>
      </c>
      <c r="C87" s="11"/>
      <c r="D87" s="51">
        <f t="shared" si="1"/>
        <v>14</v>
      </c>
      <c r="E87" s="56">
        <f>'Mastercurve bestimmen'!A31</f>
        <v>0.13444324870292301</v>
      </c>
    </row>
    <row r="88" spans="1:5" x14ac:dyDescent="0.25">
      <c r="A88" s="50">
        <f t="shared" si="0"/>
        <v>15</v>
      </c>
      <c r="B88" s="56">
        <f>'Mastercurve bestimmen'!C32</f>
        <v>6.4330039712108877E-2</v>
      </c>
      <c r="C88" s="11"/>
      <c r="D88" s="51">
        <f t="shared" si="1"/>
        <v>15</v>
      </c>
      <c r="E88" s="56">
        <f>'Mastercurve bestimmen'!A32</f>
        <v>1.49036419143257</v>
      </c>
    </row>
    <row r="89" spans="1:5" x14ac:dyDescent="0.25">
      <c r="A89" s="50">
        <f t="shared" si="0"/>
        <v>16</v>
      </c>
      <c r="B89" s="56">
        <f>'Mastercurve bestimmen'!C33</f>
        <v>7.1283808515689162E-2</v>
      </c>
      <c r="C89" s="11"/>
      <c r="D89" s="51">
        <f t="shared" si="1"/>
        <v>16</v>
      </c>
      <c r="E89" s="56">
        <f>'Mastercurve bestimmen'!A33</f>
        <v>16.521360830937301</v>
      </c>
    </row>
    <row r="90" spans="1:5" x14ac:dyDescent="0.25">
      <c r="A90" s="50">
        <f t="shared" si="0"/>
        <v>17</v>
      </c>
      <c r="B90" s="56">
        <f>'Mastercurve bestimmen'!C34</f>
        <v>6.5008577665533668E-2</v>
      </c>
      <c r="C90" s="11"/>
      <c r="D90" s="51">
        <f t="shared" si="1"/>
        <v>17</v>
      </c>
      <c r="E90" s="56">
        <f>'Mastercurve bestimmen'!A34</f>
        <v>183.146753843879</v>
      </c>
    </row>
    <row r="91" spans="1:5" x14ac:dyDescent="0.25">
      <c r="A91" s="50">
        <f t="shared" si="0"/>
        <v>18</v>
      </c>
      <c r="B91" s="56">
        <f>'Mastercurve bestimmen'!C35</f>
        <v>4.954350168244695E-2</v>
      </c>
      <c r="C91" s="11"/>
      <c r="D91" s="51">
        <f t="shared" si="1"/>
        <v>18</v>
      </c>
      <c r="E91" s="56">
        <f>'Mastercurve bestimmen'!A35</f>
        <v>2030.26456396616</v>
      </c>
    </row>
    <row r="92" spans="1:5" x14ac:dyDescent="0.25">
      <c r="A92" s="50">
        <f t="shared" si="0"/>
        <v>19</v>
      </c>
      <c r="B92" s="56">
        <f>'Mastercurve bestimmen'!C36</f>
        <v>3.0281570029291476E-2</v>
      </c>
      <c r="C92" s="11"/>
      <c r="D92" s="51">
        <f t="shared" si="1"/>
        <v>19</v>
      </c>
      <c r="E92" s="56">
        <f>'Mastercurve bestimmen'!A36</f>
        <v>22506.400540467101</v>
      </c>
    </row>
    <row r="93" spans="1:5" x14ac:dyDescent="0.25">
      <c r="A93" s="50">
        <f t="shared" si="0"/>
        <v>20</v>
      </c>
      <c r="B93" s="56">
        <f>'Mastercurve bestimmen'!C37</f>
        <v>1.5838845962715554E-2</v>
      </c>
      <c r="C93" s="11"/>
      <c r="D93" s="51">
        <f t="shared" si="1"/>
        <v>20</v>
      </c>
      <c r="E93" s="56">
        <f>'Mastercurve bestimmen'!A37</f>
        <v>249493.62476110301</v>
      </c>
    </row>
    <row r="94" spans="1:5" x14ac:dyDescent="0.25">
      <c r="A94" s="50">
        <f t="shared" si="0"/>
        <v>21</v>
      </c>
      <c r="B94" s="56">
        <f>'Mastercurve bestimmen'!C38</f>
        <v>5.1881409706128322E-3</v>
      </c>
      <c r="C94" s="11"/>
      <c r="D94" s="51">
        <f t="shared" si="1"/>
        <v>21</v>
      </c>
      <c r="E94" s="56">
        <f>'Mastercurve bestimmen'!A38</f>
        <v>2765749.6224023802</v>
      </c>
    </row>
    <row r="95" spans="1:5" x14ac:dyDescent="0.25">
      <c r="A95" s="50">
        <f t="shared" si="0"/>
        <v>22</v>
      </c>
      <c r="B95" s="56">
        <f>'Mastercurve bestimmen'!C39</f>
        <v>3.8617191328215671E-3</v>
      </c>
      <c r="C95" s="11"/>
      <c r="D95" s="51">
        <f t="shared" si="1"/>
        <v>22</v>
      </c>
      <c r="E95" s="56">
        <f>'Mastercurve bestimmen'!A39</f>
        <v>10000000</v>
      </c>
    </row>
    <row r="96" spans="1:5" x14ac:dyDescent="0.25">
      <c r="A96" s="50">
        <f t="shared" si="0"/>
        <v>23</v>
      </c>
      <c r="B96" s="56">
        <f>'Mastercurve bestimmen'!C40</f>
        <v>3.0600017424879029E-3</v>
      </c>
      <c r="C96" s="11"/>
      <c r="D96" s="51">
        <f t="shared" si="1"/>
        <v>23</v>
      </c>
      <c r="E96" s="56">
        <f>'Mastercurve bestimmen'!A40</f>
        <v>100000000</v>
      </c>
    </row>
    <row r="97" spans="1:5" x14ac:dyDescent="0.25">
      <c r="A97" s="50">
        <f t="shared" si="0"/>
        <v>24</v>
      </c>
      <c r="B97" s="56">
        <f>'Mastercurve bestimmen'!C41</f>
        <v>1.8593150246318942E-3</v>
      </c>
      <c r="C97" s="11"/>
      <c r="D97" s="51">
        <f t="shared" si="1"/>
        <v>24</v>
      </c>
      <c r="E97" s="56">
        <f>'Mastercurve bestimmen'!A41</f>
        <v>1000000000</v>
      </c>
    </row>
    <row r="98" spans="1:5" x14ac:dyDescent="0.25">
      <c r="A98" s="50">
        <f t="shared" si="0"/>
        <v>25</v>
      </c>
      <c r="B98" s="56">
        <f>'Mastercurve bestimmen'!C42</f>
        <v>1.0289911498978865E-4</v>
      </c>
      <c r="C98" s="11"/>
      <c r="D98" s="51">
        <f t="shared" si="1"/>
        <v>25</v>
      </c>
      <c r="E98" s="56">
        <f>'Mastercurve bestimmen'!A42</f>
        <v>10000000000</v>
      </c>
    </row>
    <row r="99" spans="1:5" x14ac:dyDescent="0.25">
      <c r="A99" s="50">
        <f t="shared" si="0"/>
        <v>26</v>
      </c>
      <c r="B99" s="56">
        <f>'Mastercurve bestimmen'!C43</f>
        <v>3.4301074619822757E-3</v>
      </c>
      <c r="C99" s="11"/>
      <c r="D99" s="51">
        <f t="shared" si="1"/>
        <v>26</v>
      </c>
      <c r="E99" s="56">
        <f>'Mastercurve bestimmen'!A43</f>
        <v>100000000000</v>
      </c>
    </row>
    <row r="100" spans="1:5" x14ac:dyDescent="0.25">
      <c r="A100" s="50">
        <f t="shared" si="0"/>
        <v>27</v>
      </c>
      <c r="B100" s="56">
        <f>'Mastercurve bestimmen'!C44</f>
        <v>1.0099566360327609E-4</v>
      </c>
      <c r="C100" s="11"/>
      <c r="D100" s="51">
        <f t="shared" si="1"/>
        <v>27</v>
      </c>
      <c r="E100" s="56">
        <f>'Mastercurve bestimmen'!A44</f>
        <v>1000000000000</v>
      </c>
    </row>
    <row r="101" spans="1:5" x14ac:dyDescent="0.25">
      <c r="A101" s="50">
        <f t="shared" si="0"/>
        <v>28</v>
      </c>
      <c r="B101" s="56">
        <f>'Mastercurve bestimmen'!C45</f>
        <v>2.8535751866135694E-4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1.5499334140859142E-4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70" sqref="C70"/>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5057.043084778943</v>
      </c>
      <c r="G16" s="26">
        <f>INDEX(Comparison!$AM$3:$AS$33,G14,$B$3)</f>
        <v>4848.8236532156789</v>
      </c>
      <c r="H16" s="26">
        <f>INDEX(Comparison!$AM$3:$AS$33,H14,$B$3)</f>
        <v>4684.5989366281638</v>
      </c>
      <c r="I16" s="26">
        <f>INDEX(Comparison!$AM$3:$AS$33,I14,$B$3)</f>
        <v>4498.1692065771867</v>
      </c>
      <c r="J16" s="26">
        <f>INDEX(Comparison!$AM$3:$AS$33,J14,$B$3)</f>
        <v>4277.4916896280383</v>
      </c>
      <c r="K16" s="26">
        <f>INDEX(Comparison!$AM$3:$AS$33,K14,$B$3)</f>
        <v>4057.0756825676294</v>
      </c>
      <c r="L16" s="26">
        <f>INDEX(Comparison!$AM$3:$AS$33,L14,$B$3)</f>
        <v>3871.2190964450751</v>
      </c>
      <c r="M16" s="26">
        <f>INDEX(Comparison!$AM$3:$AS$33,M14,$B$3)</f>
        <v>3695.7543511911053</v>
      </c>
      <c r="N16" s="26">
        <f>INDEX(Comparison!$AM$3:$AS$33,N14,$B$3)</f>
        <v>3525.6595385822288</v>
      </c>
      <c r="O16" s="26">
        <f>INDEX(Comparison!$AM$3:$AS$33,O14,$B$3)</f>
        <v>3357.1494631908417</v>
      </c>
      <c r="P16" s="26">
        <f>INDEX(Comparison!$AM$3:$AS$33,P14,$B$3)</f>
        <v>3187.0619417508151</v>
      </c>
      <c r="Q16" s="26">
        <f>INDEX(Comparison!$AM$3:$AS$33,Q14,$B$3)</f>
        <v>2996.966538971345</v>
      </c>
      <c r="R16" s="26">
        <f>INDEX(Comparison!$AM$3:$AS$33,R14,$B$3)</f>
        <v>2785.0882808530132</v>
      </c>
      <c r="S16" s="26">
        <f>INDEX(Comparison!$AM$3:$AS$33,S14,$B$3)</f>
        <v>2548.6636373493402</v>
      </c>
      <c r="T16" s="26">
        <f>INDEX(Comparison!$AM$3:$AS$33,T14,$B$3)</f>
        <v>2277.7712640750647</v>
      </c>
      <c r="U16" s="26">
        <f>INDEX(Comparison!$AM$3:$AS$33,U14,$B$3)</f>
        <v>1945.3918502755284</v>
      </c>
      <c r="V16" s="26">
        <f>INDEX(Comparison!$AM$3:$AS$33,V14,$B$3)</f>
        <v>1547.0547031117155</v>
      </c>
      <c r="W16" s="26">
        <f>INDEX(Comparison!$AM$3:$AS$33,W14,$B$3)</f>
        <v>1144.6630604809154</v>
      </c>
      <c r="X16" s="26">
        <f>INDEX(Comparison!$AM$3:$AS$33,X14,$B$3)</f>
        <v>800.03144169281939</v>
      </c>
      <c r="Y16" s="26">
        <f>INDEX(Comparison!$AM$3:$AS$33,Y14,$B$3)</f>
        <v>550.37343151827611</v>
      </c>
      <c r="Z16" s="26">
        <f>INDEX(Comparison!$AM$3:$AS$33,Z14,$B$3)</f>
        <v>400.38950806520603</v>
      </c>
      <c r="AA16" s="26">
        <f>INDEX(Comparison!$AM$3:$AS$33,AA14,$B$3)</f>
        <v>323.43126641101793</v>
      </c>
      <c r="AB16" s="26">
        <f>INDEX(Comparison!$AM$3:$AS$33,AB14,$B$3)</f>
        <v>285.62091448863987</v>
      </c>
      <c r="AC16" s="26">
        <f>INDEX(Comparison!$AM$3:$AS$33,AC14,$B$3)</f>
        <v>264.72815066208511</v>
      </c>
      <c r="AD16" s="26">
        <f>INDEX(Comparison!$AM$3:$AS$33,AD14,$B$3)</f>
        <v>251.4133849928937</v>
      </c>
      <c r="AE16" s="26">
        <f>INDEX(Comparison!$AM$3:$AS$33,AE14,$B$3)</f>
        <v>244.9280851953373</v>
      </c>
      <c r="AF16" s="26">
        <f>INDEX(Comparison!$AM$3:$AS$33,AF14,$B$3)</f>
        <v>233.30697275617146</v>
      </c>
      <c r="AG16" s="26">
        <f>INDEX(Comparison!$AM$3:$AS$33,AG14,$B$3)</f>
        <v>224.93687178827099</v>
      </c>
      <c r="AH16" s="26">
        <f>INDEX(Comparison!$AM$3:$AS$33,AH14,$B$3)</f>
        <v>223.82239746478544</v>
      </c>
      <c r="AI16" s="26">
        <f>INDEX(Comparison!$AM$3:$AS$33,AI14,$B$3)</f>
        <v>223.13699037774649</v>
      </c>
      <c r="AJ16" s="26">
        <f>INDEX(Comparison!$AM$3:$AS$33,AJ14,$B$3)</f>
        <v>223.02569814244063</v>
      </c>
    </row>
    <row r="17" spans="1:36" x14ac:dyDescent="0.25">
      <c r="A17" s="14" t="s">
        <v>20</v>
      </c>
      <c r="B17" s="105">
        <v>3.3034582863681661E-2</v>
      </c>
      <c r="C17" s="18">
        <f t="shared" ref="C17:C48" si="3">ABS(B17/$B$49)</f>
        <v>3.5888033787879803E-2</v>
      </c>
      <c r="D17" s="66"/>
      <c r="E17" s="65" t="s">
        <v>22</v>
      </c>
      <c r="F17" s="27">
        <f>($C$17+SUM(F18:F48))*$B$51</f>
        <v>4996.9697526026439</v>
      </c>
      <c r="G17" s="27">
        <f t="shared" ref="G17:M17" si="4">($C$17+SUM(G18:G48))*$B$51</f>
        <v>4926.5247056201688</v>
      </c>
      <c r="H17" s="27">
        <f t="shared" si="4"/>
        <v>4664.0275306247404</v>
      </c>
      <c r="I17" s="27">
        <f t="shared" si="4"/>
        <v>4501.5272460802498</v>
      </c>
      <c r="J17" s="27">
        <f t="shared" si="4"/>
        <v>4277.0247205352516</v>
      </c>
      <c r="K17" s="27">
        <f t="shared" si="4"/>
        <v>4057.1339447184118</v>
      </c>
      <c r="L17" s="27">
        <f t="shared" si="4"/>
        <v>3871.2085792615189</v>
      </c>
      <c r="M17" s="27">
        <f t="shared" si="4"/>
        <v>3695.7625493946439</v>
      </c>
      <c r="N17" s="27">
        <f t="shared" ref="N17" si="5">($C$17+SUM(N18:N48))*$B$51</f>
        <v>3525.6507332792175</v>
      </c>
      <c r="O17" s="27">
        <f t="shared" ref="O17" si="6">($C$17+SUM(O18:O48))*$B$51</f>
        <v>3357.1601763672447</v>
      </c>
      <c r="P17" s="27">
        <f t="shared" ref="P17" si="7">($C$17+SUM(P18:P48))*$B$51</f>
        <v>3187.0425045347711</v>
      </c>
      <c r="Q17" s="27">
        <f t="shared" ref="Q17" si="8">($C$17+SUM(Q18:Q48))*$B$51</f>
        <v>2997.0028018093208</v>
      </c>
      <c r="R17" s="27">
        <f t="shared" ref="R17" si="9">($C$17+SUM(R18:R48))*$B$51</f>
        <v>2785.0363810762474</v>
      </c>
      <c r="S17" s="27">
        <f t="shared" ref="S17:T17" si="10">($C$17+SUM(S18:S48))*$B$51</f>
        <v>2548.712876778392</v>
      </c>
      <c r="T17" s="27">
        <f t="shared" si="10"/>
        <v>2277.7375849845675</v>
      </c>
      <c r="U17" s="27">
        <f t="shared" ref="U17" si="11">($C$17+SUM(U18:U48))*$B$51</f>
        <v>1945.4137442071965</v>
      </c>
      <c r="V17" s="27">
        <f t="shared" ref="V17" si="12">($C$17+SUM(V18:V48))*$B$51</f>
        <v>1547.0318046663995</v>
      </c>
      <c r="W17" s="27">
        <f t="shared" ref="W17" si="13">($C$17+SUM(W18:W48))*$B$51</f>
        <v>1144.6926744741063</v>
      </c>
      <c r="X17" s="27">
        <f t="shared" ref="X17" si="14">($C$17+SUM(X18:X48))*$B$51</f>
        <v>800.0022694204547</v>
      </c>
      <c r="Y17" s="27">
        <f t="shared" ref="Y17" si="15">($C$17+SUM(Y18:Y48))*$B$51</f>
        <v>550.39561645469337</v>
      </c>
      <c r="Z17" s="27">
        <f t="shared" ref="Z17:AA17" si="16">($C$17+SUM(Z18:Z48))*$B$51</f>
        <v>400.36991500319726</v>
      </c>
      <c r="AA17" s="27">
        <f t="shared" si="16"/>
        <v>323.44807762127937</v>
      </c>
      <c r="AB17" s="27">
        <f t="shared" ref="AB17" si="17">($C$17+SUM(AB18:AB48))*$B$51</f>
        <v>285.59938965207465</v>
      </c>
      <c r="AC17" s="27">
        <f t="shared" ref="AC17" si="18">($C$17+SUM(AC18:AC48))*$B$51</f>
        <v>264.76327977544184</v>
      </c>
      <c r="AD17" s="27">
        <f t="shared" ref="AD17" si="19">($C$17+SUM(AD18:AD48))*$B$51</f>
        <v>251.36786936213514</v>
      </c>
      <c r="AE17" s="27">
        <f t="shared" ref="AE17" si="20">($C$17+SUM(AE18:AE48))*$B$51</f>
        <v>244.9741090491205</v>
      </c>
      <c r="AF17" s="27">
        <f t="shared" ref="AF17" si="21">($C$17+SUM(AF18:AF48))*$B$51</f>
        <v>233.26752352666406</v>
      </c>
      <c r="AG17" s="27">
        <f t="shared" ref="AG17:AH17" si="22">($C$17+SUM(AG18:AG48))*$B$51</f>
        <v>224.96994724712687</v>
      </c>
      <c r="AH17" s="27">
        <f t="shared" si="22"/>
        <v>223.78952034508092</v>
      </c>
      <c r="AI17" s="27">
        <f t="shared" ref="AI17" si="23">($C$17+SUM(AI18:AI48))*$B$51</f>
        <v>223.13107522763994</v>
      </c>
      <c r="AJ17" s="27">
        <f t="shared" ref="AJ17" si="24">($C$17+SUM(AJ18:AJ48))*$B$51</f>
        <v>223.04922894872254</v>
      </c>
    </row>
    <row r="18" spans="1:36" x14ac:dyDescent="0.25">
      <c r="A18" s="3">
        <f>0.000000000000001/10^5</f>
        <v>1.0000000000000001E-20</v>
      </c>
      <c r="B18" s="106">
        <v>0.17621129979414016</v>
      </c>
      <c r="C18" s="18">
        <f t="shared" si="3"/>
        <v>0.19143202464260001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4.9831266803877422E-2</v>
      </c>
      <c r="C19" s="18">
        <f t="shared" si="3"/>
        <v>5.4135576469364788E-2</v>
      </c>
      <c r="D19" s="17"/>
      <c r="F19" s="3">
        <f t="shared" si="25"/>
        <v>5.276647944523935E-2</v>
      </c>
      <c r="G19" s="3">
        <f t="shared" si="25"/>
        <v>4.1902149324334899E-2</v>
      </c>
      <c r="H19" s="3">
        <f t="shared" si="25"/>
        <v>4.1784779037912561E-3</v>
      </c>
      <c r="I19" s="3">
        <f t="shared" si="25"/>
        <v>4.062900692077582E-13</v>
      </c>
      <c r="J19" s="3">
        <f t="shared" si="25"/>
        <v>3.0691433937730527E-113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1.9344120191335148E-2</v>
      </c>
      <c r="C20" s="18">
        <f t="shared" si="3"/>
        <v>2.1015020588822823E-2</v>
      </c>
      <c r="D20" s="17"/>
      <c r="F20" s="3">
        <f t="shared" si="25"/>
        <v>2.0966516689907452E-2</v>
      </c>
      <c r="G20" s="3">
        <f t="shared" si="25"/>
        <v>2.0534988460983311E-2</v>
      </c>
      <c r="H20" s="3">
        <f t="shared" si="25"/>
        <v>1.6679239815743794E-2</v>
      </c>
      <c r="I20" s="3">
        <f t="shared" si="25"/>
        <v>2.0844628150036913E-3</v>
      </c>
      <c r="J20" s="3">
        <f t="shared" si="25"/>
        <v>1.9371941216106284E-12</v>
      </c>
      <c r="K20" s="3">
        <f t="shared" si="25"/>
        <v>9.3102865262658724E-103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3.7278123120836809E-2</v>
      </c>
      <c r="C21" s="18">
        <f t="shared" si="3"/>
        <v>4.0498121245543535E-2</v>
      </c>
      <c r="D21" s="17"/>
      <c r="F21" s="3">
        <f t="shared" si="25"/>
        <v>4.0489680424245236E-2</v>
      </c>
      <c r="G21" s="3">
        <f t="shared" si="25"/>
        <v>4.0413792156096889E-2</v>
      </c>
      <c r="H21" s="3">
        <f t="shared" si="25"/>
        <v>3.966268854980752E-2</v>
      </c>
      <c r="I21" s="3">
        <f t="shared" si="25"/>
        <v>3.2878168010731179E-2</v>
      </c>
      <c r="J21" s="3">
        <f t="shared" si="25"/>
        <v>5.0368871165724491E-3</v>
      </c>
      <c r="K21" s="3">
        <f t="shared" si="25"/>
        <v>3.5868093407202571E-11</v>
      </c>
      <c r="L21" s="3">
        <f t="shared" si="25"/>
        <v>1.2027324662780892E-92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3.514465046601345E-2</v>
      </c>
      <c r="C22" s="18">
        <f t="shared" si="3"/>
        <v>3.8180364153293539E-2</v>
      </c>
      <c r="D22" s="17"/>
      <c r="F22" s="3">
        <f t="shared" si="25"/>
        <v>3.8179646230624996E-2</v>
      </c>
      <c r="G22" s="3">
        <f t="shared" si="25"/>
        <v>3.817318553405176E-2</v>
      </c>
      <c r="H22" s="3">
        <f t="shared" si="25"/>
        <v>3.8108638667565774E-2</v>
      </c>
      <c r="I22" s="3">
        <f t="shared" si="25"/>
        <v>3.7469142465292586E-2</v>
      </c>
      <c r="J22" s="3">
        <f t="shared" si="25"/>
        <v>3.1635663055634894E-2</v>
      </c>
      <c r="K22" s="3">
        <f t="shared" si="25"/>
        <v>5.8238317120866629E-3</v>
      </c>
      <c r="L22" s="3">
        <f t="shared" si="25"/>
        <v>2.6033201088462523E-10</v>
      </c>
      <c r="M22" s="3">
        <f t="shared" si="25"/>
        <v>8.2930662314403633E-84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2.7926890581743028E-2</v>
      </c>
      <c r="C23" s="18">
        <f t="shared" si="3"/>
        <v>3.033915085060401E-2</v>
      </c>
      <c r="D23" s="17"/>
      <c r="F23" s="3">
        <f t="shared" si="25"/>
        <v>3.0339099388051006E-2</v>
      </c>
      <c r="G23" s="3">
        <f t="shared" si="25"/>
        <v>3.0338636229002132E-2</v>
      </c>
      <c r="H23" s="3">
        <f t="shared" si="25"/>
        <v>3.0334005027379807E-2</v>
      </c>
      <c r="I23" s="3">
        <f t="shared" si="25"/>
        <v>3.0287731875840638E-2</v>
      </c>
      <c r="J23" s="3">
        <f t="shared" si="25"/>
        <v>2.9828864965529348E-2</v>
      </c>
      <c r="K23" s="3">
        <f t="shared" si="25"/>
        <v>2.5605690330941951E-2</v>
      </c>
      <c r="L23" s="3">
        <f t="shared" si="25"/>
        <v>5.5633207194784795E-3</v>
      </c>
      <c r="M23" s="3">
        <f t="shared" si="25"/>
        <v>1.3040978553104286E-9</v>
      </c>
      <c r="N23" s="3">
        <f t="shared" si="25"/>
        <v>6.5323735964669565E-76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2.7447626250720752E-2</v>
      </c>
      <c r="C24" s="18">
        <f t="shared" si="3"/>
        <v>2.9818488774257267E-2</v>
      </c>
      <c r="D24" s="17"/>
      <c r="F24" s="3">
        <f t="shared" si="25"/>
        <v>2.9818484211572537E-2</v>
      </c>
      <c r="G24" s="3">
        <f t="shared" si="25"/>
        <v>2.9818443147441372E-2</v>
      </c>
      <c r="H24" s="3">
        <f t="shared" si="25"/>
        <v>2.9818032509240016E-2</v>
      </c>
      <c r="I24" s="3">
        <f t="shared" si="25"/>
        <v>2.9813926438239439E-2</v>
      </c>
      <c r="J24" s="3">
        <f t="shared" si="25"/>
        <v>2.9772896813687662E-2</v>
      </c>
      <c r="K24" s="3">
        <f t="shared" si="25"/>
        <v>2.9365693332437905E-2</v>
      </c>
      <c r="L24" s="3">
        <f t="shared" si="25"/>
        <v>2.5587739916911229E-2</v>
      </c>
      <c r="M24" s="3">
        <f t="shared" si="25"/>
        <v>6.4557783930198542E-3</v>
      </c>
      <c r="N24" s="3">
        <f t="shared" si="25"/>
        <v>6.7470740458781172E-9</v>
      </c>
      <c r="O24" s="3">
        <f t="shared" si="25"/>
        <v>1.0490208015168305E-68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2.6313789570982165E-2</v>
      </c>
      <c r="C25" s="18">
        <f t="shared" si="3"/>
        <v>2.8586713902441586E-2</v>
      </c>
      <c r="D25" s="17"/>
      <c r="F25" s="3">
        <f t="shared" si="25"/>
        <v>2.8586713507851937E-2</v>
      </c>
      <c r="G25" s="3">
        <f t="shared" si="25"/>
        <v>2.8586709956545345E-2</v>
      </c>
      <c r="H25" s="3">
        <f t="shared" si="25"/>
        <v>2.8586674443503657E-2</v>
      </c>
      <c r="I25" s="3">
        <f t="shared" si="25"/>
        <v>2.8586319315513257E-2</v>
      </c>
      <c r="J25" s="3">
        <f t="shared" si="25"/>
        <v>2.8582768278243843E-2</v>
      </c>
      <c r="K25" s="3">
        <f t="shared" si="25"/>
        <v>2.8547282157857616E-2</v>
      </c>
      <c r="L25" s="3">
        <f t="shared" si="25"/>
        <v>2.8194835074200762E-2</v>
      </c>
      <c r="M25" s="3">
        <f t="shared" si="25"/>
        <v>2.4901038975108414E-2</v>
      </c>
      <c r="N25" s="3">
        <f t="shared" si="25"/>
        <v>7.1894648260378974E-3</v>
      </c>
      <c r="O25" s="3">
        <f t="shared" si="25"/>
        <v>2.8939266270625237E-8</v>
      </c>
      <c r="P25" s="3">
        <f t="shared" si="25"/>
        <v>3.2314470238884246E-62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2.6316325765180882E-2</v>
      </c>
      <c r="C26" s="18">
        <f t="shared" si="3"/>
        <v>2.8589469167233993E-2</v>
      </c>
      <c r="D26" s="17"/>
      <c r="F26" s="3">
        <f t="shared" si="25"/>
        <v>2.8589469131635292E-2</v>
      </c>
      <c r="G26" s="3">
        <f t="shared" si="25"/>
        <v>2.8589468811246996E-2</v>
      </c>
      <c r="H26" s="3">
        <f t="shared" si="25"/>
        <v>2.8589465607364216E-2</v>
      </c>
      <c r="I26" s="3">
        <f t="shared" si="25"/>
        <v>2.8589433568556141E-2</v>
      </c>
      <c r="J26" s="3">
        <f t="shared" si="25"/>
        <v>2.8589113182450155E-2</v>
      </c>
      <c r="K26" s="3">
        <f t="shared" si="25"/>
        <v>2.8585909518855191E-2</v>
      </c>
      <c r="L26" s="3">
        <f t="shared" si="25"/>
        <v>2.855389262120921E-2</v>
      </c>
      <c r="M26" s="3">
        <f t="shared" si="25"/>
        <v>2.8235689315281851E-2</v>
      </c>
      <c r="N26" s="3">
        <f t="shared" si="25"/>
        <v>2.5242311430585702E-2</v>
      </c>
      <c r="O26" s="3">
        <f t="shared" si="25"/>
        <v>8.230692576211068E-3</v>
      </c>
      <c r="P26" s="3">
        <f t="shared" si="25"/>
        <v>1.1181729493660046E-7</v>
      </c>
      <c r="Q26" s="3">
        <f t="shared" si="25"/>
        <v>2.3946111007728983E-56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2.5880347372963481E-2</v>
      </c>
      <c r="C27" s="18">
        <f t="shared" si="3"/>
        <v>2.8115831969051441E-2</v>
      </c>
      <c r="D27" s="17"/>
      <c r="F27" s="3">
        <f t="shared" si="25"/>
        <v>2.8115831965893345E-2</v>
      </c>
      <c r="G27" s="3">
        <f t="shared" si="25"/>
        <v>2.8115831937470463E-2</v>
      </c>
      <c r="H27" s="3">
        <f t="shared" si="25"/>
        <v>2.8115831653241663E-2</v>
      </c>
      <c r="I27" s="3">
        <f t="shared" si="25"/>
        <v>2.8115828810953803E-2</v>
      </c>
      <c r="J27" s="3">
        <f t="shared" si="25"/>
        <v>2.8115800388091028E-2</v>
      </c>
      <c r="K27" s="3">
        <f t="shared" si="25"/>
        <v>2.8115516161043606E-2</v>
      </c>
      <c r="L27" s="3">
        <f t="shared" si="25"/>
        <v>2.8112674048595868E-2</v>
      </c>
      <c r="M27" s="3">
        <f t="shared" si="25"/>
        <v>2.8084268720857512E-2</v>
      </c>
      <c r="N27" s="3">
        <f t="shared" si="25"/>
        <v>2.7801789224699655E-2</v>
      </c>
      <c r="O27" s="3">
        <f t="shared" si="25"/>
        <v>2.5128641613459232E-2</v>
      </c>
      <c r="P27" s="3">
        <f t="shared" si="25"/>
        <v>9.1439043004684396E-3</v>
      </c>
      <c r="Q27" s="3">
        <f t="shared" si="25"/>
        <v>3.7218448825788348E-7</v>
      </c>
      <c r="R27" s="3">
        <f t="shared" si="25"/>
        <v>4.6454119851976501E-51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3.1272684747333933E-2</v>
      </c>
      <c r="C28" s="18">
        <f t="shared" si="3"/>
        <v>3.3973946984022944E-2</v>
      </c>
      <c r="D28" s="17"/>
      <c r="F28" s="3">
        <f t="shared" si="25"/>
        <v>3.3973946983678699E-2</v>
      </c>
      <c r="G28" s="3">
        <f t="shared" si="25"/>
        <v>3.3973946980580497E-2</v>
      </c>
      <c r="H28" s="3">
        <f t="shared" si="25"/>
        <v>3.3973946949598474E-2</v>
      </c>
      <c r="I28" s="3">
        <f t="shared" si="25"/>
        <v>3.397394663977827E-2</v>
      </c>
      <c r="J28" s="3">
        <f t="shared" si="25"/>
        <v>3.3973943541576346E-2</v>
      </c>
      <c r="K28" s="3">
        <f t="shared" si="25"/>
        <v>3.3973912559572675E-2</v>
      </c>
      <c r="L28" s="3">
        <f t="shared" si="25"/>
        <v>3.3973602741089882E-2</v>
      </c>
      <c r="M28" s="3">
        <f t="shared" si="25"/>
        <v>3.3970504711650834E-2</v>
      </c>
      <c r="N28" s="3">
        <f t="shared" si="25"/>
        <v>3.3939539950904873E-2</v>
      </c>
      <c r="O28" s="3">
        <f t="shared" si="25"/>
        <v>3.3631440479360515E-2</v>
      </c>
      <c r="P28" s="3">
        <f t="shared" si="25"/>
        <v>3.0700160685129076E-2</v>
      </c>
      <c r="Q28" s="3">
        <f t="shared" si="25"/>
        <v>1.2333673378739122E-2</v>
      </c>
      <c r="R28" s="3">
        <f t="shared" si="25"/>
        <v>1.3508601477651031E-6</v>
      </c>
      <c r="S28" s="3">
        <f t="shared" si="25"/>
        <v>3.3557519653567566E-46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3.3426616471964474E-2</v>
      </c>
      <c r="C29" s="18">
        <f t="shared" si="3"/>
        <v>3.6313930353248758E-2</v>
      </c>
      <c r="D29" s="17"/>
      <c r="F29" s="3">
        <f t="shared" si="25"/>
        <v>3.6313930353215562E-2</v>
      </c>
      <c r="G29" s="3">
        <f t="shared" si="25"/>
        <v>3.6313930352916829E-2</v>
      </c>
      <c r="H29" s="3">
        <f t="shared" si="25"/>
        <v>3.6313930349929496E-2</v>
      </c>
      <c r="I29" s="3">
        <f t="shared" si="25"/>
        <v>3.631393032005617E-2</v>
      </c>
      <c r="J29" s="3">
        <f t="shared" si="25"/>
        <v>3.631393002132291E-2</v>
      </c>
      <c r="K29" s="3">
        <f t="shared" si="25"/>
        <v>3.631392703399041E-2</v>
      </c>
      <c r="L29" s="3">
        <f t="shared" si="25"/>
        <v>3.6313897160678919E-2</v>
      </c>
      <c r="M29" s="3">
        <f t="shared" si="25"/>
        <v>3.6313598428915649E-2</v>
      </c>
      <c r="N29" s="3">
        <f t="shared" si="25"/>
        <v>3.631061124644102E-2</v>
      </c>
      <c r="O29" s="3">
        <f t="shared" si="25"/>
        <v>3.6280752933386694E-2</v>
      </c>
      <c r="P29" s="3">
        <f t="shared" si="25"/>
        <v>3.5983516868425956E-2</v>
      </c>
      <c r="Q29" s="3">
        <f t="shared" si="25"/>
        <v>3.3141851281770093E-2</v>
      </c>
      <c r="R29" s="3">
        <f t="shared" si="25"/>
        <v>1.4558221905670564E-2</v>
      </c>
      <c r="S29" s="3">
        <f t="shared" si="25"/>
        <v>3.8942519149898859E-6</v>
      </c>
      <c r="T29" s="3">
        <f t="shared" si="25"/>
        <v>7.3043422580586675E-42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3.8482314285101064E-2</v>
      </c>
      <c r="C30" s="18">
        <f t="shared" si="3"/>
        <v>4.1806327659667623E-2</v>
      </c>
      <c r="D30" s="17"/>
      <c r="F30" s="3">
        <f t="shared" si="25"/>
        <v>4.1806327659664175E-2</v>
      </c>
      <c r="G30" s="3">
        <f t="shared" si="25"/>
        <v>4.1806327659633151E-2</v>
      </c>
      <c r="H30" s="3">
        <f t="shared" si="25"/>
        <v>4.1806327659322913E-2</v>
      </c>
      <c r="I30" s="3">
        <f t="shared" si="25"/>
        <v>4.1806327656220506E-2</v>
      </c>
      <c r="J30" s="3">
        <f t="shared" si="25"/>
        <v>4.180632762519642E-2</v>
      </c>
      <c r="K30" s="3">
        <f t="shared" si="25"/>
        <v>4.1806327314955601E-2</v>
      </c>
      <c r="L30" s="3">
        <f t="shared" si="25"/>
        <v>4.1806324212547541E-2</v>
      </c>
      <c r="M30" s="3">
        <f t="shared" si="25"/>
        <v>4.180629318847956E-2</v>
      </c>
      <c r="N30" s="3">
        <f t="shared" si="25"/>
        <v>4.1805982949066019E-2</v>
      </c>
      <c r="O30" s="3">
        <f t="shared" si="25"/>
        <v>4.1802880681551524E-2</v>
      </c>
      <c r="P30" s="3">
        <f t="shared" si="25"/>
        <v>4.177187066501778E-2</v>
      </c>
      <c r="Q30" s="3">
        <f t="shared" si="25"/>
        <v>4.1463032891972749E-2</v>
      </c>
      <c r="R30" s="3">
        <f t="shared" si="25"/>
        <v>3.8497495926912623E-2</v>
      </c>
      <c r="S30" s="3">
        <f t="shared" si="25"/>
        <v>1.8329331955383887E-2</v>
      </c>
      <c r="T30" s="3">
        <f t="shared" si="25"/>
        <v>1.0972060303567828E-5</v>
      </c>
      <c r="U30" s="3">
        <f t="shared" si="25"/>
        <v>6.4819201730622605E-38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4.324198332632373E-2</v>
      </c>
      <c r="C31" s="18">
        <f t="shared" si="3"/>
        <v>4.6977125912982913E-2</v>
      </c>
      <c r="D31" s="17"/>
      <c r="F31" s="3">
        <f t="shared" si="25"/>
        <v>4.6977125912982566E-2</v>
      </c>
      <c r="G31" s="3">
        <f t="shared" si="25"/>
        <v>4.6977125912979416E-2</v>
      </c>
      <c r="H31" s="3">
        <f t="shared" si="25"/>
        <v>4.6977125912947969E-2</v>
      </c>
      <c r="I31" s="3">
        <f t="shared" si="25"/>
        <v>4.6977125912633498E-2</v>
      </c>
      <c r="J31" s="3">
        <f t="shared" si="25"/>
        <v>4.6977125909488715E-2</v>
      </c>
      <c r="K31" s="3">
        <f t="shared" si="25"/>
        <v>4.697712587804094E-2</v>
      </c>
      <c r="L31" s="3">
        <f t="shared" si="25"/>
        <v>4.6977125563563163E-2</v>
      </c>
      <c r="M31" s="3">
        <f t="shared" si="25"/>
        <v>4.6977122418785579E-2</v>
      </c>
      <c r="N31" s="3">
        <f t="shared" si="25"/>
        <v>4.6977090971021235E-2</v>
      </c>
      <c r="O31" s="3">
        <f t="shared" si="25"/>
        <v>4.6976776494535674E-2</v>
      </c>
      <c r="P31" s="3">
        <f t="shared" si="25"/>
        <v>4.6973631845462917E-2</v>
      </c>
      <c r="Q31" s="3">
        <f t="shared" si="25"/>
        <v>4.6942196930152176E-2</v>
      </c>
      <c r="R31" s="3">
        <f t="shared" si="25"/>
        <v>4.6629002456761104E-2</v>
      </c>
      <c r="S31" s="3">
        <f t="shared" si="25"/>
        <v>4.3609716180771259E-2</v>
      </c>
      <c r="T31" s="3">
        <f t="shared" si="25"/>
        <v>2.2328246413670996E-2</v>
      </c>
      <c r="U31" s="3">
        <f t="shared" si="25"/>
        <v>2.764191822165108E-5</v>
      </c>
      <c r="V31" s="3">
        <f t="shared" si="26"/>
        <v>2.3372425921241418E-34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5.9215170161015962E-2</v>
      </c>
      <c r="C32" s="18">
        <f t="shared" si="3"/>
        <v>6.4330039712108877E-2</v>
      </c>
      <c r="D32" s="17"/>
      <c r="F32" s="3">
        <f t="shared" si="25"/>
        <v>6.4330039712108836E-2</v>
      </c>
      <c r="G32" s="3">
        <f t="shared" si="25"/>
        <v>6.4330039712108447E-2</v>
      </c>
      <c r="H32" s="3">
        <f t="shared" si="25"/>
        <v>6.4330039712104561E-2</v>
      </c>
      <c r="I32" s="3">
        <f t="shared" si="25"/>
        <v>6.4330039712065717E-2</v>
      </c>
      <c r="J32" s="3">
        <f t="shared" si="25"/>
        <v>6.4330039711677237E-2</v>
      </c>
      <c r="K32" s="3">
        <f t="shared" si="25"/>
        <v>6.4330039707792483E-2</v>
      </c>
      <c r="L32" s="3">
        <f t="shared" si="25"/>
        <v>6.4330039668944905E-2</v>
      </c>
      <c r="M32" s="3">
        <f t="shared" si="25"/>
        <v>6.4330039280469153E-2</v>
      </c>
      <c r="N32" s="3">
        <f t="shared" si="25"/>
        <v>6.4330035395711721E-2</v>
      </c>
      <c r="O32" s="3">
        <f t="shared" si="25"/>
        <v>6.4329996548150359E-2</v>
      </c>
      <c r="P32" s="3">
        <f t="shared" si="25"/>
        <v>6.4329608073827024E-2</v>
      </c>
      <c r="Q32" s="3">
        <f t="shared" si="25"/>
        <v>6.4325723459616263E-2</v>
      </c>
      <c r="R32" s="3">
        <f t="shared" si="25"/>
        <v>6.4286890216890533E-2</v>
      </c>
      <c r="S32" s="3">
        <f t="shared" si="25"/>
        <v>6.3899844850291959E-2</v>
      </c>
      <c r="T32" s="3">
        <f t="shared" si="25"/>
        <v>6.0155267363587492E-2</v>
      </c>
      <c r="U32" s="3">
        <f t="shared" si="25"/>
        <v>3.2886089797693391E-2</v>
      </c>
      <c r="V32" s="3">
        <f t="shared" si="26"/>
        <v>7.841479434577187E-5</v>
      </c>
      <c r="W32" s="3">
        <f t="shared" si="26"/>
        <v>4.6586030046353839E-31</v>
      </c>
      <c r="X32" s="3">
        <f t="shared" si="26"/>
        <v>2.5517178348042854E-293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6.561604609405014E-2</v>
      </c>
      <c r="C33" s="18">
        <f t="shared" si="3"/>
        <v>7.1283808515689162E-2</v>
      </c>
      <c r="D33" s="17"/>
      <c r="F33" s="3">
        <f t="shared" si="25"/>
        <v>7.1283808515689148E-2</v>
      </c>
      <c r="G33" s="3">
        <f t="shared" si="25"/>
        <v>7.128380851568912E-2</v>
      </c>
      <c r="H33" s="3">
        <f t="shared" si="25"/>
        <v>7.1283808515688732E-2</v>
      </c>
      <c r="I33" s="3">
        <f t="shared" si="25"/>
        <v>7.1283808515684846E-2</v>
      </c>
      <c r="J33" s="3">
        <f t="shared" si="25"/>
        <v>7.1283808515646016E-2</v>
      </c>
      <c r="K33" s="3">
        <f t="shared" si="25"/>
        <v>7.1283808515257688E-2</v>
      </c>
      <c r="L33" s="3">
        <f t="shared" si="25"/>
        <v>7.1283808511374516E-2</v>
      </c>
      <c r="M33" s="3">
        <f t="shared" si="25"/>
        <v>7.1283808472542703E-2</v>
      </c>
      <c r="N33" s="3">
        <f t="shared" si="25"/>
        <v>7.1283808084224645E-2</v>
      </c>
      <c r="O33" s="3">
        <f t="shared" si="25"/>
        <v>7.1283804201044201E-2</v>
      </c>
      <c r="P33" s="3">
        <f t="shared" si="25"/>
        <v>7.128376536925124E-2</v>
      </c>
      <c r="Q33" s="3">
        <f t="shared" si="25"/>
        <v>7.1283377052485164E-2</v>
      </c>
      <c r="R33" s="3">
        <f t="shared" si="25"/>
        <v>7.1279494001166649E-2</v>
      </c>
      <c r="S33" s="3">
        <f t="shared" si="25"/>
        <v>7.1240675119856114E-2</v>
      </c>
      <c r="T33" s="3">
        <f t="shared" si="25"/>
        <v>7.0853647153138785E-2</v>
      </c>
      <c r="U33" s="3">
        <f t="shared" ref="P33:AE48" si="27">$C33*EXP(-U$15/$A33)</f>
        <v>6.7097146057178966E-2</v>
      </c>
      <c r="V33" s="3">
        <f t="shared" si="27"/>
        <v>3.8915483121467351E-2</v>
      </c>
      <c r="W33" s="3">
        <f t="shared" si="27"/>
        <v>1.6761242520920512E-4</v>
      </c>
      <c r="X33" s="3">
        <f t="shared" si="27"/>
        <v>3.6825109399750707E-28</v>
      </c>
      <c r="Y33" s="3">
        <f t="shared" si="27"/>
        <v>9.6498908907799982E-265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5.9839757687349997E-2</v>
      </c>
      <c r="C34" s="18">
        <f t="shared" si="3"/>
        <v>6.5008577665533668E-2</v>
      </c>
      <c r="D34" s="17"/>
      <c r="F34" s="3">
        <f t="shared" ref="F34:O48" si="28">$C34*EXP(-F$15/$A34)</f>
        <v>6.5008577665533668E-2</v>
      </c>
      <c r="G34" s="3">
        <f t="shared" si="28"/>
        <v>6.5008577665533668E-2</v>
      </c>
      <c r="H34" s="3">
        <f t="shared" si="28"/>
        <v>6.5008577665533626E-2</v>
      </c>
      <c r="I34" s="3">
        <f t="shared" si="28"/>
        <v>6.5008577665533321E-2</v>
      </c>
      <c r="J34" s="3">
        <f t="shared" si="28"/>
        <v>6.5008577665530115E-2</v>
      </c>
      <c r="K34" s="3">
        <f t="shared" si="28"/>
        <v>6.5008577665498168E-2</v>
      </c>
      <c r="L34" s="3">
        <f t="shared" si="28"/>
        <v>6.5008577665178716E-2</v>
      </c>
      <c r="M34" s="3">
        <f t="shared" si="28"/>
        <v>6.5008577661984132E-2</v>
      </c>
      <c r="N34" s="3">
        <f t="shared" si="28"/>
        <v>6.5008577630038325E-2</v>
      </c>
      <c r="O34" s="3">
        <f t="shared" si="28"/>
        <v>6.5008577310580185E-2</v>
      </c>
      <c r="P34" s="3">
        <f t="shared" si="27"/>
        <v>6.500857411599896E-2</v>
      </c>
      <c r="Q34" s="3">
        <f t="shared" si="27"/>
        <v>6.5008542170195333E-2</v>
      </c>
      <c r="R34" s="3">
        <f t="shared" si="27"/>
        <v>6.5008222713022493E-2</v>
      </c>
      <c r="S34" s="3">
        <f t="shared" si="27"/>
        <v>6.5005028227633946E-2</v>
      </c>
      <c r="T34" s="3">
        <f t="shared" si="27"/>
        <v>6.4973092006160957E-2</v>
      </c>
      <c r="U34" s="3">
        <f t="shared" si="27"/>
        <v>6.4654591465188732E-2</v>
      </c>
      <c r="V34" s="3">
        <f t="shared" si="27"/>
        <v>6.155420710434744E-2</v>
      </c>
      <c r="W34" s="3">
        <f t="shared" si="27"/>
        <v>3.7656628772832615E-2</v>
      </c>
      <c r="X34" s="3">
        <f t="shared" si="27"/>
        <v>2.7648934065266568E-4</v>
      </c>
      <c r="Y34" s="3">
        <f t="shared" si="27"/>
        <v>1.2590644194662737E-25</v>
      </c>
      <c r="Z34" s="3">
        <f t="shared" si="27"/>
        <v>4.8277362363150842E-239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4.5604307033351006E-2</v>
      </c>
      <c r="C35" s="18">
        <f t="shared" si="3"/>
        <v>4.954350168244695E-2</v>
      </c>
      <c r="D35" s="17"/>
      <c r="F35" s="3">
        <f t="shared" si="28"/>
        <v>4.954350168244695E-2</v>
      </c>
      <c r="G35" s="3">
        <f t="shared" si="28"/>
        <v>4.954350168244695E-2</v>
      </c>
      <c r="H35" s="3">
        <f t="shared" si="28"/>
        <v>4.954350168244695E-2</v>
      </c>
      <c r="I35" s="3">
        <f t="shared" si="28"/>
        <v>4.9543501682446929E-2</v>
      </c>
      <c r="J35" s="3">
        <f t="shared" si="28"/>
        <v>4.9543501682446707E-2</v>
      </c>
      <c r="K35" s="3">
        <f t="shared" si="28"/>
        <v>4.9543501682444507E-2</v>
      </c>
      <c r="L35" s="3">
        <f t="shared" si="28"/>
        <v>4.9543501682422553E-2</v>
      </c>
      <c r="M35" s="3">
        <f t="shared" si="28"/>
        <v>4.9543501682202923E-2</v>
      </c>
      <c r="N35" s="3">
        <f t="shared" si="28"/>
        <v>4.95435016800067E-2</v>
      </c>
      <c r="O35" s="3">
        <f t="shared" si="28"/>
        <v>4.9543501658044463E-2</v>
      </c>
      <c r="P35" s="3">
        <f t="shared" si="27"/>
        <v>4.9543501438422094E-2</v>
      </c>
      <c r="Q35" s="3">
        <f t="shared" si="27"/>
        <v>4.9543499242198454E-2</v>
      </c>
      <c r="R35" s="3">
        <f t="shared" si="27"/>
        <v>4.9543477279967406E-2</v>
      </c>
      <c r="S35" s="3">
        <f t="shared" si="27"/>
        <v>4.9543257658192431E-2</v>
      </c>
      <c r="T35" s="3">
        <f t="shared" si="27"/>
        <v>4.9541061493987897E-2</v>
      </c>
      <c r="U35" s="3">
        <f t="shared" si="27"/>
        <v>4.951910520559278E-2</v>
      </c>
      <c r="V35" s="3">
        <f t="shared" si="27"/>
        <v>4.9300076809609517E-2</v>
      </c>
      <c r="W35" s="3">
        <f t="shared" si="27"/>
        <v>4.7162375287734211E-2</v>
      </c>
      <c r="X35" s="3">
        <f t="shared" si="27"/>
        <v>3.0274460225520564E-2</v>
      </c>
      <c r="Y35" s="3">
        <f t="shared" si="27"/>
        <v>3.5965309136120954E-4</v>
      </c>
      <c r="Z35" s="3">
        <f t="shared" si="27"/>
        <v>2.0135280617136739E-23</v>
      </c>
      <c r="AA35" s="3">
        <f t="shared" si="27"/>
        <v>6.0911118773876886E-216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2.7873888000875806E-2</v>
      </c>
      <c r="C36" s="18">
        <f t="shared" si="3"/>
        <v>3.0281570029291476E-2</v>
      </c>
      <c r="D36" s="17"/>
      <c r="F36" s="3">
        <f t="shared" si="28"/>
        <v>3.0281570029291476E-2</v>
      </c>
      <c r="G36" s="3">
        <f t="shared" si="28"/>
        <v>3.0281570029291476E-2</v>
      </c>
      <c r="H36" s="3">
        <f t="shared" si="28"/>
        <v>3.0281570029291476E-2</v>
      </c>
      <c r="I36" s="3">
        <f t="shared" si="28"/>
        <v>3.0281570029291476E-2</v>
      </c>
      <c r="J36" s="3">
        <f t="shared" si="28"/>
        <v>3.0281570029291462E-2</v>
      </c>
      <c r="K36" s="3">
        <f t="shared" si="28"/>
        <v>3.0281570029291341E-2</v>
      </c>
      <c r="L36" s="3">
        <f t="shared" si="28"/>
        <v>3.028157002929013E-2</v>
      </c>
      <c r="M36" s="3">
        <f t="shared" si="28"/>
        <v>3.0281570029278022E-2</v>
      </c>
      <c r="N36" s="3">
        <f t="shared" si="28"/>
        <v>3.0281570029156928E-2</v>
      </c>
      <c r="O36" s="3">
        <f t="shared" si="28"/>
        <v>3.0281570027946011E-2</v>
      </c>
      <c r="P36" s="3">
        <f t="shared" si="27"/>
        <v>3.0281570015836829E-2</v>
      </c>
      <c r="Q36" s="3">
        <f t="shared" si="27"/>
        <v>3.0281569894744995E-2</v>
      </c>
      <c r="R36" s="3">
        <f t="shared" si="27"/>
        <v>3.0281568683826691E-2</v>
      </c>
      <c r="S36" s="3">
        <f t="shared" si="27"/>
        <v>3.0281556574646321E-2</v>
      </c>
      <c r="T36" s="3">
        <f t="shared" si="27"/>
        <v>3.028143548310893E-2</v>
      </c>
      <c r="U36" s="3">
        <f t="shared" si="27"/>
        <v>3.0280224594367203E-2</v>
      </c>
      <c r="V36" s="3">
        <f t="shared" si="27"/>
        <v>3.0268118369774871E-2</v>
      </c>
      <c r="W36" s="3">
        <f t="shared" si="27"/>
        <v>3.0147322012780003E-2</v>
      </c>
      <c r="X36" s="3">
        <f t="shared" si="27"/>
        <v>2.8965558104511877E-2</v>
      </c>
      <c r="Y36" s="3">
        <f t="shared" si="27"/>
        <v>1.9418403057381819E-2</v>
      </c>
      <c r="Z36" s="3">
        <f t="shared" si="27"/>
        <v>3.5606527004614422E-4</v>
      </c>
      <c r="AA36" s="3">
        <f t="shared" si="27"/>
        <v>1.5299972750965703E-21</v>
      </c>
      <c r="AB36" s="3">
        <f t="shared" si="27"/>
        <v>3.2832282526940215E-195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1.457950225172612E-2</v>
      </c>
      <c r="C37" s="18">
        <f t="shared" si="3"/>
        <v>1.5838845962715554E-2</v>
      </c>
      <c r="D37" s="17"/>
      <c r="F37" s="3">
        <f t="shared" si="28"/>
        <v>1.5838845962715554E-2</v>
      </c>
      <c r="G37" s="3">
        <f t="shared" si="28"/>
        <v>1.5838845962715554E-2</v>
      </c>
      <c r="H37" s="3">
        <f t="shared" si="28"/>
        <v>1.5838845962715554E-2</v>
      </c>
      <c r="I37" s="3">
        <f t="shared" si="28"/>
        <v>1.5838845962715554E-2</v>
      </c>
      <c r="J37" s="3">
        <f t="shared" si="28"/>
        <v>1.5838845962715554E-2</v>
      </c>
      <c r="K37" s="3">
        <f t="shared" si="28"/>
        <v>1.5838845962715547E-2</v>
      </c>
      <c r="L37" s="3">
        <f t="shared" si="28"/>
        <v>1.5838845962715491E-2</v>
      </c>
      <c r="M37" s="3">
        <f t="shared" si="28"/>
        <v>1.5838845962714919E-2</v>
      </c>
      <c r="N37" s="3">
        <f t="shared" si="28"/>
        <v>1.5838845962709205E-2</v>
      </c>
      <c r="O37" s="3">
        <f t="shared" si="28"/>
        <v>1.583884596265207E-2</v>
      </c>
      <c r="P37" s="3">
        <f t="shared" si="27"/>
        <v>1.5838845962080714E-2</v>
      </c>
      <c r="Q37" s="3">
        <f t="shared" si="27"/>
        <v>1.5838845956367156E-2</v>
      </c>
      <c r="R37" s="3">
        <f t="shared" si="27"/>
        <v>1.5838845899231582E-2</v>
      </c>
      <c r="S37" s="3">
        <f t="shared" si="27"/>
        <v>1.5838845327875859E-2</v>
      </c>
      <c r="T37" s="3">
        <f t="shared" si="27"/>
        <v>1.5838839614319755E-2</v>
      </c>
      <c r="U37" s="3">
        <f t="shared" si="27"/>
        <v>1.5838782478872087E-2</v>
      </c>
      <c r="V37" s="3">
        <f t="shared" si="27"/>
        <v>1.5838211135731008E-2</v>
      </c>
      <c r="W37" s="3">
        <f t="shared" si="27"/>
        <v>1.5832498837732547E-2</v>
      </c>
      <c r="X37" s="3">
        <f t="shared" si="27"/>
        <v>1.5775489047850137E-2</v>
      </c>
      <c r="Y37" s="3">
        <f t="shared" si="27"/>
        <v>1.5216560530675173E-2</v>
      </c>
      <c r="Z37" s="3">
        <f t="shared" si="27"/>
        <v>1.0608480018881008E-2</v>
      </c>
      <c r="AA37" s="3">
        <f t="shared" si="27"/>
        <v>2.877529671428381E-4</v>
      </c>
      <c r="AB37" s="3">
        <f t="shared" si="27"/>
        <v>6.2042071299986306E-20</v>
      </c>
      <c r="AC37" s="3">
        <f t="shared" si="27"/>
        <v>1.3469487392507582E-176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4.7756328422777234E-3</v>
      </c>
      <c r="C38" s="18">
        <f t="shared" si="3"/>
        <v>5.1881409706128322E-3</v>
      </c>
      <c r="D38" s="17"/>
      <c r="F38" s="3">
        <f t="shared" si="28"/>
        <v>5.1881409706128322E-3</v>
      </c>
      <c r="G38" s="3">
        <f t="shared" si="28"/>
        <v>5.1881409706128322E-3</v>
      </c>
      <c r="H38" s="3">
        <f t="shared" si="28"/>
        <v>5.1881409706128322E-3</v>
      </c>
      <c r="I38" s="3">
        <f t="shared" si="28"/>
        <v>5.1881409706128322E-3</v>
      </c>
      <c r="J38" s="3">
        <f t="shared" si="28"/>
        <v>5.1881409706128322E-3</v>
      </c>
      <c r="K38" s="3">
        <f t="shared" si="28"/>
        <v>5.1881409706128322E-3</v>
      </c>
      <c r="L38" s="3">
        <f t="shared" si="28"/>
        <v>5.1881409706128305E-3</v>
      </c>
      <c r="M38" s="3">
        <f t="shared" si="28"/>
        <v>5.1881409706128132E-3</v>
      </c>
      <c r="N38" s="3">
        <f t="shared" si="28"/>
        <v>5.1881409706126449E-3</v>
      </c>
      <c r="O38" s="3">
        <f t="shared" si="28"/>
        <v>5.1881409706109561E-3</v>
      </c>
      <c r="P38" s="3">
        <f t="shared" si="27"/>
        <v>5.1881409705940738E-3</v>
      </c>
      <c r="Q38" s="3">
        <f t="shared" si="27"/>
        <v>5.188140970425247E-3</v>
      </c>
      <c r="R38" s="3">
        <f t="shared" si="27"/>
        <v>5.1881409687369786E-3</v>
      </c>
      <c r="S38" s="3">
        <f t="shared" si="27"/>
        <v>5.1881409518542976E-3</v>
      </c>
      <c r="T38" s="3">
        <f t="shared" si="27"/>
        <v>5.1881407830274909E-3</v>
      </c>
      <c r="U38" s="3">
        <f t="shared" si="27"/>
        <v>5.1881390947597214E-3</v>
      </c>
      <c r="V38" s="3">
        <f t="shared" si="27"/>
        <v>5.188122212112246E-3</v>
      </c>
      <c r="W38" s="3">
        <f t="shared" si="27"/>
        <v>5.1879533886590263E-3</v>
      </c>
      <c r="X38" s="3">
        <f t="shared" si="27"/>
        <v>5.1862654562441768E-3</v>
      </c>
      <c r="Y38" s="3">
        <f t="shared" si="27"/>
        <v>5.1694163074861551E-3</v>
      </c>
      <c r="Z38" s="3">
        <f t="shared" si="27"/>
        <v>5.0039063414449693E-3</v>
      </c>
      <c r="AA38" s="3">
        <f t="shared" si="27"/>
        <v>3.6139805496263507E-3</v>
      </c>
      <c r="AB38" s="3">
        <f t="shared" si="27"/>
        <v>1.3955718342661079E-4</v>
      </c>
      <c r="AC38" s="3">
        <f t="shared" si="27"/>
        <v>1.0290015893663566E-18</v>
      </c>
      <c r="AD38" s="3">
        <f t="shared" si="27"/>
        <v>4.8871373276046949E-160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3.554674559310694E-3</v>
      </c>
      <c r="C39" s="18">
        <f t="shared" si="3"/>
        <v>3.8617191328215671E-3</v>
      </c>
      <c r="D39" s="17"/>
      <c r="F39" s="3">
        <f t="shared" si="28"/>
        <v>3.8617191328215671E-3</v>
      </c>
      <c r="G39" s="3">
        <f t="shared" si="28"/>
        <v>3.8617191328215671E-3</v>
      </c>
      <c r="H39" s="3">
        <f t="shared" si="28"/>
        <v>3.8617191328215671E-3</v>
      </c>
      <c r="I39" s="3">
        <f t="shared" si="28"/>
        <v>3.8617191328215671E-3</v>
      </c>
      <c r="J39" s="3">
        <f t="shared" si="28"/>
        <v>3.8617191328215671E-3</v>
      </c>
      <c r="K39" s="3">
        <f t="shared" si="28"/>
        <v>3.8617191328215671E-3</v>
      </c>
      <c r="L39" s="3">
        <f t="shared" si="28"/>
        <v>3.8617191328215667E-3</v>
      </c>
      <c r="M39" s="3">
        <f t="shared" si="28"/>
        <v>3.8617191328215632E-3</v>
      </c>
      <c r="N39" s="3">
        <f t="shared" si="28"/>
        <v>3.8617191328215285E-3</v>
      </c>
      <c r="O39" s="3">
        <f t="shared" si="28"/>
        <v>3.8617191328211807E-3</v>
      </c>
      <c r="P39" s="3">
        <f t="shared" si="27"/>
        <v>3.8617191328177056E-3</v>
      </c>
      <c r="Q39" s="3">
        <f t="shared" si="27"/>
        <v>3.86171913278295E-3</v>
      </c>
      <c r="R39" s="3">
        <f t="shared" si="27"/>
        <v>3.8617191324353951E-3</v>
      </c>
      <c r="S39" s="3">
        <f t="shared" si="27"/>
        <v>3.861719128959848E-3</v>
      </c>
      <c r="T39" s="3">
        <f t="shared" si="27"/>
        <v>3.8617190942043761E-3</v>
      </c>
      <c r="U39" s="3">
        <f t="shared" si="27"/>
        <v>3.8617187466496732E-3</v>
      </c>
      <c r="V39" s="3">
        <f t="shared" si="27"/>
        <v>3.861715271104365E-3</v>
      </c>
      <c r="W39" s="3">
        <f t="shared" si="27"/>
        <v>3.8616805158233243E-3</v>
      </c>
      <c r="X39" s="3">
        <f t="shared" si="27"/>
        <v>3.861332980216237E-3</v>
      </c>
      <c r="Y39" s="3">
        <f t="shared" si="27"/>
        <v>3.8578593439048529E-3</v>
      </c>
      <c r="Z39" s="3">
        <f t="shared" si="27"/>
        <v>3.823294385435974E-3</v>
      </c>
      <c r="AA39" s="3">
        <f t="shared" si="27"/>
        <v>3.4942279693223315E-3</v>
      </c>
      <c r="AB39" s="3">
        <f t="shared" si="27"/>
        <v>1.4206470765434651E-3</v>
      </c>
      <c r="AC39" s="3">
        <f t="shared" si="27"/>
        <v>1.7532177739254307E-7</v>
      </c>
      <c r="AD39" s="3">
        <f t="shared" si="27"/>
        <v>1.4365888572149528E-46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2.8167015702979491E-3</v>
      </c>
      <c r="C40" s="18">
        <f t="shared" si="3"/>
        <v>3.0600017424879029E-3</v>
      </c>
      <c r="D40" s="17"/>
      <c r="F40" s="3">
        <f t="shared" si="28"/>
        <v>3.0600017424879029E-3</v>
      </c>
      <c r="G40" s="3">
        <f t="shared" si="28"/>
        <v>3.0600017424879029E-3</v>
      </c>
      <c r="H40" s="3">
        <f t="shared" si="28"/>
        <v>3.0600017424879029E-3</v>
      </c>
      <c r="I40" s="3">
        <f t="shared" si="28"/>
        <v>3.0600017424879029E-3</v>
      </c>
      <c r="J40" s="3">
        <f t="shared" si="28"/>
        <v>3.0600017424879029E-3</v>
      </c>
      <c r="K40" s="3">
        <f t="shared" si="28"/>
        <v>3.0600017424879029E-3</v>
      </c>
      <c r="L40" s="3">
        <f t="shared" si="28"/>
        <v>3.0600017424879029E-3</v>
      </c>
      <c r="M40" s="3">
        <f t="shared" si="28"/>
        <v>3.0600017424879025E-3</v>
      </c>
      <c r="N40" s="3">
        <f t="shared" si="28"/>
        <v>3.0600017424878998E-3</v>
      </c>
      <c r="O40" s="3">
        <f t="shared" si="28"/>
        <v>3.0600017424878721E-3</v>
      </c>
      <c r="P40" s="3">
        <f t="shared" si="27"/>
        <v>3.0600017424875967E-3</v>
      </c>
      <c r="Q40" s="3">
        <f t="shared" si="27"/>
        <v>3.0600017424848428E-3</v>
      </c>
      <c r="R40" s="3">
        <f t="shared" si="27"/>
        <v>3.0600017424573028E-3</v>
      </c>
      <c r="S40" s="3">
        <f t="shared" si="27"/>
        <v>3.0600017421819029E-3</v>
      </c>
      <c r="T40" s="3">
        <f t="shared" si="27"/>
        <v>3.0600017394279014E-3</v>
      </c>
      <c r="U40" s="3">
        <f t="shared" si="27"/>
        <v>3.0600017118878856E-3</v>
      </c>
      <c r="V40" s="3">
        <f t="shared" si="27"/>
        <v>3.0600014364877441E-3</v>
      </c>
      <c r="W40" s="3">
        <f t="shared" si="27"/>
        <v>3.0599986824876905E-3</v>
      </c>
      <c r="X40" s="3">
        <f t="shared" si="27"/>
        <v>3.0599711426234776E-3</v>
      </c>
      <c r="Y40" s="3">
        <f t="shared" si="27"/>
        <v>3.0596957576131526E-3</v>
      </c>
      <c r="Z40" s="3">
        <f t="shared" si="27"/>
        <v>3.0569432702364134E-3</v>
      </c>
      <c r="AA40" s="3">
        <f t="shared" si="27"/>
        <v>3.0295542164223131E-3</v>
      </c>
      <c r="AB40" s="3">
        <f t="shared" si="27"/>
        <v>2.7688040758582911E-3</v>
      </c>
      <c r="AC40" s="3">
        <f t="shared" si="27"/>
        <v>1.1257117310100894E-3</v>
      </c>
      <c r="AD40" s="3">
        <f t="shared" si="27"/>
        <v>1.3892386418203206E-7</v>
      </c>
      <c r="AE40" s="3">
        <f t="shared" si="27"/>
        <v>1.1383438968811144E-46</v>
      </c>
      <c r="AF40" s="3">
        <f t="shared" si="29"/>
        <v>0</v>
      </c>
      <c r="AG40" s="3">
        <f t="shared" si="29"/>
        <v>0</v>
      </c>
      <c r="AH40" s="3">
        <f t="shared" si="29"/>
        <v>0</v>
      </c>
      <c r="AI40" s="3">
        <f t="shared" si="29"/>
        <v>0</v>
      </c>
      <c r="AJ40" s="3">
        <f t="shared" si="29"/>
        <v>0</v>
      </c>
    </row>
    <row r="41" spans="1:36" x14ac:dyDescent="0.25">
      <c r="A41" s="3">
        <f t="shared" si="30"/>
        <v>1000000000</v>
      </c>
      <c r="B41" s="106">
        <v>1.7114812311515965E-3</v>
      </c>
      <c r="C41" s="18">
        <f t="shared" si="3"/>
        <v>1.8593150246318942E-3</v>
      </c>
      <c r="D41" s="17"/>
      <c r="F41" s="3">
        <f t="shared" si="28"/>
        <v>1.8593150246318942E-3</v>
      </c>
      <c r="G41" s="3">
        <f t="shared" si="28"/>
        <v>1.8593150246318942E-3</v>
      </c>
      <c r="H41" s="3">
        <f t="shared" si="28"/>
        <v>1.8593150246318942E-3</v>
      </c>
      <c r="I41" s="3">
        <f t="shared" si="28"/>
        <v>1.8593150246318942E-3</v>
      </c>
      <c r="J41" s="3">
        <f t="shared" si="28"/>
        <v>1.8593150246318942E-3</v>
      </c>
      <c r="K41" s="3">
        <f t="shared" si="28"/>
        <v>1.8593150246318942E-3</v>
      </c>
      <c r="L41" s="3">
        <f t="shared" si="28"/>
        <v>1.8593150246318942E-3</v>
      </c>
      <c r="M41" s="3">
        <f t="shared" si="28"/>
        <v>1.8593150246318942E-3</v>
      </c>
      <c r="N41" s="3">
        <f t="shared" si="28"/>
        <v>1.859315024631894E-3</v>
      </c>
      <c r="O41" s="3">
        <f t="shared" si="28"/>
        <v>1.8593150246318923E-3</v>
      </c>
      <c r="P41" s="3">
        <f t="shared" si="27"/>
        <v>1.8593150246318756E-3</v>
      </c>
      <c r="Q41" s="3">
        <f t="shared" si="27"/>
        <v>1.8593150246317082E-3</v>
      </c>
      <c r="R41" s="3">
        <f t="shared" si="27"/>
        <v>1.859315024630035E-3</v>
      </c>
      <c r="S41" s="3">
        <f t="shared" si="27"/>
        <v>1.859315024613301E-3</v>
      </c>
      <c r="T41" s="3">
        <f t="shared" si="27"/>
        <v>1.8593150244459627E-3</v>
      </c>
      <c r="U41" s="3">
        <f t="shared" si="27"/>
        <v>1.8593150227725792E-3</v>
      </c>
      <c r="V41" s="3">
        <f t="shared" si="27"/>
        <v>1.859315006038744E-3</v>
      </c>
      <c r="W41" s="3">
        <f t="shared" si="27"/>
        <v>1.8593148387004012E-3</v>
      </c>
      <c r="X41" s="3">
        <f t="shared" si="27"/>
        <v>1.8593131653177992E-3</v>
      </c>
      <c r="Y41" s="3">
        <f t="shared" si="27"/>
        <v>1.8592964315746134E-3</v>
      </c>
      <c r="Z41" s="3">
        <f t="shared" si="27"/>
        <v>1.8591291024256963E-3</v>
      </c>
      <c r="AA41" s="3">
        <f t="shared" si="27"/>
        <v>1.8574566389549664E-3</v>
      </c>
      <c r="AB41" s="3">
        <f t="shared" si="27"/>
        <v>1.8408145310241373E-3</v>
      </c>
      <c r="AC41" s="3">
        <f t="shared" si="27"/>
        <v>1.6823778062033897E-3</v>
      </c>
      <c r="AD41" s="3">
        <f t="shared" si="27"/>
        <v>6.8400377222324778E-4</v>
      </c>
      <c r="AE41" s="3">
        <f t="shared" si="27"/>
        <v>8.4412771524620794E-8</v>
      </c>
      <c r="AF41" s="3">
        <f t="shared" si="29"/>
        <v>6.9167931549876984E-47</v>
      </c>
      <c r="AG41" s="3">
        <f t="shared" si="29"/>
        <v>0</v>
      </c>
      <c r="AH41" s="3">
        <f t="shared" si="29"/>
        <v>0</v>
      </c>
      <c r="AI41" s="3">
        <f t="shared" si="29"/>
        <v>0</v>
      </c>
      <c r="AJ41" s="3">
        <f t="shared" si="29"/>
        <v>0</v>
      </c>
    </row>
    <row r="42" spans="1:36" x14ac:dyDescent="0.25">
      <c r="A42" s="3">
        <f t="shared" si="30"/>
        <v>10000000000</v>
      </c>
      <c r="B42" s="106">
        <v>9.4717625401859634E-5</v>
      </c>
      <c r="C42" s="18">
        <f t="shared" si="3"/>
        <v>1.0289911498978865E-4</v>
      </c>
      <c r="D42" s="17"/>
      <c r="F42" s="3">
        <f t="shared" si="28"/>
        <v>1.0289911498978865E-4</v>
      </c>
      <c r="G42" s="3">
        <f t="shared" si="28"/>
        <v>1.0289911498978865E-4</v>
      </c>
      <c r="H42" s="3">
        <f t="shared" si="28"/>
        <v>1.0289911498978865E-4</v>
      </c>
      <c r="I42" s="3">
        <f t="shared" si="28"/>
        <v>1.0289911498978865E-4</v>
      </c>
      <c r="J42" s="3">
        <f t="shared" si="28"/>
        <v>1.0289911498978865E-4</v>
      </c>
      <c r="K42" s="3">
        <f t="shared" si="28"/>
        <v>1.0289911498978865E-4</v>
      </c>
      <c r="L42" s="3">
        <f t="shared" si="28"/>
        <v>1.0289911498978865E-4</v>
      </c>
      <c r="M42" s="3">
        <f t="shared" si="28"/>
        <v>1.0289911498978865E-4</v>
      </c>
      <c r="N42" s="3">
        <f t="shared" si="28"/>
        <v>1.0289911498978865E-4</v>
      </c>
      <c r="O42" s="3">
        <f t="shared" si="28"/>
        <v>1.0289911498978864E-4</v>
      </c>
      <c r="P42" s="3">
        <f t="shared" si="27"/>
        <v>1.0289911498978854E-4</v>
      </c>
      <c r="Q42" s="3">
        <f t="shared" si="27"/>
        <v>1.0289911498978762E-4</v>
      </c>
      <c r="R42" s="3">
        <f t="shared" si="27"/>
        <v>1.0289911498977837E-4</v>
      </c>
      <c r="S42" s="3">
        <f t="shared" si="27"/>
        <v>1.0289911498968576E-4</v>
      </c>
      <c r="T42" s="3">
        <f t="shared" si="27"/>
        <v>1.0289911498875966E-4</v>
      </c>
      <c r="U42" s="3">
        <f t="shared" si="27"/>
        <v>1.0289911497949873E-4</v>
      </c>
      <c r="V42" s="3">
        <f t="shared" si="27"/>
        <v>1.0289911488688954E-4</v>
      </c>
      <c r="W42" s="3">
        <f t="shared" si="27"/>
        <v>1.0289911396079751E-4</v>
      </c>
      <c r="X42" s="3">
        <f t="shared" si="27"/>
        <v>1.0289910469987767E-4</v>
      </c>
      <c r="Y42" s="3">
        <f t="shared" si="27"/>
        <v>1.0289901209072511E-4</v>
      </c>
      <c r="Z42" s="3">
        <f t="shared" si="27"/>
        <v>1.0289808600378369E-4</v>
      </c>
      <c r="AA42" s="3">
        <f t="shared" si="27"/>
        <v>1.0288882559276809E-4</v>
      </c>
      <c r="AB42" s="3">
        <f t="shared" si="27"/>
        <v>1.027962673072108E-4</v>
      </c>
      <c r="AC42" s="3">
        <f t="shared" si="27"/>
        <v>1.0187525168857678E-4</v>
      </c>
      <c r="AD42" s="3">
        <f t="shared" si="27"/>
        <v>9.3106969525545661E-5</v>
      </c>
      <c r="AE42" s="3">
        <f t="shared" si="27"/>
        <v>3.7854468919479432E-5</v>
      </c>
      <c r="AF42" s="3">
        <f t="shared" si="29"/>
        <v>4.671612593158257E-9</v>
      </c>
      <c r="AG42" s="3">
        <f t="shared" si="29"/>
        <v>3.8279252562731829E-48</v>
      </c>
      <c r="AH42" s="3">
        <f t="shared" si="29"/>
        <v>0</v>
      </c>
      <c r="AI42" s="3">
        <f t="shared" si="29"/>
        <v>0</v>
      </c>
      <c r="AJ42" s="3">
        <f t="shared" si="29"/>
        <v>0</v>
      </c>
    </row>
    <row r="43" spans="1:36" x14ac:dyDescent="0.25">
      <c r="A43" s="3">
        <f t="shared" si="30"/>
        <v>100000000000</v>
      </c>
      <c r="B43" s="106">
        <v>3.1573802525357172E-3</v>
      </c>
      <c r="C43" s="18">
        <f t="shared" si="3"/>
        <v>3.4301074619822757E-3</v>
      </c>
      <c r="D43" s="17"/>
      <c r="F43" s="3">
        <f t="shared" si="28"/>
        <v>3.4301074619822757E-3</v>
      </c>
      <c r="G43" s="3">
        <f t="shared" si="28"/>
        <v>3.4301074619822757E-3</v>
      </c>
      <c r="H43" s="3">
        <f t="shared" si="28"/>
        <v>3.4301074619822757E-3</v>
      </c>
      <c r="I43" s="3">
        <f t="shared" si="28"/>
        <v>3.4301074619822757E-3</v>
      </c>
      <c r="J43" s="3">
        <f t="shared" si="28"/>
        <v>3.4301074619822757E-3</v>
      </c>
      <c r="K43" s="3">
        <f t="shared" si="28"/>
        <v>3.4301074619822757E-3</v>
      </c>
      <c r="L43" s="3">
        <f t="shared" si="28"/>
        <v>3.4301074619822757E-3</v>
      </c>
      <c r="M43" s="3">
        <f t="shared" si="28"/>
        <v>3.4301074619822757E-3</v>
      </c>
      <c r="N43" s="3">
        <f t="shared" si="28"/>
        <v>3.4301074619822757E-3</v>
      </c>
      <c r="O43" s="3">
        <f t="shared" si="28"/>
        <v>3.4301074619822757E-3</v>
      </c>
      <c r="P43" s="3">
        <f t="shared" si="27"/>
        <v>3.4301074619822753E-3</v>
      </c>
      <c r="Q43" s="3">
        <f t="shared" si="27"/>
        <v>3.4301074619822723E-3</v>
      </c>
      <c r="R43" s="3">
        <f t="shared" si="27"/>
        <v>3.4301074619822415E-3</v>
      </c>
      <c r="S43" s="3">
        <f t="shared" si="27"/>
        <v>3.4301074619819327E-3</v>
      </c>
      <c r="T43" s="3">
        <f t="shared" si="27"/>
        <v>3.4301074619788458E-3</v>
      </c>
      <c r="U43" s="3">
        <f t="shared" si="27"/>
        <v>3.4301074619479746E-3</v>
      </c>
      <c r="V43" s="3">
        <f t="shared" si="27"/>
        <v>3.430107461639265E-3</v>
      </c>
      <c r="W43" s="3">
        <f t="shared" si="27"/>
        <v>3.4301074585521684E-3</v>
      </c>
      <c r="X43" s="3">
        <f t="shared" si="27"/>
        <v>3.4301074276812012E-3</v>
      </c>
      <c r="Y43" s="3">
        <f t="shared" si="27"/>
        <v>3.430107118971547E-3</v>
      </c>
      <c r="Z43" s="3">
        <f t="shared" si="27"/>
        <v>3.430104031876529E-3</v>
      </c>
      <c r="AA43" s="3">
        <f t="shared" si="27"/>
        <v>3.4300731610791605E-3</v>
      </c>
      <c r="AB43" s="3">
        <f t="shared" si="27"/>
        <v>3.4297644683860431E-3</v>
      </c>
      <c r="AC43" s="3">
        <f t="shared" si="27"/>
        <v>3.4266790690024827E-3</v>
      </c>
      <c r="AD43" s="3">
        <f t="shared" si="27"/>
        <v>3.3959773224773331E-3</v>
      </c>
      <c r="AE43" s="3">
        <f t="shared" si="27"/>
        <v>3.1036895794859204E-3</v>
      </c>
      <c r="AF43" s="3">
        <f t="shared" si="29"/>
        <v>1.261866016272034E-3</v>
      </c>
      <c r="AG43" s="3">
        <f t="shared" si="29"/>
        <v>1.5572663785177052E-7</v>
      </c>
      <c r="AH43" s="3">
        <f t="shared" si="29"/>
        <v>1.2760260364490067E-46</v>
      </c>
      <c r="AI43" s="3">
        <f t="shared" si="29"/>
        <v>0</v>
      </c>
      <c r="AJ43" s="3">
        <f t="shared" si="29"/>
        <v>0</v>
      </c>
    </row>
    <row r="44" spans="1:36" x14ac:dyDescent="0.25">
      <c r="A44" s="3">
        <f t="shared" si="30"/>
        <v>1000000000000</v>
      </c>
      <c r="B44" s="106">
        <v>9.2965517082791598E-5</v>
      </c>
      <c r="C44" s="18">
        <f t="shared" si="3"/>
        <v>1.0099566360327609E-4</v>
      </c>
      <c r="D44" s="17"/>
      <c r="F44" s="3">
        <f t="shared" si="28"/>
        <v>1.0099566360327609E-4</v>
      </c>
      <c r="G44" s="3">
        <f t="shared" si="28"/>
        <v>1.0099566360327609E-4</v>
      </c>
      <c r="H44" s="3">
        <f t="shared" si="28"/>
        <v>1.0099566360327609E-4</v>
      </c>
      <c r="I44" s="3">
        <f t="shared" si="28"/>
        <v>1.0099566360327609E-4</v>
      </c>
      <c r="J44" s="3">
        <f t="shared" si="28"/>
        <v>1.0099566360327609E-4</v>
      </c>
      <c r="K44" s="3">
        <f t="shared" si="28"/>
        <v>1.0099566360327609E-4</v>
      </c>
      <c r="L44" s="3">
        <f t="shared" si="28"/>
        <v>1.0099566360327609E-4</v>
      </c>
      <c r="M44" s="3">
        <f t="shared" si="28"/>
        <v>1.0099566360327609E-4</v>
      </c>
      <c r="N44" s="3">
        <f t="shared" si="28"/>
        <v>1.0099566360327609E-4</v>
      </c>
      <c r="O44" s="3">
        <f t="shared" si="28"/>
        <v>1.0099566360327609E-4</v>
      </c>
      <c r="P44" s="3">
        <f t="shared" si="27"/>
        <v>1.0099566360327609E-4</v>
      </c>
      <c r="Q44" s="3">
        <f t="shared" si="27"/>
        <v>1.0099566360327608E-4</v>
      </c>
      <c r="R44" s="3">
        <f t="shared" si="27"/>
        <v>1.00995663603276E-4</v>
      </c>
      <c r="S44" s="3">
        <f t="shared" si="27"/>
        <v>1.0099566360327509E-4</v>
      </c>
      <c r="T44" s="3">
        <f t="shared" si="27"/>
        <v>1.00995663603266E-4</v>
      </c>
      <c r="U44" s="3">
        <f t="shared" si="27"/>
        <v>1.009956636031751E-4</v>
      </c>
      <c r="V44" s="3">
        <f t="shared" si="27"/>
        <v>1.0099566360226613E-4</v>
      </c>
      <c r="W44" s="3">
        <f t="shared" si="27"/>
        <v>1.0099566359317652E-4</v>
      </c>
      <c r="X44" s="3">
        <f t="shared" si="27"/>
        <v>1.0099566350228044E-4</v>
      </c>
      <c r="Y44" s="3">
        <f t="shared" si="27"/>
        <v>1.0099566259331946E-4</v>
      </c>
      <c r="Z44" s="3">
        <f t="shared" si="27"/>
        <v>1.0099565350371024E-4</v>
      </c>
      <c r="AA44" s="3">
        <f t="shared" si="27"/>
        <v>1.0099556260766299E-4</v>
      </c>
      <c r="AB44" s="3">
        <f t="shared" si="27"/>
        <v>1.0099465365168982E-4</v>
      </c>
      <c r="AC44" s="3">
        <f t="shared" si="27"/>
        <v>1.0098556454187726E-4</v>
      </c>
      <c r="AD44" s="3">
        <f t="shared" si="27"/>
        <v>1.0089471842067622E-4</v>
      </c>
      <c r="AE44" s="3">
        <f t="shared" si="27"/>
        <v>9.9990739959810408E-5</v>
      </c>
      <c r="AF44" s="3">
        <f t="shared" si="29"/>
        <v>9.1384655487616677E-5</v>
      </c>
      <c r="AG44" s="3">
        <f t="shared" si="29"/>
        <v>3.7154228287112186E-5</v>
      </c>
      <c r="AH44" s="3">
        <f t="shared" si="29"/>
        <v>4.5851960339042827E-9</v>
      </c>
      <c r="AI44" s="3">
        <f t="shared" si="29"/>
        <v>3.7571154185282933E-48</v>
      </c>
      <c r="AJ44" s="3">
        <f t="shared" si="29"/>
        <v>0</v>
      </c>
    </row>
    <row r="45" spans="1:36" x14ac:dyDescent="0.25">
      <c r="A45" s="3">
        <f t="shared" si="30"/>
        <v>10000000000000</v>
      </c>
      <c r="B45" s="106">
        <v>2.6266879516750733E-4</v>
      </c>
      <c r="C45" s="18">
        <f t="shared" si="3"/>
        <v>2.8535751866135694E-4</v>
      </c>
      <c r="D45" s="17"/>
      <c r="F45" s="3">
        <f t="shared" si="28"/>
        <v>2.8535751866135694E-4</v>
      </c>
      <c r="G45" s="3">
        <f t="shared" si="28"/>
        <v>2.8535751866135694E-4</v>
      </c>
      <c r="H45" s="3">
        <f t="shared" si="28"/>
        <v>2.8535751866135694E-4</v>
      </c>
      <c r="I45" s="3">
        <f t="shared" si="28"/>
        <v>2.8535751866135694E-4</v>
      </c>
      <c r="J45" s="3">
        <f t="shared" si="28"/>
        <v>2.8535751866135694E-4</v>
      </c>
      <c r="K45" s="3">
        <f t="shared" si="28"/>
        <v>2.8535751866135694E-4</v>
      </c>
      <c r="L45" s="3">
        <f t="shared" si="28"/>
        <v>2.8535751866135694E-4</v>
      </c>
      <c r="M45" s="3">
        <f t="shared" si="28"/>
        <v>2.8535751866135694E-4</v>
      </c>
      <c r="N45" s="3">
        <f t="shared" si="28"/>
        <v>2.8535751866135694E-4</v>
      </c>
      <c r="O45" s="3">
        <f t="shared" si="28"/>
        <v>2.8535751866135694E-4</v>
      </c>
      <c r="P45" s="3">
        <f t="shared" si="27"/>
        <v>2.8535751866135694E-4</v>
      </c>
      <c r="Q45" s="3">
        <f t="shared" si="27"/>
        <v>2.8535751866135694E-4</v>
      </c>
      <c r="R45" s="3">
        <f t="shared" si="27"/>
        <v>2.8535751866135689E-4</v>
      </c>
      <c r="S45" s="3">
        <f t="shared" si="27"/>
        <v>2.8535751866135667E-4</v>
      </c>
      <c r="T45" s="3">
        <f t="shared" si="27"/>
        <v>2.8535751866135407E-4</v>
      </c>
      <c r="U45" s="3">
        <f t="shared" si="27"/>
        <v>2.8535751866132838E-4</v>
      </c>
      <c r="V45" s="3">
        <f t="shared" si="27"/>
        <v>2.8535751866107158E-4</v>
      </c>
      <c r="W45" s="3">
        <f t="shared" si="27"/>
        <v>2.8535751865850338E-4</v>
      </c>
      <c r="X45" s="3">
        <f t="shared" si="27"/>
        <v>2.8535751863282118E-4</v>
      </c>
      <c r="Y45" s="3">
        <f t="shared" si="27"/>
        <v>2.8535751837599943E-4</v>
      </c>
      <c r="Z45" s="3">
        <f t="shared" si="27"/>
        <v>2.8535751580778177E-4</v>
      </c>
      <c r="AA45" s="3">
        <f t="shared" si="27"/>
        <v>2.8535749012560652E-4</v>
      </c>
      <c r="AB45" s="3">
        <f t="shared" si="27"/>
        <v>2.8535723330398098E-4</v>
      </c>
      <c r="AC45" s="3">
        <f t="shared" si="27"/>
        <v>2.8535466510043814E-4</v>
      </c>
      <c r="AD45" s="3">
        <f t="shared" si="27"/>
        <v>2.8532898433623085E-4</v>
      </c>
      <c r="AE45" s="3">
        <f t="shared" si="27"/>
        <v>2.8507230377390722E-4</v>
      </c>
      <c r="AF45" s="3">
        <f t="shared" si="29"/>
        <v>2.825181639097516E-4</v>
      </c>
      <c r="AG45" s="3">
        <f t="shared" si="29"/>
        <v>2.5820216040269034E-4</v>
      </c>
      <c r="AH45" s="3">
        <f t="shared" si="29"/>
        <v>1.0497716449920941E-4</v>
      </c>
      <c r="AI45" s="3">
        <f t="shared" si="29"/>
        <v>1.2955211304422566E-8</v>
      </c>
      <c r="AJ45" s="3">
        <f t="shared" si="29"/>
        <v>1.0615516497490314E-47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1.426698495198754E-4</v>
      </c>
      <c r="C48" s="18">
        <f t="shared" si="3"/>
        <v>1.5499334140859142E-4</v>
      </c>
      <c r="D48" s="17"/>
      <c r="F48" s="3">
        <f t="shared" si="28"/>
        <v>1.5499334140859142E-4</v>
      </c>
      <c r="G48" s="3">
        <f t="shared" si="28"/>
        <v>1.5499334140859142E-4</v>
      </c>
      <c r="H48" s="3">
        <f t="shared" si="28"/>
        <v>1.5499334140859142E-4</v>
      </c>
      <c r="I48" s="3">
        <f t="shared" si="28"/>
        <v>1.5499334140859142E-4</v>
      </c>
      <c r="J48" s="3">
        <f t="shared" si="28"/>
        <v>1.5499334140859142E-4</v>
      </c>
      <c r="K48" s="3">
        <f t="shared" si="28"/>
        <v>1.5499334140859142E-4</v>
      </c>
      <c r="L48" s="3">
        <f t="shared" si="28"/>
        <v>1.5499334140859142E-4</v>
      </c>
      <c r="M48" s="3">
        <f t="shared" si="28"/>
        <v>1.5499334140859142E-4</v>
      </c>
      <c r="N48" s="3">
        <f t="shared" si="28"/>
        <v>1.5499334140859142E-4</v>
      </c>
      <c r="O48" s="3">
        <f t="shared" si="28"/>
        <v>1.5499334140859142E-4</v>
      </c>
      <c r="P48" s="3">
        <f t="shared" si="27"/>
        <v>1.5499334140859142E-4</v>
      </c>
      <c r="Q48" s="3">
        <f t="shared" si="27"/>
        <v>1.5499334140859142E-4</v>
      </c>
      <c r="R48" s="3">
        <f t="shared" si="27"/>
        <v>1.5499334140859142E-4</v>
      </c>
      <c r="S48" s="3">
        <f t="shared" si="27"/>
        <v>1.5499334140859142E-4</v>
      </c>
      <c r="T48" s="3">
        <f t="shared" si="27"/>
        <v>1.5499334140859142E-4</v>
      </c>
      <c r="U48" s="3">
        <f t="shared" si="27"/>
        <v>1.5499334140859139E-4</v>
      </c>
      <c r="V48" s="3">
        <f t="shared" si="27"/>
        <v>1.5499334140859126E-4</v>
      </c>
      <c r="W48" s="3">
        <f t="shared" si="27"/>
        <v>1.5499334140858987E-4</v>
      </c>
      <c r="X48" s="3">
        <f t="shared" si="27"/>
        <v>1.5499334140857591E-4</v>
      </c>
      <c r="Y48" s="3">
        <f t="shared" si="27"/>
        <v>1.5499334140843643E-4</v>
      </c>
      <c r="Z48" s="3">
        <f t="shared" si="27"/>
        <v>1.549933414070415E-4</v>
      </c>
      <c r="AA48" s="3">
        <f t="shared" si="27"/>
        <v>1.5499334139309207E-4</v>
      </c>
      <c r="AB48" s="3">
        <f t="shared" si="27"/>
        <v>1.5499334125359808E-4</v>
      </c>
      <c r="AC48" s="3">
        <f t="shared" si="27"/>
        <v>1.5499333985865801E-4</v>
      </c>
      <c r="AD48" s="3">
        <f t="shared" si="27"/>
        <v>1.5499332590925805E-4</v>
      </c>
      <c r="AE48" s="3">
        <f t="shared" si="27"/>
        <v>1.5499318641532751E-4</v>
      </c>
      <c r="AF48" s="3">
        <f t="shared" si="29"/>
        <v>1.5499179148292696E-4</v>
      </c>
      <c r="AG48" s="3">
        <f t="shared" si="29"/>
        <v>1.5497784284939143E-4</v>
      </c>
      <c r="AH48" s="3">
        <f t="shared" si="29"/>
        <v>1.5483842553802777E-4</v>
      </c>
      <c r="AI48" s="3">
        <f t="shared" si="29"/>
        <v>1.5345113189380399E-4</v>
      </c>
      <c r="AJ48" s="3">
        <f t="shared" si="29"/>
        <v>1.4024377485291582E-4</v>
      </c>
    </row>
    <row r="49" spans="1:36" x14ac:dyDescent="0.25">
      <c r="B49" s="16">
        <f>SUM(B17:B48)</f>
        <v>0.92049018508331271</v>
      </c>
      <c r="C49" s="18">
        <f>SUM(C17:C48)</f>
        <v>0.99999999999999989</v>
      </c>
      <c r="F49" s="3">
        <f t="shared" ref="F49:AJ49" si="31">F16-F17</f>
        <v>60.073332176299118</v>
      </c>
      <c r="G49" s="3">
        <f t="shared" si="31"/>
        <v>-77.701052404489928</v>
      </c>
      <c r="H49" s="3">
        <f t="shared" si="31"/>
        <v>20.571406003423363</v>
      </c>
      <c r="I49" s="3">
        <f t="shared" si="31"/>
        <v>-3.3580395030630825</v>
      </c>
      <c r="J49" s="3">
        <f t="shared" si="31"/>
        <v>0.46696909278671228</v>
      </c>
      <c r="K49" s="3">
        <f t="shared" si="31"/>
        <v>-5.8262150782411481E-2</v>
      </c>
      <c r="L49" s="3">
        <f t="shared" si="31"/>
        <v>1.0517183556203236E-2</v>
      </c>
      <c r="M49" s="3">
        <f t="shared" si="31"/>
        <v>-8.1982035385408381E-3</v>
      </c>
      <c r="N49" s="3">
        <f t="shared" si="31"/>
        <v>8.8053030112860142E-3</v>
      </c>
      <c r="O49" s="3">
        <f t="shared" si="31"/>
        <v>-1.0713176402987301E-2</v>
      </c>
      <c r="P49" s="3">
        <f t="shared" si="31"/>
        <v>1.9437216044025263E-2</v>
      </c>
      <c r="Q49" s="3">
        <f t="shared" si="31"/>
        <v>-3.6262837975755247E-2</v>
      </c>
      <c r="R49" s="3">
        <f t="shared" si="31"/>
        <v>5.1899776765822025E-2</v>
      </c>
      <c r="S49" s="3">
        <f t="shared" si="31"/>
        <v>-4.9239429051795014E-2</v>
      </c>
      <c r="T49" s="3">
        <f t="shared" si="31"/>
        <v>3.3679090497116704E-2</v>
      </c>
      <c r="U49" s="3">
        <f t="shared" si="31"/>
        <v>-2.1893931668046207E-2</v>
      </c>
      <c r="V49" s="3">
        <f t="shared" si="31"/>
        <v>2.2898445316059224E-2</v>
      </c>
      <c r="W49" s="3">
        <f t="shared" si="31"/>
        <v>-2.9613993190878318E-2</v>
      </c>
      <c r="X49" s="3">
        <f t="shared" si="31"/>
        <v>2.9172272364689888E-2</v>
      </c>
      <c r="Y49" s="3">
        <f t="shared" si="31"/>
        <v>-2.218493641726127E-2</v>
      </c>
      <c r="Z49" s="3">
        <f t="shared" si="31"/>
        <v>1.9593062008766537E-2</v>
      </c>
      <c r="AA49" s="3">
        <f t="shared" si="31"/>
        <v>-1.6811210261437282E-2</v>
      </c>
      <c r="AB49" s="3">
        <f t="shared" si="31"/>
        <v>2.1524836565220085E-2</v>
      </c>
      <c r="AC49" s="3">
        <f t="shared" si="31"/>
        <v>-3.5129113356731523E-2</v>
      </c>
      <c r="AD49" s="3">
        <f t="shared" si="31"/>
        <v>4.5515630758558245E-2</v>
      </c>
      <c r="AE49" s="3">
        <f t="shared" si="31"/>
        <v>-4.6023853783196955E-2</v>
      </c>
      <c r="AF49" s="3">
        <f t="shared" si="31"/>
        <v>3.9449229507397376E-2</v>
      </c>
      <c r="AG49" s="3">
        <f t="shared" si="31"/>
        <v>-3.307545885587615E-2</v>
      </c>
      <c r="AH49" s="3">
        <f t="shared" si="31"/>
        <v>3.2877119704522784E-2</v>
      </c>
      <c r="AI49" s="3">
        <f t="shared" si="31"/>
        <v>5.9151501065457524E-3</v>
      </c>
      <c r="AJ49" s="3">
        <f t="shared" si="31"/>
        <v>-2.3530806281911509E-2</v>
      </c>
    </row>
    <row r="50" spans="1:36" x14ac:dyDescent="0.25">
      <c r="F50" s="57">
        <f t="shared" ref="F50:AJ50" si="32">F49/F17</f>
        <v>1.2021952333213596E-2</v>
      </c>
      <c r="G50" s="57">
        <f t="shared" si="32"/>
        <v>-1.5771980665366142E-2</v>
      </c>
      <c r="H50" s="57">
        <f t="shared" si="32"/>
        <v>4.4106527820318951E-3</v>
      </c>
      <c r="I50" s="57">
        <f t="shared" si="32"/>
        <v>-7.4597782474539708E-4</v>
      </c>
      <c r="J50" s="57">
        <f t="shared" si="32"/>
        <v>1.0918082622825549E-4</v>
      </c>
      <c r="K50" s="57">
        <f t="shared" si="32"/>
        <v>-1.4360420823240827E-5</v>
      </c>
      <c r="L50" s="57">
        <f t="shared" si="32"/>
        <v>2.7167700579464823E-6</v>
      </c>
      <c r="M50" s="57">
        <f t="shared" si="32"/>
        <v>-2.2182711765082639E-6</v>
      </c>
      <c r="N50" s="57">
        <f t="shared" si="32"/>
        <v>2.4974972501306665E-6</v>
      </c>
      <c r="O50" s="57">
        <f t="shared" si="32"/>
        <v>-3.1911424657074123E-6</v>
      </c>
      <c r="P50" s="57">
        <f t="shared" si="32"/>
        <v>6.0988254836163886E-6</v>
      </c>
      <c r="Q50" s="57">
        <f t="shared" si="32"/>
        <v>-1.209970105929264E-5</v>
      </c>
      <c r="R50" s="57">
        <f t="shared" si="32"/>
        <v>1.8635223984315033E-5</v>
      </c>
      <c r="S50" s="57">
        <f t="shared" si="32"/>
        <v>-1.9319331534132761E-5</v>
      </c>
      <c r="T50" s="57">
        <f t="shared" si="32"/>
        <v>1.4786203081135394E-5</v>
      </c>
      <c r="U50" s="57">
        <f t="shared" si="32"/>
        <v>-1.1254126138071733E-5</v>
      </c>
      <c r="V50" s="57">
        <f t="shared" si="32"/>
        <v>1.4801534943877269E-5</v>
      </c>
      <c r="W50" s="57">
        <f t="shared" si="32"/>
        <v>-2.5870693375829939E-5</v>
      </c>
      <c r="X50" s="57">
        <f t="shared" si="32"/>
        <v>3.6465237012168908E-5</v>
      </c>
      <c r="Y50" s="57">
        <f t="shared" si="32"/>
        <v>-4.030725491631428E-5</v>
      </c>
      <c r="Z50" s="57">
        <f t="shared" si="32"/>
        <v>4.8937398327269602E-5</v>
      </c>
      <c r="AA50" s="57">
        <f t="shared" si="32"/>
        <v>-5.1974988953625142E-5</v>
      </c>
      <c r="AB50" s="57">
        <f t="shared" si="32"/>
        <v>7.5367235873445869E-5</v>
      </c>
      <c r="AC50" s="57">
        <f t="shared" si="32"/>
        <v>-1.3268121389992666E-4</v>
      </c>
      <c r="AD50" s="57">
        <f t="shared" si="32"/>
        <v>1.8107179280334268E-4</v>
      </c>
      <c r="AE50" s="57">
        <f t="shared" si="32"/>
        <v>-1.8787231827004449E-4</v>
      </c>
      <c r="AF50" s="57">
        <f t="shared" si="32"/>
        <v>1.6911582423040583E-4</v>
      </c>
      <c r="AG50" s="57">
        <f t="shared" si="32"/>
        <v>-1.4702167671997159E-4</v>
      </c>
      <c r="AH50" s="57">
        <f t="shared" si="32"/>
        <v>1.469108993746742E-4</v>
      </c>
      <c r="AI50" s="57">
        <f t="shared" si="32"/>
        <v>2.6509754862746363E-5</v>
      </c>
      <c r="AJ50" s="57">
        <f t="shared" si="32"/>
        <v>-1.054960216308171E-4</v>
      </c>
    </row>
    <row r="51" spans="1:36" x14ac:dyDescent="0.25">
      <c r="A51" s="13" t="s">
        <v>21</v>
      </c>
      <c r="B51" s="3">
        <f>STUTT!D8</f>
        <v>6190.9489999999996</v>
      </c>
      <c r="E51" s="11" t="s">
        <v>24</v>
      </c>
      <c r="F51" s="20">
        <f t="shared" ref="F51:AJ51" si="33">(F16-F17)^2</f>
        <v>3608.805238763975</v>
      </c>
      <c r="G51" s="20">
        <f t="shared" si="33"/>
        <v>6037.4535447652897</v>
      </c>
      <c r="H51" s="20">
        <f t="shared" si="33"/>
        <v>423.18274495768276</v>
      </c>
      <c r="I51" s="20">
        <f t="shared" si="33"/>
        <v>11.276429304132154</v>
      </c>
      <c r="J51" s="20">
        <f t="shared" si="33"/>
        <v>0.2180601336180451</v>
      </c>
      <c r="K51" s="20">
        <f t="shared" si="33"/>
        <v>3.394478213792451E-3</v>
      </c>
      <c r="L51" s="20">
        <f t="shared" si="33"/>
        <v>1.1061114995487174E-4</v>
      </c>
      <c r="M51" s="20">
        <f t="shared" si="33"/>
        <v>6.7210541259343513E-5</v>
      </c>
      <c r="N51" s="20">
        <f t="shared" si="33"/>
        <v>7.7533361120562548E-5</v>
      </c>
      <c r="O51" s="20">
        <f t="shared" si="33"/>
        <v>1.1477214864152393E-4</v>
      </c>
      <c r="P51" s="20">
        <f t="shared" si="33"/>
        <v>3.7780536754211311E-4</v>
      </c>
      <c r="Q51" s="20">
        <f t="shared" si="33"/>
        <v>1.3149934180558768E-3</v>
      </c>
      <c r="R51" s="20">
        <f t="shared" si="33"/>
        <v>2.6935868283421596E-3</v>
      </c>
      <c r="S51" s="20">
        <f t="shared" si="33"/>
        <v>2.4245213733467548E-3</v>
      </c>
      <c r="T51" s="20">
        <f t="shared" si="33"/>
        <v>1.1342811367129767E-3</v>
      </c>
      <c r="U51" s="20">
        <f t="shared" si="33"/>
        <v>4.7934424388507656E-4</v>
      </c>
      <c r="V51" s="20">
        <f t="shared" si="33"/>
        <v>5.2433879789255461E-4</v>
      </c>
      <c r="W51" s="20">
        <f t="shared" si="33"/>
        <v>8.7698859270938742E-4</v>
      </c>
      <c r="X51" s="20">
        <f t="shared" si="33"/>
        <v>8.5102147491964938E-4</v>
      </c>
      <c r="Y51" s="20">
        <f t="shared" si="33"/>
        <v>4.9217140383792525E-4</v>
      </c>
      <c r="Z51" s="20">
        <f t="shared" si="33"/>
        <v>3.8388807887937063E-4</v>
      </c>
      <c r="AA51" s="20">
        <f t="shared" si="33"/>
        <v>2.8261679045425415E-4</v>
      </c>
      <c r="AB51" s="20">
        <f t="shared" si="33"/>
        <v>4.6331858915943559E-4</v>
      </c>
      <c r="AC51" s="20">
        <f t="shared" si="33"/>
        <v>1.2340546052300931E-3</v>
      </c>
      <c r="AD51" s="20">
        <f t="shared" si="33"/>
        <v>2.0716726433494133E-3</v>
      </c>
      <c r="AE51" s="20">
        <f t="shared" si="33"/>
        <v>2.1181951170570926E-3</v>
      </c>
      <c r="AF51" s="20">
        <f t="shared" si="33"/>
        <v>1.556241708727312E-3</v>
      </c>
      <c r="AG51" s="20">
        <f t="shared" si="33"/>
        <v>1.0939859785267559E-3</v>
      </c>
      <c r="AH51" s="20">
        <f t="shared" si="33"/>
        <v>1.0809050000655203E-3</v>
      </c>
      <c r="AI51" s="20">
        <f t="shared" si="33"/>
        <v>3.4989000782968227E-5</v>
      </c>
      <c r="AJ51" s="20">
        <f t="shared" si="33"/>
        <v>5.5369884427684617E-4</v>
      </c>
    </row>
    <row r="52" spans="1:36" x14ac:dyDescent="0.25">
      <c r="A52" s="13"/>
    </row>
    <row r="53" spans="1:36" x14ac:dyDescent="0.25">
      <c r="E53" s="119" t="s">
        <v>25</v>
      </c>
      <c r="F53" s="119"/>
      <c r="G53" s="104">
        <f>SUM(F51:AJ51)</f>
        <v>10080.961825149112</v>
      </c>
      <c r="I53" s="3">
        <f>G53+C123</f>
        <v>10080.961825149112</v>
      </c>
      <c r="K53" s="3">
        <f>SUM(Z51:AJ51)</f>
        <v>1.0873566356509065E-2</v>
      </c>
    </row>
    <row r="55" spans="1:36" x14ac:dyDescent="0.25">
      <c r="E55" s="30" t="s">
        <v>30</v>
      </c>
      <c r="F55" s="31">
        <f t="shared" ref="F55:AJ55" si="34">ABS(F17-F16)/F16</f>
        <v>1.1879141856060553E-2</v>
      </c>
      <c r="G55" s="31">
        <f t="shared" si="34"/>
        <v>1.6024722275259397E-2</v>
      </c>
      <c r="H55" s="31">
        <f t="shared" si="34"/>
        <v>4.3912843514903018E-3</v>
      </c>
      <c r="I55" s="31">
        <f t="shared" si="34"/>
        <v>7.4653472309422781E-4</v>
      </c>
      <c r="J55" s="31">
        <f t="shared" si="34"/>
        <v>1.091689070767824E-4</v>
      </c>
      <c r="K55" s="31">
        <f t="shared" si="34"/>
        <v>1.436062704788852E-5</v>
      </c>
      <c r="L55" s="31">
        <f t="shared" si="34"/>
        <v>2.7167626771269863E-6</v>
      </c>
      <c r="M55" s="31">
        <f t="shared" si="34"/>
        <v>2.2182760972461923E-6</v>
      </c>
      <c r="N55" s="31">
        <f t="shared" si="34"/>
        <v>2.4974910126537301E-6</v>
      </c>
      <c r="O55" s="31">
        <f t="shared" si="34"/>
        <v>3.1911526491301459E-6</v>
      </c>
      <c r="P55" s="31">
        <f t="shared" si="34"/>
        <v>6.0987882881709582E-6</v>
      </c>
      <c r="Q55" s="31">
        <f t="shared" si="34"/>
        <v>1.2099847463829815E-5</v>
      </c>
      <c r="R55" s="31">
        <f t="shared" si="34"/>
        <v>1.8634876719213451E-5</v>
      </c>
      <c r="S55" s="31">
        <f t="shared" si="34"/>
        <v>1.9319704777914508E-5</v>
      </c>
      <c r="T55" s="31">
        <f t="shared" si="34"/>
        <v>1.4785984452566524E-5</v>
      </c>
      <c r="U55" s="31">
        <f t="shared" si="34"/>
        <v>1.1254252794852276E-5</v>
      </c>
      <c r="V55" s="31">
        <f t="shared" si="34"/>
        <v>1.4801315861683327E-5</v>
      </c>
      <c r="W55" s="31">
        <f t="shared" si="34"/>
        <v>2.5871362685921203E-5</v>
      </c>
      <c r="X55" s="31">
        <f t="shared" si="34"/>
        <v>3.6463907347145104E-5</v>
      </c>
      <c r="Y55" s="31">
        <f t="shared" si="34"/>
        <v>4.0308879656601989E-5</v>
      </c>
      <c r="Z55" s="31">
        <f t="shared" si="34"/>
        <v>4.8935003575507476E-5</v>
      </c>
      <c r="AA55" s="31">
        <f t="shared" si="34"/>
        <v>5.1977690493514377E-5</v>
      </c>
      <c r="AB55" s="31">
        <f t="shared" si="34"/>
        <v>7.5361556081272893E-5</v>
      </c>
      <c r="AC55" s="31">
        <f t="shared" si="34"/>
        <v>1.3269882054051904E-4</v>
      </c>
      <c r="AD55" s="31">
        <f t="shared" si="34"/>
        <v>1.8103901174491868E-4</v>
      </c>
      <c r="AE55" s="31">
        <f t="shared" si="34"/>
        <v>1.8790762091040554E-4</v>
      </c>
      <c r="AF55" s="31">
        <f t="shared" si="34"/>
        <v>1.6908722890432283E-4</v>
      </c>
      <c r="AG55" s="31">
        <f t="shared" si="34"/>
        <v>1.4704329527179288E-4</v>
      </c>
      <c r="AH55" s="31">
        <f t="shared" si="34"/>
        <v>1.4688931973260374E-4</v>
      </c>
      <c r="AI55" s="31">
        <f t="shared" si="34"/>
        <v>2.650905211427317E-5</v>
      </c>
      <c r="AJ55" s="31">
        <f t="shared" si="34"/>
        <v>1.0550715221562944E-4</v>
      </c>
    </row>
    <row r="56" spans="1:36" x14ac:dyDescent="0.25">
      <c r="E56" s="13" t="s">
        <v>31</v>
      </c>
      <c r="F56" s="32">
        <f>AVERAGE(F55:AJ55)</f>
        <v>1.1176913256160635E-3</v>
      </c>
    </row>
    <row r="57" spans="1:36" x14ac:dyDescent="0.25">
      <c r="A57" s="42"/>
      <c r="B57" s="15"/>
      <c r="C57" s="15"/>
      <c r="D57" s="15"/>
      <c r="F57" s="60">
        <f>AVERAGE(S55:X55)</f>
        <v>2.0416087986680488E-5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-44.148639789513958</v>
      </c>
    </row>
    <row r="119" spans="1:14" x14ac:dyDescent="0.25">
      <c r="L119" s="11">
        <f>L118+1</f>
        <v>2</v>
      </c>
      <c r="M119" s="11">
        <f t="shared" ref="M119:M124" si="35">INDEX($B$125:$K$126,1,L119)</f>
        <v>0</v>
      </c>
      <c r="N119" s="11">
        <f t="shared" ref="N119:N124" si="36">IF(L119=$B$3,0,INDEX($B$125:$K$126,2,L119))</f>
        <v>-32.523099905859404</v>
      </c>
    </row>
    <row r="120" spans="1:14" x14ac:dyDescent="0.25">
      <c r="L120" s="11">
        <f t="shared" ref="L120:L124" si="37">L119+1</f>
        <v>3</v>
      </c>
      <c r="M120" s="11">
        <f t="shared" si="35"/>
        <v>25</v>
      </c>
      <c r="N120" s="11">
        <f t="shared" si="36"/>
        <v>-27.199076392270609</v>
      </c>
    </row>
    <row r="121" spans="1:14" x14ac:dyDescent="0.25">
      <c r="A121" s="103">
        <f>(A165+A204+A243+A282+A321+A360+A399)*10^9</f>
        <v>8118161722610286</v>
      </c>
      <c r="L121" s="11">
        <f t="shared" si="37"/>
        <v>4</v>
      </c>
      <c r="M121" s="11">
        <f t="shared" si="35"/>
        <v>50</v>
      </c>
      <c r="N121" s="11">
        <f t="shared" si="36"/>
        <v>-22.864640601908093</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-15.183616272404954</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13.89414998788293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-44.148639789513958</v>
      </c>
      <c r="C126" s="107">
        <v>-32.523099905859404</v>
      </c>
      <c r="D126" s="107">
        <v>-27.199076392270609</v>
      </c>
      <c r="E126" s="107">
        <v>-22.864640601908093</v>
      </c>
      <c r="F126" s="107">
        <v>-15.183616272404954</v>
      </c>
      <c r="G126" s="107">
        <v>-2.8162756802309633E-6</v>
      </c>
      <c r="H126" s="107">
        <v>13.89414998788293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6190.9489999999914</v>
      </c>
      <c r="C131" s="27">
        <f t="shared" ref="C131:AF131" si="40">($C$17+SUM(C132:C162))*$B$51</f>
        <v>6190.9489999999196</v>
      </c>
      <c r="D131" s="27">
        <f t="shared" si="40"/>
        <v>6190.9489999992047</v>
      </c>
      <c r="E131" s="27">
        <f t="shared" si="40"/>
        <v>6190.9489999920515</v>
      </c>
      <c r="F131" s="27">
        <f t="shared" si="40"/>
        <v>6190.9489999205189</v>
      </c>
      <c r="G131" s="27">
        <f t="shared" si="40"/>
        <v>6190.9489992051931</v>
      </c>
      <c r="H131" s="27">
        <f t="shared" si="40"/>
        <v>6190.9489920519381</v>
      </c>
      <c r="I131" s="27">
        <f t="shared" si="40"/>
        <v>6190.9489205193895</v>
      </c>
      <c r="J131" s="27">
        <f t="shared" si="40"/>
        <v>6190.9482051941368</v>
      </c>
      <c r="K131" s="27">
        <f t="shared" si="40"/>
        <v>6190.9410519653566</v>
      </c>
      <c r="L131" s="27">
        <f t="shared" si="40"/>
        <v>6190.8695220521467</v>
      </c>
      <c r="M131" s="27">
        <f t="shared" si="40"/>
        <v>6190.1544603253842</v>
      </c>
      <c r="N131" s="27">
        <f t="shared" si="40"/>
        <v>6183.0275306589465</v>
      </c>
      <c r="O131" s="27">
        <f t="shared" si="40"/>
        <v>6114.0749374476554</v>
      </c>
      <c r="P131" s="27">
        <f t="shared" si="40"/>
        <v>5611.864449879833</v>
      </c>
      <c r="Q131" s="27">
        <f t="shared" si="40"/>
        <v>5007.2520045383435</v>
      </c>
      <c r="R131" s="27">
        <f t="shared" si="40"/>
        <v>5005.7971011759537</v>
      </c>
      <c r="S131" s="27">
        <f t="shared" si="40"/>
        <v>5005.7431299860236</v>
      </c>
      <c r="T131" s="27">
        <f t="shared" si="40"/>
        <v>5005.2038598467152</v>
      </c>
      <c r="U131" s="27">
        <f t="shared" si="40"/>
        <v>4999.8550835184997</v>
      </c>
      <c r="V131" s="27">
        <f t="shared" si="40"/>
        <v>4950.5193151773265</v>
      </c>
      <c r="W131" s="27">
        <f t="shared" si="40"/>
        <v>4708.3154408869132</v>
      </c>
      <c r="X131" s="27">
        <f t="shared" si="40"/>
        <v>4532.2670373620831</v>
      </c>
      <c r="Y131" s="27">
        <f t="shared" si="40"/>
        <v>4321.4466161149294</v>
      </c>
      <c r="Z131" s="27">
        <f t="shared" si="40"/>
        <v>4098.1723227888833</v>
      </c>
      <c r="AA131" s="27">
        <f t="shared" si="40"/>
        <v>3906.0475934940737</v>
      </c>
      <c r="AB131" s="27">
        <f t="shared" si="40"/>
        <v>3729.9153762756041</v>
      </c>
      <c r="AC131" s="27">
        <f t="shared" si="40"/>
        <v>3558.5338186517902</v>
      </c>
      <c r="AD131" s="27">
        <f t="shared" si="40"/>
        <v>3389.6451708518307</v>
      </c>
      <c r="AE131" s="27">
        <f t="shared" si="40"/>
        <v>3219.6256928675343</v>
      </c>
      <c r="AF131" s="27">
        <f t="shared" si="40"/>
        <v>3034.3933962756682</v>
      </c>
    </row>
    <row r="132" spans="1:33" x14ac:dyDescent="0.25">
      <c r="B132" s="3">
        <f t="shared" ref="B132:Z133" si="41">$C18*EXP(-B$129/$A18/EXP(-$B$126))</f>
        <v>0.19143202464259873</v>
      </c>
      <c r="C132" s="3">
        <f t="shared" ref="C132:AF132" si="42">$C18*EXP(-C$129/$A18/EXP(-$B$126))</f>
        <v>0.19143202464258718</v>
      </c>
      <c r="D132" s="3">
        <f t="shared" si="42"/>
        <v>0.19143202464247161</v>
      </c>
      <c r="E132" s="3">
        <f t="shared" si="42"/>
        <v>0.19143202464131617</v>
      </c>
      <c r="F132" s="3">
        <f t="shared" si="42"/>
        <v>0.1914320246297618</v>
      </c>
      <c r="G132" s="3">
        <f t="shared" si="42"/>
        <v>0.19143202451421806</v>
      </c>
      <c r="H132" s="3">
        <f t="shared" si="42"/>
        <v>0.19143202335878057</v>
      </c>
      <c r="I132" s="3">
        <f t="shared" si="42"/>
        <v>0.19143201180440603</v>
      </c>
      <c r="J132" s="3">
        <f t="shared" si="42"/>
        <v>0.19143189626069879</v>
      </c>
      <c r="K132" s="3">
        <f t="shared" si="42"/>
        <v>0.19143074082746239</v>
      </c>
      <c r="L132" s="3">
        <f t="shared" si="42"/>
        <v>0.19141918687865542</v>
      </c>
      <c r="M132" s="3">
        <f t="shared" si="42"/>
        <v>0.19130368573775003</v>
      </c>
      <c r="N132" s="3">
        <f t="shared" si="42"/>
        <v>0.1901525004951197</v>
      </c>
      <c r="O132" s="3">
        <f t="shared" si="42"/>
        <v>0.17901485619960367</v>
      </c>
      <c r="P132" s="3">
        <f t="shared" si="42"/>
        <v>9.7894751092660048E-2</v>
      </c>
      <c r="Q132" s="3">
        <f t="shared" si="42"/>
        <v>2.3413305478432896E-4</v>
      </c>
      <c r="R132" s="3">
        <f t="shared" si="42"/>
        <v>1.433824449273049E-30</v>
      </c>
      <c r="S132" s="3">
        <f t="shared" si="42"/>
        <v>1.0637228359552985E-292</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5.4135576469364788E-2</v>
      </c>
      <c r="C133" s="3">
        <f t="shared" si="41"/>
        <v>5.4135576469364788E-2</v>
      </c>
      <c r="D133" s="3">
        <f t="shared" si="41"/>
        <v>5.4135576469364788E-2</v>
      </c>
      <c r="E133" s="3">
        <f t="shared" si="41"/>
        <v>5.4135576469364788E-2</v>
      </c>
      <c r="F133" s="3">
        <f t="shared" si="41"/>
        <v>5.4135576469364788E-2</v>
      </c>
      <c r="G133" s="3">
        <f t="shared" si="41"/>
        <v>5.4135576469364774E-2</v>
      </c>
      <c r="H133" s="3">
        <f t="shared" si="41"/>
        <v>5.4135576469364698E-2</v>
      </c>
      <c r="I133" s="3">
        <f t="shared" si="41"/>
        <v>5.4135576469363858E-2</v>
      </c>
      <c r="J133" s="3">
        <f t="shared" si="41"/>
        <v>5.413557646935549E-2</v>
      </c>
      <c r="K133" s="3">
        <f t="shared" si="41"/>
        <v>5.4135576469271793E-2</v>
      </c>
      <c r="L133" s="3">
        <f t="shared" si="41"/>
        <v>5.413557646843481E-2</v>
      </c>
      <c r="M133" s="3">
        <f t="shared" si="41"/>
        <v>5.4135576460064977E-2</v>
      </c>
      <c r="N133" s="3">
        <f t="shared" si="41"/>
        <v>5.4135576376366699E-2</v>
      </c>
      <c r="O133" s="3">
        <f t="shared" si="41"/>
        <v>5.413557553938389E-2</v>
      </c>
      <c r="P133" s="3">
        <f t="shared" si="41"/>
        <v>5.4135567169556517E-2</v>
      </c>
      <c r="Q133" s="3">
        <f t="shared" si="41"/>
        <v>5.4135483471353989E-2</v>
      </c>
      <c r="R133" s="3">
        <f t="shared" si="41"/>
        <v>5.4134646496445907E-2</v>
      </c>
      <c r="S133" s="3">
        <f t="shared" si="41"/>
        <v>5.4126277459046121E-2</v>
      </c>
      <c r="T133" s="3">
        <f t="shared" si="41"/>
        <v>5.404265821245844E-2</v>
      </c>
      <c r="U133" s="3">
        <f t="shared" si="41"/>
        <v>5.3213537966745765E-2</v>
      </c>
      <c r="V133" s="3">
        <f t="shared" si="41"/>
        <v>4.5590720196745427E-2</v>
      </c>
      <c r="W133" s="3">
        <f t="shared" si="41"/>
        <v>9.7144817352438403E-3</v>
      </c>
      <c r="X133" s="3">
        <f t="shared" si="41"/>
        <v>1.8743533584211239E-9</v>
      </c>
      <c r="Y133" s="3">
        <f t="shared" si="41"/>
        <v>1.3402005597793405E-76</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2.1015020588822823E-2</v>
      </c>
      <c r="C134" s="3">
        <f t="shared" si="44"/>
        <v>2.1015020588822823E-2</v>
      </c>
      <c r="D134" s="3">
        <f t="shared" si="44"/>
        <v>2.1015020588822823E-2</v>
      </c>
      <c r="E134" s="3">
        <f t="shared" si="44"/>
        <v>2.1015020588822823E-2</v>
      </c>
      <c r="F134" s="3">
        <f t="shared" si="44"/>
        <v>2.1015020588822823E-2</v>
      </c>
      <c r="G134" s="3">
        <f t="shared" si="44"/>
        <v>2.1015020588822823E-2</v>
      </c>
      <c r="H134" s="3">
        <f t="shared" si="44"/>
        <v>2.1015020588822819E-2</v>
      </c>
      <c r="I134" s="3">
        <f t="shared" si="44"/>
        <v>2.1015020588822791E-2</v>
      </c>
      <c r="J134" s="3">
        <f t="shared" si="44"/>
        <v>2.1015020588822497E-2</v>
      </c>
      <c r="K134" s="3">
        <f t="shared" si="44"/>
        <v>2.1015020588819565E-2</v>
      </c>
      <c r="L134" s="3">
        <f t="shared" si="44"/>
        <v>2.1015020588790258E-2</v>
      </c>
      <c r="M134" s="3">
        <f t="shared" si="44"/>
        <v>2.101502058849716E-2</v>
      </c>
      <c r="N134" s="3">
        <f t="shared" si="44"/>
        <v>2.1015020585566199E-2</v>
      </c>
      <c r="O134" s="3">
        <f t="shared" si="44"/>
        <v>2.1015020556256578E-2</v>
      </c>
      <c r="P134" s="3">
        <f t="shared" si="44"/>
        <v>2.1015020263160381E-2</v>
      </c>
      <c r="Q134" s="3">
        <f t="shared" si="44"/>
        <v>2.1015017332198641E-2</v>
      </c>
      <c r="R134" s="3">
        <f t="shared" si="44"/>
        <v>2.1014988022603698E-2</v>
      </c>
      <c r="S134" s="3">
        <f t="shared" si="44"/>
        <v>2.101469492890258E-2</v>
      </c>
      <c r="T134" s="3">
        <f t="shared" si="44"/>
        <v>2.1011764216707963E-2</v>
      </c>
      <c r="U134" s="3">
        <f t="shared" si="44"/>
        <v>2.0982479564822985E-2</v>
      </c>
      <c r="V134" s="3">
        <f t="shared" si="44"/>
        <v>2.0691868499807219E-2</v>
      </c>
      <c r="W134" s="3">
        <f t="shared" si="44"/>
        <v>1.7998185304448126E-2</v>
      </c>
      <c r="X134" s="3">
        <f t="shared" si="44"/>
        <v>4.4618894969945221E-3</v>
      </c>
      <c r="Y134" s="3">
        <f t="shared" si="44"/>
        <v>3.9121880766794981E-9</v>
      </c>
      <c r="Z134" s="3">
        <f t="shared" si="44"/>
        <v>1.0505793807185086E-69</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4.0498121245543535E-2</v>
      </c>
      <c r="C135" s="3">
        <f t="shared" si="47"/>
        <v>4.0498121245543535E-2</v>
      </c>
      <c r="D135" s="3">
        <f t="shared" si="47"/>
        <v>4.0498121245543535E-2</v>
      </c>
      <c r="E135" s="3">
        <f t="shared" si="47"/>
        <v>4.0498121245543535E-2</v>
      </c>
      <c r="F135" s="3">
        <f t="shared" si="47"/>
        <v>4.0498121245543535E-2</v>
      </c>
      <c r="G135" s="3">
        <f t="shared" si="47"/>
        <v>4.0498121245543535E-2</v>
      </c>
      <c r="H135" s="3">
        <f t="shared" si="47"/>
        <v>4.0498121245543535E-2</v>
      </c>
      <c r="I135" s="3">
        <f t="shared" si="47"/>
        <v>4.0498121245543528E-2</v>
      </c>
      <c r="J135" s="3">
        <f t="shared" si="47"/>
        <v>4.0498121245543479E-2</v>
      </c>
      <c r="K135" s="3">
        <f t="shared" si="47"/>
        <v>4.0498121245542966E-2</v>
      </c>
      <c r="L135" s="3">
        <f t="shared" si="47"/>
        <v>4.0498121245537873E-2</v>
      </c>
      <c r="M135" s="3">
        <f t="shared" si="47"/>
        <v>4.049812124548692E-2</v>
      </c>
      <c r="N135" s="3">
        <f t="shared" si="47"/>
        <v>4.0498121244977404E-2</v>
      </c>
      <c r="O135" s="3">
        <f t="shared" si="47"/>
        <v>4.0498121239882189E-2</v>
      </c>
      <c r="P135" s="3">
        <f t="shared" si="47"/>
        <v>4.049812118893012E-2</v>
      </c>
      <c r="Q135" s="3">
        <f t="shared" si="47"/>
        <v>4.049812067940943E-2</v>
      </c>
      <c r="R135" s="3">
        <f t="shared" si="47"/>
        <v>4.0498115584202798E-2</v>
      </c>
      <c r="S135" s="3">
        <f t="shared" si="47"/>
        <v>4.0498064632171794E-2</v>
      </c>
      <c r="T135" s="3">
        <f t="shared" si="47"/>
        <v>4.0497555115387524E-2</v>
      </c>
      <c r="U135" s="3">
        <f t="shared" si="47"/>
        <v>4.0492460300101472E-2</v>
      </c>
      <c r="V135" s="3">
        <f t="shared" si="47"/>
        <v>4.044154738650841E-2</v>
      </c>
      <c r="W135" s="3">
        <f t="shared" si="47"/>
        <v>3.9935925828158934E-2</v>
      </c>
      <c r="X135" s="3">
        <f t="shared" si="47"/>
        <v>3.52146749755144E-2</v>
      </c>
      <c r="Y135" s="3">
        <f t="shared" si="47"/>
        <v>1.000743911610342E-2</v>
      </c>
      <c r="Z135" s="3">
        <f t="shared" si="47"/>
        <v>3.4380776380142051E-8</v>
      </c>
      <c r="AA135" s="3">
        <f t="shared" ref="AA135" si="48">$C21*EXP(-AA$129/$A21/EXP(-$B$126))</f>
        <v>7.8748612369641193E-63</v>
      </c>
      <c r="AB135" s="3">
        <f t="shared" si="46"/>
        <v>0</v>
      </c>
      <c r="AC135" s="3">
        <f t="shared" si="46"/>
        <v>0</v>
      </c>
      <c r="AD135" s="3">
        <f t="shared" si="46"/>
        <v>0</v>
      </c>
      <c r="AE135" s="3">
        <f t="shared" si="46"/>
        <v>0</v>
      </c>
      <c r="AF135" s="3">
        <f t="shared" si="46"/>
        <v>0</v>
      </c>
    </row>
    <row r="136" spans="1:33" x14ac:dyDescent="0.25">
      <c r="B136" s="3">
        <f t="shared" ref="B136:Z136" si="49">$C22*EXP(-B$129/$A22/EXP(-$B$126))</f>
        <v>3.8180364153293539E-2</v>
      </c>
      <c r="C136" s="3">
        <f t="shared" si="49"/>
        <v>3.8180364153293539E-2</v>
      </c>
      <c r="D136" s="3">
        <f t="shared" si="49"/>
        <v>3.8180364153293539E-2</v>
      </c>
      <c r="E136" s="3">
        <f t="shared" si="49"/>
        <v>3.8180364153293539E-2</v>
      </c>
      <c r="F136" s="3">
        <f t="shared" si="49"/>
        <v>3.8180364153293539E-2</v>
      </c>
      <c r="G136" s="3">
        <f t="shared" si="49"/>
        <v>3.8180364153293539E-2</v>
      </c>
      <c r="H136" s="3">
        <f t="shared" si="49"/>
        <v>3.8180364153293539E-2</v>
      </c>
      <c r="I136" s="3">
        <f t="shared" si="49"/>
        <v>3.8180364153293539E-2</v>
      </c>
      <c r="J136" s="3">
        <f t="shared" si="49"/>
        <v>3.8180364153293532E-2</v>
      </c>
      <c r="K136" s="3">
        <f t="shared" si="49"/>
        <v>3.818036415329349E-2</v>
      </c>
      <c r="L136" s="3">
        <f t="shared" si="49"/>
        <v>3.8180364153293053E-2</v>
      </c>
      <c r="M136" s="3">
        <f t="shared" si="49"/>
        <v>3.8180364153288723E-2</v>
      </c>
      <c r="N136" s="3">
        <f t="shared" si="49"/>
        <v>3.8180364153245397E-2</v>
      </c>
      <c r="O136" s="3">
        <f t="shared" si="49"/>
        <v>3.818036415281207E-2</v>
      </c>
      <c r="P136" s="3">
        <f t="shared" si="49"/>
        <v>3.8180364148478814E-2</v>
      </c>
      <c r="Q136" s="3">
        <f t="shared" si="49"/>
        <v>3.8180364105146331E-2</v>
      </c>
      <c r="R136" s="3">
        <f t="shared" si="49"/>
        <v>3.8180363671821468E-2</v>
      </c>
      <c r="S136" s="3">
        <f t="shared" si="49"/>
        <v>3.8180359338573069E-2</v>
      </c>
      <c r="T136" s="3">
        <f t="shared" si="49"/>
        <v>3.8180316006116169E-2</v>
      </c>
      <c r="U136" s="3">
        <f t="shared" si="49"/>
        <v>3.8179882684252035E-2</v>
      </c>
      <c r="V136" s="3">
        <f t="shared" si="49"/>
        <v>3.8175549736087284E-2</v>
      </c>
      <c r="W136" s="3">
        <f t="shared" si="49"/>
        <v>3.813224729073833E-2</v>
      </c>
      <c r="X136" s="3">
        <f t="shared" si="49"/>
        <v>3.7701915148182476E-2</v>
      </c>
      <c r="Y136" s="3">
        <f t="shared" si="49"/>
        <v>3.3656854123518279E-2</v>
      </c>
      <c r="Z136" s="3">
        <f t="shared" si="49"/>
        <v>1.0818688286673393E-2</v>
      </c>
      <c r="AA136" s="3">
        <f t="shared" ref="AA136" si="50">$C22*EXP(-AA$129/$A22/EXP(-$B$126))</f>
        <v>1.2740470963965707E-7</v>
      </c>
      <c r="AB136" s="3">
        <f t="shared" si="46"/>
        <v>6.5357318855649595E-57</v>
      </c>
      <c r="AC136" s="3">
        <f t="shared" si="46"/>
        <v>0</v>
      </c>
      <c r="AD136" s="3">
        <f t="shared" si="46"/>
        <v>0</v>
      </c>
      <c r="AE136" s="3">
        <f t="shared" si="46"/>
        <v>0</v>
      </c>
      <c r="AF136" s="3">
        <f t="shared" si="46"/>
        <v>0</v>
      </c>
    </row>
    <row r="137" spans="1:33" x14ac:dyDescent="0.25">
      <c r="B137" s="3">
        <f t="shared" ref="B137:Z137" si="51">$C23*EXP(-B$129/$A23/EXP(-$B$126))</f>
        <v>3.033915085060401E-2</v>
      </c>
      <c r="C137" s="3">
        <f t="shared" si="51"/>
        <v>3.033915085060401E-2</v>
      </c>
      <c r="D137" s="3">
        <f t="shared" si="51"/>
        <v>3.033915085060401E-2</v>
      </c>
      <c r="E137" s="3">
        <f t="shared" si="51"/>
        <v>3.033915085060401E-2</v>
      </c>
      <c r="F137" s="3">
        <f t="shared" si="51"/>
        <v>3.033915085060401E-2</v>
      </c>
      <c r="G137" s="3">
        <f t="shared" si="51"/>
        <v>3.033915085060401E-2</v>
      </c>
      <c r="H137" s="3">
        <f t="shared" si="51"/>
        <v>3.033915085060401E-2</v>
      </c>
      <c r="I137" s="3">
        <f t="shared" si="51"/>
        <v>3.033915085060401E-2</v>
      </c>
      <c r="J137" s="3">
        <f t="shared" si="51"/>
        <v>3.033915085060401E-2</v>
      </c>
      <c r="K137" s="3">
        <f t="shared" si="51"/>
        <v>3.0339150850604006E-2</v>
      </c>
      <c r="L137" s="3">
        <f t="shared" si="51"/>
        <v>3.0339150850603975E-2</v>
      </c>
      <c r="M137" s="3">
        <f t="shared" si="51"/>
        <v>3.0339150850603666E-2</v>
      </c>
      <c r="N137" s="3">
        <f t="shared" si="51"/>
        <v>3.0339150850600557E-2</v>
      </c>
      <c r="O137" s="3">
        <f t="shared" si="51"/>
        <v>3.0339150850569499E-2</v>
      </c>
      <c r="P137" s="3">
        <f t="shared" si="51"/>
        <v>3.0339150850258883E-2</v>
      </c>
      <c r="Q137" s="3">
        <f t="shared" si="51"/>
        <v>3.0339150847152722E-2</v>
      </c>
      <c r="R137" s="3">
        <f t="shared" si="51"/>
        <v>3.0339150816091141E-2</v>
      </c>
      <c r="S137" s="3">
        <f t="shared" si="51"/>
        <v>3.033915050547533E-2</v>
      </c>
      <c r="T137" s="3">
        <f t="shared" si="51"/>
        <v>3.0339147399317399E-2</v>
      </c>
      <c r="U137" s="3">
        <f t="shared" si="51"/>
        <v>3.0339116337755552E-2</v>
      </c>
      <c r="V137" s="3">
        <f t="shared" si="51"/>
        <v>3.0338805723886163E-2</v>
      </c>
      <c r="W137" s="3">
        <f t="shared" si="51"/>
        <v>3.033569976009157E-2</v>
      </c>
      <c r="X137" s="3">
        <f t="shared" si="51"/>
        <v>3.0304657605453682E-2</v>
      </c>
      <c r="Y137" s="3">
        <f t="shared" si="51"/>
        <v>2.9995977785118279E-2</v>
      </c>
      <c r="Z137" s="3">
        <f t="shared" si="51"/>
        <v>2.7076931162373395E-2</v>
      </c>
      <c r="AA137" s="3">
        <f t="shared" ref="AA137" si="52">$C23*EXP(-AA$129/$A23/EXP(-$B$126))</f>
        <v>9.7266573421893095E-3</v>
      </c>
      <c r="AB137" s="3">
        <f t="shared" si="46"/>
        <v>3.4802093778820511E-7</v>
      </c>
      <c r="AC137" s="3">
        <f t="shared" si="46"/>
        <v>1.1968037392469684E-51</v>
      </c>
      <c r="AD137" s="3">
        <f t="shared" si="46"/>
        <v>0</v>
      </c>
      <c r="AE137" s="3">
        <f t="shared" si="46"/>
        <v>0</v>
      </c>
      <c r="AF137" s="3">
        <f t="shared" si="46"/>
        <v>0</v>
      </c>
    </row>
    <row r="138" spans="1:33" x14ac:dyDescent="0.25">
      <c r="B138" s="3">
        <f t="shared" ref="B138:Z138" si="53">$C24*EXP(-B$129/$A24/EXP(-$B$126))</f>
        <v>2.9818488774257267E-2</v>
      </c>
      <c r="C138" s="3">
        <f t="shared" si="53"/>
        <v>2.9818488774257267E-2</v>
      </c>
      <c r="D138" s="3">
        <f t="shared" si="53"/>
        <v>2.9818488774257267E-2</v>
      </c>
      <c r="E138" s="3">
        <f t="shared" si="53"/>
        <v>2.9818488774257267E-2</v>
      </c>
      <c r="F138" s="3">
        <f t="shared" si="53"/>
        <v>2.9818488774257267E-2</v>
      </c>
      <c r="G138" s="3">
        <f t="shared" si="53"/>
        <v>2.9818488774257267E-2</v>
      </c>
      <c r="H138" s="3">
        <f t="shared" si="53"/>
        <v>2.9818488774257267E-2</v>
      </c>
      <c r="I138" s="3">
        <f t="shared" si="53"/>
        <v>2.9818488774257267E-2</v>
      </c>
      <c r="J138" s="3">
        <f t="shared" si="53"/>
        <v>2.9818488774257267E-2</v>
      </c>
      <c r="K138" s="3">
        <f t="shared" si="53"/>
        <v>2.9818488774257267E-2</v>
      </c>
      <c r="L138" s="3">
        <f t="shared" si="53"/>
        <v>2.9818488774257263E-2</v>
      </c>
      <c r="M138" s="3">
        <f t="shared" si="53"/>
        <v>2.9818488774257235E-2</v>
      </c>
      <c r="N138" s="3">
        <f t="shared" si="53"/>
        <v>2.9818488774256961E-2</v>
      </c>
      <c r="O138" s="3">
        <f t="shared" si="53"/>
        <v>2.9818488774254207E-2</v>
      </c>
      <c r="P138" s="3">
        <f t="shared" si="53"/>
        <v>2.9818488774226666E-2</v>
      </c>
      <c r="Q138" s="3">
        <f t="shared" si="53"/>
        <v>2.9818488773951275E-2</v>
      </c>
      <c r="R138" s="3">
        <f t="shared" si="53"/>
        <v>2.981848877119735E-2</v>
      </c>
      <c r="S138" s="3">
        <f t="shared" si="53"/>
        <v>2.9818488743658084E-2</v>
      </c>
      <c r="T138" s="3">
        <f t="shared" si="53"/>
        <v>2.9818488468265427E-2</v>
      </c>
      <c r="U138" s="3">
        <f t="shared" si="53"/>
        <v>2.9818485714338986E-2</v>
      </c>
      <c r="V138" s="3">
        <f t="shared" si="53"/>
        <v>2.9818458175088595E-2</v>
      </c>
      <c r="W138" s="3">
        <f t="shared" si="53"/>
        <v>2.9818182783983585E-2</v>
      </c>
      <c r="X138" s="3">
        <f t="shared" si="53"/>
        <v>2.9815429012816558E-2</v>
      </c>
      <c r="Y138" s="3">
        <f t="shared" si="53"/>
        <v>2.9787905284678777E-2</v>
      </c>
      <c r="Z138" s="3">
        <f t="shared" si="53"/>
        <v>2.9514061589898805E-2</v>
      </c>
      <c r="AA138" s="3">
        <f t="shared" ref="AA138" si="54">$C24*EXP(-AA$129/$A24/EXP(-$B$126))</f>
        <v>2.691033652665863E-2</v>
      </c>
      <c r="AB138" s="3">
        <f t="shared" si="46"/>
        <v>1.0686134230954684E-2</v>
      </c>
      <c r="AC138" s="3">
        <f t="shared" si="46"/>
        <v>1.0419229114611839E-6</v>
      </c>
      <c r="AD138" s="3">
        <f t="shared" si="46"/>
        <v>8.0906835969517527E-47</v>
      </c>
      <c r="AE138" s="3">
        <f t="shared" si="46"/>
        <v>0</v>
      </c>
      <c r="AF138" s="3">
        <f t="shared" si="46"/>
        <v>0</v>
      </c>
    </row>
    <row r="139" spans="1:33" x14ac:dyDescent="0.25">
      <c r="B139" s="3">
        <f t="shared" ref="B139:Z139" si="55">$C25*EXP(-B$129/$A25/EXP(-$B$126))</f>
        <v>2.8586713902441586E-2</v>
      </c>
      <c r="C139" s="3">
        <f t="shared" si="55"/>
        <v>2.8586713902441586E-2</v>
      </c>
      <c r="D139" s="3">
        <f t="shared" si="55"/>
        <v>2.8586713902441586E-2</v>
      </c>
      <c r="E139" s="3">
        <f t="shared" si="55"/>
        <v>2.8586713902441586E-2</v>
      </c>
      <c r="F139" s="3">
        <f t="shared" si="55"/>
        <v>2.8586713902441586E-2</v>
      </c>
      <c r="G139" s="3">
        <f t="shared" si="55"/>
        <v>2.8586713902441586E-2</v>
      </c>
      <c r="H139" s="3">
        <f t="shared" si="55"/>
        <v>2.8586713902441586E-2</v>
      </c>
      <c r="I139" s="3">
        <f t="shared" si="55"/>
        <v>2.8586713902441586E-2</v>
      </c>
      <c r="J139" s="3">
        <f t="shared" si="55"/>
        <v>2.8586713902441586E-2</v>
      </c>
      <c r="K139" s="3">
        <f t="shared" si="55"/>
        <v>2.8586713902441586E-2</v>
      </c>
      <c r="L139" s="3">
        <f t="shared" si="55"/>
        <v>2.8586713902441586E-2</v>
      </c>
      <c r="M139" s="3">
        <f t="shared" si="55"/>
        <v>2.8586713902441583E-2</v>
      </c>
      <c r="N139" s="3">
        <f t="shared" si="55"/>
        <v>2.8586713902441562E-2</v>
      </c>
      <c r="O139" s="3">
        <f t="shared" si="55"/>
        <v>2.8586713902441323E-2</v>
      </c>
      <c r="P139" s="3">
        <f t="shared" si="55"/>
        <v>2.8586713902438939E-2</v>
      </c>
      <c r="Q139" s="3">
        <f t="shared" si="55"/>
        <v>2.8586713902415125E-2</v>
      </c>
      <c r="R139" s="3">
        <f t="shared" si="55"/>
        <v>2.8586713902176958E-2</v>
      </c>
      <c r="S139" s="3">
        <f t="shared" si="55"/>
        <v>2.8586713899795311E-2</v>
      </c>
      <c r="T139" s="3">
        <f t="shared" si="55"/>
        <v>2.8586713875978831E-2</v>
      </c>
      <c r="U139" s="3">
        <f t="shared" si="55"/>
        <v>2.8586713637814044E-2</v>
      </c>
      <c r="V139" s="3">
        <f t="shared" si="55"/>
        <v>2.8586711256166263E-2</v>
      </c>
      <c r="W139" s="3">
        <f t="shared" si="55"/>
        <v>2.8586687439699363E-2</v>
      </c>
      <c r="X139" s="3">
        <f t="shared" si="55"/>
        <v>2.8586449276121716E-2</v>
      </c>
      <c r="Y139" s="3">
        <f t="shared" si="55"/>
        <v>2.8584067749473856E-2</v>
      </c>
      <c r="Z139" s="3">
        <f t="shared" si="55"/>
        <v>2.8560263392494765E-2</v>
      </c>
      <c r="AA139" s="3">
        <f t="shared" ref="AA139" si="56">$C25*EXP(-AA$129/$A25/EXP(-$B$126))</f>
        <v>2.8323307417190254E-2</v>
      </c>
      <c r="AB139" s="3">
        <f t="shared" si="46"/>
        <v>2.6059227917593148E-2</v>
      </c>
      <c r="AC139" s="3">
        <f t="shared" si="46"/>
        <v>1.1327584896924888E-2</v>
      </c>
      <c r="AD139" s="3">
        <f t="shared" si="46"/>
        <v>2.7283189565560538E-6</v>
      </c>
      <c r="AE139" s="3">
        <f t="shared" si="46"/>
        <v>1.792558295365939E-42</v>
      </c>
      <c r="AF139" s="3">
        <f t="shared" si="46"/>
        <v>0</v>
      </c>
    </row>
    <row r="140" spans="1:33" x14ac:dyDescent="0.25">
      <c r="B140" s="3">
        <f t="shared" ref="B140:Z140" si="57">$C26*EXP(-B$129/$A26/EXP(-$B$126))</f>
        <v>2.8589469167233993E-2</v>
      </c>
      <c r="C140" s="3">
        <f t="shared" si="57"/>
        <v>2.8589469167233993E-2</v>
      </c>
      <c r="D140" s="3">
        <f t="shared" si="57"/>
        <v>2.8589469167233993E-2</v>
      </c>
      <c r="E140" s="3">
        <f t="shared" si="57"/>
        <v>2.8589469167233993E-2</v>
      </c>
      <c r="F140" s="3">
        <f t="shared" si="57"/>
        <v>2.8589469167233993E-2</v>
      </c>
      <c r="G140" s="3">
        <f t="shared" si="57"/>
        <v>2.8589469167233993E-2</v>
      </c>
      <c r="H140" s="3">
        <f t="shared" si="57"/>
        <v>2.8589469167233993E-2</v>
      </c>
      <c r="I140" s="3">
        <f t="shared" si="57"/>
        <v>2.8589469167233993E-2</v>
      </c>
      <c r="J140" s="3">
        <f t="shared" si="57"/>
        <v>2.8589469167233993E-2</v>
      </c>
      <c r="K140" s="3">
        <f t="shared" si="57"/>
        <v>2.8589469167233993E-2</v>
      </c>
      <c r="L140" s="3">
        <f t="shared" si="57"/>
        <v>2.8589469167233993E-2</v>
      </c>
      <c r="M140" s="3">
        <f t="shared" si="57"/>
        <v>2.8589469167233993E-2</v>
      </c>
      <c r="N140" s="3">
        <f t="shared" si="57"/>
        <v>2.858946916723399E-2</v>
      </c>
      <c r="O140" s="3">
        <f t="shared" si="57"/>
        <v>2.8589469167233969E-2</v>
      </c>
      <c r="P140" s="3">
        <f t="shared" si="57"/>
        <v>2.8589469167233754E-2</v>
      </c>
      <c r="Q140" s="3">
        <f t="shared" si="57"/>
        <v>2.8589469167231606E-2</v>
      </c>
      <c r="R140" s="3">
        <f t="shared" si="57"/>
        <v>2.8589469167210117E-2</v>
      </c>
      <c r="S140" s="3">
        <f t="shared" si="57"/>
        <v>2.8589469166995257E-2</v>
      </c>
      <c r="T140" s="3">
        <f t="shared" si="57"/>
        <v>2.8589469164846601E-2</v>
      </c>
      <c r="U140" s="3">
        <f t="shared" si="57"/>
        <v>2.8589469143360087E-2</v>
      </c>
      <c r="V140" s="3">
        <f t="shared" si="57"/>
        <v>2.8589468928494923E-2</v>
      </c>
      <c r="W140" s="3">
        <f t="shared" si="57"/>
        <v>2.8589466779843409E-2</v>
      </c>
      <c r="X140" s="3">
        <f t="shared" si="57"/>
        <v>2.858944529333713E-2</v>
      </c>
      <c r="Y140" s="3">
        <f t="shared" si="57"/>
        <v>2.858923042916249E-2</v>
      </c>
      <c r="Z140" s="3">
        <f t="shared" si="57"/>
        <v>2.8587081876228812E-2</v>
      </c>
      <c r="AA140" s="3">
        <f t="shared" ref="AA140" si="58">$C26*EXP(-AA$129/$A26/EXP(-$B$126))</f>
        <v>2.8565605225695199E-2</v>
      </c>
      <c r="AB140" s="3">
        <f t="shared" si="46"/>
        <v>2.8351724136660993E-2</v>
      </c>
      <c r="AC140" s="3">
        <f t="shared" si="46"/>
        <v>2.6299041471587733E-2</v>
      </c>
      <c r="AD140" s="3">
        <f t="shared" si="46"/>
        <v>1.240350351170654E-2</v>
      </c>
      <c r="AE140" s="3">
        <f t="shared" si="46"/>
        <v>6.754433249021257E-6</v>
      </c>
      <c r="AF140" s="3">
        <f t="shared" si="46"/>
        <v>1.548939003307369E-38</v>
      </c>
    </row>
    <row r="141" spans="1:33" x14ac:dyDescent="0.25">
      <c r="B141" s="3">
        <f t="shared" ref="B141:Z141" si="59">$C27*EXP(-B$129/$A27/EXP(-$B$126))</f>
        <v>2.8115831969051441E-2</v>
      </c>
      <c r="C141" s="3">
        <f t="shared" si="59"/>
        <v>2.8115831969051441E-2</v>
      </c>
      <c r="D141" s="3">
        <f t="shared" si="59"/>
        <v>2.8115831969051441E-2</v>
      </c>
      <c r="E141" s="3">
        <f t="shared" si="59"/>
        <v>2.8115831969051441E-2</v>
      </c>
      <c r="F141" s="3">
        <f t="shared" si="59"/>
        <v>2.8115831969051441E-2</v>
      </c>
      <c r="G141" s="3">
        <f t="shared" si="59"/>
        <v>2.8115831969051441E-2</v>
      </c>
      <c r="H141" s="3">
        <f t="shared" si="59"/>
        <v>2.8115831969051441E-2</v>
      </c>
      <c r="I141" s="3">
        <f t="shared" si="59"/>
        <v>2.8115831969051441E-2</v>
      </c>
      <c r="J141" s="3">
        <f t="shared" si="59"/>
        <v>2.8115831969051441E-2</v>
      </c>
      <c r="K141" s="3">
        <f t="shared" si="59"/>
        <v>2.8115831969051441E-2</v>
      </c>
      <c r="L141" s="3">
        <f t="shared" si="59"/>
        <v>2.8115831969051441E-2</v>
      </c>
      <c r="M141" s="3">
        <f t="shared" si="59"/>
        <v>2.8115831969051441E-2</v>
      </c>
      <c r="N141" s="3">
        <f t="shared" si="59"/>
        <v>2.8115831969051441E-2</v>
      </c>
      <c r="O141" s="3">
        <f t="shared" si="59"/>
        <v>2.8115831969051437E-2</v>
      </c>
      <c r="P141" s="3">
        <f t="shared" si="59"/>
        <v>2.811583196905142E-2</v>
      </c>
      <c r="Q141" s="3">
        <f t="shared" si="59"/>
        <v>2.8115831969051229E-2</v>
      </c>
      <c r="R141" s="3">
        <f t="shared" si="59"/>
        <v>2.8115831969049321E-2</v>
      </c>
      <c r="S141" s="3">
        <f t="shared" si="59"/>
        <v>2.811583196903026E-2</v>
      </c>
      <c r="T141" s="3">
        <f t="shared" si="59"/>
        <v>2.8115831968839645E-2</v>
      </c>
      <c r="U141" s="3">
        <f t="shared" si="59"/>
        <v>2.8115831966933496E-2</v>
      </c>
      <c r="V141" s="3">
        <f t="shared" si="59"/>
        <v>2.811583194787198E-2</v>
      </c>
      <c r="W141" s="3">
        <f t="shared" si="59"/>
        <v>2.8115831757256817E-2</v>
      </c>
      <c r="X141" s="3">
        <f t="shared" si="59"/>
        <v>2.8115829851105278E-2</v>
      </c>
      <c r="Y141" s="3">
        <f t="shared" si="59"/>
        <v>2.8115810789596976E-2</v>
      </c>
      <c r="Z141" s="3">
        <f t="shared" si="59"/>
        <v>2.8115620175224738E-2</v>
      </c>
      <c r="AA141" s="3">
        <f t="shared" ref="AA141" si="60">$C27*EXP(-AA$129/$A27/EXP(-$B$126))</f>
        <v>2.8113714102576955E-2</v>
      </c>
      <c r="AB141" s="3">
        <f t="shared" si="46"/>
        <v>2.8094660481778312E-2</v>
      </c>
      <c r="AC141" s="3">
        <f t="shared" si="46"/>
        <v>2.7904833062502743E-2</v>
      </c>
      <c r="AD141" s="3">
        <f t="shared" si="46"/>
        <v>2.6075691551652042E-2</v>
      </c>
      <c r="AE141" s="3">
        <f t="shared" si="46"/>
        <v>1.3237314864724757E-2</v>
      </c>
      <c r="AF141" s="3">
        <f t="shared" si="46"/>
        <v>1.5046674962423228E-5</v>
      </c>
    </row>
    <row r="142" spans="1:33" x14ac:dyDescent="0.25">
      <c r="B142" s="3">
        <f t="shared" ref="B142:Z142" si="61">$C28*EXP(-B$129/$A28/EXP(-$B$126))</f>
        <v>3.3973946984022944E-2</v>
      </c>
      <c r="C142" s="3">
        <f t="shared" si="61"/>
        <v>3.3973946984022944E-2</v>
      </c>
      <c r="D142" s="3">
        <f t="shared" si="61"/>
        <v>3.3973946984022944E-2</v>
      </c>
      <c r="E142" s="3">
        <f t="shared" si="61"/>
        <v>3.3973946984022944E-2</v>
      </c>
      <c r="F142" s="3">
        <f t="shared" si="61"/>
        <v>3.3973946984022944E-2</v>
      </c>
      <c r="G142" s="3">
        <f t="shared" si="61"/>
        <v>3.3973946984022944E-2</v>
      </c>
      <c r="H142" s="3">
        <f t="shared" si="61"/>
        <v>3.3973946984022944E-2</v>
      </c>
      <c r="I142" s="3">
        <f t="shared" si="61"/>
        <v>3.3973946984022944E-2</v>
      </c>
      <c r="J142" s="3">
        <f t="shared" si="61"/>
        <v>3.3973946984022944E-2</v>
      </c>
      <c r="K142" s="3">
        <f t="shared" si="61"/>
        <v>3.3973946984022944E-2</v>
      </c>
      <c r="L142" s="3">
        <f t="shared" si="61"/>
        <v>3.3973946984022944E-2</v>
      </c>
      <c r="M142" s="3">
        <f t="shared" si="61"/>
        <v>3.3973946984022944E-2</v>
      </c>
      <c r="N142" s="3">
        <f t="shared" si="61"/>
        <v>3.3973946984022944E-2</v>
      </c>
      <c r="O142" s="3">
        <f t="shared" si="61"/>
        <v>3.3973946984022944E-2</v>
      </c>
      <c r="P142" s="3">
        <f t="shared" si="61"/>
        <v>3.3973946984022937E-2</v>
      </c>
      <c r="Q142" s="3">
        <f t="shared" si="61"/>
        <v>3.3973946984022924E-2</v>
      </c>
      <c r="R142" s="3">
        <f t="shared" si="61"/>
        <v>3.3973946984022715E-2</v>
      </c>
      <c r="S142" s="3">
        <f t="shared" si="61"/>
        <v>3.3973946984020634E-2</v>
      </c>
      <c r="T142" s="3">
        <f t="shared" si="61"/>
        <v>3.3973946983999859E-2</v>
      </c>
      <c r="U142" s="3">
        <f t="shared" si="61"/>
        <v>3.397394698379208E-2</v>
      </c>
      <c r="V142" s="3">
        <f t="shared" si="61"/>
        <v>3.3973946981714305E-2</v>
      </c>
      <c r="W142" s="3">
        <f t="shared" si="61"/>
        <v>3.3973946960936523E-2</v>
      </c>
      <c r="X142" s="3">
        <f t="shared" si="61"/>
        <v>3.3973946753158749E-2</v>
      </c>
      <c r="Y142" s="3">
        <f t="shared" si="61"/>
        <v>3.3973944675381042E-2</v>
      </c>
      <c r="Z142" s="3">
        <f t="shared" si="61"/>
        <v>3.3973923897610933E-2</v>
      </c>
      <c r="AA142" s="3">
        <f t="shared" ref="AA142" si="62">$C28*EXP(-AA$129/$A28/EXP(-$B$126))</f>
        <v>3.3973716120608795E-2</v>
      </c>
      <c r="AB142" s="3">
        <f t="shared" si="46"/>
        <v>3.3971638420475646E-2</v>
      </c>
      <c r="AC142" s="3">
        <f t="shared" si="46"/>
        <v>3.3950868406384678E-2</v>
      </c>
      <c r="AD142" s="3">
        <f t="shared" si="46"/>
        <v>3.3743865411007913E-2</v>
      </c>
      <c r="AE142" s="3">
        <f t="shared" si="46"/>
        <v>3.1741997952843229E-2</v>
      </c>
      <c r="AF142" s="3">
        <f t="shared" si="46"/>
        <v>1.7219817736485239E-2</v>
      </c>
    </row>
    <row r="143" spans="1:33" x14ac:dyDescent="0.25">
      <c r="B143" s="3">
        <f t="shared" ref="B143:Z143" si="63">$C29*EXP(-B$129/$A29/EXP(-$B$126))</f>
        <v>3.6313930353248758E-2</v>
      </c>
      <c r="C143" s="3">
        <f t="shared" si="63"/>
        <v>3.6313930353248758E-2</v>
      </c>
      <c r="D143" s="3">
        <f t="shared" si="63"/>
        <v>3.6313930353248758E-2</v>
      </c>
      <c r="E143" s="3">
        <f t="shared" si="63"/>
        <v>3.6313930353248758E-2</v>
      </c>
      <c r="F143" s="3">
        <f t="shared" si="63"/>
        <v>3.6313930353248758E-2</v>
      </c>
      <c r="G143" s="3">
        <f t="shared" si="63"/>
        <v>3.6313930353248758E-2</v>
      </c>
      <c r="H143" s="3">
        <f t="shared" si="63"/>
        <v>3.6313930353248758E-2</v>
      </c>
      <c r="I143" s="3">
        <f t="shared" si="63"/>
        <v>3.6313930353248758E-2</v>
      </c>
      <c r="J143" s="3">
        <f t="shared" si="63"/>
        <v>3.6313930353248758E-2</v>
      </c>
      <c r="K143" s="3">
        <f t="shared" si="63"/>
        <v>3.6313930353248758E-2</v>
      </c>
      <c r="L143" s="3">
        <f t="shared" si="63"/>
        <v>3.6313930353248758E-2</v>
      </c>
      <c r="M143" s="3">
        <f t="shared" si="63"/>
        <v>3.6313930353248758E-2</v>
      </c>
      <c r="N143" s="3">
        <f t="shared" si="63"/>
        <v>3.6313930353248758E-2</v>
      </c>
      <c r="O143" s="3">
        <f t="shared" si="63"/>
        <v>3.6313930353248758E-2</v>
      </c>
      <c r="P143" s="3">
        <f t="shared" si="63"/>
        <v>3.6313930353248758E-2</v>
      </c>
      <c r="Q143" s="3">
        <f t="shared" si="63"/>
        <v>3.6313930353248751E-2</v>
      </c>
      <c r="R143" s="3">
        <f t="shared" si="63"/>
        <v>3.6313930353248737E-2</v>
      </c>
      <c r="S143" s="3">
        <f t="shared" si="63"/>
        <v>3.6313930353248536E-2</v>
      </c>
      <c r="T143" s="3">
        <f t="shared" si="63"/>
        <v>3.631393035324653E-2</v>
      </c>
      <c r="U143" s="3">
        <f t="shared" si="63"/>
        <v>3.6313930353226498E-2</v>
      </c>
      <c r="V143" s="3">
        <f t="shared" si="63"/>
        <v>3.6313930353026151E-2</v>
      </c>
      <c r="W143" s="3">
        <f t="shared" si="63"/>
        <v>3.6313930351022733E-2</v>
      </c>
      <c r="X143" s="3">
        <f t="shared" si="63"/>
        <v>3.6313930330988488E-2</v>
      </c>
      <c r="Y143" s="3">
        <f t="shared" si="63"/>
        <v>3.6313930130646058E-2</v>
      </c>
      <c r="Z143" s="3">
        <f t="shared" si="63"/>
        <v>3.6313928127221805E-2</v>
      </c>
      <c r="AA143" s="3">
        <f t="shared" ref="AA143" si="64">$C29*EXP(-AA$129/$A29/EXP(-$B$126))</f>
        <v>3.6313908092985354E-2</v>
      </c>
      <c r="AB143" s="3">
        <f t="shared" si="46"/>
        <v>3.6313707751228788E-2</v>
      </c>
      <c r="AC143" s="3">
        <f t="shared" si="46"/>
        <v>3.6311704394452179E-2</v>
      </c>
      <c r="AD143" s="3">
        <f t="shared" si="46"/>
        <v>3.6291676904351963E-2</v>
      </c>
      <c r="AE143" s="3">
        <f t="shared" si="46"/>
        <v>3.6092008531144734E-2</v>
      </c>
      <c r="AF143" s="3">
        <f t="shared" si="46"/>
        <v>3.4154757547252244E-2</v>
      </c>
    </row>
    <row r="144" spans="1:33" x14ac:dyDescent="0.25">
      <c r="B144" s="3">
        <f t="shared" ref="B144:Z144" si="65">$C30*EXP(-B$129/$A30/EXP(-$B$126))</f>
        <v>4.1806327659667623E-2</v>
      </c>
      <c r="C144" s="3">
        <f t="shared" si="65"/>
        <v>4.1806327659667623E-2</v>
      </c>
      <c r="D144" s="3">
        <f t="shared" si="65"/>
        <v>4.1806327659667623E-2</v>
      </c>
      <c r="E144" s="3">
        <f t="shared" si="65"/>
        <v>4.1806327659667623E-2</v>
      </c>
      <c r="F144" s="3">
        <f t="shared" si="65"/>
        <v>4.1806327659667623E-2</v>
      </c>
      <c r="G144" s="3">
        <f t="shared" si="65"/>
        <v>4.1806327659667623E-2</v>
      </c>
      <c r="H144" s="3">
        <f t="shared" si="65"/>
        <v>4.1806327659667623E-2</v>
      </c>
      <c r="I144" s="3">
        <f t="shared" si="65"/>
        <v>4.1806327659667623E-2</v>
      </c>
      <c r="J144" s="3">
        <f t="shared" si="65"/>
        <v>4.1806327659667623E-2</v>
      </c>
      <c r="K144" s="3">
        <f t="shared" si="65"/>
        <v>4.1806327659667623E-2</v>
      </c>
      <c r="L144" s="3">
        <f t="shared" si="65"/>
        <v>4.1806327659667623E-2</v>
      </c>
      <c r="M144" s="3">
        <f t="shared" si="65"/>
        <v>4.1806327659667623E-2</v>
      </c>
      <c r="N144" s="3">
        <f t="shared" si="65"/>
        <v>4.1806327659667623E-2</v>
      </c>
      <c r="O144" s="3">
        <f t="shared" si="65"/>
        <v>4.1806327659667623E-2</v>
      </c>
      <c r="P144" s="3">
        <f t="shared" si="65"/>
        <v>4.1806327659667623E-2</v>
      </c>
      <c r="Q144" s="3">
        <f t="shared" si="65"/>
        <v>4.1806327659667623E-2</v>
      </c>
      <c r="R144" s="3">
        <f t="shared" si="65"/>
        <v>4.1806327659667623E-2</v>
      </c>
      <c r="S144" s="3">
        <f t="shared" si="65"/>
        <v>4.1806327659667603E-2</v>
      </c>
      <c r="T144" s="3">
        <f t="shared" si="65"/>
        <v>4.1806327659667394E-2</v>
      </c>
      <c r="U144" s="3">
        <f t="shared" si="65"/>
        <v>4.1806327659665313E-2</v>
      </c>
      <c r="V144" s="3">
        <f t="shared" si="65"/>
        <v>4.1806327659644503E-2</v>
      </c>
      <c r="W144" s="3">
        <f t="shared" si="65"/>
        <v>4.1806327659436447E-2</v>
      </c>
      <c r="X144" s="3">
        <f t="shared" si="65"/>
        <v>4.1806327657355848E-2</v>
      </c>
      <c r="Y144" s="3">
        <f t="shared" si="65"/>
        <v>4.1806327636549866E-2</v>
      </c>
      <c r="Z144" s="3">
        <f t="shared" si="65"/>
        <v>4.1806327428490005E-2</v>
      </c>
      <c r="AA144" s="3">
        <f t="shared" ref="AA144" si="66">$C30*EXP(-AA$129/$A30/EXP(-$B$126))</f>
        <v>4.1806325347891499E-2</v>
      </c>
      <c r="AB144" s="3">
        <f t="shared" ref="AB144:AF153" si="67">$C30*EXP(-AB$129/$A30/EXP(-$B$126))</f>
        <v>4.1806304541912101E-2</v>
      </c>
      <c r="AC144" s="3">
        <f t="shared" si="67"/>
        <v>4.1806096482687634E-2</v>
      </c>
      <c r="AD144" s="3">
        <f t="shared" si="67"/>
        <v>4.1804015947392324E-2</v>
      </c>
      <c r="AE144" s="3">
        <f t="shared" si="67"/>
        <v>4.1783216288320477E-2</v>
      </c>
      <c r="AF144" s="3">
        <f t="shared" si="67"/>
        <v>4.1575788038654395E-2</v>
      </c>
    </row>
    <row r="145" spans="1:32" x14ac:dyDescent="0.25">
      <c r="B145" s="3">
        <f t="shared" ref="B145:Z145" si="68">$C31*EXP(-B$129/$A31/EXP(-$B$126))</f>
        <v>4.6977125912982913E-2</v>
      </c>
      <c r="C145" s="3">
        <f t="shared" si="68"/>
        <v>4.6977125912982913E-2</v>
      </c>
      <c r="D145" s="3">
        <f t="shared" si="68"/>
        <v>4.6977125912982913E-2</v>
      </c>
      <c r="E145" s="3">
        <f t="shared" si="68"/>
        <v>4.6977125912982913E-2</v>
      </c>
      <c r="F145" s="3">
        <f t="shared" si="68"/>
        <v>4.6977125912982913E-2</v>
      </c>
      <c r="G145" s="3">
        <f t="shared" si="68"/>
        <v>4.6977125912982913E-2</v>
      </c>
      <c r="H145" s="3">
        <f t="shared" si="68"/>
        <v>4.6977125912982913E-2</v>
      </c>
      <c r="I145" s="3">
        <f t="shared" si="68"/>
        <v>4.6977125912982913E-2</v>
      </c>
      <c r="J145" s="3">
        <f t="shared" si="68"/>
        <v>4.6977125912982913E-2</v>
      </c>
      <c r="K145" s="3">
        <f t="shared" si="68"/>
        <v>4.6977125912982913E-2</v>
      </c>
      <c r="L145" s="3">
        <f t="shared" si="68"/>
        <v>4.6977125912982913E-2</v>
      </c>
      <c r="M145" s="3">
        <f t="shared" si="68"/>
        <v>4.6977125912982913E-2</v>
      </c>
      <c r="N145" s="3">
        <f t="shared" si="68"/>
        <v>4.6977125912982913E-2</v>
      </c>
      <c r="O145" s="3">
        <f t="shared" si="68"/>
        <v>4.6977125912982913E-2</v>
      </c>
      <c r="P145" s="3">
        <f t="shared" si="68"/>
        <v>4.6977125912982913E-2</v>
      </c>
      <c r="Q145" s="3">
        <f t="shared" si="68"/>
        <v>4.6977125912982913E-2</v>
      </c>
      <c r="R145" s="3">
        <f t="shared" si="68"/>
        <v>4.6977125912982913E-2</v>
      </c>
      <c r="S145" s="3">
        <f t="shared" si="68"/>
        <v>4.6977125912982913E-2</v>
      </c>
      <c r="T145" s="3">
        <f t="shared" si="68"/>
        <v>4.6977125912982892E-2</v>
      </c>
      <c r="U145" s="3">
        <f t="shared" si="68"/>
        <v>4.6977125912982677E-2</v>
      </c>
      <c r="V145" s="3">
        <f t="shared" si="68"/>
        <v>4.6977125912980575E-2</v>
      </c>
      <c r="W145" s="3">
        <f t="shared" si="68"/>
        <v>4.697712591295948E-2</v>
      </c>
      <c r="X145" s="3">
        <f t="shared" si="68"/>
        <v>4.697712591274858E-2</v>
      </c>
      <c r="Y145" s="3">
        <f t="shared" si="68"/>
        <v>4.6977125910639565E-2</v>
      </c>
      <c r="Z145" s="3">
        <f t="shared" si="68"/>
        <v>4.6977125889549436E-2</v>
      </c>
      <c r="AA145" s="3">
        <f t="shared" ref="AA145" si="69">$C31*EXP(-AA$129/$A31/EXP(-$B$126))</f>
        <v>4.6977125678648105E-2</v>
      </c>
      <c r="AB145" s="3">
        <f t="shared" si="67"/>
        <v>4.6977123569634904E-2</v>
      </c>
      <c r="AC145" s="3">
        <f t="shared" si="67"/>
        <v>4.6977102479508114E-2</v>
      </c>
      <c r="AD145" s="3">
        <f t="shared" si="67"/>
        <v>4.6976891578760907E-2</v>
      </c>
      <c r="AE145" s="3">
        <f t="shared" si="67"/>
        <v>4.6974782623363555E-2</v>
      </c>
      <c r="AF145" s="3">
        <f t="shared" si="67"/>
        <v>4.6953698275996075E-2</v>
      </c>
    </row>
    <row r="146" spans="1:32" x14ac:dyDescent="0.25">
      <c r="B146" s="3">
        <f t="shared" ref="B146:Z146" si="70">$C32*EXP(-B$129/$A32/EXP(-$B$126))</f>
        <v>6.4330039712108877E-2</v>
      </c>
      <c r="C146" s="3">
        <f t="shared" si="70"/>
        <v>6.4330039712108877E-2</v>
      </c>
      <c r="D146" s="3">
        <f t="shared" si="70"/>
        <v>6.4330039712108877E-2</v>
      </c>
      <c r="E146" s="3">
        <f t="shared" si="70"/>
        <v>6.4330039712108877E-2</v>
      </c>
      <c r="F146" s="3">
        <f t="shared" si="70"/>
        <v>6.4330039712108877E-2</v>
      </c>
      <c r="G146" s="3">
        <f t="shared" si="70"/>
        <v>6.4330039712108877E-2</v>
      </c>
      <c r="H146" s="3">
        <f t="shared" si="70"/>
        <v>6.4330039712108877E-2</v>
      </c>
      <c r="I146" s="3">
        <f t="shared" si="70"/>
        <v>6.4330039712108877E-2</v>
      </c>
      <c r="J146" s="3">
        <f t="shared" si="70"/>
        <v>6.4330039712108877E-2</v>
      </c>
      <c r="K146" s="3">
        <f t="shared" si="70"/>
        <v>6.4330039712108877E-2</v>
      </c>
      <c r="L146" s="3">
        <f t="shared" si="70"/>
        <v>6.4330039712108877E-2</v>
      </c>
      <c r="M146" s="3">
        <f t="shared" si="70"/>
        <v>6.4330039712108877E-2</v>
      </c>
      <c r="N146" s="3">
        <f t="shared" si="70"/>
        <v>6.4330039712108877E-2</v>
      </c>
      <c r="O146" s="3">
        <f t="shared" si="70"/>
        <v>6.4330039712108877E-2</v>
      </c>
      <c r="P146" s="3">
        <f t="shared" si="70"/>
        <v>6.4330039712108877E-2</v>
      </c>
      <c r="Q146" s="3">
        <f t="shared" si="70"/>
        <v>6.4330039712108877E-2</v>
      </c>
      <c r="R146" s="3">
        <f t="shared" si="70"/>
        <v>6.4330039712108877E-2</v>
      </c>
      <c r="S146" s="3">
        <f t="shared" si="70"/>
        <v>6.4330039712108877E-2</v>
      </c>
      <c r="T146" s="3">
        <f t="shared" si="70"/>
        <v>6.4330039712108877E-2</v>
      </c>
      <c r="U146" s="3">
        <f t="shared" si="70"/>
        <v>6.433003971210885E-2</v>
      </c>
      <c r="V146" s="3">
        <f t="shared" si="70"/>
        <v>6.4330039712108586E-2</v>
      </c>
      <c r="W146" s="3">
        <f t="shared" si="70"/>
        <v>6.4330039712105991E-2</v>
      </c>
      <c r="X146" s="3">
        <f t="shared" si="70"/>
        <v>6.4330039712079928E-2</v>
      </c>
      <c r="Y146" s="3">
        <f t="shared" si="70"/>
        <v>6.4330039711819401E-2</v>
      </c>
      <c r="Z146" s="3">
        <f t="shared" si="70"/>
        <v>6.4330039709214137E-2</v>
      </c>
      <c r="AA146" s="3">
        <f t="shared" ref="AA146" si="71">$C32*EXP(-AA$129/$A32/EXP(-$B$126))</f>
        <v>6.4330039683161394E-2</v>
      </c>
      <c r="AB146" s="3">
        <f t="shared" si="67"/>
        <v>6.4330039422634072E-2</v>
      </c>
      <c r="AC146" s="3">
        <f t="shared" si="67"/>
        <v>6.4330036817360908E-2</v>
      </c>
      <c r="AD146" s="3">
        <f t="shared" si="67"/>
        <v>6.4330010764635029E-2</v>
      </c>
      <c r="AE146" s="3">
        <f t="shared" si="67"/>
        <v>6.4329750237956507E-2</v>
      </c>
      <c r="AF146" s="3">
        <f t="shared" si="67"/>
        <v>6.4327145029200797E-2</v>
      </c>
    </row>
    <row r="147" spans="1:32" x14ac:dyDescent="0.25">
      <c r="B147" s="3">
        <f t="shared" ref="B147:Z147" si="72">$C33*EXP(-B$129/$A33/EXP(-$B$126))</f>
        <v>7.1283808515689162E-2</v>
      </c>
      <c r="C147" s="3">
        <f t="shared" si="72"/>
        <v>7.1283808515689162E-2</v>
      </c>
      <c r="D147" s="3">
        <f t="shared" si="72"/>
        <v>7.1283808515689162E-2</v>
      </c>
      <c r="E147" s="3">
        <f t="shared" si="72"/>
        <v>7.1283808515689162E-2</v>
      </c>
      <c r="F147" s="3">
        <f t="shared" si="72"/>
        <v>7.1283808515689162E-2</v>
      </c>
      <c r="G147" s="3">
        <f t="shared" si="72"/>
        <v>7.1283808515689162E-2</v>
      </c>
      <c r="H147" s="3">
        <f t="shared" si="72"/>
        <v>7.1283808515689162E-2</v>
      </c>
      <c r="I147" s="3">
        <f t="shared" si="72"/>
        <v>7.1283808515689162E-2</v>
      </c>
      <c r="J147" s="3">
        <f t="shared" si="72"/>
        <v>7.1283808515689162E-2</v>
      </c>
      <c r="K147" s="3">
        <f t="shared" si="72"/>
        <v>7.1283808515689162E-2</v>
      </c>
      <c r="L147" s="3">
        <f t="shared" si="72"/>
        <v>7.1283808515689162E-2</v>
      </c>
      <c r="M147" s="3">
        <f t="shared" si="72"/>
        <v>7.1283808515689162E-2</v>
      </c>
      <c r="N147" s="3">
        <f t="shared" si="72"/>
        <v>7.1283808515689162E-2</v>
      </c>
      <c r="O147" s="3">
        <f t="shared" si="72"/>
        <v>7.1283808515689162E-2</v>
      </c>
      <c r="P147" s="3">
        <f t="shared" si="72"/>
        <v>7.1283808515689162E-2</v>
      </c>
      <c r="Q147" s="3">
        <f t="shared" si="72"/>
        <v>7.1283808515689162E-2</v>
      </c>
      <c r="R147" s="3">
        <f t="shared" si="72"/>
        <v>7.1283808515689162E-2</v>
      </c>
      <c r="S147" s="3">
        <f t="shared" si="72"/>
        <v>7.1283808515689162E-2</v>
      </c>
      <c r="T147" s="3">
        <f t="shared" si="72"/>
        <v>7.1283808515689162E-2</v>
      </c>
      <c r="U147" s="3">
        <f t="shared" si="72"/>
        <v>7.1283808515689162E-2</v>
      </c>
      <c r="V147" s="3">
        <f t="shared" si="72"/>
        <v>7.1283808515689134E-2</v>
      </c>
      <c r="W147" s="3">
        <f t="shared" si="72"/>
        <v>7.1283808515688871E-2</v>
      </c>
      <c r="X147" s="3">
        <f t="shared" si="72"/>
        <v>7.1283808515686262E-2</v>
      </c>
      <c r="Y147" s="3">
        <f t="shared" si="72"/>
        <v>7.1283808515660227E-2</v>
      </c>
      <c r="Z147" s="3">
        <f t="shared" si="72"/>
        <v>7.128380851539981E-2</v>
      </c>
      <c r="AA147" s="3">
        <f t="shared" ref="AA147" si="73">$C33*EXP(-AA$129/$A33/EXP(-$B$126))</f>
        <v>7.1283808512795588E-2</v>
      </c>
      <c r="AB147" s="3">
        <f t="shared" si="67"/>
        <v>7.1283808486753433E-2</v>
      </c>
      <c r="AC147" s="3">
        <f t="shared" si="67"/>
        <v>7.1283808226331874E-2</v>
      </c>
      <c r="AD147" s="3">
        <f t="shared" si="67"/>
        <v>7.1283805622116281E-2</v>
      </c>
      <c r="AE147" s="3">
        <f t="shared" si="67"/>
        <v>7.1283779579965637E-2</v>
      </c>
      <c r="AF147" s="3">
        <f t="shared" si="67"/>
        <v>7.1283519158982428E-2</v>
      </c>
    </row>
    <row r="148" spans="1:32" x14ac:dyDescent="0.25">
      <c r="B148" s="3">
        <f t="shared" ref="B148:Z148" si="74">$C34*EXP(-B$129/$A34/EXP(-$B$126))</f>
        <v>6.5008577665533668E-2</v>
      </c>
      <c r="C148" s="3">
        <f t="shared" si="74"/>
        <v>6.5008577665533668E-2</v>
      </c>
      <c r="D148" s="3">
        <f t="shared" si="74"/>
        <v>6.5008577665533668E-2</v>
      </c>
      <c r="E148" s="3">
        <f t="shared" si="74"/>
        <v>6.5008577665533668E-2</v>
      </c>
      <c r="F148" s="3">
        <f t="shared" si="74"/>
        <v>6.5008577665533668E-2</v>
      </c>
      <c r="G148" s="3">
        <f t="shared" si="74"/>
        <v>6.5008577665533668E-2</v>
      </c>
      <c r="H148" s="3">
        <f t="shared" si="74"/>
        <v>6.5008577665533668E-2</v>
      </c>
      <c r="I148" s="3">
        <f t="shared" si="74"/>
        <v>6.5008577665533668E-2</v>
      </c>
      <c r="J148" s="3">
        <f t="shared" si="74"/>
        <v>6.5008577665533668E-2</v>
      </c>
      <c r="K148" s="3">
        <f t="shared" si="74"/>
        <v>6.5008577665533668E-2</v>
      </c>
      <c r="L148" s="3">
        <f t="shared" si="74"/>
        <v>6.5008577665533668E-2</v>
      </c>
      <c r="M148" s="3">
        <f t="shared" si="74"/>
        <v>6.5008577665533668E-2</v>
      </c>
      <c r="N148" s="3">
        <f t="shared" si="74"/>
        <v>6.5008577665533668E-2</v>
      </c>
      <c r="O148" s="3">
        <f t="shared" si="74"/>
        <v>6.5008577665533668E-2</v>
      </c>
      <c r="P148" s="3">
        <f t="shared" si="74"/>
        <v>6.5008577665533668E-2</v>
      </c>
      <c r="Q148" s="3">
        <f t="shared" si="74"/>
        <v>6.5008577665533668E-2</v>
      </c>
      <c r="R148" s="3">
        <f t="shared" si="74"/>
        <v>6.5008577665533668E-2</v>
      </c>
      <c r="S148" s="3">
        <f t="shared" si="74"/>
        <v>6.5008577665533668E-2</v>
      </c>
      <c r="T148" s="3">
        <f t="shared" si="74"/>
        <v>6.5008577665533668E-2</v>
      </c>
      <c r="U148" s="3">
        <f t="shared" si="74"/>
        <v>6.5008577665533668E-2</v>
      </c>
      <c r="V148" s="3">
        <f t="shared" si="74"/>
        <v>6.5008577665533668E-2</v>
      </c>
      <c r="W148" s="3">
        <f t="shared" si="74"/>
        <v>6.500857766553364E-2</v>
      </c>
      <c r="X148" s="3">
        <f t="shared" si="74"/>
        <v>6.5008577665533432E-2</v>
      </c>
      <c r="Y148" s="3">
        <f t="shared" si="74"/>
        <v>6.5008577665531281E-2</v>
      </c>
      <c r="Z148" s="3">
        <f t="shared" si="74"/>
        <v>6.5008577665509867E-2</v>
      </c>
      <c r="AA148" s="3">
        <f>$C34*EXP(-AA$129/$A34/EXP(-$B$126))</f>
        <v>6.5008577665295622E-2</v>
      </c>
      <c r="AB148" s="3">
        <f t="shared" si="67"/>
        <v>6.5008577663153211E-2</v>
      </c>
      <c r="AC148" s="3">
        <f t="shared" si="67"/>
        <v>6.5008577641729071E-2</v>
      </c>
      <c r="AD148" s="3">
        <f t="shared" si="67"/>
        <v>6.5008577427487724E-2</v>
      </c>
      <c r="AE148" s="3">
        <f t="shared" si="67"/>
        <v>6.5008575285074227E-2</v>
      </c>
      <c r="AF148" s="3">
        <f t="shared" si="67"/>
        <v>6.5008553860943161E-2</v>
      </c>
    </row>
    <row r="149" spans="1:32" x14ac:dyDescent="0.25">
      <c r="B149" s="3">
        <f t="shared" ref="B149:Z149" si="75">$C35*EXP(-B$129/$A35/EXP(-$B$126))</f>
        <v>4.954350168244695E-2</v>
      </c>
      <c r="C149" s="3">
        <f t="shared" si="75"/>
        <v>4.954350168244695E-2</v>
      </c>
      <c r="D149" s="3">
        <f t="shared" si="75"/>
        <v>4.954350168244695E-2</v>
      </c>
      <c r="E149" s="3">
        <f t="shared" si="75"/>
        <v>4.954350168244695E-2</v>
      </c>
      <c r="F149" s="3">
        <f t="shared" si="75"/>
        <v>4.954350168244695E-2</v>
      </c>
      <c r="G149" s="3">
        <f t="shared" si="75"/>
        <v>4.954350168244695E-2</v>
      </c>
      <c r="H149" s="3">
        <f t="shared" si="75"/>
        <v>4.954350168244695E-2</v>
      </c>
      <c r="I149" s="3">
        <f t="shared" si="75"/>
        <v>4.954350168244695E-2</v>
      </c>
      <c r="J149" s="3">
        <f t="shared" si="75"/>
        <v>4.954350168244695E-2</v>
      </c>
      <c r="K149" s="3">
        <f t="shared" si="75"/>
        <v>4.954350168244695E-2</v>
      </c>
      <c r="L149" s="3">
        <f t="shared" si="75"/>
        <v>4.954350168244695E-2</v>
      </c>
      <c r="M149" s="3">
        <f t="shared" si="75"/>
        <v>4.954350168244695E-2</v>
      </c>
      <c r="N149" s="3">
        <f t="shared" si="75"/>
        <v>4.954350168244695E-2</v>
      </c>
      <c r="O149" s="3">
        <f t="shared" si="75"/>
        <v>4.954350168244695E-2</v>
      </c>
      <c r="P149" s="3">
        <f t="shared" si="75"/>
        <v>4.954350168244695E-2</v>
      </c>
      <c r="Q149" s="3">
        <f t="shared" si="75"/>
        <v>4.954350168244695E-2</v>
      </c>
      <c r="R149" s="3">
        <f t="shared" si="75"/>
        <v>4.954350168244695E-2</v>
      </c>
      <c r="S149" s="3">
        <f t="shared" si="75"/>
        <v>4.954350168244695E-2</v>
      </c>
      <c r="T149" s="3">
        <f t="shared" si="75"/>
        <v>4.954350168244695E-2</v>
      </c>
      <c r="U149" s="3">
        <f t="shared" si="75"/>
        <v>4.954350168244695E-2</v>
      </c>
      <c r="V149" s="3">
        <f t="shared" si="75"/>
        <v>4.954350168244695E-2</v>
      </c>
      <c r="W149" s="3">
        <f t="shared" si="75"/>
        <v>4.954350168244695E-2</v>
      </c>
      <c r="X149" s="3">
        <f t="shared" si="75"/>
        <v>4.9543501682446936E-2</v>
      </c>
      <c r="Y149" s="3">
        <f t="shared" si="75"/>
        <v>4.9543501682446783E-2</v>
      </c>
      <c r="Z149" s="3">
        <f t="shared" si="75"/>
        <v>4.9543501682445312E-2</v>
      </c>
      <c r="AA149" s="3">
        <f t="shared" ref="AA149" si="76">$C35*EXP(-AA$129/$A35/EXP(-$B$126))</f>
        <v>4.9543501682430588E-2</v>
      </c>
      <c r="AB149" s="3">
        <f t="shared" si="67"/>
        <v>4.9543501682283296E-2</v>
      </c>
      <c r="AC149" s="3">
        <f t="shared" si="67"/>
        <v>4.9543501680810426E-2</v>
      </c>
      <c r="AD149" s="3">
        <f t="shared" si="67"/>
        <v>4.9543501666081666E-2</v>
      </c>
      <c r="AE149" s="3">
        <f t="shared" si="67"/>
        <v>4.9543501518794157E-2</v>
      </c>
      <c r="AF149" s="3">
        <f t="shared" si="67"/>
        <v>4.9543500045919057E-2</v>
      </c>
    </row>
    <row r="150" spans="1:32" x14ac:dyDescent="0.25">
      <c r="B150" s="3">
        <f t="shared" ref="B150:Z150" si="77">$C36*EXP(-B$129/$A36/EXP(-$B$126))</f>
        <v>3.0281570029291476E-2</v>
      </c>
      <c r="C150" s="3">
        <f t="shared" si="77"/>
        <v>3.0281570029291476E-2</v>
      </c>
      <c r="D150" s="3">
        <f t="shared" si="77"/>
        <v>3.0281570029291476E-2</v>
      </c>
      <c r="E150" s="3">
        <f t="shared" si="77"/>
        <v>3.0281570029291476E-2</v>
      </c>
      <c r="F150" s="3">
        <f t="shared" si="77"/>
        <v>3.0281570029291476E-2</v>
      </c>
      <c r="G150" s="3">
        <f t="shared" si="77"/>
        <v>3.0281570029291476E-2</v>
      </c>
      <c r="H150" s="3">
        <f t="shared" si="77"/>
        <v>3.0281570029291476E-2</v>
      </c>
      <c r="I150" s="3">
        <f t="shared" si="77"/>
        <v>3.0281570029291476E-2</v>
      </c>
      <c r="J150" s="3">
        <f t="shared" si="77"/>
        <v>3.0281570029291476E-2</v>
      </c>
      <c r="K150" s="3">
        <f t="shared" si="77"/>
        <v>3.0281570029291476E-2</v>
      </c>
      <c r="L150" s="3">
        <f t="shared" si="77"/>
        <v>3.0281570029291476E-2</v>
      </c>
      <c r="M150" s="3">
        <f t="shared" si="77"/>
        <v>3.0281570029291476E-2</v>
      </c>
      <c r="N150" s="3">
        <f t="shared" si="77"/>
        <v>3.0281570029291476E-2</v>
      </c>
      <c r="O150" s="3">
        <f t="shared" si="77"/>
        <v>3.0281570029291476E-2</v>
      </c>
      <c r="P150" s="3">
        <f t="shared" si="77"/>
        <v>3.0281570029291476E-2</v>
      </c>
      <c r="Q150" s="3">
        <f t="shared" si="77"/>
        <v>3.0281570029291476E-2</v>
      </c>
      <c r="R150" s="3">
        <f t="shared" si="77"/>
        <v>3.0281570029291476E-2</v>
      </c>
      <c r="S150" s="3">
        <f t="shared" si="77"/>
        <v>3.0281570029291476E-2</v>
      </c>
      <c r="T150" s="3">
        <f t="shared" si="77"/>
        <v>3.0281570029291476E-2</v>
      </c>
      <c r="U150" s="3">
        <f t="shared" si="77"/>
        <v>3.0281570029291476E-2</v>
      </c>
      <c r="V150" s="3">
        <f t="shared" si="77"/>
        <v>3.0281570029291476E-2</v>
      </c>
      <c r="W150" s="3">
        <f t="shared" si="77"/>
        <v>3.0281570029291476E-2</v>
      </c>
      <c r="X150" s="3">
        <f t="shared" si="77"/>
        <v>3.0281570029291476E-2</v>
      </c>
      <c r="Y150" s="3">
        <f t="shared" si="77"/>
        <v>3.0281570029291466E-2</v>
      </c>
      <c r="Z150" s="3">
        <f t="shared" si="77"/>
        <v>3.0281570029291386E-2</v>
      </c>
      <c r="AA150" s="3">
        <f t="shared" ref="AA150" si="78">$C36*EXP(-AA$129/$A36/EXP(-$B$126))</f>
        <v>3.0281570029290574E-2</v>
      </c>
      <c r="AB150" s="3">
        <f t="shared" si="67"/>
        <v>3.0281570029282452E-2</v>
      </c>
      <c r="AC150" s="3">
        <f t="shared" si="67"/>
        <v>3.0281570029201246E-2</v>
      </c>
      <c r="AD150" s="3">
        <f t="shared" si="67"/>
        <v>3.0281570028389153E-2</v>
      </c>
      <c r="AE150" s="3">
        <f t="shared" si="67"/>
        <v>3.0281570020268253E-2</v>
      </c>
      <c r="AF150" s="3">
        <f t="shared" si="67"/>
        <v>3.0281569939059245E-2</v>
      </c>
    </row>
    <row r="151" spans="1:32" x14ac:dyDescent="0.25">
      <c r="B151" s="3">
        <f t="shared" ref="B151:Z151" si="79">$C37*EXP(-B$129/$A37/EXP(-$B$126))</f>
        <v>1.5838845962715554E-2</v>
      </c>
      <c r="C151" s="3">
        <f t="shared" si="79"/>
        <v>1.5838845962715554E-2</v>
      </c>
      <c r="D151" s="3">
        <f t="shared" si="79"/>
        <v>1.5838845962715554E-2</v>
      </c>
      <c r="E151" s="3">
        <f t="shared" si="79"/>
        <v>1.5838845962715554E-2</v>
      </c>
      <c r="F151" s="3">
        <f t="shared" si="79"/>
        <v>1.5838845962715554E-2</v>
      </c>
      <c r="G151" s="3">
        <f t="shared" si="79"/>
        <v>1.5838845962715554E-2</v>
      </c>
      <c r="H151" s="3">
        <f t="shared" si="79"/>
        <v>1.5838845962715554E-2</v>
      </c>
      <c r="I151" s="3">
        <f t="shared" si="79"/>
        <v>1.5838845962715554E-2</v>
      </c>
      <c r="J151" s="3">
        <f t="shared" si="79"/>
        <v>1.5838845962715554E-2</v>
      </c>
      <c r="K151" s="3">
        <f t="shared" si="79"/>
        <v>1.5838845962715554E-2</v>
      </c>
      <c r="L151" s="3">
        <f t="shared" si="79"/>
        <v>1.5838845962715554E-2</v>
      </c>
      <c r="M151" s="3">
        <f t="shared" si="79"/>
        <v>1.5838845962715554E-2</v>
      </c>
      <c r="N151" s="3">
        <f t="shared" si="79"/>
        <v>1.5838845962715554E-2</v>
      </c>
      <c r="O151" s="3">
        <f t="shared" si="79"/>
        <v>1.5838845962715554E-2</v>
      </c>
      <c r="P151" s="3">
        <f t="shared" si="79"/>
        <v>1.5838845962715554E-2</v>
      </c>
      <c r="Q151" s="3">
        <f t="shared" si="79"/>
        <v>1.5838845962715554E-2</v>
      </c>
      <c r="R151" s="3">
        <f t="shared" si="79"/>
        <v>1.5838845962715554E-2</v>
      </c>
      <c r="S151" s="3">
        <f t="shared" si="79"/>
        <v>1.5838845962715554E-2</v>
      </c>
      <c r="T151" s="3">
        <f t="shared" si="79"/>
        <v>1.5838845962715554E-2</v>
      </c>
      <c r="U151" s="3">
        <f t="shared" si="79"/>
        <v>1.5838845962715554E-2</v>
      </c>
      <c r="V151" s="3">
        <f t="shared" si="79"/>
        <v>1.5838845962715554E-2</v>
      </c>
      <c r="W151" s="3">
        <f t="shared" si="79"/>
        <v>1.5838845962715554E-2</v>
      </c>
      <c r="X151" s="3">
        <f t="shared" si="79"/>
        <v>1.5838845962715554E-2</v>
      </c>
      <c r="Y151" s="3">
        <f t="shared" si="79"/>
        <v>1.5838845962715554E-2</v>
      </c>
      <c r="Z151" s="3">
        <f t="shared" si="79"/>
        <v>1.583884596271555E-2</v>
      </c>
      <c r="AA151" s="3">
        <f t="shared" ref="AA151" si="80">$C37*EXP(-AA$129/$A37/EXP(-$B$126))</f>
        <v>1.5838845962715512E-2</v>
      </c>
      <c r="AB151" s="3">
        <f t="shared" si="67"/>
        <v>1.5838845962715127E-2</v>
      </c>
      <c r="AC151" s="3">
        <f t="shared" si="67"/>
        <v>1.5838845962711297E-2</v>
      </c>
      <c r="AD151" s="3">
        <f t="shared" si="67"/>
        <v>1.583884596267298E-2</v>
      </c>
      <c r="AE151" s="3">
        <f t="shared" si="67"/>
        <v>1.5838845962289804E-2</v>
      </c>
      <c r="AF151" s="3">
        <f t="shared" si="67"/>
        <v>1.5838845958458064E-2</v>
      </c>
    </row>
    <row r="152" spans="1:32" x14ac:dyDescent="0.25">
      <c r="B152" s="3">
        <f t="shared" ref="B152:Z152" si="81">$C38*EXP(-B$129/$A38/EXP(-$B$126))</f>
        <v>5.1881409706128322E-3</v>
      </c>
      <c r="C152" s="3">
        <f t="shared" si="81"/>
        <v>5.1881409706128322E-3</v>
      </c>
      <c r="D152" s="3">
        <f t="shared" si="81"/>
        <v>5.1881409706128322E-3</v>
      </c>
      <c r="E152" s="3">
        <f t="shared" si="81"/>
        <v>5.1881409706128322E-3</v>
      </c>
      <c r="F152" s="3">
        <f t="shared" si="81"/>
        <v>5.1881409706128322E-3</v>
      </c>
      <c r="G152" s="3">
        <f t="shared" si="81"/>
        <v>5.1881409706128322E-3</v>
      </c>
      <c r="H152" s="3">
        <f t="shared" si="81"/>
        <v>5.1881409706128322E-3</v>
      </c>
      <c r="I152" s="3">
        <f t="shared" si="81"/>
        <v>5.1881409706128322E-3</v>
      </c>
      <c r="J152" s="3">
        <f t="shared" si="81"/>
        <v>5.1881409706128322E-3</v>
      </c>
      <c r="K152" s="3">
        <f t="shared" si="81"/>
        <v>5.1881409706128322E-3</v>
      </c>
      <c r="L152" s="3">
        <f t="shared" si="81"/>
        <v>5.1881409706128322E-3</v>
      </c>
      <c r="M152" s="3">
        <f t="shared" si="81"/>
        <v>5.1881409706128322E-3</v>
      </c>
      <c r="N152" s="3">
        <f t="shared" si="81"/>
        <v>5.1881409706128322E-3</v>
      </c>
      <c r="O152" s="3">
        <f t="shared" si="81"/>
        <v>5.1881409706128322E-3</v>
      </c>
      <c r="P152" s="3">
        <f t="shared" si="81"/>
        <v>5.1881409706128322E-3</v>
      </c>
      <c r="Q152" s="3">
        <f t="shared" si="81"/>
        <v>5.1881409706128322E-3</v>
      </c>
      <c r="R152" s="3">
        <f t="shared" si="81"/>
        <v>5.1881409706128322E-3</v>
      </c>
      <c r="S152" s="3">
        <f t="shared" si="81"/>
        <v>5.1881409706128322E-3</v>
      </c>
      <c r="T152" s="3">
        <f t="shared" si="81"/>
        <v>5.1881409706128322E-3</v>
      </c>
      <c r="U152" s="3">
        <f t="shared" si="81"/>
        <v>5.1881409706128322E-3</v>
      </c>
      <c r="V152" s="3">
        <f t="shared" si="81"/>
        <v>5.1881409706128322E-3</v>
      </c>
      <c r="W152" s="3">
        <f t="shared" si="81"/>
        <v>5.1881409706128322E-3</v>
      </c>
      <c r="X152" s="3">
        <f t="shared" si="81"/>
        <v>5.1881409706128322E-3</v>
      </c>
      <c r="Y152" s="3">
        <f t="shared" si="81"/>
        <v>5.1881409706128322E-3</v>
      </c>
      <c r="Z152" s="3">
        <f t="shared" si="81"/>
        <v>5.1881409706128322E-3</v>
      </c>
      <c r="AA152" s="3">
        <f t="shared" ref="AA152" si="82">$C38*EXP(-AA$129/$A38/EXP(-$B$126))</f>
        <v>5.1881409706128314E-3</v>
      </c>
      <c r="AB152" s="3">
        <f t="shared" si="67"/>
        <v>5.1881409706128192E-3</v>
      </c>
      <c r="AC152" s="3">
        <f t="shared" si="67"/>
        <v>5.1881409706127065E-3</v>
      </c>
      <c r="AD152" s="3">
        <f t="shared" si="67"/>
        <v>5.1881409706115746E-3</v>
      </c>
      <c r="AE152" s="3">
        <f t="shared" si="67"/>
        <v>5.188140970600252E-3</v>
      </c>
      <c r="AF152" s="3">
        <f t="shared" si="67"/>
        <v>5.1881409704870301E-3</v>
      </c>
    </row>
    <row r="153" spans="1:32" x14ac:dyDescent="0.25">
      <c r="B153" s="3">
        <f t="shared" ref="B153:Z153" si="83">$C39*EXP(-B$129/$A39/EXP(-$B$126))</f>
        <v>3.8617191328215671E-3</v>
      </c>
      <c r="C153" s="3">
        <f t="shared" si="83"/>
        <v>3.8617191328215671E-3</v>
      </c>
      <c r="D153" s="3">
        <f t="shared" si="83"/>
        <v>3.8617191328215671E-3</v>
      </c>
      <c r="E153" s="3">
        <f t="shared" si="83"/>
        <v>3.8617191328215671E-3</v>
      </c>
      <c r="F153" s="3">
        <f t="shared" si="83"/>
        <v>3.8617191328215671E-3</v>
      </c>
      <c r="G153" s="3">
        <f t="shared" si="83"/>
        <v>3.8617191328215671E-3</v>
      </c>
      <c r="H153" s="3">
        <f t="shared" si="83"/>
        <v>3.8617191328215671E-3</v>
      </c>
      <c r="I153" s="3">
        <f t="shared" si="83"/>
        <v>3.8617191328215671E-3</v>
      </c>
      <c r="J153" s="3">
        <f t="shared" si="83"/>
        <v>3.8617191328215671E-3</v>
      </c>
      <c r="K153" s="3">
        <f t="shared" si="83"/>
        <v>3.8617191328215671E-3</v>
      </c>
      <c r="L153" s="3">
        <f t="shared" si="83"/>
        <v>3.8617191328215671E-3</v>
      </c>
      <c r="M153" s="3">
        <f t="shared" si="83"/>
        <v>3.8617191328215671E-3</v>
      </c>
      <c r="N153" s="3">
        <f t="shared" si="83"/>
        <v>3.8617191328215671E-3</v>
      </c>
      <c r="O153" s="3">
        <f t="shared" si="83"/>
        <v>3.8617191328215671E-3</v>
      </c>
      <c r="P153" s="3">
        <f t="shared" si="83"/>
        <v>3.8617191328215671E-3</v>
      </c>
      <c r="Q153" s="3">
        <f t="shared" si="83"/>
        <v>3.8617191328215671E-3</v>
      </c>
      <c r="R153" s="3">
        <f t="shared" si="83"/>
        <v>3.8617191328215671E-3</v>
      </c>
      <c r="S153" s="3">
        <f t="shared" si="83"/>
        <v>3.8617191328215671E-3</v>
      </c>
      <c r="T153" s="3">
        <f t="shared" si="83"/>
        <v>3.8617191328215671E-3</v>
      </c>
      <c r="U153" s="3">
        <f t="shared" si="83"/>
        <v>3.8617191328215671E-3</v>
      </c>
      <c r="V153" s="3">
        <f t="shared" si="83"/>
        <v>3.8617191328215671E-3</v>
      </c>
      <c r="W153" s="3">
        <f t="shared" si="83"/>
        <v>3.8617191328215671E-3</v>
      </c>
      <c r="X153" s="3">
        <f t="shared" si="83"/>
        <v>3.8617191328215671E-3</v>
      </c>
      <c r="Y153" s="3">
        <f t="shared" si="83"/>
        <v>3.8617191328215671E-3</v>
      </c>
      <c r="Z153" s="3">
        <f t="shared" si="83"/>
        <v>3.8617191328215671E-3</v>
      </c>
      <c r="AA153" s="3">
        <f t="shared" ref="AA153" si="84">$C39*EXP(-AA$129/$A39/EXP(-$B$126))</f>
        <v>3.8617191328215667E-3</v>
      </c>
      <c r="AB153" s="3">
        <f t="shared" si="67"/>
        <v>3.8617191328215645E-3</v>
      </c>
      <c r="AC153" s="3">
        <f t="shared" si="67"/>
        <v>3.8617191328215415E-3</v>
      </c>
      <c r="AD153" s="3">
        <f t="shared" si="67"/>
        <v>3.8617191328213082E-3</v>
      </c>
      <c r="AE153" s="3">
        <f t="shared" si="67"/>
        <v>3.8617191328189772E-3</v>
      </c>
      <c r="AF153" s="3">
        <f t="shared" si="67"/>
        <v>3.861719132795669E-3</v>
      </c>
    </row>
    <row r="154" spans="1:32" x14ac:dyDescent="0.25">
      <c r="B154" s="3">
        <f t="shared" ref="B154:Z154" si="85">$C40*EXP(-B$129/$A40/EXP(-$B$126))</f>
        <v>3.0600017424879029E-3</v>
      </c>
      <c r="C154" s="3">
        <f t="shared" si="85"/>
        <v>3.0600017424879029E-3</v>
      </c>
      <c r="D154" s="3">
        <f t="shared" si="85"/>
        <v>3.0600017424879029E-3</v>
      </c>
      <c r="E154" s="3">
        <f t="shared" si="85"/>
        <v>3.0600017424879029E-3</v>
      </c>
      <c r="F154" s="3">
        <f t="shared" si="85"/>
        <v>3.0600017424879029E-3</v>
      </c>
      <c r="G154" s="3">
        <f t="shared" si="85"/>
        <v>3.0600017424879029E-3</v>
      </c>
      <c r="H154" s="3">
        <f t="shared" si="85"/>
        <v>3.0600017424879029E-3</v>
      </c>
      <c r="I154" s="3">
        <f t="shared" si="85"/>
        <v>3.0600017424879029E-3</v>
      </c>
      <c r="J154" s="3">
        <f t="shared" si="85"/>
        <v>3.0600017424879029E-3</v>
      </c>
      <c r="K154" s="3">
        <f t="shared" si="85"/>
        <v>3.0600017424879029E-3</v>
      </c>
      <c r="L154" s="3">
        <f t="shared" si="85"/>
        <v>3.0600017424879029E-3</v>
      </c>
      <c r="M154" s="3">
        <f t="shared" si="85"/>
        <v>3.0600017424879029E-3</v>
      </c>
      <c r="N154" s="3">
        <f t="shared" si="85"/>
        <v>3.0600017424879029E-3</v>
      </c>
      <c r="O154" s="3">
        <f t="shared" si="85"/>
        <v>3.0600017424879029E-3</v>
      </c>
      <c r="P154" s="3">
        <f t="shared" si="85"/>
        <v>3.0600017424879029E-3</v>
      </c>
      <c r="Q154" s="3">
        <f t="shared" si="85"/>
        <v>3.0600017424879029E-3</v>
      </c>
      <c r="R154" s="3">
        <f t="shared" si="85"/>
        <v>3.0600017424879029E-3</v>
      </c>
      <c r="S154" s="3">
        <f t="shared" si="85"/>
        <v>3.0600017424879029E-3</v>
      </c>
      <c r="T154" s="3">
        <f t="shared" si="85"/>
        <v>3.0600017424879029E-3</v>
      </c>
      <c r="U154" s="3">
        <f t="shared" si="85"/>
        <v>3.0600017424879029E-3</v>
      </c>
      <c r="V154" s="3">
        <f t="shared" si="85"/>
        <v>3.0600017424879029E-3</v>
      </c>
      <c r="W154" s="3">
        <f t="shared" si="85"/>
        <v>3.0600017424879029E-3</v>
      </c>
      <c r="X154" s="3">
        <f t="shared" si="85"/>
        <v>3.0600017424879029E-3</v>
      </c>
      <c r="Y154" s="3">
        <f t="shared" si="85"/>
        <v>3.0600017424879029E-3</v>
      </c>
      <c r="Z154" s="3">
        <f t="shared" si="85"/>
        <v>3.0600017424879029E-3</v>
      </c>
      <c r="AA154" s="3">
        <f t="shared" ref="AA154:AF154" si="86">$C40*EXP(-AA$129/$A40/EXP(-$B$126))</f>
        <v>3.0600017424879029E-3</v>
      </c>
      <c r="AB154" s="3">
        <f t="shared" si="86"/>
        <v>3.0600017424879025E-3</v>
      </c>
      <c r="AC154" s="3">
        <f t="shared" si="86"/>
        <v>3.0600017424879007E-3</v>
      </c>
      <c r="AD154" s="3">
        <f t="shared" si="86"/>
        <v>3.0600017424878825E-3</v>
      </c>
      <c r="AE154" s="3">
        <f t="shared" si="86"/>
        <v>3.0600017424876978E-3</v>
      </c>
      <c r="AF154" s="3">
        <f t="shared" si="86"/>
        <v>3.0600017424858507E-3</v>
      </c>
    </row>
    <row r="155" spans="1:32" x14ac:dyDescent="0.25">
      <c r="B155" s="3">
        <f t="shared" ref="B155:Z155" si="87">$C41*EXP(-B$129/$A41/EXP(-$B$126))</f>
        <v>1.8593150246318942E-3</v>
      </c>
      <c r="C155" s="3">
        <f t="shared" si="87"/>
        <v>1.8593150246318942E-3</v>
      </c>
      <c r="D155" s="3">
        <f t="shared" si="87"/>
        <v>1.8593150246318942E-3</v>
      </c>
      <c r="E155" s="3">
        <f t="shared" si="87"/>
        <v>1.8593150246318942E-3</v>
      </c>
      <c r="F155" s="3">
        <f t="shared" si="87"/>
        <v>1.8593150246318942E-3</v>
      </c>
      <c r="G155" s="3">
        <f t="shared" si="87"/>
        <v>1.8593150246318942E-3</v>
      </c>
      <c r="H155" s="3">
        <f t="shared" si="87"/>
        <v>1.8593150246318942E-3</v>
      </c>
      <c r="I155" s="3">
        <f t="shared" si="87"/>
        <v>1.8593150246318942E-3</v>
      </c>
      <c r="J155" s="3">
        <f t="shared" si="87"/>
        <v>1.8593150246318942E-3</v>
      </c>
      <c r="K155" s="3">
        <f t="shared" si="87"/>
        <v>1.8593150246318942E-3</v>
      </c>
      <c r="L155" s="3">
        <f t="shared" si="87"/>
        <v>1.8593150246318942E-3</v>
      </c>
      <c r="M155" s="3">
        <f t="shared" si="87"/>
        <v>1.8593150246318942E-3</v>
      </c>
      <c r="N155" s="3">
        <f t="shared" si="87"/>
        <v>1.8593150246318942E-3</v>
      </c>
      <c r="O155" s="3">
        <f t="shared" si="87"/>
        <v>1.8593150246318942E-3</v>
      </c>
      <c r="P155" s="3">
        <f t="shared" si="87"/>
        <v>1.8593150246318942E-3</v>
      </c>
      <c r="Q155" s="3">
        <f t="shared" si="87"/>
        <v>1.8593150246318942E-3</v>
      </c>
      <c r="R155" s="3">
        <f t="shared" si="87"/>
        <v>1.8593150246318942E-3</v>
      </c>
      <c r="S155" s="3">
        <f t="shared" si="87"/>
        <v>1.8593150246318942E-3</v>
      </c>
      <c r="T155" s="3">
        <f t="shared" si="87"/>
        <v>1.8593150246318942E-3</v>
      </c>
      <c r="U155" s="3">
        <f t="shared" si="87"/>
        <v>1.8593150246318942E-3</v>
      </c>
      <c r="V155" s="3">
        <f t="shared" si="87"/>
        <v>1.8593150246318942E-3</v>
      </c>
      <c r="W155" s="3">
        <f t="shared" si="87"/>
        <v>1.8593150246318942E-3</v>
      </c>
      <c r="X155" s="3">
        <f t="shared" si="87"/>
        <v>1.8593150246318942E-3</v>
      </c>
      <c r="Y155" s="3">
        <f t="shared" si="87"/>
        <v>1.8593150246318942E-3</v>
      </c>
      <c r="Z155" s="3">
        <f t="shared" si="87"/>
        <v>1.8593150246318942E-3</v>
      </c>
      <c r="AA155" s="3">
        <f t="shared" ref="AA155:AF155" si="88">$C41*EXP(-AA$129/$A41/EXP(-$B$126))</f>
        <v>1.8593150246318942E-3</v>
      </c>
      <c r="AB155" s="3">
        <f t="shared" si="88"/>
        <v>1.8593150246318942E-3</v>
      </c>
      <c r="AC155" s="3">
        <f t="shared" si="88"/>
        <v>1.859315024631894E-3</v>
      </c>
      <c r="AD155" s="3">
        <f t="shared" si="88"/>
        <v>1.8593150246318929E-3</v>
      </c>
      <c r="AE155" s="3">
        <f t="shared" si="88"/>
        <v>1.8593150246318819E-3</v>
      </c>
      <c r="AF155" s="3">
        <f t="shared" si="88"/>
        <v>1.8593150246317696E-3</v>
      </c>
    </row>
    <row r="156" spans="1:32" x14ac:dyDescent="0.25">
      <c r="B156" s="3">
        <f t="shared" ref="B156:Z156" si="89">$C42*EXP(-B$129/$A42/EXP(-$B$126))</f>
        <v>1.0289911498978865E-4</v>
      </c>
      <c r="C156" s="3">
        <f t="shared" si="89"/>
        <v>1.0289911498978865E-4</v>
      </c>
      <c r="D156" s="3">
        <f t="shared" si="89"/>
        <v>1.0289911498978865E-4</v>
      </c>
      <c r="E156" s="3">
        <f t="shared" si="89"/>
        <v>1.0289911498978865E-4</v>
      </c>
      <c r="F156" s="3">
        <f t="shared" si="89"/>
        <v>1.0289911498978865E-4</v>
      </c>
      <c r="G156" s="3">
        <f t="shared" si="89"/>
        <v>1.0289911498978865E-4</v>
      </c>
      <c r="H156" s="3">
        <f t="shared" si="89"/>
        <v>1.0289911498978865E-4</v>
      </c>
      <c r="I156" s="3">
        <f t="shared" si="89"/>
        <v>1.0289911498978865E-4</v>
      </c>
      <c r="J156" s="3">
        <f t="shared" si="89"/>
        <v>1.0289911498978865E-4</v>
      </c>
      <c r="K156" s="3">
        <f t="shared" si="89"/>
        <v>1.0289911498978865E-4</v>
      </c>
      <c r="L156" s="3">
        <f t="shared" si="89"/>
        <v>1.0289911498978865E-4</v>
      </c>
      <c r="M156" s="3">
        <f t="shared" si="89"/>
        <v>1.0289911498978865E-4</v>
      </c>
      <c r="N156" s="3">
        <f t="shared" si="89"/>
        <v>1.0289911498978865E-4</v>
      </c>
      <c r="O156" s="3">
        <f t="shared" si="89"/>
        <v>1.0289911498978865E-4</v>
      </c>
      <c r="P156" s="3">
        <f t="shared" si="89"/>
        <v>1.0289911498978865E-4</v>
      </c>
      <c r="Q156" s="3">
        <f t="shared" si="89"/>
        <v>1.0289911498978865E-4</v>
      </c>
      <c r="R156" s="3">
        <f t="shared" si="89"/>
        <v>1.0289911498978865E-4</v>
      </c>
      <c r="S156" s="3">
        <f t="shared" si="89"/>
        <v>1.0289911498978865E-4</v>
      </c>
      <c r="T156" s="3">
        <f t="shared" si="89"/>
        <v>1.0289911498978865E-4</v>
      </c>
      <c r="U156" s="3">
        <f t="shared" si="89"/>
        <v>1.0289911498978865E-4</v>
      </c>
      <c r="V156" s="3">
        <f t="shared" si="89"/>
        <v>1.0289911498978865E-4</v>
      </c>
      <c r="W156" s="3">
        <f t="shared" si="89"/>
        <v>1.0289911498978865E-4</v>
      </c>
      <c r="X156" s="3">
        <f t="shared" si="89"/>
        <v>1.0289911498978865E-4</v>
      </c>
      <c r="Y156" s="3">
        <f t="shared" si="89"/>
        <v>1.0289911498978865E-4</v>
      </c>
      <c r="Z156" s="3">
        <f t="shared" si="89"/>
        <v>1.0289911498978865E-4</v>
      </c>
      <c r="AA156" s="3">
        <f t="shared" ref="AA156:AF156" si="90">$C42*EXP(-AA$129/$A42/EXP(-$B$126))</f>
        <v>1.0289911498978865E-4</v>
      </c>
      <c r="AB156" s="3">
        <f t="shared" si="90"/>
        <v>1.0289911498978865E-4</v>
      </c>
      <c r="AC156" s="3">
        <f t="shared" si="90"/>
        <v>1.0289911498978865E-4</v>
      </c>
      <c r="AD156" s="3">
        <f t="shared" si="90"/>
        <v>1.0289911498978864E-4</v>
      </c>
      <c r="AE156" s="3">
        <f t="shared" si="90"/>
        <v>1.0289911498978858E-4</v>
      </c>
      <c r="AF156" s="3">
        <f t="shared" si="90"/>
        <v>1.0289911498978796E-4</v>
      </c>
    </row>
    <row r="157" spans="1:32" x14ac:dyDescent="0.25">
      <c r="B157" s="3">
        <f t="shared" ref="B157:Z157" si="91">$C43*EXP(-B$129/$A43/EXP(-$B$126))</f>
        <v>3.4301074619822757E-3</v>
      </c>
      <c r="C157" s="3">
        <f t="shared" si="91"/>
        <v>3.4301074619822757E-3</v>
      </c>
      <c r="D157" s="3">
        <f t="shared" si="91"/>
        <v>3.4301074619822757E-3</v>
      </c>
      <c r="E157" s="3">
        <f t="shared" si="91"/>
        <v>3.4301074619822757E-3</v>
      </c>
      <c r="F157" s="3">
        <f t="shared" si="91"/>
        <v>3.4301074619822757E-3</v>
      </c>
      <c r="G157" s="3">
        <f t="shared" si="91"/>
        <v>3.4301074619822757E-3</v>
      </c>
      <c r="H157" s="3">
        <f t="shared" si="91"/>
        <v>3.4301074619822757E-3</v>
      </c>
      <c r="I157" s="3">
        <f t="shared" si="91"/>
        <v>3.4301074619822757E-3</v>
      </c>
      <c r="J157" s="3">
        <f t="shared" si="91"/>
        <v>3.4301074619822757E-3</v>
      </c>
      <c r="K157" s="3">
        <f t="shared" si="91"/>
        <v>3.4301074619822757E-3</v>
      </c>
      <c r="L157" s="3">
        <f t="shared" si="91"/>
        <v>3.4301074619822757E-3</v>
      </c>
      <c r="M157" s="3">
        <f t="shared" si="91"/>
        <v>3.4301074619822757E-3</v>
      </c>
      <c r="N157" s="3">
        <f t="shared" si="91"/>
        <v>3.4301074619822757E-3</v>
      </c>
      <c r="O157" s="3">
        <f t="shared" si="91"/>
        <v>3.4301074619822757E-3</v>
      </c>
      <c r="P157" s="3">
        <f t="shared" si="91"/>
        <v>3.4301074619822757E-3</v>
      </c>
      <c r="Q157" s="3">
        <f t="shared" si="91"/>
        <v>3.4301074619822757E-3</v>
      </c>
      <c r="R157" s="3">
        <f t="shared" si="91"/>
        <v>3.4301074619822757E-3</v>
      </c>
      <c r="S157" s="3">
        <f t="shared" si="91"/>
        <v>3.4301074619822757E-3</v>
      </c>
      <c r="T157" s="3">
        <f t="shared" si="91"/>
        <v>3.4301074619822757E-3</v>
      </c>
      <c r="U157" s="3">
        <f t="shared" si="91"/>
        <v>3.4301074619822757E-3</v>
      </c>
      <c r="V157" s="3">
        <f t="shared" si="91"/>
        <v>3.4301074619822757E-3</v>
      </c>
      <c r="W157" s="3">
        <f t="shared" si="91"/>
        <v>3.4301074619822757E-3</v>
      </c>
      <c r="X157" s="3">
        <f t="shared" si="91"/>
        <v>3.4301074619822757E-3</v>
      </c>
      <c r="Y157" s="3">
        <f t="shared" si="91"/>
        <v>3.4301074619822757E-3</v>
      </c>
      <c r="Z157" s="3">
        <f t="shared" si="91"/>
        <v>3.4301074619822757E-3</v>
      </c>
      <c r="AA157" s="3">
        <f t="shared" ref="AA157:AF157" si="92">$C43*EXP(-AA$129/$A43/EXP(-$B$126))</f>
        <v>3.4301074619822757E-3</v>
      </c>
      <c r="AB157" s="3">
        <f t="shared" si="92"/>
        <v>3.4301074619822757E-3</v>
      </c>
      <c r="AC157" s="3">
        <f t="shared" si="92"/>
        <v>3.4301074619822757E-3</v>
      </c>
      <c r="AD157" s="3">
        <f t="shared" si="92"/>
        <v>3.4301074619822757E-3</v>
      </c>
      <c r="AE157" s="3">
        <f t="shared" si="92"/>
        <v>3.4301074619822753E-3</v>
      </c>
      <c r="AF157" s="3">
        <f t="shared" si="92"/>
        <v>3.4301074619822736E-3</v>
      </c>
    </row>
    <row r="158" spans="1:32" x14ac:dyDescent="0.25">
      <c r="B158" s="3">
        <f t="shared" ref="B158:Z158" si="93">$C44*EXP(-B$129/$A44/EXP(-$B$126))</f>
        <v>1.0099566360327609E-4</v>
      </c>
      <c r="C158" s="3">
        <f t="shared" si="93"/>
        <v>1.0099566360327609E-4</v>
      </c>
      <c r="D158" s="3">
        <f t="shared" si="93"/>
        <v>1.0099566360327609E-4</v>
      </c>
      <c r="E158" s="3">
        <f t="shared" si="93"/>
        <v>1.0099566360327609E-4</v>
      </c>
      <c r="F158" s="3">
        <f t="shared" si="93"/>
        <v>1.0099566360327609E-4</v>
      </c>
      <c r="G158" s="3">
        <f t="shared" si="93"/>
        <v>1.0099566360327609E-4</v>
      </c>
      <c r="H158" s="3">
        <f t="shared" si="93"/>
        <v>1.0099566360327609E-4</v>
      </c>
      <c r="I158" s="3">
        <f t="shared" si="93"/>
        <v>1.0099566360327609E-4</v>
      </c>
      <c r="J158" s="3">
        <f t="shared" si="93"/>
        <v>1.0099566360327609E-4</v>
      </c>
      <c r="K158" s="3">
        <f t="shared" si="93"/>
        <v>1.0099566360327609E-4</v>
      </c>
      <c r="L158" s="3">
        <f t="shared" si="93"/>
        <v>1.0099566360327609E-4</v>
      </c>
      <c r="M158" s="3">
        <f t="shared" si="93"/>
        <v>1.0099566360327609E-4</v>
      </c>
      <c r="N158" s="3">
        <f t="shared" si="93"/>
        <v>1.0099566360327609E-4</v>
      </c>
      <c r="O158" s="3">
        <f t="shared" si="93"/>
        <v>1.0099566360327609E-4</v>
      </c>
      <c r="P158" s="3">
        <f t="shared" si="93"/>
        <v>1.0099566360327609E-4</v>
      </c>
      <c r="Q158" s="3">
        <f t="shared" si="93"/>
        <v>1.0099566360327609E-4</v>
      </c>
      <c r="R158" s="3">
        <f t="shared" si="93"/>
        <v>1.0099566360327609E-4</v>
      </c>
      <c r="S158" s="3">
        <f t="shared" si="93"/>
        <v>1.0099566360327609E-4</v>
      </c>
      <c r="T158" s="3">
        <f t="shared" si="93"/>
        <v>1.0099566360327609E-4</v>
      </c>
      <c r="U158" s="3">
        <f t="shared" si="93"/>
        <v>1.0099566360327609E-4</v>
      </c>
      <c r="V158" s="3">
        <f t="shared" si="93"/>
        <v>1.0099566360327609E-4</v>
      </c>
      <c r="W158" s="3">
        <f t="shared" si="93"/>
        <v>1.0099566360327609E-4</v>
      </c>
      <c r="X158" s="3">
        <f t="shared" si="93"/>
        <v>1.0099566360327609E-4</v>
      </c>
      <c r="Y158" s="3">
        <f t="shared" si="93"/>
        <v>1.0099566360327609E-4</v>
      </c>
      <c r="Z158" s="3">
        <f t="shared" si="93"/>
        <v>1.0099566360327609E-4</v>
      </c>
      <c r="AA158" s="3">
        <f t="shared" ref="AA158:AF158" si="94">$C44*EXP(-AA$129/$A44/EXP(-$B$126))</f>
        <v>1.0099566360327609E-4</v>
      </c>
      <c r="AB158" s="3">
        <f t="shared" si="94"/>
        <v>1.0099566360327609E-4</v>
      </c>
      <c r="AC158" s="3">
        <f t="shared" si="94"/>
        <v>1.0099566360327609E-4</v>
      </c>
      <c r="AD158" s="3">
        <f t="shared" si="94"/>
        <v>1.0099566360327609E-4</v>
      </c>
      <c r="AE158" s="3">
        <f t="shared" si="94"/>
        <v>1.0099566360327609E-4</v>
      </c>
      <c r="AF158" s="3">
        <f t="shared" si="94"/>
        <v>1.0099566360327608E-4</v>
      </c>
    </row>
    <row r="159" spans="1:32" x14ac:dyDescent="0.25">
      <c r="A159" s="11" t="s">
        <v>75</v>
      </c>
      <c r="B159" s="3">
        <f t="shared" ref="B159:Z159" si="95">$C45*EXP(-B$129/$A45/EXP(-$B$126))</f>
        <v>2.8535751866135694E-4</v>
      </c>
      <c r="C159" s="3">
        <f t="shared" si="95"/>
        <v>2.8535751866135694E-4</v>
      </c>
      <c r="D159" s="3">
        <f t="shared" si="95"/>
        <v>2.8535751866135694E-4</v>
      </c>
      <c r="E159" s="3">
        <f t="shared" si="95"/>
        <v>2.8535751866135694E-4</v>
      </c>
      <c r="F159" s="3">
        <f t="shared" si="95"/>
        <v>2.8535751866135694E-4</v>
      </c>
      <c r="G159" s="3">
        <f t="shared" si="95"/>
        <v>2.8535751866135694E-4</v>
      </c>
      <c r="H159" s="3">
        <f t="shared" si="95"/>
        <v>2.8535751866135694E-4</v>
      </c>
      <c r="I159" s="3">
        <f t="shared" si="95"/>
        <v>2.8535751866135694E-4</v>
      </c>
      <c r="J159" s="3">
        <f t="shared" si="95"/>
        <v>2.8535751866135694E-4</v>
      </c>
      <c r="K159" s="3">
        <f t="shared" si="95"/>
        <v>2.8535751866135694E-4</v>
      </c>
      <c r="L159" s="3">
        <f t="shared" si="95"/>
        <v>2.8535751866135694E-4</v>
      </c>
      <c r="M159" s="3">
        <f t="shared" si="95"/>
        <v>2.8535751866135694E-4</v>
      </c>
      <c r="N159" s="3">
        <f t="shared" si="95"/>
        <v>2.8535751866135694E-4</v>
      </c>
      <c r="O159" s="3">
        <f t="shared" si="95"/>
        <v>2.8535751866135694E-4</v>
      </c>
      <c r="P159" s="3">
        <f t="shared" si="95"/>
        <v>2.8535751866135694E-4</v>
      </c>
      <c r="Q159" s="3">
        <f t="shared" si="95"/>
        <v>2.8535751866135694E-4</v>
      </c>
      <c r="R159" s="3">
        <f t="shared" si="95"/>
        <v>2.8535751866135694E-4</v>
      </c>
      <c r="S159" s="3">
        <f t="shared" si="95"/>
        <v>2.8535751866135694E-4</v>
      </c>
      <c r="T159" s="3">
        <f t="shared" si="95"/>
        <v>2.8535751866135694E-4</v>
      </c>
      <c r="U159" s="3">
        <f t="shared" si="95"/>
        <v>2.8535751866135694E-4</v>
      </c>
      <c r="V159" s="3">
        <f t="shared" si="95"/>
        <v>2.8535751866135694E-4</v>
      </c>
      <c r="W159" s="3">
        <f t="shared" si="95"/>
        <v>2.8535751866135694E-4</v>
      </c>
      <c r="X159" s="3">
        <f t="shared" si="95"/>
        <v>2.8535751866135694E-4</v>
      </c>
      <c r="Y159" s="3">
        <f t="shared" si="95"/>
        <v>2.8535751866135694E-4</v>
      </c>
      <c r="Z159" s="3">
        <f t="shared" si="95"/>
        <v>2.8535751866135694E-4</v>
      </c>
      <c r="AA159" s="3">
        <f t="shared" ref="AA159:AF159" si="96">$C45*EXP(-AA$129/$A45/EXP(-$B$126))</f>
        <v>2.8535751866135694E-4</v>
      </c>
      <c r="AB159" s="3">
        <f t="shared" si="96"/>
        <v>2.8535751866135694E-4</v>
      </c>
      <c r="AC159" s="3">
        <f t="shared" si="96"/>
        <v>2.8535751866135694E-4</v>
      </c>
      <c r="AD159" s="3">
        <f t="shared" si="96"/>
        <v>2.8535751866135694E-4</v>
      </c>
      <c r="AE159" s="3">
        <f t="shared" si="96"/>
        <v>2.8535751866135694E-4</v>
      </c>
      <c r="AF159" s="3">
        <f t="shared" si="96"/>
        <v>2.8535751866135694E-4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1.5499334140859142E-4</v>
      </c>
      <c r="C162" s="3">
        <f t="shared" si="101"/>
        <v>1.5499334140859142E-4</v>
      </c>
      <c r="D162" s="3">
        <f t="shared" si="101"/>
        <v>1.5499334140859142E-4</v>
      </c>
      <c r="E162" s="3">
        <f t="shared" si="101"/>
        <v>1.5499334140859142E-4</v>
      </c>
      <c r="F162" s="3">
        <f t="shared" si="101"/>
        <v>1.5499334140859142E-4</v>
      </c>
      <c r="G162" s="3">
        <f t="shared" si="101"/>
        <v>1.5499334140859142E-4</v>
      </c>
      <c r="H162" s="3">
        <f t="shared" si="101"/>
        <v>1.5499334140859142E-4</v>
      </c>
      <c r="I162" s="3">
        <f t="shared" si="101"/>
        <v>1.5499334140859142E-4</v>
      </c>
      <c r="J162" s="3">
        <f t="shared" si="101"/>
        <v>1.5499334140859142E-4</v>
      </c>
      <c r="K162" s="3">
        <f t="shared" si="101"/>
        <v>1.5499334140859142E-4</v>
      </c>
      <c r="L162" s="3">
        <f t="shared" si="101"/>
        <v>1.5499334140859142E-4</v>
      </c>
      <c r="M162" s="3">
        <f t="shared" si="101"/>
        <v>1.5499334140859142E-4</v>
      </c>
      <c r="N162" s="3">
        <f t="shared" si="101"/>
        <v>1.5499334140859142E-4</v>
      </c>
      <c r="O162" s="3">
        <f t="shared" si="101"/>
        <v>1.5499334140859142E-4</v>
      </c>
      <c r="P162" s="3">
        <f t="shared" si="101"/>
        <v>1.5499334140859142E-4</v>
      </c>
      <c r="Q162" s="3">
        <f t="shared" si="101"/>
        <v>1.5499334140859142E-4</v>
      </c>
      <c r="R162" s="3">
        <f t="shared" si="101"/>
        <v>1.5499334140859142E-4</v>
      </c>
      <c r="S162" s="3">
        <f t="shared" si="101"/>
        <v>1.5499334140859142E-4</v>
      </c>
      <c r="T162" s="3">
        <f t="shared" si="101"/>
        <v>1.5499334140859142E-4</v>
      </c>
      <c r="U162" s="3">
        <f t="shared" si="101"/>
        <v>1.5499334140859142E-4</v>
      </c>
      <c r="V162" s="3">
        <f t="shared" si="101"/>
        <v>1.5499334140859142E-4</v>
      </c>
      <c r="W162" s="3">
        <f t="shared" si="101"/>
        <v>1.5499334140859142E-4</v>
      </c>
      <c r="X162" s="3">
        <f t="shared" si="101"/>
        <v>1.5499334140859142E-4</v>
      </c>
      <c r="Y162" s="3">
        <f t="shared" si="101"/>
        <v>1.5499334140859142E-4</v>
      </c>
      <c r="Z162" s="3">
        <f t="shared" si="101"/>
        <v>1.5499334140859142E-4</v>
      </c>
      <c r="AA162" s="3">
        <f t="shared" ref="AA162:AF162" si="102">$C48*EXP(-AA$129/$A48/EXP(-$B$126))</f>
        <v>1.5499334140859142E-4</v>
      </c>
      <c r="AB162" s="3">
        <f t="shared" si="102"/>
        <v>1.5499334140859142E-4</v>
      </c>
      <c r="AC162" s="3">
        <f t="shared" si="102"/>
        <v>1.5499334140859142E-4</v>
      </c>
      <c r="AD162" s="3">
        <f t="shared" si="102"/>
        <v>1.5499334140859142E-4</v>
      </c>
      <c r="AE162" s="3">
        <f t="shared" si="102"/>
        <v>1.5499334140859142E-4</v>
      </c>
      <c r="AF162" s="3">
        <f t="shared" si="102"/>
        <v>1.5499334140859142E-4</v>
      </c>
    </row>
    <row r="163" spans="1:34" x14ac:dyDescent="0.25">
      <c r="A163" s="79">
        <f>AVERAGE(B163:AF163)</f>
        <v>2.5662176738447253E-2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7.3474162083799364E-3</v>
      </c>
      <c r="M163" s="80">
        <f t="shared" si="103"/>
        <v>7.4397255058995613E-3</v>
      </c>
      <c r="N163" s="80">
        <f t="shared" si="103"/>
        <v>8.3608897545369154E-3</v>
      </c>
      <c r="O163" s="80">
        <f t="shared" si="103"/>
        <v>1.7323075794531673E-2</v>
      </c>
      <c r="P163" s="80">
        <f t="shared" si="103"/>
        <v>8.3857311458767403E-2</v>
      </c>
      <c r="Q163" s="80">
        <f t="shared" si="103"/>
        <v>0.15955467421815822</v>
      </c>
      <c r="R163" s="80">
        <f t="shared" si="103"/>
        <v>0.1431224264732873</v>
      </c>
      <c r="S163" s="80">
        <f t="shared" si="103"/>
        <v>0.12560951608329002</v>
      </c>
      <c r="T163" s="80">
        <f t="shared" si="103"/>
        <v>0.10541268661522285</v>
      </c>
      <c r="U163" s="80">
        <f t="shared" si="103"/>
        <v>8.2445220247135895E-2</v>
      </c>
      <c r="V163" s="80">
        <f t="shared" si="103"/>
        <v>5.5054536532654991E-2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2093.4888781183076</v>
      </c>
      <c r="C164" s="21">
        <f t="shared" ref="C164:AF164" si="104">(C131-C130)^2</f>
        <v>2098.1268240640152</v>
      </c>
      <c r="D164" s="21">
        <f t="shared" si="104"/>
        <v>2095.2384347376887</v>
      </c>
      <c r="E164" s="21">
        <f t="shared" si="104"/>
        <v>2094.3859425428632</v>
      </c>
      <c r="F164" s="21">
        <f t="shared" si="104"/>
        <v>2094.1011458398189</v>
      </c>
      <c r="G164" s="21">
        <f t="shared" si="104"/>
        <v>2094.0137399675496</v>
      </c>
      <c r="H164" s="21">
        <f t="shared" si="104"/>
        <v>2093.9838818119993</v>
      </c>
      <c r="I164" s="21">
        <f t="shared" si="104"/>
        <v>2093.9660183482742</v>
      </c>
      <c r="J164" s="21">
        <f t="shared" si="104"/>
        <v>2094.0253826389621</v>
      </c>
      <c r="K164" s="21">
        <f t="shared" si="104"/>
        <v>2094.5478631656483</v>
      </c>
      <c r="L164" s="21">
        <f t="shared" si="104"/>
        <v>2099.8004826046772</v>
      </c>
      <c r="M164" s="21">
        <f t="shared" si="104"/>
        <v>2152.7966931880792</v>
      </c>
      <c r="N164" s="21">
        <f t="shared" si="104"/>
        <v>2717.6909010404138</v>
      </c>
      <c r="O164" s="21">
        <f t="shared" si="104"/>
        <v>11616.893563544727</v>
      </c>
      <c r="P164" s="21">
        <f t="shared" si="104"/>
        <v>263857.82231114461</v>
      </c>
      <c r="Q164" s="21">
        <f t="shared" si="104"/>
        <v>903647.45321604365</v>
      </c>
      <c r="R164" s="21">
        <f t="shared" si="104"/>
        <v>699075.87205444102</v>
      </c>
      <c r="S164" s="21">
        <f t="shared" si="104"/>
        <v>517096.21628646291</v>
      </c>
      <c r="T164" s="21">
        <f t="shared" si="104"/>
        <v>347843.4550155258</v>
      </c>
      <c r="U164" s="21">
        <f t="shared" si="104"/>
        <v>201828.17584701529</v>
      </c>
      <c r="V164" s="21">
        <f t="shared" si="104"/>
        <v>83190.599075880877</v>
      </c>
      <c r="W164" s="21">
        <f t="shared" si="104"/>
        <v>33016.531636392829</v>
      </c>
      <c r="X164" s="21">
        <f t="shared" si="104"/>
        <v>2616.444169610038</v>
      </c>
      <c r="Y164" s="21">
        <f t="shared" si="104"/>
        <v>39561.879463466386</v>
      </c>
      <c r="Z164" s="21">
        <f t="shared" si="104"/>
        <v>78925.277443958665</v>
      </c>
      <c r="AA164" s="21">
        <f t="shared" si="104"/>
        <v>135367.51212981562</v>
      </c>
      <c r="AB164" s="21">
        <f t="shared" si="104"/>
        <v>192890.39253854877</v>
      </c>
      <c r="AC164" s="21">
        <f t="shared" si="104"/>
        <v>215910.19783579739</v>
      </c>
      <c r="AD164" s="21">
        <f t="shared" si="104"/>
        <v>210225.77531314699</v>
      </c>
      <c r="AE164" s="21">
        <f t="shared" si="104"/>
        <v>193372.52058987375</v>
      </c>
      <c r="AF164" s="21">
        <f t="shared" si="104"/>
        <v>152609.23950102803</v>
      </c>
    </row>
    <row r="165" spans="1:34" x14ac:dyDescent="0.25">
      <c r="A165" s="71">
        <f>SUM(B165:AF165)</f>
        <v>3035126.7754468918</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2099.8004826046772</v>
      </c>
      <c r="M165" s="60">
        <f t="shared" si="105"/>
        <v>2152.7966931880792</v>
      </c>
      <c r="N165" s="60">
        <f t="shared" si="105"/>
        <v>2717.6909010404138</v>
      </c>
      <c r="O165" s="60">
        <f t="shared" si="105"/>
        <v>11616.893563544727</v>
      </c>
      <c r="P165" s="60">
        <f t="shared" si="105"/>
        <v>263857.82231114461</v>
      </c>
      <c r="Q165" s="60">
        <f t="shared" si="105"/>
        <v>903647.45321604365</v>
      </c>
      <c r="R165" s="60">
        <f t="shared" si="105"/>
        <v>699075.87205444102</v>
      </c>
      <c r="S165" s="60">
        <f t="shared" si="105"/>
        <v>517096.21628646291</v>
      </c>
      <c r="T165" s="60">
        <f t="shared" si="105"/>
        <v>347843.4550155258</v>
      </c>
      <c r="U165" s="60">
        <f t="shared" si="105"/>
        <v>201828.17584701529</v>
      </c>
      <c r="V165" s="60">
        <f t="shared" si="105"/>
        <v>83190.599075880877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6190.9489991104529</v>
      </c>
      <c r="C170" s="27">
        <f t="shared" ref="C170:AF170" si="106">($C$17+SUM(C171:C201))*$B$51</f>
        <v>6190.9489911045266</v>
      </c>
      <c r="D170" s="27">
        <f t="shared" si="106"/>
        <v>6190.948911045276</v>
      </c>
      <c r="E170" s="27">
        <f t="shared" si="106"/>
        <v>6190.9481104530696</v>
      </c>
      <c r="F170" s="27">
        <f t="shared" si="106"/>
        <v>6190.9401045607428</v>
      </c>
      <c r="G170" s="27">
        <f t="shared" si="106"/>
        <v>6190.8600486118994</v>
      </c>
      <c r="H170" s="27">
        <f t="shared" si="106"/>
        <v>6190.0597864908095</v>
      </c>
      <c r="I170" s="27">
        <f t="shared" si="106"/>
        <v>6182.0868278236348</v>
      </c>
      <c r="J170" s="27">
        <f t="shared" si="106"/>
        <v>6105.2506766216484</v>
      </c>
      <c r="K170" s="27">
        <f t="shared" si="106"/>
        <v>5565.3015297123402</v>
      </c>
      <c r="L170" s="27">
        <f t="shared" si="106"/>
        <v>5006.4541199869873</v>
      </c>
      <c r="M170" s="27">
        <f t="shared" si="106"/>
        <v>5005.7963863031719</v>
      </c>
      <c r="N170" s="27">
        <f t="shared" si="106"/>
        <v>5005.735982385997</v>
      </c>
      <c r="O170" s="27">
        <f t="shared" si="106"/>
        <v>5005.1324965251542</v>
      </c>
      <c r="P170" s="27">
        <f t="shared" si="106"/>
        <v>4999.1526174157452</v>
      </c>
      <c r="Q170" s="27">
        <f t="shared" si="106"/>
        <v>4944.516466646076</v>
      </c>
      <c r="R170" s="27">
        <f t="shared" si="106"/>
        <v>4694.6899108247671</v>
      </c>
      <c r="S170" s="27">
        <f t="shared" si="106"/>
        <v>4523.626767323175</v>
      </c>
      <c r="T170" s="27">
        <f t="shared" si="106"/>
        <v>4308.5519906564687</v>
      </c>
      <c r="U170" s="27">
        <f t="shared" si="106"/>
        <v>4086.3218412991273</v>
      </c>
      <c r="V170" s="27">
        <f t="shared" si="106"/>
        <v>3896.172822671936</v>
      </c>
      <c r="W170" s="27">
        <f t="shared" si="106"/>
        <v>3720.334158359447</v>
      </c>
      <c r="X170" s="27">
        <f t="shared" si="106"/>
        <v>3549.4161392209135</v>
      </c>
      <c r="Y170" s="27">
        <f t="shared" si="106"/>
        <v>3380.7278831035887</v>
      </c>
      <c r="Z170" s="27">
        <f t="shared" si="106"/>
        <v>3210.7938190210971</v>
      </c>
      <c r="AA170" s="27">
        <f t="shared" si="106"/>
        <v>3024.3147660461505</v>
      </c>
      <c r="AB170" s="27">
        <f t="shared" si="106"/>
        <v>2813.7735584936372</v>
      </c>
      <c r="AC170" s="27">
        <f t="shared" si="106"/>
        <v>2580.6253211526114</v>
      </c>
      <c r="AD170" s="27">
        <f t="shared" si="106"/>
        <v>2313.3854125177504</v>
      </c>
      <c r="AE170" s="27">
        <f t="shared" si="106"/>
        <v>1990.3305412037898</v>
      </c>
      <c r="AF170" s="27">
        <f t="shared" si="106"/>
        <v>1594.0173898222595</v>
      </c>
      <c r="AG170" s="27"/>
      <c r="AH170" s="27"/>
    </row>
    <row r="171" spans="1:34" x14ac:dyDescent="0.25">
      <c r="B171" s="3">
        <f t="shared" ref="B171:AF171" si="107">$C18*EXP(-B$168/$A18/EXP(-$C$126))</f>
        <v>0.19143202449891489</v>
      </c>
      <c r="C171" s="3">
        <f t="shared" si="107"/>
        <v>0.1914320232057489</v>
      </c>
      <c r="D171" s="3">
        <f t="shared" si="107"/>
        <v>0.1914320102740894</v>
      </c>
      <c r="E171" s="3">
        <f t="shared" si="107"/>
        <v>0.19143188095754252</v>
      </c>
      <c r="F171" s="3">
        <f t="shared" si="107"/>
        <v>0.19143058779687813</v>
      </c>
      <c r="G171" s="3">
        <f t="shared" si="107"/>
        <v>0.19141765667068042</v>
      </c>
      <c r="H171" s="3">
        <f t="shared" si="107"/>
        <v>0.19128839344129822</v>
      </c>
      <c r="I171" s="3">
        <f t="shared" si="107"/>
        <v>0.19000055242321298</v>
      </c>
      <c r="J171" s="3">
        <f t="shared" si="107"/>
        <v>0.17758950766077358</v>
      </c>
      <c r="K171" s="3">
        <f t="shared" si="107"/>
        <v>9.037362419940996E-2</v>
      </c>
      <c r="L171" s="3">
        <f t="shared" si="107"/>
        <v>1.052654025149097E-4</v>
      </c>
      <c r="M171" s="3">
        <f t="shared" si="107"/>
        <v>4.8386612791450557E-34</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5.4135576469364774E-2</v>
      </c>
      <c r="C172" s="3">
        <f t="shared" si="108"/>
        <v>5.4135576469364684E-2</v>
      </c>
      <c r="D172" s="3">
        <f t="shared" si="108"/>
        <v>5.4135576469363747E-2</v>
      </c>
      <c r="E172" s="3">
        <f t="shared" si="108"/>
        <v>5.413557646935438E-2</v>
      </c>
      <c r="F172" s="3">
        <f t="shared" si="108"/>
        <v>5.4135576469260704E-2</v>
      </c>
      <c r="G172" s="3">
        <f t="shared" si="108"/>
        <v>5.4135576468323954E-2</v>
      </c>
      <c r="H172" s="3">
        <f t="shared" si="108"/>
        <v>5.4135576458956433E-2</v>
      </c>
      <c r="I172" s="3">
        <f t="shared" si="108"/>
        <v>5.4135576365281296E-2</v>
      </c>
      <c r="J172" s="3">
        <f t="shared" si="108"/>
        <v>5.4135575428529883E-2</v>
      </c>
      <c r="K172" s="3">
        <f t="shared" si="108"/>
        <v>5.4135566061016625E-2</v>
      </c>
      <c r="L172" s="3">
        <f t="shared" si="108"/>
        <v>5.4135472385973209E-2</v>
      </c>
      <c r="M172" s="3">
        <f t="shared" si="108"/>
        <v>5.4134535644454113E-2</v>
      </c>
      <c r="N172" s="3">
        <f t="shared" si="108"/>
        <v>5.4125169120714738E-2</v>
      </c>
      <c r="O172" s="3">
        <f t="shared" si="108"/>
        <v>5.403159297142994E-2</v>
      </c>
      <c r="P172" s="3">
        <f t="shared" si="108"/>
        <v>5.310468351468535E-2</v>
      </c>
      <c r="Q172" s="3">
        <f t="shared" si="108"/>
        <v>4.4666647511182975E-2</v>
      </c>
      <c r="R172" s="3">
        <f t="shared" si="108"/>
        <v>7.9156882547380108E-3</v>
      </c>
      <c r="S172" s="3">
        <f t="shared" si="108"/>
        <v>2.4184768107764925E-10</v>
      </c>
      <c r="T172" s="3">
        <f t="shared" si="108"/>
        <v>1.7142508904504841E-85</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2.1015020588822823E-2</v>
      </c>
      <c r="C173" s="3">
        <f t="shared" si="109"/>
        <v>2.1015020588822819E-2</v>
      </c>
      <c r="D173" s="3">
        <f t="shared" si="109"/>
        <v>2.1015020588822785E-2</v>
      </c>
      <c r="E173" s="3">
        <f t="shared" si="109"/>
        <v>2.1015020588822458E-2</v>
      </c>
      <c r="F173" s="3">
        <f t="shared" si="109"/>
        <v>2.101502058881918E-2</v>
      </c>
      <c r="G173" s="3">
        <f t="shared" si="109"/>
        <v>2.1015020588786376E-2</v>
      </c>
      <c r="H173" s="3">
        <f t="shared" si="109"/>
        <v>2.101502058845834E-2</v>
      </c>
      <c r="I173" s="3">
        <f t="shared" si="109"/>
        <v>2.1015020585178006E-2</v>
      </c>
      <c r="J173" s="3">
        <f t="shared" si="109"/>
        <v>2.1015020552374673E-2</v>
      </c>
      <c r="K173" s="3">
        <f t="shared" si="109"/>
        <v>2.1015020224341319E-2</v>
      </c>
      <c r="L173" s="3">
        <f t="shared" si="109"/>
        <v>2.1015016944008071E-2</v>
      </c>
      <c r="M173" s="3">
        <f t="shared" si="109"/>
        <v>2.1014984140703748E-2</v>
      </c>
      <c r="N173" s="3">
        <f t="shared" si="109"/>
        <v>2.1014656110476738E-2</v>
      </c>
      <c r="O173" s="3">
        <f t="shared" si="109"/>
        <v>2.1011376089812048E-2</v>
      </c>
      <c r="P173" s="3">
        <f t="shared" si="109"/>
        <v>2.09786040274502E-2</v>
      </c>
      <c r="Q173" s="3">
        <f t="shared" si="109"/>
        <v>2.0653681645236122E-2</v>
      </c>
      <c r="R173" s="3">
        <f t="shared" si="109"/>
        <v>1.7668773643510504E-2</v>
      </c>
      <c r="S173" s="3">
        <f t="shared" si="109"/>
        <v>3.7093318740239502E-3</v>
      </c>
      <c r="T173" s="3">
        <f t="shared" si="109"/>
        <v>6.1686273574651754E-10</v>
      </c>
      <c r="U173" s="3">
        <f t="shared" si="109"/>
        <v>9.9796883140468283E-78</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4.0498121245543535E-2</v>
      </c>
      <c r="C174" s="3">
        <f t="shared" si="110"/>
        <v>4.0498121245543535E-2</v>
      </c>
      <c r="D174" s="3">
        <f t="shared" si="110"/>
        <v>4.0498121245543528E-2</v>
      </c>
      <c r="E174" s="3">
        <f t="shared" si="110"/>
        <v>4.0498121245543472E-2</v>
      </c>
      <c r="F174" s="3">
        <f t="shared" si="110"/>
        <v>4.0498121245542903E-2</v>
      </c>
      <c r="G174" s="3">
        <f t="shared" si="110"/>
        <v>4.04981212455372E-2</v>
      </c>
      <c r="H174" s="3">
        <f t="shared" si="110"/>
        <v>4.0498121245480176E-2</v>
      </c>
      <c r="I174" s="3">
        <f t="shared" si="110"/>
        <v>4.0498121244909917E-2</v>
      </c>
      <c r="J174" s="3">
        <f t="shared" si="110"/>
        <v>4.049812123920736E-2</v>
      </c>
      <c r="K174" s="3">
        <f t="shared" si="110"/>
        <v>4.0498121182181789E-2</v>
      </c>
      <c r="L174" s="3">
        <f t="shared" si="110"/>
        <v>4.0498120611926064E-2</v>
      </c>
      <c r="M174" s="3">
        <f t="shared" si="110"/>
        <v>4.0498114909369297E-2</v>
      </c>
      <c r="N174" s="3">
        <f t="shared" si="110"/>
        <v>4.0498057883845785E-2</v>
      </c>
      <c r="O174" s="3">
        <f t="shared" si="110"/>
        <v>4.0497487633027018E-2</v>
      </c>
      <c r="P174" s="3">
        <f t="shared" si="110"/>
        <v>4.0491785566452471E-2</v>
      </c>
      <c r="Q174" s="3">
        <f t="shared" si="110"/>
        <v>4.0434809039021156E-2</v>
      </c>
      <c r="R174" s="3">
        <f t="shared" si="110"/>
        <v>3.9869434686486134E-2</v>
      </c>
      <c r="S174" s="3">
        <f t="shared" si="110"/>
        <v>3.4632743115672895E-2</v>
      </c>
      <c r="T174" s="3">
        <f t="shared" si="110"/>
        <v>8.4713968940493909E-3</v>
      </c>
      <c r="U174" s="3">
        <f t="shared" si="110"/>
        <v>6.4958562774874562E-9</v>
      </c>
      <c r="V174" s="3">
        <f t="shared" si="110"/>
        <v>4.5650988744482773E-70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3.8180364153293539E-2</v>
      </c>
      <c r="C175" s="3">
        <f t="shared" si="111"/>
        <v>3.8180364153293539E-2</v>
      </c>
      <c r="D175" s="3">
        <f t="shared" si="111"/>
        <v>3.8180364153293539E-2</v>
      </c>
      <c r="E175" s="3">
        <f t="shared" si="111"/>
        <v>3.8180364153293532E-2</v>
      </c>
      <c r="F175" s="3">
        <f t="shared" si="111"/>
        <v>3.8180364153293483E-2</v>
      </c>
      <c r="G175" s="3">
        <f t="shared" si="111"/>
        <v>3.8180364153292998E-2</v>
      </c>
      <c r="H175" s="3">
        <f t="shared" si="111"/>
        <v>3.8180364153288154E-2</v>
      </c>
      <c r="I175" s="3">
        <f t="shared" si="111"/>
        <v>3.8180364153239651E-2</v>
      </c>
      <c r="J175" s="3">
        <f t="shared" si="111"/>
        <v>3.8180364152754678E-2</v>
      </c>
      <c r="K175" s="3">
        <f t="shared" si="111"/>
        <v>3.8180364147904905E-2</v>
      </c>
      <c r="L175" s="3">
        <f t="shared" si="111"/>
        <v>3.8180364099407164E-2</v>
      </c>
      <c r="M175" s="3">
        <f t="shared" si="111"/>
        <v>3.8180363614429849E-2</v>
      </c>
      <c r="N175" s="3">
        <f t="shared" si="111"/>
        <v>3.8180358764656953E-2</v>
      </c>
      <c r="O175" s="3">
        <f t="shared" si="111"/>
        <v>3.8180310266961892E-2</v>
      </c>
      <c r="P175" s="3">
        <f t="shared" si="111"/>
        <v>3.8179825293399479E-2</v>
      </c>
      <c r="Q175" s="3">
        <f t="shared" si="111"/>
        <v>3.8174975896574814E-2</v>
      </c>
      <c r="R175" s="3">
        <f t="shared" si="111"/>
        <v>3.8126515792364896E-2</v>
      </c>
      <c r="S175" s="3">
        <f t="shared" si="111"/>
        <v>3.7645285292306749E-2</v>
      </c>
      <c r="T175" s="3">
        <f t="shared" si="111"/>
        <v>3.3154717465439444E-2</v>
      </c>
      <c r="U175" s="3">
        <f t="shared" si="111"/>
        <v>9.3087789412940897E-3</v>
      </c>
      <c r="V175" s="3">
        <f t="shared" si="111"/>
        <v>2.8337828956039404E-8</v>
      </c>
      <c r="W175" s="3">
        <f t="shared" si="111"/>
        <v>1.9368908605007554E-63</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3.033915085060401E-2</v>
      </c>
      <c r="C176" s="3">
        <f t="shared" si="112"/>
        <v>3.033915085060401E-2</v>
      </c>
      <c r="D176" s="3">
        <f t="shared" si="112"/>
        <v>3.033915085060401E-2</v>
      </c>
      <c r="E176" s="3">
        <f t="shared" si="112"/>
        <v>3.033915085060401E-2</v>
      </c>
      <c r="F176" s="3">
        <f t="shared" si="112"/>
        <v>3.0339150850604006E-2</v>
      </c>
      <c r="G176" s="3">
        <f t="shared" si="112"/>
        <v>3.0339150850603971E-2</v>
      </c>
      <c r="H176" s="3">
        <f t="shared" si="112"/>
        <v>3.0339150850603621E-2</v>
      </c>
      <c r="I176" s="3">
        <f t="shared" si="112"/>
        <v>3.0339150850600145E-2</v>
      </c>
      <c r="J176" s="3">
        <f t="shared" si="112"/>
        <v>3.0339150850565381E-2</v>
      </c>
      <c r="K176" s="3">
        <f t="shared" si="112"/>
        <v>3.0339150850217742E-2</v>
      </c>
      <c r="L176" s="3">
        <f t="shared" si="112"/>
        <v>3.0339150846741329E-2</v>
      </c>
      <c r="M176" s="3">
        <f t="shared" si="112"/>
        <v>3.0339150811977196E-2</v>
      </c>
      <c r="N176" s="3">
        <f t="shared" si="112"/>
        <v>3.0339150464335888E-2</v>
      </c>
      <c r="O176" s="3">
        <f t="shared" si="112"/>
        <v>3.0339146987922998E-2</v>
      </c>
      <c r="P176" s="3">
        <f t="shared" si="112"/>
        <v>3.0339112223816037E-2</v>
      </c>
      <c r="Q176" s="3">
        <f t="shared" si="112"/>
        <v>3.0338764584937322E-2</v>
      </c>
      <c r="R176" s="3">
        <f t="shared" si="112"/>
        <v>3.0335288415229547E-2</v>
      </c>
      <c r="S176" s="3">
        <f t="shared" si="112"/>
        <v>3.0300548616807987E-2</v>
      </c>
      <c r="T176" s="3">
        <f t="shared" si="112"/>
        <v>2.9955331242341569E-2</v>
      </c>
      <c r="U176" s="3">
        <f t="shared" si="112"/>
        <v>2.6712250036073835E-2</v>
      </c>
      <c r="V176" s="3">
        <f t="shared" si="112"/>
        <v>8.4932502404535416E-3</v>
      </c>
      <c r="W176" s="3">
        <f t="shared" si="112"/>
        <v>8.9682645090126654E-8</v>
      </c>
      <c r="X176" s="3">
        <f t="shared" si="112"/>
        <v>1.545444082730408E-57</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2.9818488774257267E-2</v>
      </c>
      <c r="C177" s="3">
        <f t="shared" si="113"/>
        <v>2.9818488774257267E-2</v>
      </c>
      <c r="D177" s="3">
        <f t="shared" si="113"/>
        <v>2.9818488774257267E-2</v>
      </c>
      <c r="E177" s="3">
        <f t="shared" si="113"/>
        <v>2.9818488774257267E-2</v>
      </c>
      <c r="F177" s="3">
        <f t="shared" si="113"/>
        <v>2.9818488774257267E-2</v>
      </c>
      <c r="G177" s="3">
        <f t="shared" si="113"/>
        <v>2.9818488774257263E-2</v>
      </c>
      <c r="H177" s="3">
        <f t="shared" si="113"/>
        <v>2.9818488774257232E-2</v>
      </c>
      <c r="I177" s="3">
        <f t="shared" si="113"/>
        <v>2.9818488774256927E-2</v>
      </c>
      <c r="J177" s="3">
        <f t="shared" si="113"/>
        <v>2.9818488774253842E-2</v>
      </c>
      <c r="K177" s="3">
        <f t="shared" si="113"/>
        <v>2.981848877422302E-2</v>
      </c>
      <c r="L177" s="3">
        <f t="shared" si="113"/>
        <v>2.9818488773914801E-2</v>
      </c>
      <c r="M177" s="3">
        <f t="shared" si="113"/>
        <v>2.9818488770832607E-2</v>
      </c>
      <c r="N177" s="3">
        <f t="shared" si="113"/>
        <v>2.9818488740010651E-2</v>
      </c>
      <c r="O177" s="3">
        <f t="shared" si="113"/>
        <v>2.9818488431791104E-2</v>
      </c>
      <c r="P177" s="3">
        <f t="shared" si="113"/>
        <v>2.9818485349595809E-2</v>
      </c>
      <c r="Q177" s="3">
        <f t="shared" si="113"/>
        <v>2.9818454527660392E-2</v>
      </c>
      <c r="R177" s="3">
        <f t="shared" si="113"/>
        <v>2.9818146310058469E-2</v>
      </c>
      <c r="S177" s="3">
        <f t="shared" si="113"/>
        <v>2.9815064309257348E-2</v>
      </c>
      <c r="T177" s="3">
        <f t="shared" si="113"/>
        <v>2.9784261816356718E-2</v>
      </c>
      <c r="U177" s="3">
        <f t="shared" si="113"/>
        <v>2.9477981718211376E-2</v>
      </c>
      <c r="V177" s="3">
        <f t="shared" si="113"/>
        <v>2.6583171206931037E-2</v>
      </c>
      <c r="W177" s="3">
        <f t="shared" si="113"/>
        <v>9.4557769640307987E-3</v>
      </c>
      <c r="X177" s="3">
        <f t="shared" si="113"/>
        <v>3.06620745293932E-7</v>
      </c>
      <c r="Y177" s="3">
        <f t="shared" si="113"/>
        <v>3.9413471239267439E-52</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2.8586713902441586E-2</v>
      </c>
      <c r="C178" s="3">
        <f t="shared" si="114"/>
        <v>2.8586713902441586E-2</v>
      </c>
      <c r="D178" s="3">
        <f t="shared" si="114"/>
        <v>2.8586713902441586E-2</v>
      </c>
      <c r="E178" s="3">
        <f t="shared" si="114"/>
        <v>2.8586713902441586E-2</v>
      </c>
      <c r="F178" s="3">
        <f t="shared" si="114"/>
        <v>2.8586713902441586E-2</v>
      </c>
      <c r="G178" s="3">
        <f t="shared" si="114"/>
        <v>2.8586713902441586E-2</v>
      </c>
      <c r="H178" s="3">
        <f t="shared" si="114"/>
        <v>2.8586713902441583E-2</v>
      </c>
      <c r="I178" s="3">
        <f t="shared" si="114"/>
        <v>2.8586713902441559E-2</v>
      </c>
      <c r="J178" s="3">
        <f t="shared" si="114"/>
        <v>2.8586713902441292E-2</v>
      </c>
      <c r="K178" s="3">
        <f t="shared" si="114"/>
        <v>2.8586713902438627E-2</v>
      </c>
      <c r="L178" s="3">
        <f t="shared" si="114"/>
        <v>2.8586713902411968E-2</v>
      </c>
      <c r="M178" s="3">
        <f t="shared" si="114"/>
        <v>2.8586713902145414E-2</v>
      </c>
      <c r="N178" s="3">
        <f t="shared" si="114"/>
        <v>2.8586713899479876E-2</v>
      </c>
      <c r="O178" s="3">
        <f t="shared" si="114"/>
        <v>2.8586713872824465E-2</v>
      </c>
      <c r="P178" s="3">
        <f t="shared" si="114"/>
        <v>2.858671360627036E-2</v>
      </c>
      <c r="Q178" s="3">
        <f t="shared" si="114"/>
        <v>2.8586710940729447E-2</v>
      </c>
      <c r="R178" s="3">
        <f t="shared" si="114"/>
        <v>2.8586684285334004E-2</v>
      </c>
      <c r="S178" s="3">
        <f t="shared" si="114"/>
        <v>2.8586417732746547E-2</v>
      </c>
      <c r="T178" s="3">
        <f t="shared" si="114"/>
        <v>2.8583752343566967E-2</v>
      </c>
      <c r="U178" s="3">
        <f t="shared" si="114"/>
        <v>2.8557112116554199E-2</v>
      </c>
      <c r="V178" s="3">
        <f t="shared" si="114"/>
        <v>2.829207162207166E-2</v>
      </c>
      <c r="W178" s="3">
        <f t="shared" si="114"/>
        <v>2.5773260965195874E-2</v>
      </c>
      <c r="X178" s="3">
        <f t="shared" si="114"/>
        <v>1.014414841879638E-2</v>
      </c>
      <c r="Y178" s="3">
        <f t="shared" si="114"/>
        <v>9.0506095636643392E-7</v>
      </c>
      <c r="Z178" s="3">
        <f t="shared" si="114"/>
        <v>2.8926786119565561E-47</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2.8589469167233993E-2</v>
      </c>
      <c r="C179" s="3">
        <f t="shared" si="115"/>
        <v>2.8589469167233993E-2</v>
      </c>
      <c r="D179" s="3">
        <f t="shared" si="115"/>
        <v>2.8589469167233993E-2</v>
      </c>
      <c r="E179" s="3">
        <f t="shared" si="115"/>
        <v>2.8589469167233993E-2</v>
      </c>
      <c r="F179" s="3">
        <f t="shared" si="115"/>
        <v>2.8589469167233993E-2</v>
      </c>
      <c r="G179" s="3">
        <f t="shared" si="115"/>
        <v>2.8589469167233993E-2</v>
      </c>
      <c r="H179" s="3">
        <f t="shared" si="115"/>
        <v>2.8589469167233993E-2</v>
      </c>
      <c r="I179" s="3">
        <f t="shared" si="115"/>
        <v>2.858946916723399E-2</v>
      </c>
      <c r="J179" s="3">
        <f t="shared" si="115"/>
        <v>2.8589469167233969E-2</v>
      </c>
      <c r="K179" s="3">
        <f t="shared" si="115"/>
        <v>2.8589469167233726E-2</v>
      </c>
      <c r="L179" s="3">
        <f t="shared" si="115"/>
        <v>2.8589469167231322E-2</v>
      </c>
      <c r="M179" s="3">
        <f t="shared" si="115"/>
        <v>2.8589469167207275E-2</v>
      </c>
      <c r="N179" s="3">
        <f t="shared" si="115"/>
        <v>2.8589469166966797E-2</v>
      </c>
      <c r="O179" s="3">
        <f t="shared" si="115"/>
        <v>2.8589469164562023E-2</v>
      </c>
      <c r="P179" s="3">
        <f t="shared" si="115"/>
        <v>2.8589469140514308E-2</v>
      </c>
      <c r="Q179" s="3">
        <f t="shared" si="115"/>
        <v>2.8589468900037156E-2</v>
      </c>
      <c r="R179" s="3">
        <f t="shared" si="115"/>
        <v>2.8589466495265732E-2</v>
      </c>
      <c r="S179" s="3">
        <f t="shared" si="115"/>
        <v>2.8589442447562625E-2</v>
      </c>
      <c r="T179" s="3">
        <f t="shared" si="115"/>
        <v>2.8589201971644055E-2</v>
      </c>
      <c r="U179" s="3">
        <f t="shared" si="115"/>
        <v>2.858679732370558E-2</v>
      </c>
      <c r="V179" s="3">
        <f t="shared" si="115"/>
        <v>2.8562761965582946E-2</v>
      </c>
      <c r="W179" s="3">
        <f t="shared" si="115"/>
        <v>2.8323517057168006E-2</v>
      </c>
      <c r="X179" s="3">
        <f t="shared" si="115"/>
        <v>2.6038561089416424E-2</v>
      </c>
      <c r="Y179" s="3">
        <f t="shared" si="115"/>
        <v>1.1228325289467699E-2</v>
      </c>
      <c r="Z179" s="3">
        <f t="shared" si="115"/>
        <v>2.4962899778240907E-6</v>
      </c>
      <c r="AA179" s="3">
        <f t="shared" si="115"/>
        <v>7.3636901480812773E-43</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2.8115831969051441E-2</v>
      </c>
      <c r="C180" s="3">
        <f t="shared" si="116"/>
        <v>2.8115831969051441E-2</v>
      </c>
      <c r="D180" s="3">
        <f t="shared" si="116"/>
        <v>2.8115831969051441E-2</v>
      </c>
      <c r="E180" s="3">
        <f t="shared" si="116"/>
        <v>2.8115831969051441E-2</v>
      </c>
      <c r="F180" s="3">
        <f t="shared" si="116"/>
        <v>2.8115831969051441E-2</v>
      </c>
      <c r="G180" s="3">
        <f t="shared" si="116"/>
        <v>2.8115831969051441E-2</v>
      </c>
      <c r="H180" s="3">
        <f t="shared" si="116"/>
        <v>2.8115831969051441E-2</v>
      </c>
      <c r="I180" s="3">
        <f t="shared" si="116"/>
        <v>2.8115831969051441E-2</v>
      </c>
      <c r="J180" s="3">
        <f t="shared" si="116"/>
        <v>2.8115831969051437E-2</v>
      </c>
      <c r="K180" s="3">
        <f t="shared" si="116"/>
        <v>2.8115831969051416E-2</v>
      </c>
      <c r="L180" s="3">
        <f t="shared" si="116"/>
        <v>2.8115831969051205E-2</v>
      </c>
      <c r="M180" s="3">
        <f t="shared" si="116"/>
        <v>2.8115831969049071E-2</v>
      </c>
      <c r="N180" s="3">
        <f t="shared" si="116"/>
        <v>2.8115831969027737E-2</v>
      </c>
      <c r="O180" s="3">
        <f t="shared" si="116"/>
        <v>2.8115831968814401E-2</v>
      </c>
      <c r="P180" s="3">
        <f t="shared" si="116"/>
        <v>2.8115831966681035E-2</v>
      </c>
      <c r="Q180" s="3">
        <f t="shared" si="116"/>
        <v>2.8115831945347381E-2</v>
      </c>
      <c r="R180" s="3">
        <f t="shared" si="116"/>
        <v>2.8115831732010831E-2</v>
      </c>
      <c r="S180" s="3">
        <f t="shared" si="116"/>
        <v>2.8115829598645455E-2</v>
      </c>
      <c r="T180" s="3">
        <f t="shared" si="116"/>
        <v>2.8115808265000566E-2</v>
      </c>
      <c r="U180" s="3">
        <f t="shared" si="116"/>
        <v>2.8115594929441993E-2</v>
      </c>
      <c r="V180" s="3">
        <f t="shared" si="116"/>
        <v>2.811346166288468E-2</v>
      </c>
      <c r="W180" s="3">
        <f t="shared" si="116"/>
        <v>2.8092137897655928E-2</v>
      </c>
      <c r="X180" s="3">
        <f t="shared" si="116"/>
        <v>2.7879787786116772E-2</v>
      </c>
      <c r="Y180" s="3">
        <f t="shared" si="116"/>
        <v>2.5842598763464224E-2</v>
      </c>
      <c r="Z180" s="3">
        <f t="shared" si="116"/>
        <v>1.2100502194783879E-2</v>
      </c>
      <c r="AA180" s="3">
        <f t="shared" si="116"/>
        <v>6.1302120214438915E-6</v>
      </c>
      <c r="AB180" s="3">
        <f t="shared" si="116"/>
        <v>6.8264749664994349E-39</v>
      </c>
      <c r="AC180" s="3">
        <f t="shared" si="116"/>
        <v>0</v>
      </c>
      <c r="AD180" s="3">
        <f t="shared" si="116"/>
        <v>0</v>
      </c>
      <c r="AE180" s="3">
        <f t="shared" si="116"/>
        <v>0</v>
      </c>
      <c r="AF180" s="3">
        <f t="shared" si="116"/>
        <v>0</v>
      </c>
      <c r="AG180" s="3"/>
      <c r="AH180" s="3"/>
    </row>
    <row r="181" spans="2:34" x14ac:dyDescent="0.25">
      <c r="B181" s="3">
        <f t="shared" ref="B181:AF181" si="117">$C28*EXP(-B$168/$A28/EXP(-$C$126))</f>
        <v>3.3973946984022944E-2</v>
      </c>
      <c r="C181" s="3">
        <f t="shared" si="117"/>
        <v>3.3973946984022944E-2</v>
      </c>
      <c r="D181" s="3">
        <f t="shared" si="117"/>
        <v>3.3973946984022944E-2</v>
      </c>
      <c r="E181" s="3">
        <f t="shared" si="117"/>
        <v>3.3973946984022944E-2</v>
      </c>
      <c r="F181" s="3">
        <f t="shared" si="117"/>
        <v>3.3973946984022944E-2</v>
      </c>
      <c r="G181" s="3">
        <f t="shared" si="117"/>
        <v>3.3973946984022944E-2</v>
      </c>
      <c r="H181" s="3">
        <f t="shared" si="117"/>
        <v>3.3973946984022944E-2</v>
      </c>
      <c r="I181" s="3">
        <f t="shared" si="117"/>
        <v>3.3973946984022944E-2</v>
      </c>
      <c r="J181" s="3">
        <f t="shared" si="117"/>
        <v>3.3973946984022944E-2</v>
      </c>
      <c r="K181" s="3">
        <f t="shared" si="117"/>
        <v>3.3973946984022937E-2</v>
      </c>
      <c r="L181" s="3">
        <f t="shared" si="117"/>
        <v>3.3973946984022917E-2</v>
      </c>
      <c r="M181" s="3">
        <f t="shared" si="117"/>
        <v>3.3973946984022681E-2</v>
      </c>
      <c r="N181" s="3">
        <f t="shared" si="117"/>
        <v>3.3973946984020363E-2</v>
      </c>
      <c r="O181" s="3">
        <f t="shared" si="117"/>
        <v>3.3973946983997104E-2</v>
      </c>
      <c r="P181" s="3">
        <f t="shared" si="117"/>
        <v>3.3973946983764561E-2</v>
      </c>
      <c r="Q181" s="3">
        <f t="shared" si="117"/>
        <v>3.3973946981439108E-2</v>
      </c>
      <c r="R181" s="3">
        <f t="shared" si="117"/>
        <v>3.3973946958184613E-2</v>
      </c>
      <c r="S181" s="3">
        <f t="shared" si="117"/>
        <v>3.3973946725639664E-2</v>
      </c>
      <c r="T181" s="3">
        <f t="shared" si="117"/>
        <v>3.3973944400190227E-2</v>
      </c>
      <c r="U181" s="3">
        <f t="shared" si="117"/>
        <v>3.3973921145704578E-2</v>
      </c>
      <c r="V181" s="3">
        <f t="shared" si="117"/>
        <v>3.3973688601723596E-2</v>
      </c>
      <c r="W181" s="3">
        <f t="shared" si="117"/>
        <v>3.3971363249456141E-2</v>
      </c>
      <c r="X181" s="3">
        <f t="shared" si="117"/>
        <v>3.3948118478801949E-2</v>
      </c>
      <c r="Y181" s="3">
        <f t="shared" si="117"/>
        <v>3.3716543761835312E-2</v>
      </c>
      <c r="Z181" s="3">
        <f t="shared" si="117"/>
        <v>3.1485924533397602E-2</v>
      </c>
      <c r="AA181" s="3">
        <f t="shared" si="117"/>
        <v>1.5879998576996658E-2</v>
      </c>
      <c r="AB181" s="3">
        <f t="shared" si="117"/>
        <v>1.6911827846254216E-5</v>
      </c>
      <c r="AC181" s="3">
        <f t="shared" si="117"/>
        <v>3.1738869105543625E-35</v>
      </c>
      <c r="AD181" s="3">
        <f t="shared" si="117"/>
        <v>0</v>
      </c>
      <c r="AE181" s="3">
        <f t="shared" si="117"/>
        <v>0</v>
      </c>
      <c r="AF181" s="3">
        <f t="shared" si="117"/>
        <v>0</v>
      </c>
      <c r="AG181" s="3"/>
      <c r="AH181" s="3"/>
    </row>
    <row r="182" spans="2:34" x14ac:dyDescent="0.25">
      <c r="B182" s="3">
        <f t="shared" ref="B182:AF182" si="118">$C29*EXP(-B$168/$A29/EXP(-$C$126))</f>
        <v>3.6313930353248758E-2</v>
      </c>
      <c r="C182" s="3">
        <f t="shared" si="118"/>
        <v>3.6313930353248758E-2</v>
      </c>
      <c r="D182" s="3">
        <f t="shared" si="118"/>
        <v>3.6313930353248758E-2</v>
      </c>
      <c r="E182" s="3">
        <f t="shared" si="118"/>
        <v>3.6313930353248758E-2</v>
      </c>
      <c r="F182" s="3">
        <f t="shared" si="118"/>
        <v>3.6313930353248758E-2</v>
      </c>
      <c r="G182" s="3">
        <f t="shared" si="118"/>
        <v>3.6313930353248758E-2</v>
      </c>
      <c r="H182" s="3">
        <f t="shared" si="118"/>
        <v>3.6313930353248758E-2</v>
      </c>
      <c r="I182" s="3">
        <f t="shared" si="118"/>
        <v>3.6313930353248758E-2</v>
      </c>
      <c r="J182" s="3">
        <f t="shared" si="118"/>
        <v>3.6313930353248758E-2</v>
      </c>
      <c r="K182" s="3">
        <f t="shared" si="118"/>
        <v>3.6313930353248758E-2</v>
      </c>
      <c r="L182" s="3">
        <f t="shared" si="118"/>
        <v>3.6313930353248751E-2</v>
      </c>
      <c r="M182" s="3">
        <f t="shared" si="118"/>
        <v>3.6313930353248737E-2</v>
      </c>
      <c r="N182" s="3">
        <f t="shared" si="118"/>
        <v>3.6313930353248508E-2</v>
      </c>
      <c r="O182" s="3">
        <f t="shared" si="118"/>
        <v>3.6313930353246267E-2</v>
      </c>
      <c r="P182" s="3">
        <f t="shared" si="118"/>
        <v>3.631393035322384E-2</v>
      </c>
      <c r="Q182" s="3">
        <f t="shared" si="118"/>
        <v>3.6313930352999624E-2</v>
      </c>
      <c r="R182" s="3">
        <f t="shared" si="118"/>
        <v>3.631393035075739E-2</v>
      </c>
      <c r="S182" s="3">
        <f t="shared" si="118"/>
        <v>3.6313930328335055E-2</v>
      </c>
      <c r="T182" s="3">
        <f t="shared" si="118"/>
        <v>3.6313930104111748E-2</v>
      </c>
      <c r="U182" s="3">
        <f t="shared" si="118"/>
        <v>3.6313927861878717E-2</v>
      </c>
      <c r="V182" s="3">
        <f t="shared" si="118"/>
        <v>3.6313905439556038E-2</v>
      </c>
      <c r="W182" s="3">
        <f t="shared" si="118"/>
        <v>3.6313681217090686E-2</v>
      </c>
      <c r="X182" s="3">
        <f t="shared" si="118"/>
        <v>3.631143906858196E-2</v>
      </c>
      <c r="Y182" s="3">
        <f t="shared" si="118"/>
        <v>3.6289025196229827E-2</v>
      </c>
      <c r="Z182" s="3">
        <f t="shared" si="118"/>
        <v>3.6065646009888465E-2</v>
      </c>
      <c r="AA182" s="3">
        <f t="shared" si="118"/>
        <v>3.3906100916691009E-2</v>
      </c>
      <c r="AB182" s="3">
        <f t="shared" si="118"/>
        <v>1.8286020245378658E-2</v>
      </c>
      <c r="AC182" s="3">
        <f t="shared" si="118"/>
        <v>3.8065597917203849E-5</v>
      </c>
      <c r="AD182" s="3">
        <f t="shared" si="118"/>
        <v>5.816573925501289E-32</v>
      </c>
      <c r="AE182" s="3">
        <f t="shared" si="118"/>
        <v>4.0365767497371116E-300</v>
      </c>
      <c r="AF182" s="3">
        <f t="shared" si="118"/>
        <v>0</v>
      </c>
      <c r="AG182" s="3"/>
      <c r="AH182" s="3"/>
    </row>
    <row r="183" spans="2:34" x14ac:dyDescent="0.25">
      <c r="B183" s="3">
        <f t="shared" ref="B183:AF183" si="119">$C30*EXP(-B$168/$A30/EXP(-$C$126))</f>
        <v>4.1806327659667623E-2</v>
      </c>
      <c r="C183" s="3">
        <f t="shared" si="119"/>
        <v>4.1806327659667623E-2</v>
      </c>
      <c r="D183" s="3">
        <f t="shared" si="119"/>
        <v>4.1806327659667623E-2</v>
      </c>
      <c r="E183" s="3">
        <f t="shared" si="119"/>
        <v>4.1806327659667623E-2</v>
      </c>
      <c r="F183" s="3">
        <f t="shared" si="119"/>
        <v>4.1806327659667623E-2</v>
      </c>
      <c r="G183" s="3">
        <f t="shared" si="119"/>
        <v>4.1806327659667623E-2</v>
      </c>
      <c r="H183" s="3">
        <f t="shared" si="119"/>
        <v>4.1806327659667623E-2</v>
      </c>
      <c r="I183" s="3">
        <f t="shared" si="119"/>
        <v>4.1806327659667623E-2</v>
      </c>
      <c r="J183" s="3">
        <f t="shared" si="119"/>
        <v>4.1806327659667623E-2</v>
      </c>
      <c r="K183" s="3">
        <f t="shared" si="119"/>
        <v>4.1806327659667623E-2</v>
      </c>
      <c r="L183" s="3">
        <f t="shared" si="119"/>
        <v>4.1806327659667623E-2</v>
      </c>
      <c r="M183" s="3">
        <f t="shared" si="119"/>
        <v>4.1806327659667616E-2</v>
      </c>
      <c r="N183" s="3">
        <f t="shared" si="119"/>
        <v>4.1806327659667596E-2</v>
      </c>
      <c r="O183" s="3">
        <f t="shared" si="119"/>
        <v>4.1806327659667367E-2</v>
      </c>
      <c r="P183" s="3">
        <f t="shared" si="119"/>
        <v>4.1806327659665035E-2</v>
      </c>
      <c r="Q183" s="3">
        <f t="shared" si="119"/>
        <v>4.1806327659641755E-2</v>
      </c>
      <c r="R183" s="3">
        <f t="shared" si="119"/>
        <v>4.1806327659408893E-2</v>
      </c>
      <c r="S183" s="3">
        <f t="shared" si="119"/>
        <v>4.1806327657080283E-2</v>
      </c>
      <c r="T183" s="3">
        <f t="shared" si="119"/>
        <v>4.1806327633794216E-2</v>
      </c>
      <c r="U183" s="3">
        <f t="shared" si="119"/>
        <v>4.1806327400933561E-2</v>
      </c>
      <c r="V183" s="3">
        <f t="shared" si="119"/>
        <v>4.180632507232708E-2</v>
      </c>
      <c r="W183" s="3">
        <f t="shared" si="119"/>
        <v>4.1806301786269394E-2</v>
      </c>
      <c r="X183" s="3">
        <f t="shared" si="119"/>
        <v>4.1806068926405919E-2</v>
      </c>
      <c r="Y183" s="3">
        <f t="shared" si="119"/>
        <v>4.1803740399106212E-2</v>
      </c>
      <c r="Z183" s="3">
        <f t="shared" si="119"/>
        <v>4.1780462258144045E-2</v>
      </c>
      <c r="AA183" s="3">
        <f t="shared" si="119"/>
        <v>4.1548392584360931E-2</v>
      </c>
      <c r="AB183" s="3">
        <f t="shared" si="119"/>
        <v>3.9297424215405781E-2</v>
      </c>
      <c r="AC183" s="3">
        <f t="shared" si="119"/>
        <v>2.25145188633037E-2</v>
      </c>
      <c r="AD183" s="3">
        <f t="shared" si="119"/>
        <v>8.579234219802867E-5</v>
      </c>
      <c r="AE183" s="3">
        <f t="shared" si="119"/>
        <v>5.5374149037909549E-29</v>
      </c>
      <c r="AF183" s="3">
        <f t="shared" si="119"/>
        <v>6.9485225652924207E-271</v>
      </c>
      <c r="AG183" s="3"/>
      <c r="AH183" s="3"/>
    </row>
    <row r="184" spans="2:34" x14ac:dyDescent="0.25">
      <c r="B184" s="3">
        <f t="shared" ref="B184:AF184" si="120">$C31*EXP(-B$168/$A31/EXP(-$C$126))</f>
        <v>4.6977125912982913E-2</v>
      </c>
      <c r="C184" s="3">
        <f t="shared" si="120"/>
        <v>4.6977125912982913E-2</v>
      </c>
      <c r="D184" s="3">
        <f t="shared" si="120"/>
        <v>4.6977125912982913E-2</v>
      </c>
      <c r="E184" s="3">
        <f t="shared" si="120"/>
        <v>4.6977125912982913E-2</v>
      </c>
      <c r="F184" s="3">
        <f t="shared" si="120"/>
        <v>4.6977125912982913E-2</v>
      </c>
      <c r="G184" s="3">
        <f t="shared" si="120"/>
        <v>4.6977125912982913E-2</v>
      </c>
      <c r="H184" s="3">
        <f t="shared" si="120"/>
        <v>4.6977125912982913E-2</v>
      </c>
      <c r="I184" s="3">
        <f t="shared" si="120"/>
        <v>4.6977125912982913E-2</v>
      </c>
      <c r="J184" s="3">
        <f t="shared" si="120"/>
        <v>4.6977125912982913E-2</v>
      </c>
      <c r="K184" s="3">
        <f t="shared" si="120"/>
        <v>4.6977125912982913E-2</v>
      </c>
      <c r="L184" s="3">
        <f t="shared" si="120"/>
        <v>4.6977125912982913E-2</v>
      </c>
      <c r="M184" s="3">
        <f t="shared" si="120"/>
        <v>4.6977125912982913E-2</v>
      </c>
      <c r="N184" s="3">
        <f t="shared" si="120"/>
        <v>4.6977125912982906E-2</v>
      </c>
      <c r="O184" s="3">
        <f t="shared" si="120"/>
        <v>4.6977125912982885E-2</v>
      </c>
      <c r="P184" s="3">
        <f t="shared" si="120"/>
        <v>4.6977125912982649E-2</v>
      </c>
      <c r="Q184" s="3">
        <f t="shared" si="120"/>
        <v>4.697712591298029E-2</v>
      </c>
      <c r="R184" s="3">
        <f t="shared" si="120"/>
        <v>4.6977125912956684E-2</v>
      </c>
      <c r="S184" s="3">
        <f t="shared" si="120"/>
        <v>4.6977125912720644E-2</v>
      </c>
      <c r="T184" s="3">
        <f t="shared" si="120"/>
        <v>4.697712591036024E-2</v>
      </c>
      <c r="U184" s="3">
        <f t="shared" si="120"/>
        <v>4.6977125886756156E-2</v>
      </c>
      <c r="V184" s="3">
        <f t="shared" si="120"/>
        <v>4.697712565071533E-2</v>
      </c>
      <c r="W184" s="3">
        <f t="shared" si="120"/>
        <v>4.6977123290307114E-2</v>
      </c>
      <c r="X184" s="3">
        <f t="shared" si="120"/>
        <v>4.6977099686231497E-2</v>
      </c>
      <c r="Y184" s="3">
        <f t="shared" si="120"/>
        <v>4.6976863646127673E-2</v>
      </c>
      <c r="Z184" s="3">
        <f t="shared" si="120"/>
        <v>4.6974503310318501E-2</v>
      </c>
      <c r="AA184" s="3">
        <f t="shared" si="120"/>
        <v>4.6950906473926544E-2</v>
      </c>
      <c r="AB184" s="3">
        <f t="shared" si="120"/>
        <v>4.6715589069161324E-2</v>
      </c>
      <c r="AC184" s="3">
        <f t="shared" si="120"/>
        <v>4.4426316832736082E-2</v>
      </c>
      <c r="AD184" s="3">
        <f t="shared" si="120"/>
        <v>2.6879742828316636E-2</v>
      </c>
      <c r="AE184" s="3">
        <f t="shared" si="120"/>
        <v>1.7671487468551666E-4</v>
      </c>
      <c r="AF184" s="3">
        <f t="shared" si="120"/>
        <v>2.6653428713698816E-26</v>
      </c>
      <c r="AG184" s="3"/>
      <c r="AH184" s="3"/>
    </row>
    <row r="185" spans="2:34" x14ac:dyDescent="0.25">
      <c r="B185" s="3">
        <f t="shared" ref="B185:AF185" si="121">$C32*EXP(-B$168/$A32/EXP(-$C$126))</f>
        <v>6.4330039712108877E-2</v>
      </c>
      <c r="C185" s="3">
        <f t="shared" si="121"/>
        <v>6.4330039712108877E-2</v>
      </c>
      <c r="D185" s="3">
        <f t="shared" si="121"/>
        <v>6.4330039712108877E-2</v>
      </c>
      <c r="E185" s="3">
        <f t="shared" si="121"/>
        <v>6.4330039712108877E-2</v>
      </c>
      <c r="F185" s="3">
        <f t="shared" si="121"/>
        <v>6.4330039712108877E-2</v>
      </c>
      <c r="G185" s="3">
        <f t="shared" si="121"/>
        <v>6.4330039712108877E-2</v>
      </c>
      <c r="H185" s="3">
        <f t="shared" si="121"/>
        <v>6.4330039712108877E-2</v>
      </c>
      <c r="I185" s="3">
        <f t="shared" si="121"/>
        <v>6.4330039712108877E-2</v>
      </c>
      <c r="J185" s="3">
        <f t="shared" si="121"/>
        <v>6.4330039712108877E-2</v>
      </c>
      <c r="K185" s="3">
        <f t="shared" si="121"/>
        <v>6.4330039712108877E-2</v>
      </c>
      <c r="L185" s="3">
        <f t="shared" si="121"/>
        <v>6.4330039712108877E-2</v>
      </c>
      <c r="M185" s="3">
        <f t="shared" si="121"/>
        <v>6.4330039712108877E-2</v>
      </c>
      <c r="N185" s="3">
        <f t="shared" si="121"/>
        <v>6.4330039712108877E-2</v>
      </c>
      <c r="O185" s="3">
        <f t="shared" si="121"/>
        <v>6.4330039712108877E-2</v>
      </c>
      <c r="P185" s="3">
        <f t="shared" si="121"/>
        <v>6.4330039712108836E-2</v>
      </c>
      <c r="Q185" s="3">
        <f t="shared" si="121"/>
        <v>6.4330039712108558E-2</v>
      </c>
      <c r="R185" s="3">
        <f t="shared" si="121"/>
        <v>6.433003971210563E-2</v>
      </c>
      <c r="S185" s="3">
        <f t="shared" si="121"/>
        <v>6.4330039712076487E-2</v>
      </c>
      <c r="T185" s="3">
        <f t="shared" si="121"/>
        <v>6.43300397117849E-2</v>
      </c>
      <c r="U185" s="3">
        <f t="shared" si="121"/>
        <v>6.433003970886908E-2</v>
      </c>
      <c r="V185" s="3">
        <f t="shared" si="121"/>
        <v>6.4330039679710849E-2</v>
      </c>
      <c r="W185" s="3">
        <f t="shared" si="121"/>
        <v>6.433003938812859E-2</v>
      </c>
      <c r="X185" s="3">
        <f t="shared" si="121"/>
        <v>6.4330036472306062E-2</v>
      </c>
      <c r="Y185" s="3">
        <f t="shared" si="121"/>
        <v>6.4330007314088125E-2</v>
      </c>
      <c r="Z185" s="3">
        <f t="shared" si="121"/>
        <v>6.4329715732635559E-2</v>
      </c>
      <c r="AA185" s="3">
        <f t="shared" si="121"/>
        <v>6.4326799990798031E-2</v>
      </c>
      <c r="AB185" s="3">
        <f t="shared" si="121"/>
        <v>6.4297649840008034E-2</v>
      </c>
      <c r="AC185" s="3">
        <f t="shared" si="121"/>
        <v>6.4006873873303394E-2</v>
      </c>
      <c r="AD185" s="3">
        <f t="shared" si="121"/>
        <v>6.1170466159953071E-2</v>
      </c>
      <c r="AE185" s="3">
        <f t="shared" si="121"/>
        <v>3.887706992983813E-2</v>
      </c>
      <c r="AF185" s="3">
        <f t="shared" si="121"/>
        <v>4.1803330357061607E-4</v>
      </c>
      <c r="AG185" s="3"/>
      <c r="AH185" s="3"/>
    </row>
    <row r="186" spans="2:34" x14ac:dyDescent="0.25">
      <c r="B186" s="3">
        <f t="shared" ref="B186:AF186" si="122">$C33*EXP(-B$168/$A33/EXP(-$C$126))</f>
        <v>7.1283808515689162E-2</v>
      </c>
      <c r="C186" s="3">
        <f t="shared" si="122"/>
        <v>7.1283808515689162E-2</v>
      </c>
      <c r="D186" s="3">
        <f t="shared" si="122"/>
        <v>7.1283808515689162E-2</v>
      </c>
      <c r="E186" s="3">
        <f t="shared" si="122"/>
        <v>7.1283808515689162E-2</v>
      </c>
      <c r="F186" s="3">
        <f t="shared" si="122"/>
        <v>7.1283808515689162E-2</v>
      </c>
      <c r="G186" s="3">
        <f t="shared" si="122"/>
        <v>7.1283808515689162E-2</v>
      </c>
      <c r="H186" s="3">
        <f t="shared" si="122"/>
        <v>7.1283808515689162E-2</v>
      </c>
      <c r="I186" s="3">
        <f t="shared" si="122"/>
        <v>7.1283808515689162E-2</v>
      </c>
      <c r="J186" s="3">
        <f t="shared" si="122"/>
        <v>7.1283808515689162E-2</v>
      </c>
      <c r="K186" s="3">
        <f t="shared" si="122"/>
        <v>7.1283808515689162E-2</v>
      </c>
      <c r="L186" s="3">
        <f t="shared" si="122"/>
        <v>7.1283808515689162E-2</v>
      </c>
      <c r="M186" s="3">
        <f t="shared" si="122"/>
        <v>7.1283808515689162E-2</v>
      </c>
      <c r="N186" s="3">
        <f t="shared" si="122"/>
        <v>7.1283808515689162E-2</v>
      </c>
      <c r="O186" s="3">
        <f t="shared" si="122"/>
        <v>7.1283808515689162E-2</v>
      </c>
      <c r="P186" s="3">
        <f t="shared" si="122"/>
        <v>7.1283808515689162E-2</v>
      </c>
      <c r="Q186" s="3">
        <f t="shared" si="122"/>
        <v>7.1283808515689134E-2</v>
      </c>
      <c r="R186" s="3">
        <f t="shared" si="122"/>
        <v>7.1283808515688843E-2</v>
      </c>
      <c r="S186" s="3">
        <f t="shared" si="122"/>
        <v>7.1283808515685929E-2</v>
      </c>
      <c r="T186" s="3">
        <f t="shared" si="122"/>
        <v>7.1283808515656771E-2</v>
      </c>
      <c r="U186" s="3">
        <f t="shared" si="122"/>
        <v>7.128380851536531E-2</v>
      </c>
      <c r="V186" s="3">
        <f t="shared" si="122"/>
        <v>7.1283808512450669E-2</v>
      </c>
      <c r="W186" s="3">
        <f t="shared" si="122"/>
        <v>7.128380848330429E-2</v>
      </c>
      <c r="X186" s="3">
        <f t="shared" si="122"/>
        <v>7.1283808191840381E-2</v>
      </c>
      <c r="Y186" s="3">
        <f t="shared" si="122"/>
        <v>7.1283805277201517E-2</v>
      </c>
      <c r="Z186" s="3">
        <f t="shared" si="122"/>
        <v>7.1283776130819293E-2</v>
      </c>
      <c r="AA186" s="3">
        <f t="shared" si="122"/>
        <v>7.1283484667652497E-2</v>
      </c>
      <c r="AB186" s="3">
        <f t="shared" si="122"/>
        <v>7.1280570101528717E-2</v>
      </c>
      <c r="AC186" s="3">
        <f t="shared" si="122"/>
        <v>7.1251430993715809E-2</v>
      </c>
      <c r="AD186" s="3">
        <f t="shared" si="122"/>
        <v>7.0960694267720364E-2</v>
      </c>
      <c r="AE186" s="3">
        <f t="shared" si="122"/>
        <v>6.8117783018696337E-2</v>
      </c>
      <c r="AF186" s="3">
        <f t="shared" si="122"/>
        <v>4.5257128402886371E-2</v>
      </c>
      <c r="AG186" s="3"/>
      <c r="AH186" s="3"/>
    </row>
    <row r="187" spans="2:34" x14ac:dyDescent="0.25">
      <c r="B187" s="3">
        <f t="shared" ref="B187:AF187" si="123">$C34*EXP(-B$168/$A34/EXP(-$C$126))</f>
        <v>6.5008577665533668E-2</v>
      </c>
      <c r="C187" s="3">
        <f t="shared" si="123"/>
        <v>6.5008577665533668E-2</v>
      </c>
      <c r="D187" s="3">
        <f t="shared" si="123"/>
        <v>6.5008577665533668E-2</v>
      </c>
      <c r="E187" s="3">
        <f t="shared" si="123"/>
        <v>6.5008577665533668E-2</v>
      </c>
      <c r="F187" s="3">
        <f t="shared" si="123"/>
        <v>6.5008577665533668E-2</v>
      </c>
      <c r="G187" s="3">
        <f t="shared" si="123"/>
        <v>6.5008577665533668E-2</v>
      </c>
      <c r="H187" s="3">
        <f t="shared" si="123"/>
        <v>6.5008577665533668E-2</v>
      </c>
      <c r="I187" s="3">
        <f t="shared" si="123"/>
        <v>6.5008577665533668E-2</v>
      </c>
      <c r="J187" s="3">
        <f t="shared" si="123"/>
        <v>6.5008577665533668E-2</v>
      </c>
      <c r="K187" s="3">
        <f t="shared" si="123"/>
        <v>6.5008577665533668E-2</v>
      </c>
      <c r="L187" s="3">
        <f t="shared" si="123"/>
        <v>6.5008577665533668E-2</v>
      </c>
      <c r="M187" s="3">
        <f t="shared" si="123"/>
        <v>6.5008577665533668E-2</v>
      </c>
      <c r="N187" s="3">
        <f t="shared" si="123"/>
        <v>6.5008577665533668E-2</v>
      </c>
      <c r="O187" s="3">
        <f t="shared" si="123"/>
        <v>6.5008577665533668E-2</v>
      </c>
      <c r="P187" s="3">
        <f t="shared" si="123"/>
        <v>6.5008577665533668E-2</v>
      </c>
      <c r="Q187" s="3">
        <f t="shared" si="123"/>
        <v>6.5008577665533668E-2</v>
      </c>
      <c r="R187" s="3">
        <f t="shared" si="123"/>
        <v>6.500857766553364E-2</v>
      </c>
      <c r="S187" s="3">
        <f t="shared" si="123"/>
        <v>6.5008577665533404E-2</v>
      </c>
      <c r="T187" s="3">
        <f t="shared" si="123"/>
        <v>6.5008577665531003E-2</v>
      </c>
      <c r="U187" s="3">
        <f t="shared" si="123"/>
        <v>6.5008577665507022E-2</v>
      </c>
      <c r="V187" s="3">
        <f t="shared" si="123"/>
        <v>6.5008577665267242E-2</v>
      </c>
      <c r="W187" s="3">
        <f t="shared" si="123"/>
        <v>6.5008577662869452E-2</v>
      </c>
      <c r="X187" s="3">
        <f t="shared" si="123"/>
        <v>6.5008577638891563E-2</v>
      </c>
      <c r="Y187" s="3">
        <f t="shared" si="123"/>
        <v>6.5008577399112574E-2</v>
      </c>
      <c r="Z187" s="3">
        <f t="shared" si="123"/>
        <v>6.5008575001322733E-2</v>
      </c>
      <c r="AA187" s="3">
        <f t="shared" si="123"/>
        <v>6.5008551023429242E-2</v>
      </c>
      <c r="AB187" s="3">
        <f t="shared" si="123"/>
        <v>6.5008311244980785E-2</v>
      </c>
      <c r="AC187" s="3">
        <f t="shared" si="123"/>
        <v>6.5005913509137758E-2</v>
      </c>
      <c r="AD187" s="3">
        <f t="shared" si="123"/>
        <v>6.4981941014201822E-2</v>
      </c>
      <c r="AE187" s="3">
        <f t="shared" si="123"/>
        <v>6.4742701751210399E-2</v>
      </c>
      <c r="AF187" s="3">
        <f t="shared" si="123"/>
        <v>6.2398221422865267E-2</v>
      </c>
      <c r="AG187" s="3"/>
      <c r="AH187" s="3"/>
    </row>
    <row r="188" spans="2:34" x14ac:dyDescent="0.25">
      <c r="B188" s="3">
        <f t="shared" ref="B188:AF188" si="124">$C35*EXP(-B$168/$A35/EXP(-$C$126))</f>
        <v>4.954350168244695E-2</v>
      </c>
      <c r="C188" s="3">
        <f t="shared" si="124"/>
        <v>4.954350168244695E-2</v>
      </c>
      <c r="D188" s="3">
        <f t="shared" si="124"/>
        <v>4.954350168244695E-2</v>
      </c>
      <c r="E188" s="3">
        <f t="shared" si="124"/>
        <v>4.954350168244695E-2</v>
      </c>
      <c r="F188" s="3">
        <f t="shared" si="124"/>
        <v>4.954350168244695E-2</v>
      </c>
      <c r="G188" s="3">
        <f t="shared" si="124"/>
        <v>4.954350168244695E-2</v>
      </c>
      <c r="H188" s="3">
        <f t="shared" si="124"/>
        <v>4.954350168244695E-2</v>
      </c>
      <c r="I188" s="3">
        <f t="shared" si="124"/>
        <v>4.954350168244695E-2</v>
      </c>
      <c r="J188" s="3">
        <f t="shared" si="124"/>
        <v>4.954350168244695E-2</v>
      </c>
      <c r="K188" s="3">
        <f t="shared" si="124"/>
        <v>4.954350168244695E-2</v>
      </c>
      <c r="L188" s="3">
        <f t="shared" si="124"/>
        <v>4.954350168244695E-2</v>
      </c>
      <c r="M188" s="3">
        <f t="shared" si="124"/>
        <v>4.954350168244695E-2</v>
      </c>
      <c r="N188" s="3">
        <f t="shared" si="124"/>
        <v>4.954350168244695E-2</v>
      </c>
      <c r="O188" s="3">
        <f t="shared" si="124"/>
        <v>4.954350168244695E-2</v>
      </c>
      <c r="P188" s="3">
        <f t="shared" si="124"/>
        <v>4.954350168244695E-2</v>
      </c>
      <c r="Q188" s="3">
        <f t="shared" si="124"/>
        <v>4.954350168244695E-2</v>
      </c>
      <c r="R188" s="3">
        <f t="shared" si="124"/>
        <v>4.954350168244695E-2</v>
      </c>
      <c r="S188" s="3">
        <f t="shared" si="124"/>
        <v>4.9543501682446936E-2</v>
      </c>
      <c r="T188" s="3">
        <f t="shared" si="124"/>
        <v>4.9543501682446769E-2</v>
      </c>
      <c r="U188" s="3">
        <f t="shared" si="124"/>
        <v>4.9543501682445118E-2</v>
      </c>
      <c r="V188" s="3">
        <f t="shared" si="124"/>
        <v>4.9543501682428631E-2</v>
      </c>
      <c r="W188" s="3">
        <f t="shared" si="124"/>
        <v>4.9543501682263791E-2</v>
      </c>
      <c r="X188" s="3">
        <f t="shared" si="124"/>
        <v>4.9543501680615352E-2</v>
      </c>
      <c r="Y188" s="3">
        <f t="shared" si="124"/>
        <v>4.9543501664130921E-2</v>
      </c>
      <c r="Z188" s="3">
        <f t="shared" si="124"/>
        <v>4.9543501499286699E-2</v>
      </c>
      <c r="AA188" s="3">
        <f t="shared" si="124"/>
        <v>4.9543499850844427E-2</v>
      </c>
      <c r="AB188" s="3">
        <f t="shared" si="124"/>
        <v>4.9543483366424786E-2</v>
      </c>
      <c r="AC188" s="3">
        <f t="shared" si="124"/>
        <v>4.9543318522529987E-2</v>
      </c>
      <c r="AD188" s="3">
        <f t="shared" si="124"/>
        <v>4.9541670113748007E-2</v>
      </c>
      <c r="AE188" s="3">
        <f t="shared" si="124"/>
        <v>4.9525189042155637E-2</v>
      </c>
      <c r="AF188" s="3">
        <f t="shared" si="124"/>
        <v>4.9360679577982305E-2</v>
      </c>
      <c r="AG188" s="3"/>
      <c r="AH188" s="3"/>
    </row>
    <row r="189" spans="2:34" x14ac:dyDescent="0.25">
      <c r="B189" s="3">
        <f t="shared" ref="B189:AF189" si="125">$C36*EXP(-B$168/$A36/EXP(-$C$126))</f>
        <v>3.0281570029291476E-2</v>
      </c>
      <c r="C189" s="3">
        <f t="shared" si="125"/>
        <v>3.0281570029291476E-2</v>
      </c>
      <c r="D189" s="3">
        <f t="shared" si="125"/>
        <v>3.0281570029291476E-2</v>
      </c>
      <c r="E189" s="3">
        <f t="shared" si="125"/>
        <v>3.0281570029291476E-2</v>
      </c>
      <c r="F189" s="3">
        <f t="shared" si="125"/>
        <v>3.0281570029291476E-2</v>
      </c>
      <c r="G189" s="3">
        <f t="shared" si="125"/>
        <v>3.0281570029291476E-2</v>
      </c>
      <c r="H189" s="3">
        <f t="shared" si="125"/>
        <v>3.0281570029291476E-2</v>
      </c>
      <c r="I189" s="3">
        <f t="shared" si="125"/>
        <v>3.0281570029291476E-2</v>
      </c>
      <c r="J189" s="3">
        <f t="shared" si="125"/>
        <v>3.0281570029291476E-2</v>
      </c>
      <c r="K189" s="3">
        <f t="shared" si="125"/>
        <v>3.0281570029291476E-2</v>
      </c>
      <c r="L189" s="3">
        <f t="shared" si="125"/>
        <v>3.0281570029291476E-2</v>
      </c>
      <c r="M189" s="3">
        <f t="shared" si="125"/>
        <v>3.0281570029291476E-2</v>
      </c>
      <c r="N189" s="3">
        <f t="shared" si="125"/>
        <v>3.0281570029291476E-2</v>
      </c>
      <c r="O189" s="3">
        <f t="shared" si="125"/>
        <v>3.0281570029291476E-2</v>
      </c>
      <c r="P189" s="3">
        <f t="shared" si="125"/>
        <v>3.0281570029291476E-2</v>
      </c>
      <c r="Q189" s="3">
        <f t="shared" si="125"/>
        <v>3.0281570029291476E-2</v>
      </c>
      <c r="R189" s="3">
        <f t="shared" si="125"/>
        <v>3.0281570029291476E-2</v>
      </c>
      <c r="S189" s="3">
        <f t="shared" si="125"/>
        <v>3.0281570029291476E-2</v>
      </c>
      <c r="T189" s="3">
        <f t="shared" si="125"/>
        <v>3.0281570029291466E-2</v>
      </c>
      <c r="U189" s="3">
        <f t="shared" si="125"/>
        <v>3.0281570029291376E-2</v>
      </c>
      <c r="V189" s="3">
        <f t="shared" si="125"/>
        <v>3.0281570029290467E-2</v>
      </c>
      <c r="W189" s="3">
        <f t="shared" si="125"/>
        <v>3.0281570029281377E-2</v>
      </c>
      <c r="X189" s="3">
        <f t="shared" si="125"/>
        <v>3.0281570029190488E-2</v>
      </c>
      <c r="Y189" s="3">
        <f t="shared" si="125"/>
        <v>3.0281570028281597E-2</v>
      </c>
      <c r="Z189" s="3">
        <f t="shared" si="125"/>
        <v>3.0281570019192683E-2</v>
      </c>
      <c r="AA189" s="3">
        <f t="shared" si="125"/>
        <v>3.0281569928303536E-2</v>
      </c>
      <c r="AB189" s="3">
        <f t="shared" si="125"/>
        <v>3.0281569019412074E-2</v>
      </c>
      <c r="AC189" s="3">
        <f t="shared" si="125"/>
        <v>3.0281559930498973E-2</v>
      </c>
      <c r="AD189" s="3">
        <f t="shared" si="125"/>
        <v>3.0281469041517989E-2</v>
      </c>
      <c r="AE189" s="3">
        <f t="shared" si="125"/>
        <v>3.028056016671201E-2</v>
      </c>
      <c r="AF189" s="3">
        <f t="shared" si="125"/>
        <v>3.0271472918871636E-2</v>
      </c>
      <c r="AG189" s="3"/>
      <c r="AH189" s="3"/>
    </row>
    <row r="190" spans="2:34" x14ac:dyDescent="0.25">
      <c r="B190" s="3">
        <f t="shared" ref="B190:AF190" si="126">$C37*EXP(-B$168/$A37/EXP(-$C$126))</f>
        <v>1.5838845962715554E-2</v>
      </c>
      <c r="C190" s="3">
        <f t="shared" si="126"/>
        <v>1.5838845962715554E-2</v>
      </c>
      <c r="D190" s="3">
        <f t="shared" si="126"/>
        <v>1.5838845962715554E-2</v>
      </c>
      <c r="E190" s="3">
        <f t="shared" si="126"/>
        <v>1.5838845962715554E-2</v>
      </c>
      <c r="F190" s="3">
        <f t="shared" si="126"/>
        <v>1.5838845962715554E-2</v>
      </c>
      <c r="G190" s="3">
        <f t="shared" si="126"/>
        <v>1.5838845962715554E-2</v>
      </c>
      <c r="H190" s="3">
        <f t="shared" si="126"/>
        <v>1.5838845962715554E-2</v>
      </c>
      <c r="I190" s="3">
        <f t="shared" si="126"/>
        <v>1.5838845962715554E-2</v>
      </c>
      <c r="J190" s="3">
        <f t="shared" si="126"/>
        <v>1.5838845962715554E-2</v>
      </c>
      <c r="K190" s="3">
        <f t="shared" si="126"/>
        <v>1.5838845962715554E-2</v>
      </c>
      <c r="L190" s="3">
        <f t="shared" si="126"/>
        <v>1.5838845962715554E-2</v>
      </c>
      <c r="M190" s="3">
        <f t="shared" si="126"/>
        <v>1.5838845962715554E-2</v>
      </c>
      <c r="N190" s="3">
        <f t="shared" si="126"/>
        <v>1.5838845962715554E-2</v>
      </c>
      <c r="O190" s="3">
        <f t="shared" si="126"/>
        <v>1.5838845962715554E-2</v>
      </c>
      <c r="P190" s="3">
        <f t="shared" si="126"/>
        <v>1.5838845962715554E-2</v>
      </c>
      <c r="Q190" s="3">
        <f t="shared" si="126"/>
        <v>1.5838845962715554E-2</v>
      </c>
      <c r="R190" s="3">
        <f t="shared" si="126"/>
        <v>1.5838845962715554E-2</v>
      </c>
      <c r="S190" s="3">
        <f t="shared" si="126"/>
        <v>1.5838845962715554E-2</v>
      </c>
      <c r="T190" s="3">
        <f t="shared" si="126"/>
        <v>1.5838845962715554E-2</v>
      </c>
      <c r="U190" s="3">
        <f t="shared" si="126"/>
        <v>1.5838845962715547E-2</v>
      </c>
      <c r="V190" s="3">
        <f t="shared" si="126"/>
        <v>1.5838845962715505E-2</v>
      </c>
      <c r="W190" s="3">
        <f t="shared" si="126"/>
        <v>1.5838845962715078E-2</v>
      </c>
      <c r="X190" s="3">
        <f t="shared" si="126"/>
        <v>1.5838845962710787E-2</v>
      </c>
      <c r="Y190" s="3">
        <f t="shared" si="126"/>
        <v>1.5838845962667904E-2</v>
      </c>
      <c r="Z190" s="3">
        <f t="shared" si="126"/>
        <v>1.5838845962239056E-2</v>
      </c>
      <c r="AA190" s="3">
        <f t="shared" si="126"/>
        <v>1.5838845957950574E-2</v>
      </c>
      <c r="AB190" s="3">
        <f t="shared" si="126"/>
        <v>1.5838845915065736E-2</v>
      </c>
      <c r="AC190" s="3">
        <f t="shared" si="126"/>
        <v>1.5838845486217366E-2</v>
      </c>
      <c r="AD190" s="3">
        <f t="shared" si="126"/>
        <v>1.5838841197734332E-2</v>
      </c>
      <c r="AE190" s="3">
        <f t="shared" si="126"/>
        <v>1.5838798312967823E-2</v>
      </c>
      <c r="AF190" s="3">
        <f t="shared" si="126"/>
        <v>1.5838369471688946E-2</v>
      </c>
      <c r="AG190" s="3"/>
      <c r="AH190" s="3"/>
    </row>
    <row r="191" spans="2:34" x14ac:dyDescent="0.25">
      <c r="B191" s="3">
        <f t="shared" ref="B191:AF191" si="127">$C38*EXP(-B$168/$A38/EXP(-$C$126))</f>
        <v>5.1881409706128322E-3</v>
      </c>
      <c r="C191" s="3">
        <f t="shared" si="127"/>
        <v>5.1881409706128322E-3</v>
      </c>
      <c r="D191" s="3">
        <f t="shared" si="127"/>
        <v>5.1881409706128322E-3</v>
      </c>
      <c r="E191" s="3">
        <f t="shared" si="127"/>
        <v>5.1881409706128322E-3</v>
      </c>
      <c r="F191" s="3">
        <f t="shared" si="127"/>
        <v>5.1881409706128322E-3</v>
      </c>
      <c r="G191" s="3">
        <f t="shared" si="127"/>
        <v>5.1881409706128322E-3</v>
      </c>
      <c r="H191" s="3">
        <f t="shared" si="127"/>
        <v>5.1881409706128322E-3</v>
      </c>
      <c r="I191" s="3">
        <f t="shared" si="127"/>
        <v>5.1881409706128322E-3</v>
      </c>
      <c r="J191" s="3">
        <f t="shared" si="127"/>
        <v>5.1881409706128322E-3</v>
      </c>
      <c r="K191" s="3">
        <f t="shared" si="127"/>
        <v>5.1881409706128322E-3</v>
      </c>
      <c r="L191" s="3">
        <f t="shared" si="127"/>
        <v>5.1881409706128322E-3</v>
      </c>
      <c r="M191" s="3">
        <f t="shared" si="127"/>
        <v>5.1881409706128322E-3</v>
      </c>
      <c r="N191" s="3">
        <f t="shared" si="127"/>
        <v>5.1881409706128322E-3</v>
      </c>
      <c r="O191" s="3">
        <f t="shared" si="127"/>
        <v>5.1881409706128322E-3</v>
      </c>
      <c r="P191" s="3">
        <f t="shared" si="127"/>
        <v>5.1881409706128322E-3</v>
      </c>
      <c r="Q191" s="3">
        <f t="shared" si="127"/>
        <v>5.1881409706128322E-3</v>
      </c>
      <c r="R191" s="3">
        <f t="shared" si="127"/>
        <v>5.1881409706128322E-3</v>
      </c>
      <c r="S191" s="3">
        <f t="shared" si="127"/>
        <v>5.1881409706128322E-3</v>
      </c>
      <c r="T191" s="3">
        <f t="shared" si="127"/>
        <v>5.1881409706128322E-3</v>
      </c>
      <c r="U191" s="3">
        <f t="shared" si="127"/>
        <v>5.1881409706128322E-3</v>
      </c>
      <c r="V191" s="3">
        <f t="shared" si="127"/>
        <v>5.1881409706128314E-3</v>
      </c>
      <c r="W191" s="3">
        <f t="shared" si="127"/>
        <v>5.1881409706128184E-3</v>
      </c>
      <c r="X191" s="3">
        <f t="shared" si="127"/>
        <v>5.1881409706126917E-3</v>
      </c>
      <c r="Y191" s="3">
        <f t="shared" si="127"/>
        <v>5.1881409706114245E-3</v>
      </c>
      <c r="Z191" s="3">
        <f t="shared" si="127"/>
        <v>5.1881409705987524E-3</v>
      </c>
      <c r="AA191" s="3">
        <f t="shared" si="127"/>
        <v>5.1881409704720343E-3</v>
      </c>
      <c r="AB191" s="3">
        <f t="shared" si="127"/>
        <v>5.1881409692048535E-3</v>
      </c>
      <c r="AC191" s="3">
        <f t="shared" si="127"/>
        <v>5.1881409565330454E-3</v>
      </c>
      <c r="AD191" s="3">
        <f t="shared" si="127"/>
        <v>5.1881408298149649E-3</v>
      </c>
      <c r="AE191" s="3">
        <f t="shared" si="127"/>
        <v>5.1881395626343302E-3</v>
      </c>
      <c r="AF191" s="3">
        <f t="shared" si="127"/>
        <v>5.1881268908450023E-3</v>
      </c>
      <c r="AG191" s="3"/>
      <c r="AH191" s="3"/>
    </row>
    <row r="192" spans="2:34" x14ac:dyDescent="0.25">
      <c r="B192" s="3">
        <f t="shared" ref="B192:AF192" si="128">$C39*EXP(-B$168/$A39/EXP(-$C$126))</f>
        <v>3.8617191328215671E-3</v>
      </c>
      <c r="C192" s="3">
        <f t="shared" si="128"/>
        <v>3.8617191328215671E-3</v>
      </c>
      <c r="D192" s="3">
        <f t="shared" si="128"/>
        <v>3.8617191328215671E-3</v>
      </c>
      <c r="E192" s="3">
        <f t="shared" si="128"/>
        <v>3.8617191328215671E-3</v>
      </c>
      <c r="F192" s="3">
        <f t="shared" si="128"/>
        <v>3.8617191328215671E-3</v>
      </c>
      <c r="G192" s="3">
        <f t="shared" si="128"/>
        <v>3.8617191328215671E-3</v>
      </c>
      <c r="H192" s="3">
        <f t="shared" si="128"/>
        <v>3.8617191328215671E-3</v>
      </c>
      <c r="I192" s="3">
        <f t="shared" si="128"/>
        <v>3.8617191328215671E-3</v>
      </c>
      <c r="J192" s="3">
        <f t="shared" si="128"/>
        <v>3.8617191328215671E-3</v>
      </c>
      <c r="K192" s="3">
        <f t="shared" si="128"/>
        <v>3.8617191328215671E-3</v>
      </c>
      <c r="L192" s="3">
        <f t="shared" si="128"/>
        <v>3.8617191328215671E-3</v>
      </c>
      <c r="M192" s="3">
        <f t="shared" si="128"/>
        <v>3.8617191328215671E-3</v>
      </c>
      <c r="N192" s="3">
        <f t="shared" si="128"/>
        <v>3.8617191328215671E-3</v>
      </c>
      <c r="O192" s="3">
        <f t="shared" si="128"/>
        <v>3.8617191328215671E-3</v>
      </c>
      <c r="P192" s="3">
        <f t="shared" si="128"/>
        <v>3.8617191328215671E-3</v>
      </c>
      <c r="Q192" s="3">
        <f t="shared" si="128"/>
        <v>3.8617191328215671E-3</v>
      </c>
      <c r="R192" s="3">
        <f t="shared" si="128"/>
        <v>3.8617191328215671E-3</v>
      </c>
      <c r="S192" s="3">
        <f t="shared" si="128"/>
        <v>3.8617191328215671E-3</v>
      </c>
      <c r="T192" s="3">
        <f t="shared" si="128"/>
        <v>3.8617191328215671E-3</v>
      </c>
      <c r="U192" s="3">
        <f t="shared" si="128"/>
        <v>3.8617191328215671E-3</v>
      </c>
      <c r="V192" s="3">
        <f t="shared" si="128"/>
        <v>3.8617191328215667E-3</v>
      </c>
      <c r="W192" s="3">
        <f t="shared" si="128"/>
        <v>3.8617191328215641E-3</v>
      </c>
      <c r="X192" s="3">
        <f t="shared" si="128"/>
        <v>3.8617191328215381E-3</v>
      </c>
      <c r="Y192" s="3">
        <f t="shared" si="128"/>
        <v>3.8617191328212774E-3</v>
      </c>
      <c r="Z192" s="3">
        <f t="shared" si="128"/>
        <v>3.8617191328186684E-3</v>
      </c>
      <c r="AA192" s="3">
        <f t="shared" si="128"/>
        <v>3.8617191327925821E-3</v>
      </c>
      <c r="AB192" s="3">
        <f t="shared" si="128"/>
        <v>3.8617191325317139E-3</v>
      </c>
      <c r="AC192" s="3">
        <f t="shared" si="128"/>
        <v>3.8617191299230363E-3</v>
      </c>
      <c r="AD192" s="3">
        <f t="shared" si="128"/>
        <v>3.8617191038362634E-3</v>
      </c>
      <c r="AE192" s="3">
        <f t="shared" si="128"/>
        <v>3.8617188429685375E-3</v>
      </c>
      <c r="AF192" s="3">
        <f t="shared" si="128"/>
        <v>3.8617162342922499E-3</v>
      </c>
      <c r="AG192" s="3"/>
      <c r="AH192" s="3"/>
    </row>
    <row r="193" spans="1:34" x14ac:dyDescent="0.25">
      <c r="B193" s="3">
        <f t="shared" ref="B193:AF193" si="129">$C40*EXP(-B$168/$A40/EXP(-$C$126))</f>
        <v>3.0600017424879029E-3</v>
      </c>
      <c r="C193" s="3">
        <f t="shared" si="129"/>
        <v>3.0600017424879029E-3</v>
      </c>
      <c r="D193" s="3">
        <f t="shared" si="129"/>
        <v>3.0600017424879029E-3</v>
      </c>
      <c r="E193" s="3">
        <f t="shared" si="129"/>
        <v>3.0600017424879029E-3</v>
      </c>
      <c r="F193" s="3">
        <f t="shared" si="129"/>
        <v>3.0600017424879029E-3</v>
      </c>
      <c r="G193" s="3">
        <f t="shared" si="129"/>
        <v>3.0600017424879029E-3</v>
      </c>
      <c r="H193" s="3">
        <f t="shared" si="129"/>
        <v>3.0600017424879029E-3</v>
      </c>
      <c r="I193" s="3">
        <f t="shared" si="129"/>
        <v>3.0600017424879029E-3</v>
      </c>
      <c r="J193" s="3">
        <f t="shared" si="129"/>
        <v>3.0600017424879029E-3</v>
      </c>
      <c r="K193" s="3">
        <f t="shared" si="129"/>
        <v>3.0600017424879029E-3</v>
      </c>
      <c r="L193" s="3">
        <f t="shared" si="129"/>
        <v>3.0600017424879029E-3</v>
      </c>
      <c r="M193" s="3">
        <f t="shared" si="129"/>
        <v>3.0600017424879029E-3</v>
      </c>
      <c r="N193" s="3">
        <f t="shared" si="129"/>
        <v>3.0600017424879029E-3</v>
      </c>
      <c r="O193" s="3">
        <f t="shared" si="129"/>
        <v>3.0600017424879029E-3</v>
      </c>
      <c r="P193" s="3">
        <f t="shared" si="129"/>
        <v>3.0600017424879029E-3</v>
      </c>
      <c r="Q193" s="3">
        <f t="shared" si="129"/>
        <v>3.0600017424879029E-3</v>
      </c>
      <c r="R193" s="3">
        <f t="shared" si="129"/>
        <v>3.0600017424879029E-3</v>
      </c>
      <c r="S193" s="3">
        <f t="shared" si="129"/>
        <v>3.0600017424879029E-3</v>
      </c>
      <c r="T193" s="3">
        <f t="shared" si="129"/>
        <v>3.0600017424879029E-3</v>
      </c>
      <c r="U193" s="3">
        <f t="shared" si="129"/>
        <v>3.0600017424879029E-3</v>
      </c>
      <c r="V193" s="3">
        <f t="shared" si="129"/>
        <v>3.0600017424879029E-3</v>
      </c>
      <c r="W193" s="3">
        <f t="shared" si="129"/>
        <v>3.0600017424879025E-3</v>
      </c>
      <c r="X193" s="3">
        <f t="shared" si="129"/>
        <v>3.0600017424879007E-3</v>
      </c>
      <c r="Y193" s="3">
        <f t="shared" si="129"/>
        <v>3.0600017424878799E-3</v>
      </c>
      <c r="Z193" s="3">
        <f t="shared" si="129"/>
        <v>3.060001742487673E-3</v>
      </c>
      <c r="AA193" s="3">
        <f t="shared" si="129"/>
        <v>3.0600017424856061E-3</v>
      </c>
      <c r="AB193" s="3">
        <f t="shared" si="129"/>
        <v>3.0600017424649351E-3</v>
      </c>
      <c r="AC193" s="3">
        <f t="shared" si="129"/>
        <v>3.0600017422582251E-3</v>
      </c>
      <c r="AD193" s="3">
        <f t="shared" si="129"/>
        <v>3.0600017401911255E-3</v>
      </c>
      <c r="AE193" s="3">
        <f t="shared" si="129"/>
        <v>3.060001719520132E-3</v>
      </c>
      <c r="AF193" s="3">
        <f t="shared" si="129"/>
        <v>3.0600015128102011E-3</v>
      </c>
      <c r="AG193" s="3"/>
      <c r="AH193" s="3"/>
    </row>
    <row r="194" spans="1:34" x14ac:dyDescent="0.25">
      <c r="B194" s="3">
        <f t="shared" ref="B194:AF194" si="130">$C41*EXP(-B$168/$A41/EXP(-$C$126))</f>
        <v>1.8593150246318942E-3</v>
      </c>
      <c r="C194" s="3">
        <f t="shared" si="130"/>
        <v>1.8593150246318942E-3</v>
      </c>
      <c r="D194" s="3">
        <f t="shared" si="130"/>
        <v>1.8593150246318942E-3</v>
      </c>
      <c r="E194" s="3">
        <f t="shared" si="130"/>
        <v>1.8593150246318942E-3</v>
      </c>
      <c r="F194" s="3">
        <f t="shared" si="130"/>
        <v>1.8593150246318942E-3</v>
      </c>
      <c r="G194" s="3">
        <f t="shared" si="130"/>
        <v>1.8593150246318942E-3</v>
      </c>
      <c r="H194" s="3">
        <f t="shared" si="130"/>
        <v>1.8593150246318942E-3</v>
      </c>
      <c r="I194" s="3">
        <f t="shared" si="130"/>
        <v>1.8593150246318942E-3</v>
      </c>
      <c r="J194" s="3">
        <f t="shared" si="130"/>
        <v>1.8593150246318942E-3</v>
      </c>
      <c r="K194" s="3">
        <f t="shared" si="130"/>
        <v>1.8593150246318942E-3</v>
      </c>
      <c r="L194" s="3">
        <f t="shared" si="130"/>
        <v>1.8593150246318942E-3</v>
      </c>
      <c r="M194" s="3">
        <f t="shared" si="130"/>
        <v>1.8593150246318942E-3</v>
      </c>
      <c r="N194" s="3">
        <f t="shared" si="130"/>
        <v>1.8593150246318942E-3</v>
      </c>
      <c r="O194" s="3">
        <f t="shared" si="130"/>
        <v>1.8593150246318942E-3</v>
      </c>
      <c r="P194" s="3">
        <f t="shared" si="130"/>
        <v>1.8593150246318942E-3</v>
      </c>
      <c r="Q194" s="3">
        <f t="shared" si="130"/>
        <v>1.8593150246318942E-3</v>
      </c>
      <c r="R194" s="3">
        <f t="shared" si="130"/>
        <v>1.8593150246318942E-3</v>
      </c>
      <c r="S194" s="3">
        <f t="shared" si="130"/>
        <v>1.8593150246318942E-3</v>
      </c>
      <c r="T194" s="3">
        <f t="shared" si="130"/>
        <v>1.8593150246318942E-3</v>
      </c>
      <c r="U194" s="3">
        <f t="shared" si="130"/>
        <v>1.8593150246318942E-3</v>
      </c>
      <c r="V194" s="3">
        <f t="shared" si="130"/>
        <v>1.8593150246318942E-3</v>
      </c>
      <c r="W194" s="3">
        <f t="shared" si="130"/>
        <v>1.8593150246318942E-3</v>
      </c>
      <c r="X194" s="3">
        <f t="shared" si="130"/>
        <v>1.859315024631894E-3</v>
      </c>
      <c r="Y194" s="3">
        <f t="shared" si="130"/>
        <v>1.8593150246318927E-3</v>
      </c>
      <c r="Z194" s="3">
        <f t="shared" si="130"/>
        <v>1.8593150246318801E-3</v>
      </c>
      <c r="AA194" s="3">
        <f t="shared" si="130"/>
        <v>1.8593150246317546E-3</v>
      </c>
      <c r="AB194" s="3">
        <f t="shared" si="130"/>
        <v>1.8593150246304987E-3</v>
      </c>
      <c r="AC194" s="3">
        <f t="shared" si="130"/>
        <v>1.8593150246179386E-3</v>
      </c>
      <c r="AD194" s="3">
        <f t="shared" si="130"/>
        <v>1.8593150244923377E-3</v>
      </c>
      <c r="AE194" s="3">
        <f t="shared" si="130"/>
        <v>1.8593150232363289E-3</v>
      </c>
      <c r="AF194" s="3">
        <f t="shared" si="130"/>
        <v>1.8593150106762416E-3</v>
      </c>
      <c r="AG194" s="3"/>
      <c r="AH194" s="3"/>
    </row>
    <row r="195" spans="1:34" x14ac:dyDescent="0.25">
      <c r="B195" s="3">
        <f t="shared" ref="B195:AF195" si="131">$C42*EXP(-B$168/$A42/EXP(-$C$126))</f>
        <v>1.0289911498978865E-4</v>
      </c>
      <c r="C195" s="3">
        <f t="shared" si="131"/>
        <v>1.0289911498978865E-4</v>
      </c>
      <c r="D195" s="3">
        <f t="shared" si="131"/>
        <v>1.0289911498978865E-4</v>
      </c>
      <c r="E195" s="3">
        <f t="shared" si="131"/>
        <v>1.0289911498978865E-4</v>
      </c>
      <c r="F195" s="3">
        <f t="shared" si="131"/>
        <v>1.0289911498978865E-4</v>
      </c>
      <c r="G195" s="3">
        <f t="shared" si="131"/>
        <v>1.0289911498978865E-4</v>
      </c>
      <c r="H195" s="3">
        <f t="shared" si="131"/>
        <v>1.0289911498978865E-4</v>
      </c>
      <c r="I195" s="3">
        <f t="shared" si="131"/>
        <v>1.0289911498978865E-4</v>
      </c>
      <c r="J195" s="3">
        <f t="shared" si="131"/>
        <v>1.0289911498978865E-4</v>
      </c>
      <c r="K195" s="3">
        <f t="shared" si="131"/>
        <v>1.0289911498978865E-4</v>
      </c>
      <c r="L195" s="3">
        <f t="shared" si="131"/>
        <v>1.0289911498978865E-4</v>
      </c>
      <c r="M195" s="3">
        <f t="shared" si="131"/>
        <v>1.0289911498978865E-4</v>
      </c>
      <c r="N195" s="3">
        <f t="shared" si="131"/>
        <v>1.0289911498978865E-4</v>
      </c>
      <c r="O195" s="3">
        <f t="shared" si="131"/>
        <v>1.0289911498978865E-4</v>
      </c>
      <c r="P195" s="3">
        <f t="shared" si="131"/>
        <v>1.0289911498978865E-4</v>
      </c>
      <c r="Q195" s="3">
        <f t="shared" si="131"/>
        <v>1.0289911498978865E-4</v>
      </c>
      <c r="R195" s="3">
        <f t="shared" si="131"/>
        <v>1.0289911498978865E-4</v>
      </c>
      <c r="S195" s="3">
        <f t="shared" si="131"/>
        <v>1.0289911498978865E-4</v>
      </c>
      <c r="T195" s="3">
        <f t="shared" si="131"/>
        <v>1.0289911498978865E-4</v>
      </c>
      <c r="U195" s="3">
        <f t="shared" si="131"/>
        <v>1.0289911498978865E-4</v>
      </c>
      <c r="V195" s="3">
        <f t="shared" si="131"/>
        <v>1.0289911498978865E-4</v>
      </c>
      <c r="W195" s="3">
        <f t="shared" si="131"/>
        <v>1.0289911498978865E-4</v>
      </c>
      <c r="X195" s="3">
        <f t="shared" si="131"/>
        <v>1.0289911498978865E-4</v>
      </c>
      <c r="Y195" s="3">
        <f t="shared" si="131"/>
        <v>1.0289911498978864E-4</v>
      </c>
      <c r="Z195" s="3">
        <f t="shared" si="131"/>
        <v>1.0289911498978857E-4</v>
      </c>
      <c r="AA195" s="3">
        <f t="shared" si="131"/>
        <v>1.0289911498978788E-4</v>
      </c>
      <c r="AB195" s="3">
        <f t="shared" si="131"/>
        <v>1.0289911498978093E-4</v>
      </c>
      <c r="AC195" s="3">
        <f t="shared" si="131"/>
        <v>1.0289911498971142E-4</v>
      </c>
      <c r="AD195" s="3">
        <f t="shared" si="131"/>
        <v>1.0289911498901632E-4</v>
      </c>
      <c r="AE195" s="3">
        <f t="shared" si="131"/>
        <v>1.0289911498206524E-4</v>
      </c>
      <c r="AF195" s="3">
        <f t="shared" si="131"/>
        <v>1.028991149125546E-4</v>
      </c>
      <c r="AG195" s="3"/>
      <c r="AH195" s="3"/>
    </row>
    <row r="196" spans="1:34" x14ac:dyDescent="0.25">
      <c r="B196" s="3">
        <f t="shared" ref="B196:AF196" si="132">$C43*EXP(-B$168/$A43/EXP(-$C$126))</f>
        <v>3.4301074619822757E-3</v>
      </c>
      <c r="C196" s="3">
        <f t="shared" si="132"/>
        <v>3.4301074619822757E-3</v>
      </c>
      <c r="D196" s="3">
        <f t="shared" si="132"/>
        <v>3.4301074619822757E-3</v>
      </c>
      <c r="E196" s="3">
        <f t="shared" si="132"/>
        <v>3.4301074619822757E-3</v>
      </c>
      <c r="F196" s="3">
        <f t="shared" si="132"/>
        <v>3.4301074619822757E-3</v>
      </c>
      <c r="G196" s="3">
        <f t="shared" si="132"/>
        <v>3.4301074619822757E-3</v>
      </c>
      <c r="H196" s="3">
        <f t="shared" si="132"/>
        <v>3.4301074619822757E-3</v>
      </c>
      <c r="I196" s="3">
        <f t="shared" si="132"/>
        <v>3.4301074619822757E-3</v>
      </c>
      <c r="J196" s="3">
        <f t="shared" si="132"/>
        <v>3.4301074619822757E-3</v>
      </c>
      <c r="K196" s="3">
        <f t="shared" si="132"/>
        <v>3.4301074619822757E-3</v>
      </c>
      <c r="L196" s="3">
        <f t="shared" si="132"/>
        <v>3.4301074619822757E-3</v>
      </c>
      <c r="M196" s="3">
        <f t="shared" si="132"/>
        <v>3.4301074619822757E-3</v>
      </c>
      <c r="N196" s="3">
        <f t="shared" si="132"/>
        <v>3.4301074619822757E-3</v>
      </c>
      <c r="O196" s="3">
        <f t="shared" si="132"/>
        <v>3.4301074619822757E-3</v>
      </c>
      <c r="P196" s="3">
        <f t="shared" si="132"/>
        <v>3.4301074619822757E-3</v>
      </c>
      <c r="Q196" s="3">
        <f t="shared" si="132"/>
        <v>3.4301074619822757E-3</v>
      </c>
      <c r="R196" s="3">
        <f t="shared" si="132"/>
        <v>3.4301074619822757E-3</v>
      </c>
      <c r="S196" s="3">
        <f t="shared" si="132"/>
        <v>3.4301074619822757E-3</v>
      </c>
      <c r="T196" s="3">
        <f t="shared" si="132"/>
        <v>3.4301074619822757E-3</v>
      </c>
      <c r="U196" s="3">
        <f t="shared" si="132"/>
        <v>3.4301074619822757E-3</v>
      </c>
      <c r="V196" s="3">
        <f t="shared" si="132"/>
        <v>3.4301074619822757E-3</v>
      </c>
      <c r="W196" s="3">
        <f t="shared" si="132"/>
        <v>3.4301074619822757E-3</v>
      </c>
      <c r="X196" s="3">
        <f t="shared" si="132"/>
        <v>3.4301074619822757E-3</v>
      </c>
      <c r="Y196" s="3">
        <f t="shared" si="132"/>
        <v>3.4301074619822757E-3</v>
      </c>
      <c r="Z196" s="3">
        <f t="shared" si="132"/>
        <v>3.4301074619822753E-3</v>
      </c>
      <c r="AA196" s="3">
        <f t="shared" si="132"/>
        <v>3.4301074619822731E-3</v>
      </c>
      <c r="AB196" s="3">
        <f t="shared" si="132"/>
        <v>3.4301074619822497E-3</v>
      </c>
      <c r="AC196" s="3">
        <f t="shared" si="132"/>
        <v>3.4301074619820181E-3</v>
      </c>
      <c r="AD196" s="3">
        <f t="shared" si="132"/>
        <v>3.430107461979701E-3</v>
      </c>
      <c r="AE196" s="3">
        <f t="shared" si="132"/>
        <v>3.4301074619565303E-3</v>
      </c>
      <c r="AF196" s="3">
        <f t="shared" si="132"/>
        <v>3.4301074617248185E-3</v>
      </c>
      <c r="AG196" s="3"/>
      <c r="AH196" s="3"/>
    </row>
    <row r="197" spans="1:34" x14ac:dyDescent="0.25">
      <c r="B197" s="3">
        <f t="shared" ref="B197:AF197" si="133">$C44*EXP(-B$168/$A44/EXP(-$C$126))</f>
        <v>1.0099566360327609E-4</v>
      </c>
      <c r="C197" s="3">
        <f t="shared" si="133"/>
        <v>1.0099566360327609E-4</v>
      </c>
      <c r="D197" s="3">
        <f t="shared" si="133"/>
        <v>1.0099566360327609E-4</v>
      </c>
      <c r="E197" s="3">
        <f t="shared" si="133"/>
        <v>1.0099566360327609E-4</v>
      </c>
      <c r="F197" s="3">
        <f t="shared" si="133"/>
        <v>1.0099566360327609E-4</v>
      </c>
      <c r="G197" s="3">
        <f t="shared" si="133"/>
        <v>1.0099566360327609E-4</v>
      </c>
      <c r="H197" s="3">
        <f t="shared" si="133"/>
        <v>1.0099566360327609E-4</v>
      </c>
      <c r="I197" s="3">
        <f t="shared" si="133"/>
        <v>1.0099566360327609E-4</v>
      </c>
      <c r="J197" s="3">
        <f t="shared" si="133"/>
        <v>1.0099566360327609E-4</v>
      </c>
      <c r="K197" s="3">
        <f t="shared" si="133"/>
        <v>1.0099566360327609E-4</v>
      </c>
      <c r="L197" s="3">
        <f t="shared" si="133"/>
        <v>1.0099566360327609E-4</v>
      </c>
      <c r="M197" s="3">
        <f t="shared" si="133"/>
        <v>1.0099566360327609E-4</v>
      </c>
      <c r="N197" s="3">
        <f t="shared" si="133"/>
        <v>1.0099566360327609E-4</v>
      </c>
      <c r="O197" s="3">
        <f t="shared" si="133"/>
        <v>1.0099566360327609E-4</v>
      </c>
      <c r="P197" s="3">
        <f t="shared" si="133"/>
        <v>1.0099566360327609E-4</v>
      </c>
      <c r="Q197" s="3">
        <f t="shared" si="133"/>
        <v>1.0099566360327609E-4</v>
      </c>
      <c r="R197" s="3">
        <f t="shared" si="133"/>
        <v>1.0099566360327609E-4</v>
      </c>
      <c r="S197" s="3">
        <f t="shared" si="133"/>
        <v>1.0099566360327609E-4</v>
      </c>
      <c r="T197" s="3">
        <f t="shared" si="133"/>
        <v>1.0099566360327609E-4</v>
      </c>
      <c r="U197" s="3">
        <f t="shared" si="133"/>
        <v>1.0099566360327609E-4</v>
      </c>
      <c r="V197" s="3">
        <f t="shared" si="133"/>
        <v>1.0099566360327609E-4</v>
      </c>
      <c r="W197" s="3">
        <f t="shared" si="133"/>
        <v>1.0099566360327609E-4</v>
      </c>
      <c r="X197" s="3">
        <f t="shared" si="133"/>
        <v>1.0099566360327609E-4</v>
      </c>
      <c r="Y197" s="3">
        <f t="shared" si="133"/>
        <v>1.0099566360327609E-4</v>
      </c>
      <c r="Z197" s="3">
        <f t="shared" si="133"/>
        <v>1.0099566360327609E-4</v>
      </c>
      <c r="AA197" s="3">
        <f t="shared" si="133"/>
        <v>1.0099566360327608E-4</v>
      </c>
      <c r="AB197" s="3">
        <f t="shared" si="133"/>
        <v>1.0099566360327601E-4</v>
      </c>
      <c r="AC197" s="3">
        <f t="shared" si="133"/>
        <v>1.0099566360327534E-4</v>
      </c>
      <c r="AD197" s="3">
        <f t="shared" si="133"/>
        <v>1.0099566360326852E-4</v>
      </c>
      <c r="AE197" s="3">
        <f t="shared" si="133"/>
        <v>1.0099566360320028E-4</v>
      </c>
      <c r="AF197" s="3">
        <f t="shared" si="133"/>
        <v>1.0099566360251805E-4</v>
      </c>
      <c r="AG197" s="3"/>
      <c r="AH197" s="3"/>
    </row>
    <row r="198" spans="1:34" x14ac:dyDescent="0.25">
      <c r="B198" s="3">
        <f t="shared" ref="B198:AF198" si="134">$C45*EXP(-B$168/$A45/EXP(-$C$126))</f>
        <v>2.8535751866135694E-4</v>
      </c>
      <c r="C198" s="3">
        <f t="shared" si="134"/>
        <v>2.8535751866135694E-4</v>
      </c>
      <c r="D198" s="3">
        <f t="shared" si="134"/>
        <v>2.8535751866135694E-4</v>
      </c>
      <c r="E198" s="3">
        <f t="shared" si="134"/>
        <v>2.8535751866135694E-4</v>
      </c>
      <c r="F198" s="3">
        <f t="shared" si="134"/>
        <v>2.8535751866135694E-4</v>
      </c>
      <c r="G198" s="3">
        <f t="shared" si="134"/>
        <v>2.8535751866135694E-4</v>
      </c>
      <c r="H198" s="3">
        <f t="shared" si="134"/>
        <v>2.8535751866135694E-4</v>
      </c>
      <c r="I198" s="3">
        <f t="shared" si="134"/>
        <v>2.8535751866135694E-4</v>
      </c>
      <c r="J198" s="3">
        <f t="shared" si="134"/>
        <v>2.8535751866135694E-4</v>
      </c>
      <c r="K198" s="3">
        <f t="shared" si="134"/>
        <v>2.8535751866135694E-4</v>
      </c>
      <c r="L198" s="3">
        <f t="shared" si="134"/>
        <v>2.8535751866135694E-4</v>
      </c>
      <c r="M198" s="3">
        <f t="shared" si="134"/>
        <v>2.8535751866135694E-4</v>
      </c>
      <c r="N198" s="3">
        <f t="shared" si="134"/>
        <v>2.8535751866135694E-4</v>
      </c>
      <c r="O198" s="3">
        <f t="shared" si="134"/>
        <v>2.8535751866135694E-4</v>
      </c>
      <c r="P198" s="3">
        <f t="shared" si="134"/>
        <v>2.8535751866135694E-4</v>
      </c>
      <c r="Q198" s="3">
        <f t="shared" si="134"/>
        <v>2.8535751866135694E-4</v>
      </c>
      <c r="R198" s="3">
        <f t="shared" si="134"/>
        <v>2.8535751866135694E-4</v>
      </c>
      <c r="S198" s="3">
        <f t="shared" si="134"/>
        <v>2.8535751866135694E-4</v>
      </c>
      <c r="T198" s="3">
        <f t="shared" si="134"/>
        <v>2.8535751866135694E-4</v>
      </c>
      <c r="U198" s="3">
        <f t="shared" si="134"/>
        <v>2.8535751866135694E-4</v>
      </c>
      <c r="V198" s="3">
        <f t="shared" si="134"/>
        <v>2.8535751866135694E-4</v>
      </c>
      <c r="W198" s="3">
        <f t="shared" si="134"/>
        <v>2.8535751866135694E-4</v>
      </c>
      <c r="X198" s="3">
        <f t="shared" si="134"/>
        <v>2.8535751866135694E-4</v>
      </c>
      <c r="Y198" s="3">
        <f t="shared" si="134"/>
        <v>2.8535751866135694E-4</v>
      </c>
      <c r="Z198" s="3">
        <f t="shared" si="134"/>
        <v>2.8535751866135694E-4</v>
      </c>
      <c r="AA198" s="3">
        <f t="shared" si="134"/>
        <v>2.8535751866135694E-4</v>
      </c>
      <c r="AB198" s="3">
        <f t="shared" si="134"/>
        <v>2.8535751866135689E-4</v>
      </c>
      <c r="AC198" s="3">
        <f t="shared" si="134"/>
        <v>2.8535751866135673E-4</v>
      </c>
      <c r="AD198" s="3">
        <f t="shared" si="134"/>
        <v>2.8535751866135478E-4</v>
      </c>
      <c r="AE198" s="3">
        <f t="shared" si="134"/>
        <v>2.8535751866133553E-4</v>
      </c>
      <c r="AF198" s="3">
        <f t="shared" si="134"/>
        <v>2.8535751866114276E-4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1.5499334140859142E-4</v>
      </c>
      <c r="C201" s="3">
        <f t="shared" si="137"/>
        <v>1.5499334140859142E-4</v>
      </c>
      <c r="D201" s="3">
        <f t="shared" si="137"/>
        <v>1.5499334140859142E-4</v>
      </c>
      <c r="E201" s="3">
        <f t="shared" si="137"/>
        <v>1.5499334140859142E-4</v>
      </c>
      <c r="F201" s="3">
        <f t="shared" si="137"/>
        <v>1.5499334140859142E-4</v>
      </c>
      <c r="G201" s="3">
        <f t="shared" si="137"/>
        <v>1.5499334140859142E-4</v>
      </c>
      <c r="H201" s="3">
        <f t="shared" si="137"/>
        <v>1.5499334140859142E-4</v>
      </c>
      <c r="I201" s="3">
        <f t="shared" si="137"/>
        <v>1.5499334140859142E-4</v>
      </c>
      <c r="J201" s="3">
        <f t="shared" si="137"/>
        <v>1.5499334140859142E-4</v>
      </c>
      <c r="K201" s="3">
        <f t="shared" si="137"/>
        <v>1.5499334140859142E-4</v>
      </c>
      <c r="L201" s="3">
        <f t="shared" si="137"/>
        <v>1.5499334140859142E-4</v>
      </c>
      <c r="M201" s="3">
        <f t="shared" si="137"/>
        <v>1.5499334140859142E-4</v>
      </c>
      <c r="N201" s="3">
        <f t="shared" si="137"/>
        <v>1.5499334140859142E-4</v>
      </c>
      <c r="O201" s="3">
        <f t="shared" si="137"/>
        <v>1.5499334140859142E-4</v>
      </c>
      <c r="P201" s="3">
        <f t="shared" si="137"/>
        <v>1.5499334140859142E-4</v>
      </c>
      <c r="Q201" s="3">
        <f t="shared" si="137"/>
        <v>1.5499334140859142E-4</v>
      </c>
      <c r="R201" s="3">
        <f t="shared" si="137"/>
        <v>1.5499334140859142E-4</v>
      </c>
      <c r="S201" s="3">
        <f t="shared" si="137"/>
        <v>1.5499334140859142E-4</v>
      </c>
      <c r="T201" s="3">
        <f t="shared" si="137"/>
        <v>1.5499334140859142E-4</v>
      </c>
      <c r="U201" s="3">
        <f t="shared" si="137"/>
        <v>1.5499334140859142E-4</v>
      </c>
      <c r="V201" s="3">
        <f t="shared" si="137"/>
        <v>1.5499334140859142E-4</v>
      </c>
      <c r="W201" s="3">
        <f t="shared" si="137"/>
        <v>1.5499334140859142E-4</v>
      </c>
      <c r="X201" s="3">
        <f t="shared" si="137"/>
        <v>1.5499334140859142E-4</v>
      </c>
      <c r="Y201" s="3">
        <f t="shared" si="137"/>
        <v>1.5499334140859142E-4</v>
      </c>
      <c r="Z201" s="3">
        <f t="shared" si="137"/>
        <v>1.5499334140859142E-4</v>
      </c>
      <c r="AA201" s="3">
        <f t="shared" si="137"/>
        <v>1.5499334140859142E-4</v>
      </c>
      <c r="AB201" s="3">
        <f t="shared" si="137"/>
        <v>1.5499334140859142E-4</v>
      </c>
      <c r="AC201" s="3">
        <f t="shared" si="137"/>
        <v>1.5499334140859142E-4</v>
      </c>
      <c r="AD201" s="3">
        <f t="shared" si="137"/>
        <v>1.5499334140859142E-4</v>
      </c>
      <c r="AE201" s="3">
        <f t="shared" si="137"/>
        <v>1.5499334140859139E-4</v>
      </c>
      <c r="AF201" s="3">
        <f t="shared" si="137"/>
        <v>1.5499334140859131E-4</v>
      </c>
      <c r="AG201" s="3"/>
      <c r="AH201" s="3"/>
    </row>
    <row r="202" spans="1:34" x14ac:dyDescent="0.25">
      <c r="A202" s="79">
        <f>AVERAGE(B202:AF202)</f>
        <v>2.5152168856238305E-2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0.14159379140751532</v>
      </c>
      <c r="M202" s="80">
        <f t="shared" si="138"/>
        <v>0.12462944074223507</v>
      </c>
      <c r="N202" s="80">
        <f t="shared" si="138"/>
        <v>0.1046280551861315</v>
      </c>
      <c r="O202" s="80">
        <f t="shared" si="138"/>
        <v>8.2558424006042533E-2</v>
      </c>
      <c r="P202" s="80">
        <f t="shared" si="138"/>
        <v>5.7302146515396196E-2</v>
      </c>
      <c r="Q202" s="80">
        <f t="shared" si="138"/>
        <v>3.7710298135899094E-2</v>
      </c>
      <c r="R202" s="80">
        <f t="shared" si="138"/>
        <v>5.5142899141879788E-2</v>
      </c>
      <c r="S202" s="80">
        <f t="shared" si="138"/>
        <v>5.7951804734521745E-2</v>
      </c>
      <c r="T202" s="80">
        <f t="shared" si="138"/>
        <v>6.1664540605481245E-2</v>
      </c>
      <c r="U202" s="80">
        <f t="shared" si="138"/>
        <v>3.7224933328164615E-2</v>
      </c>
      <c r="V202" s="80">
        <f t="shared" si="138"/>
        <v>1.9310900740120384E-2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322.3874583588277</v>
      </c>
      <c r="C203" s="21">
        <f t="shared" ref="C203:AF203" si="139">(C170-C169)^2</f>
        <v>324.18200773553855</v>
      </c>
      <c r="D203" s="21">
        <f t="shared" si="139"/>
        <v>323.05783682471628</v>
      </c>
      <c r="E203" s="21">
        <f t="shared" si="139"/>
        <v>322.71768588613025</v>
      </c>
      <c r="F203" s="21">
        <f t="shared" si="139"/>
        <v>322.55104582719446</v>
      </c>
      <c r="G203" s="21">
        <f t="shared" si="139"/>
        <v>321.85449283513725</v>
      </c>
      <c r="H203" s="21">
        <f t="shared" si="139"/>
        <v>315.5406602186099</v>
      </c>
      <c r="I203" s="21">
        <f t="shared" si="139"/>
        <v>266.34176169465229</v>
      </c>
      <c r="J203" s="21">
        <f t="shared" si="139"/>
        <v>347.61735048929694</v>
      </c>
      <c r="K203" s="21">
        <f t="shared" si="139"/>
        <v>147767.35117085441</v>
      </c>
      <c r="L203" s="21">
        <f t="shared" si="139"/>
        <v>681966.75313283107</v>
      </c>
      <c r="M203" s="21">
        <f t="shared" si="139"/>
        <v>507929.90229385404</v>
      </c>
      <c r="N203" s="21">
        <f t="shared" si="139"/>
        <v>342156.83562159154</v>
      </c>
      <c r="O203" s="21">
        <f t="shared" si="139"/>
        <v>202860.32203345888</v>
      </c>
      <c r="P203" s="21">
        <f t="shared" si="139"/>
        <v>92339.928919295591</v>
      </c>
      <c r="Q203" s="21">
        <f t="shared" si="139"/>
        <v>37545.328690609313</v>
      </c>
      <c r="R203" s="21">
        <f t="shared" si="139"/>
        <v>75069.021019746244</v>
      </c>
      <c r="S203" s="21">
        <f t="shared" si="139"/>
        <v>77439.264099938999</v>
      </c>
      <c r="T203" s="21">
        <f t="shared" si="139"/>
        <v>80171.021940850304</v>
      </c>
      <c r="U203" s="21">
        <f t="shared" si="139"/>
        <v>24962.226855883233</v>
      </c>
      <c r="V203" s="21">
        <f t="shared" si="139"/>
        <v>5448.3895466388713</v>
      </c>
      <c r="W203" s="21">
        <f t="shared" si="139"/>
        <v>67542.390988242536</v>
      </c>
      <c r="X203" s="21">
        <f t="shared" si="139"/>
        <v>135321.91724191379</v>
      </c>
      <c r="Y203" s="21">
        <f t="shared" si="139"/>
        <v>186837.90670425363</v>
      </c>
      <c r="Z203" s="21">
        <f t="shared" si="139"/>
        <v>206064.94751138429</v>
      </c>
      <c r="AA203" s="21">
        <f t="shared" si="139"/>
        <v>193595.78664311484</v>
      </c>
      <c r="AB203" s="21">
        <f t="shared" si="139"/>
        <v>153758.48971773367</v>
      </c>
      <c r="AC203" s="21">
        <f t="shared" si="139"/>
        <v>111075.21495044137</v>
      </c>
      <c r="AD203" s="21">
        <f t="shared" si="139"/>
        <v>61265.174561911364</v>
      </c>
      <c r="AE203" s="21">
        <f t="shared" si="139"/>
        <v>15662.495296624664</v>
      </c>
      <c r="AF203" s="21">
        <f t="shared" si="139"/>
        <v>2238.0259518488951</v>
      </c>
      <c r="AG203" s="3"/>
      <c r="AH203" s="3"/>
    </row>
    <row r="204" spans="1:34" x14ac:dyDescent="0.25">
      <c r="A204" s="71">
        <f>SUM(B204:AF204)</f>
        <v>2127888.9941546982</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681966.75313283107</v>
      </c>
      <c r="M204" s="60">
        <f t="shared" ref="M204" si="150">IF($A$64&lt;=M168,IF($B$64&gt;=M168,ABS(M203),0),0)</f>
        <v>507929.90229385404</v>
      </c>
      <c r="N204" s="60">
        <f t="shared" ref="N204" si="151">IF($A$64&lt;=N168,IF($B$64&gt;=N168,ABS(N203),0),0)</f>
        <v>342156.83562159154</v>
      </c>
      <c r="O204" s="60">
        <f t="shared" ref="O204" si="152">IF($A$64&lt;=O168,IF($B$64&gt;=O168,ABS(O203),0),0)</f>
        <v>202860.32203345888</v>
      </c>
      <c r="P204" s="60">
        <f t="shared" ref="P204" si="153">IF($A$64&lt;=P168,IF($B$64&gt;=P168,ABS(P203),0),0)</f>
        <v>92339.928919295591</v>
      </c>
      <c r="Q204" s="60">
        <f t="shared" ref="Q204" si="154">IF($A$64&lt;=Q168,IF($B$64&gt;=Q168,ABS(Q203),0),0)</f>
        <v>37545.328690609313</v>
      </c>
      <c r="R204" s="60">
        <f t="shared" ref="R204" si="155">IF($A$64&lt;=R168,IF($B$64&gt;=R168,ABS(R203),0),0)</f>
        <v>75069.021019746244</v>
      </c>
      <c r="S204" s="60">
        <f t="shared" ref="S204" si="156">IF($A$64&lt;=S168,IF($B$64&gt;=S168,ABS(S203),0),0)</f>
        <v>77439.264099938999</v>
      </c>
      <c r="T204" s="60">
        <f t="shared" ref="T204" si="157">IF($A$64&lt;=T168,IF($B$64&gt;=T168,ABS(T203),0),0)</f>
        <v>80171.021940850304</v>
      </c>
      <c r="U204" s="60">
        <f t="shared" ref="U204" si="158">IF($A$64&lt;=U168,IF($B$64&gt;=U168,ABS(U203),0),0)</f>
        <v>24962.226855883233</v>
      </c>
      <c r="V204" s="60">
        <f t="shared" ref="V204" si="159">IF($A$64&lt;=V168,IF($B$64&gt;=V168,ABS(V203),0),0)</f>
        <v>5448.3895466388713</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6190.9488174579055</v>
      </c>
      <c r="C209" s="27">
        <f t="shared" ref="C209:AF209" si="170">($C$17+SUM(C210:C240))*$B$51</f>
        <v>6190.9471745803239</v>
      </c>
      <c r="D209" s="27">
        <f t="shared" si="170"/>
        <v>6190.9307459297688</v>
      </c>
      <c r="E209" s="27">
        <f t="shared" si="170"/>
        <v>6190.7664719491941</v>
      </c>
      <c r="F209" s="27">
        <f t="shared" si="170"/>
        <v>6189.1249839997208</v>
      </c>
      <c r="G209" s="27">
        <f t="shared" si="170"/>
        <v>6172.834650425626</v>
      </c>
      <c r="H209" s="27">
        <f t="shared" si="170"/>
        <v>6021.7701101011908</v>
      </c>
      <c r="I209" s="27">
        <f t="shared" si="170"/>
        <v>5259.8123409210148</v>
      </c>
      <c r="J209" s="27">
        <f t="shared" si="170"/>
        <v>5005.8019634814318</v>
      </c>
      <c r="K209" s="27">
        <f t="shared" si="170"/>
        <v>5005.7893247079501</v>
      </c>
      <c r="L209" s="27">
        <f t="shared" si="170"/>
        <v>5005.6653843899485</v>
      </c>
      <c r="M209" s="27">
        <f t="shared" si="170"/>
        <v>5004.4283094798438</v>
      </c>
      <c r="N209" s="27">
        <f t="shared" si="170"/>
        <v>4992.2873661047606</v>
      </c>
      <c r="O209" s="27">
        <f t="shared" si="170"/>
        <v>4891.1136632770294</v>
      </c>
      <c r="P209" s="27">
        <f t="shared" si="170"/>
        <v>4629.5149559399224</v>
      </c>
      <c r="Q209" s="27">
        <f t="shared" si="170"/>
        <v>4468.1141678456352</v>
      </c>
      <c r="R209" s="27">
        <f t="shared" si="170"/>
        <v>4235.1834370418519</v>
      </c>
      <c r="S209" s="27">
        <f t="shared" si="170"/>
        <v>4018.6112184786498</v>
      </c>
      <c r="T209" s="27">
        <f t="shared" si="170"/>
        <v>3836.5455057820727</v>
      </c>
      <c r="U209" s="27">
        <f t="shared" si="170"/>
        <v>3660.9129885630441</v>
      </c>
      <c r="V209" s="27">
        <f t="shared" si="170"/>
        <v>3490.9206231634093</v>
      </c>
      <c r="W209" s="27">
        <f t="shared" si="170"/>
        <v>3321.7881706041144</v>
      </c>
      <c r="X209" s="27">
        <f t="shared" si="170"/>
        <v>3149.9382154967147</v>
      </c>
      <c r="Y209" s="27">
        <f t="shared" si="170"/>
        <v>2953.6520342444915</v>
      </c>
      <c r="Z209" s="27">
        <f t="shared" si="170"/>
        <v>2738.2026560220465</v>
      </c>
      <c r="AA209" s="27">
        <f t="shared" si="170"/>
        <v>2495.6752114076844</v>
      </c>
      <c r="AB209" s="27">
        <f t="shared" si="170"/>
        <v>2217.1096753173974</v>
      </c>
      <c r="AC209" s="27">
        <f t="shared" si="170"/>
        <v>1868.7107260143766</v>
      </c>
      <c r="AD209" s="27">
        <f t="shared" si="170"/>
        <v>1467.4263375659452</v>
      </c>
      <c r="AE209" s="27">
        <f t="shared" si="170"/>
        <v>1076.0035935649821</v>
      </c>
      <c r="AF209" s="27">
        <f t="shared" si="170"/>
        <v>750.11803727194945</v>
      </c>
      <c r="AG209" s="27"/>
      <c r="AH209" s="27"/>
    </row>
    <row r="210" spans="1:34" x14ac:dyDescent="0.25">
      <c r="B210" s="3">
        <f t="shared" ref="B210:AF210" si="171">$C18*EXP(-B$207/$A18/EXP(-$D$126))</f>
        <v>0.19143199515728521</v>
      </c>
      <c r="C210" s="3">
        <f t="shared" si="171"/>
        <v>0.1914317297896562</v>
      </c>
      <c r="D210" s="3">
        <f t="shared" si="171"/>
        <v>0.19142907613359861</v>
      </c>
      <c r="E210" s="3">
        <f t="shared" si="171"/>
        <v>0.19140254159613457</v>
      </c>
      <c r="F210" s="3">
        <f t="shared" si="171"/>
        <v>0.19113739842898753</v>
      </c>
      <c r="G210" s="3">
        <f t="shared" si="171"/>
        <v>0.1885060841774191</v>
      </c>
      <c r="H210" s="3">
        <f t="shared" si="171"/>
        <v>0.16410521640612691</v>
      </c>
      <c r="I210" s="3">
        <f t="shared" si="171"/>
        <v>4.1029150811986034E-2</v>
      </c>
      <c r="J210" s="3">
        <f t="shared" si="171"/>
        <v>3.9155606062621215E-8</v>
      </c>
      <c r="K210" s="3">
        <f t="shared" si="171"/>
        <v>2.4536249074544493E-68</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5.4135576469362658E-2</v>
      </c>
      <c r="C211" s="3">
        <f t="shared" si="172"/>
        <v>5.413557646934343E-2</v>
      </c>
      <c r="D211" s="3">
        <f t="shared" si="172"/>
        <v>5.4135576469151202E-2</v>
      </c>
      <c r="E211" s="3">
        <f t="shared" si="172"/>
        <v>5.4135576467228913E-2</v>
      </c>
      <c r="F211" s="3">
        <f t="shared" si="172"/>
        <v>5.413557644800604E-2</v>
      </c>
      <c r="G211" s="3">
        <f t="shared" si="172"/>
        <v>5.4135576255777265E-2</v>
      </c>
      <c r="H211" s="3">
        <f t="shared" si="172"/>
        <v>5.4135574333489561E-2</v>
      </c>
      <c r="I211" s="3">
        <f t="shared" si="172"/>
        <v>5.4135555110616351E-2</v>
      </c>
      <c r="J211" s="3">
        <f t="shared" si="172"/>
        <v>5.4135362882259626E-2</v>
      </c>
      <c r="K211" s="3">
        <f t="shared" si="172"/>
        <v>5.4133440636233751E-2</v>
      </c>
      <c r="L211" s="3">
        <f t="shared" si="172"/>
        <v>5.4114221929621072E-2</v>
      </c>
      <c r="M211" s="3">
        <f t="shared" si="172"/>
        <v>5.3922409735404159E-2</v>
      </c>
      <c r="N211" s="3">
        <f t="shared" si="172"/>
        <v>5.2041287111286194E-2</v>
      </c>
      <c r="O211" s="3">
        <f t="shared" si="172"/>
        <v>3.648676840976528E-2</v>
      </c>
      <c r="P211" s="3">
        <f t="shared" si="172"/>
        <v>1.0471505113829895E-3</v>
      </c>
      <c r="Q211" s="3">
        <f t="shared" si="172"/>
        <v>3.9695949965414624E-19</v>
      </c>
      <c r="R211" s="3">
        <f t="shared" si="172"/>
        <v>2.4328599173882001E-173</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2.1015020588822746E-2</v>
      </c>
      <c r="C212" s="3">
        <f t="shared" si="173"/>
        <v>2.1015020588822073E-2</v>
      </c>
      <c r="D212" s="3">
        <f t="shared" si="173"/>
        <v>2.1015020588815343E-2</v>
      </c>
      <c r="E212" s="3">
        <f t="shared" si="173"/>
        <v>2.1015020588748028E-2</v>
      </c>
      <c r="F212" s="3">
        <f t="shared" si="173"/>
        <v>2.1015020588074879E-2</v>
      </c>
      <c r="G212" s="3">
        <f t="shared" si="173"/>
        <v>2.1015020581343375E-2</v>
      </c>
      <c r="H212" s="3">
        <f t="shared" si="173"/>
        <v>2.1015020514028347E-2</v>
      </c>
      <c r="I212" s="3">
        <f t="shared" si="173"/>
        <v>2.1015019840878064E-2</v>
      </c>
      <c r="J212" s="3">
        <f t="shared" si="173"/>
        <v>2.1015013109376427E-2</v>
      </c>
      <c r="K212" s="3">
        <f t="shared" si="173"/>
        <v>2.1014945794478646E-2</v>
      </c>
      <c r="L212" s="3">
        <f t="shared" si="173"/>
        <v>2.1014272657359952E-2</v>
      </c>
      <c r="M212" s="3">
        <f t="shared" si="173"/>
        <v>2.1007542471941067E-2</v>
      </c>
      <c r="N212" s="3">
        <f t="shared" si="173"/>
        <v>2.0940359054147602E-2</v>
      </c>
      <c r="O212" s="3">
        <f t="shared" si="173"/>
        <v>2.0280229341991914E-2</v>
      </c>
      <c r="P212" s="3">
        <f t="shared" si="173"/>
        <v>1.4721777215554139E-2</v>
      </c>
      <c r="Q212" s="3">
        <f t="shared" si="173"/>
        <v>5.9818295563800541E-4</v>
      </c>
      <c r="R212" s="3">
        <f t="shared" si="173"/>
        <v>7.3379029627878212E-18</v>
      </c>
      <c r="S212" s="3">
        <f t="shared" si="173"/>
        <v>5.661757506442177E-157</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4.0498121245543521E-2</v>
      </c>
      <c r="C213" s="3">
        <f t="shared" si="174"/>
        <v>4.0498121245543403E-2</v>
      </c>
      <c r="D213" s="3">
        <f t="shared" si="174"/>
        <v>4.0498121245542237E-2</v>
      </c>
      <c r="E213" s="3">
        <f t="shared" si="174"/>
        <v>4.0498121245530531E-2</v>
      </c>
      <c r="F213" s="3">
        <f t="shared" si="174"/>
        <v>4.0498121245413507E-2</v>
      </c>
      <c r="G213" s="3">
        <f t="shared" si="174"/>
        <v>4.0498121244243304E-2</v>
      </c>
      <c r="H213" s="3">
        <f t="shared" si="174"/>
        <v>4.0498121232541207E-2</v>
      </c>
      <c r="I213" s="3">
        <f t="shared" si="174"/>
        <v>4.0498121115520237E-2</v>
      </c>
      <c r="J213" s="3">
        <f t="shared" si="174"/>
        <v>4.0498119945310572E-2</v>
      </c>
      <c r="K213" s="3">
        <f t="shared" si="174"/>
        <v>4.0498108243215793E-2</v>
      </c>
      <c r="L213" s="3">
        <f t="shared" si="174"/>
        <v>4.0497991222453934E-2</v>
      </c>
      <c r="M213" s="3">
        <f t="shared" si="174"/>
        <v>4.0496821033432676E-2</v>
      </c>
      <c r="N213" s="3">
        <f t="shared" si="174"/>
        <v>4.048512100275186E-2</v>
      </c>
      <c r="O213" s="3">
        <f t="shared" si="174"/>
        <v>4.0368306450464894E-2</v>
      </c>
      <c r="P213" s="3">
        <f t="shared" si="174"/>
        <v>3.9218539309603402E-2</v>
      </c>
      <c r="Q213" s="3">
        <f t="shared" si="174"/>
        <v>2.9376513934295929E-2</v>
      </c>
      <c r="R213" s="3">
        <f t="shared" si="174"/>
        <v>1.6333854709236126E-3</v>
      </c>
      <c r="S213" s="3">
        <f t="shared" si="174"/>
        <v>4.6128889070828838E-16</v>
      </c>
      <c r="T213" s="3">
        <f t="shared" si="174"/>
        <v>1.4887304424743927E-141</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3.8180364153293539E-2</v>
      </c>
      <c r="C214" s="3">
        <f t="shared" si="175"/>
        <v>3.8180364153293525E-2</v>
      </c>
      <c r="D214" s="3">
        <f t="shared" si="175"/>
        <v>3.8180364153293428E-2</v>
      </c>
      <c r="E214" s="3">
        <f t="shared" si="175"/>
        <v>3.8180364153292436E-2</v>
      </c>
      <c r="F214" s="3">
        <f t="shared" si="175"/>
        <v>3.8180364153282478E-2</v>
      </c>
      <c r="G214" s="3">
        <f t="shared" si="175"/>
        <v>3.8180364153182961E-2</v>
      </c>
      <c r="H214" s="3">
        <f t="shared" si="175"/>
        <v>3.818036415218775E-2</v>
      </c>
      <c r="I214" s="3">
        <f t="shared" si="175"/>
        <v>3.8180364142235634E-2</v>
      </c>
      <c r="J214" s="3">
        <f t="shared" si="175"/>
        <v>3.8180364042714465E-2</v>
      </c>
      <c r="K214" s="3">
        <f t="shared" si="175"/>
        <v>3.8180363047502788E-2</v>
      </c>
      <c r="L214" s="3">
        <f t="shared" si="175"/>
        <v>3.8180353095387469E-2</v>
      </c>
      <c r="M214" s="3">
        <f t="shared" si="175"/>
        <v>3.8180253574376918E-2</v>
      </c>
      <c r="N214" s="3">
        <f t="shared" si="175"/>
        <v>3.8179258378538979E-2</v>
      </c>
      <c r="O214" s="3">
        <f t="shared" si="175"/>
        <v>3.8169307846775385E-2</v>
      </c>
      <c r="P214" s="3">
        <f t="shared" si="175"/>
        <v>3.806994505322403E-2</v>
      </c>
      <c r="Q214" s="3">
        <f t="shared" si="175"/>
        <v>3.7090433022765039E-2</v>
      </c>
      <c r="R214" s="3">
        <f t="shared" si="175"/>
        <v>2.8579750970306989E-2</v>
      </c>
      <c r="S214" s="3">
        <f t="shared" si="175"/>
        <v>2.1087437391666291E-3</v>
      </c>
      <c r="T214" s="3">
        <f t="shared" si="175"/>
        <v>1.008503629581639E-14</v>
      </c>
      <c r="U214" s="3">
        <f t="shared" si="175"/>
        <v>6.3126841369079126E-128</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3.033915085060401E-2</v>
      </c>
      <c r="C215" s="3">
        <f t="shared" si="176"/>
        <v>3.033915085060401E-2</v>
      </c>
      <c r="D215" s="3">
        <f t="shared" si="176"/>
        <v>3.0339150850604003E-2</v>
      </c>
      <c r="E215" s="3">
        <f t="shared" si="176"/>
        <v>3.033915085060393E-2</v>
      </c>
      <c r="F215" s="3">
        <f t="shared" si="176"/>
        <v>3.0339150850603219E-2</v>
      </c>
      <c r="G215" s="3">
        <f t="shared" si="176"/>
        <v>3.0339150850596085E-2</v>
      </c>
      <c r="H215" s="3">
        <f t="shared" si="176"/>
        <v>3.0339150850524743E-2</v>
      </c>
      <c r="I215" s="3">
        <f t="shared" si="176"/>
        <v>3.0339150849811355E-2</v>
      </c>
      <c r="J215" s="3">
        <f t="shared" si="176"/>
        <v>3.0339150842677486E-2</v>
      </c>
      <c r="K215" s="3">
        <f t="shared" si="176"/>
        <v>3.0339150771338749E-2</v>
      </c>
      <c r="L215" s="3">
        <f t="shared" si="176"/>
        <v>3.0339150057951389E-2</v>
      </c>
      <c r="M215" s="3">
        <f t="shared" si="176"/>
        <v>3.0339142924078733E-2</v>
      </c>
      <c r="N215" s="3">
        <f t="shared" si="176"/>
        <v>3.0339071585444431E-2</v>
      </c>
      <c r="O215" s="3">
        <f t="shared" si="176"/>
        <v>3.0338358208327261E-2</v>
      </c>
      <c r="P215" s="3">
        <f t="shared" si="176"/>
        <v>3.0331225359659247E-2</v>
      </c>
      <c r="Q215" s="3">
        <f t="shared" si="176"/>
        <v>3.0259989043140943E-2</v>
      </c>
      <c r="R215" s="3">
        <f t="shared" si="176"/>
        <v>2.9556763207135298E-2</v>
      </c>
      <c r="S215" s="3">
        <f t="shared" si="176"/>
        <v>2.3363501467868614E-2</v>
      </c>
      <c r="T215" s="3">
        <f t="shared" si="176"/>
        <v>2.225094778122372E-3</v>
      </c>
      <c r="U215" s="3">
        <f t="shared" si="176"/>
        <v>1.3660114926123479E-13</v>
      </c>
      <c r="V215" s="3">
        <f t="shared" si="176"/>
        <v>1.0387540734718145E-115</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2.9818488774257267E-2</v>
      </c>
      <c r="C216" s="3">
        <f t="shared" si="177"/>
        <v>2.9818488774257267E-2</v>
      </c>
      <c r="D216" s="3">
        <f t="shared" si="177"/>
        <v>2.9818488774257267E-2</v>
      </c>
      <c r="E216" s="3">
        <f t="shared" si="177"/>
        <v>2.981848877425726E-2</v>
      </c>
      <c r="F216" s="3">
        <f t="shared" si="177"/>
        <v>2.9818488774257197E-2</v>
      </c>
      <c r="G216" s="3">
        <f t="shared" si="177"/>
        <v>2.9818488774256566E-2</v>
      </c>
      <c r="H216" s="3">
        <f t="shared" si="177"/>
        <v>2.9818488774250237E-2</v>
      </c>
      <c r="I216" s="3">
        <f t="shared" si="177"/>
        <v>2.9818488774186989E-2</v>
      </c>
      <c r="J216" s="3">
        <f t="shared" si="177"/>
        <v>2.9818488773554499E-2</v>
      </c>
      <c r="K216" s="3">
        <f t="shared" si="177"/>
        <v>2.981848876722959E-2</v>
      </c>
      <c r="L216" s="3">
        <f t="shared" si="177"/>
        <v>2.981848870398051E-2</v>
      </c>
      <c r="M216" s="3">
        <f t="shared" si="177"/>
        <v>2.9818488071489718E-2</v>
      </c>
      <c r="N216" s="3">
        <f t="shared" si="177"/>
        <v>2.9818481746582522E-2</v>
      </c>
      <c r="O216" s="3">
        <f t="shared" si="177"/>
        <v>2.9818418497584341E-2</v>
      </c>
      <c r="P216" s="3">
        <f t="shared" si="177"/>
        <v>2.9817786014981303E-2</v>
      </c>
      <c r="Q216" s="3">
        <f t="shared" si="177"/>
        <v>2.981146192676614E-2</v>
      </c>
      <c r="R216" s="3">
        <f t="shared" si="177"/>
        <v>2.9748294768265359E-2</v>
      </c>
      <c r="S216" s="3">
        <f t="shared" si="177"/>
        <v>2.9123938015331131E-2</v>
      </c>
      <c r="T216" s="3">
        <f t="shared" si="177"/>
        <v>2.3557560614938841E-2</v>
      </c>
      <c r="U216" s="3">
        <f t="shared" si="177"/>
        <v>2.8244410128591565E-3</v>
      </c>
      <c r="V216" s="3">
        <f t="shared" si="177"/>
        <v>1.7336220727401743E-12</v>
      </c>
      <c r="W216" s="3">
        <f t="shared" si="177"/>
        <v>1.3157507161539662E-104</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2.8586713902441586E-2</v>
      </c>
      <c r="C217" s="3">
        <f t="shared" si="178"/>
        <v>2.8586713902441586E-2</v>
      </c>
      <c r="D217" s="3">
        <f t="shared" si="178"/>
        <v>2.8586713902441586E-2</v>
      </c>
      <c r="E217" s="3">
        <f t="shared" si="178"/>
        <v>2.8586713902441586E-2</v>
      </c>
      <c r="F217" s="3">
        <f t="shared" si="178"/>
        <v>2.858671390244158E-2</v>
      </c>
      <c r="G217" s="3">
        <f t="shared" si="178"/>
        <v>2.8586713902441527E-2</v>
      </c>
      <c r="H217" s="3">
        <f t="shared" si="178"/>
        <v>2.8586713902440979E-2</v>
      </c>
      <c r="I217" s="3">
        <f t="shared" si="178"/>
        <v>2.8586713902435508E-2</v>
      </c>
      <c r="J217" s="3">
        <f t="shared" si="178"/>
        <v>2.8586713902380809E-2</v>
      </c>
      <c r="K217" s="3">
        <f t="shared" si="178"/>
        <v>2.8586713901833819E-2</v>
      </c>
      <c r="L217" s="3">
        <f t="shared" si="178"/>
        <v>2.858671389636392E-2</v>
      </c>
      <c r="M217" s="3">
        <f t="shared" si="178"/>
        <v>2.8586713841664918E-2</v>
      </c>
      <c r="N217" s="3">
        <f t="shared" si="178"/>
        <v>2.8586713294674892E-2</v>
      </c>
      <c r="O217" s="3">
        <f t="shared" si="178"/>
        <v>2.8586707824775227E-2</v>
      </c>
      <c r="P217" s="3">
        <f t="shared" si="178"/>
        <v>2.8586653125836151E-2</v>
      </c>
      <c r="Q217" s="3">
        <f t="shared" si="178"/>
        <v>2.8586106142201809E-2</v>
      </c>
      <c r="R217" s="3">
        <f t="shared" si="178"/>
        <v>2.8580636881461501E-2</v>
      </c>
      <c r="S217" s="3">
        <f t="shared" si="178"/>
        <v>2.852600179363662E-2</v>
      </c>
      <c r="T217" s="3">
        <f t="shared" si="178"/>
        <v>2.7985362358468879E-2</v>
      </c>
      <c r="U217" s="3">
        <f t="shared" si="178"/>
        <v>2.3111664724066162E-2</v>
      </c>
      <c r="V217" s="3">
        <f t="shared" si="178"/>
        <v>3.4106265575503279E-3</v>
      </c>
      <c r="W217" s="3">
        <f t="shared" si="178"/>
        <v>1.6705657659805902E-11</v>
      </c>
      <c r="X217" s="3">
        <f t="shared" si="178"/>
        <v>1.3278764133836863E-94</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2.8589469167233993E-2</v>
      </c>
      <c r="C218" s="3">
        <f t="shared" si="179"/>
        <v>2.8589469167233993E-2</v>
      </c>
      <c r="D218" s="3">
        <f t="shared" si="179"/>
        <v>2.8589469167233993E-2</v>
      </c>
      <c r="E218" s="3">
        <f t="shared" si="179"/>
        <v>2.8589469167233993E-2</v>
      </c>
      <c r="F218" s="3">
        <f t="shared" si="179"/>
        <v>2.8589469167233993E-2</v>
      </c>
      <c r="G218" s="3">
        <f t="shared" si="179"/>
        <v>2.8589469167233986E-2</v>
      </c>
      <c r="H218" s="3">
        <f t="shared" si="179"/>
        <v>2.8589469167233938E-2</v>
      </c>
      <c r="I218" s="3">
        <f t="shared" si="179"/>
        <v>2.8589469167233445E-2</v>
      </c>
      <c r="J218" s="3">
        <f t="shared" si="179"/>
        <v>2.8589469167228512E-2</v>
      </c>
      <c r="K218" s="3">
        <f t="shared" si="179"/>
        <v>2.8589469167179162E-2</v>
      </c>
      <c r="L218" s="3">
        <f t="shared" si="179"/>
        <v>2.8589469166685685E-2</v>
      </c>
      <c r="M218" s="3">
        <f t="shared" si="179"/>
        <v>2.8589469161750904E-2</v>
      </c>
      <c r="N218" s="3">
        <f t="shared" si="179"/>
        <v>2.8589469112403097E-2</v>
      </c>
      <c r="O218" s="3">
        <f t="shared" si="179"/>
        <v>2.8589468618925033E-2</v>
      </c>
      <c r="P218" s="3">
        <f t="shared" si="179"/>
        <v>2.8589463684144844E-2</v>
      </c>
      <c r="Q218" s="3">
        <f t="shared" si="179"/>
        <v>2.8589414336389819E-2</v>
      </c>
      <c r="R218" s="3">
        <f t="shared" si="179"/>
        <v>2.8588920863524374E-2</v>
      </c>
      <c r="S218" s="3">
        <f t="shared" si="179"/>
        <v>2.8583986603318009E-2</v>
      </c>
      <c r="T218" s="3">
        <f t="shared" si="179"/>
        <v>2.8534690816162268E-2</v>
      </c>
      <c r="U218" s="3">
        <f t="shared" si="179"/>
        <v>2.8046384674557959E-2</v>
      </c>
      <c r="V218" s="3">
        <f t="shared" si="179"/>
        <v>2.3600110607762764E-2</v>
      </c>
      <c r="W218" s="3">
        <f t="shared" si="179"/>
        <v>4.20035076025715E-3</v>
      </c>
      <c r="X218" s="3">
        <f t="shared" si="179"/>
        <v>1.3396790370690531E-10</v>
      </c>
      <c r="Y218" s="3">
        <f t="shared" si="179"/>
        <v>1.4593275846105908E-85</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2.8115831969051441E-2</v>
      </c>
      <c r="C219" s="3">
        <f t="shared" si="180"/>
        <v>2.8115831969051441E-2</v>
      </c>
      <c r="D219" s="3">
        <f t="shared" si="180"/>
        <v>2.8115831969051441E-2</v>
      </c>
      <c r="E219" s="3">
        <f t="shared" si="180"/>
        <v>2.8115831969051441E-2</v>
      </c>
      <c r="F219" s="3">
        <f t="shared" si="180"/>
        <v>2.8115831969051441E-2</v>
      </c>
      <c r="G219" s="3">
        <f t="shared" si="180"/>
        <v>2.8115831969051441E-2</v>
      </c>
      <c r="H219" s="3">
        <f t="shared" si="180"/>
        <v>2.8115831969051434E-2</v>
      </c>
      <c r="I219" s="3">
        <f t="shared" si="180"/>
        <v>2.8115831969051392E-2</v>
      </c>
      <c r="J219" s="3">
        <f t="shared" si="180"/>
        <v>2.8115831969050955E-2</v>
      </c>
      <c r="K219" s="3">
        <f t="shared" si="180"/>
        <v>2.8115831969046576E-2</v>
      </c>
      <c r="L219" s="3">
        <f t="shared" si="180"/>
        <v>2.8115831969002799E-2</v>
      </c>
      <c r="M219" s="3">
        <f t="shared" si="180"/>
        <v>2.8115831968565014E-2</v>
      </c>
      <c r="N219" s="3">
        <f t="shared" si="180"/>
        <v>2.8115831964187182E-2</v>
      </c>
      <c r="O219" s="3">
        <f t="shared" si="180"/>
        <v>2.811583192040884E-2</v>
      </c>
      <c r="P219" s="3">
        <f t="shared" si="180"/>
        <v>2.8115831482625437E-2</v>
      </c>
      <c r="Q219" s="3">
        <f t="shared" si="180"/>
        <v>2.8115827104791786E-2</v>
      </c>
      <c r="R219" s="3">
        <f t="shared" si="180"/>
        <v>2.8115783326492765E-2</v>
      </c>
      <c r="S219" s="3">
        <f t="shared" si="180"/>
        <v>2.811534554725165E-2</v>
      </c>
      <c r="T219" s="3">
        <f t="shared" si="180"/>
        <v>2.8110968129729377E-2</v>
      </c>
      <c r="U219" s="3">
        <f t="shared" si="180"/>
        <v>2.8067231421804364E-2</v>
      </c>
      <c r="V219" s="3">
        <f t="shared" si="180"/>
        <v>2.763358957641952E-2</v>
      </c>
      <c r="W219" s="3">
        <f t="shared" si="180"/>
        <v>2.3649097829358489E-2</v>
      </c>
      <c r="X219" s="3">
        <f t="shared" si="180"/>
        <v>4.9841066416443898E-3</v>
      </c>
      <c r="Y219" s="3">
        <f t="shared" si="180"/>
        <v>8.6161808957341452E-10</v>
      </c>
      <c r="Z219" s="3">
        <f t="shared" si="180"/>
        <v>2.0539488838186036E-77</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3.3973946984022944E-2</v>
      </c>
      <c r="C220" s="3">
        <f t="shared" si="181"/>
        <v>3.3973946984022944E-2</v>
      </c>
      <c r="D220" s="3">
        <f t="shared" si="181"/>
        <v>3.3973946984022944E-2</v>
      </c>
      <c r="E220" s="3">
        <f t="shared" si="181"/>
        <v>3.3973946984022944E-2</v>
      </c>
      <c r="F220" s="3">
        <f t="shared" si="181"/>
        <v>3.3973946984022944E-2</v>
      </c>
      <c r="G220" s="3">
        <f t="shared" si="181"/>
        <v>3.3973946984022944E-2</v>
      </c>
      <c r="H220" s="3">
        <f t="shared" si="181"/>
        <v>3.3973946984022944E-2</v>
      </c>
      <c r="I220" s="3">
        <f t="shared" si="181"/>
        <v>3.3973946984022937E-2</v>
      </c>
      <c r="J220" s="3">
        <f t="shared" si="181"/>
        <v>3.3973946984022889E-2</v>
      </c>
      <c r="K220" s="3">
        <f t="shared" si="181"/>
        <v>3.397394698402241E-2</v>
      </c>
      <c r="L220" s="3">
        <f t="shared" si="181"/>
        <v>3.3973946984017643E-2</v>
      </c>
      <c r="M220" s="3">
        <f t="shared" si="181"/>
        <v>3.3973946983969924E-2</v>
      </c>
      <c r="N220" s="3">
        <f t="shared" si="181"/>
        <v>3.3973946983492723E-2</v>
      </c>
      <c r="O220" s="3">
        <f t="shared" si="181"/>
        <v>3.3973946978720714E-2</v>
      </c>
      <c r="P220" s="3">
        <f t="shared" si="181"/>
        <v>3.3973946931000656E-2</v>
      </c>
      <c r="Q220" s="3">
        <f t="shared" si="181"/>
        <v>3.3973946453800093E-2</v>
      </c>
      <c r="R220" s="3">
        <f t="shared" si="181"/>
        <v>3.3973941681794809E-2</v>
      </c>
      <c r="S220" s="3">
        <f t="shared" si="181"/>
        <v>3.3973893961778842E-2</v>
      </c>
      <c r="T220" s="3">
        <f t="shared" si="181"/>
        <v>3.3973416765305686E-2</v>
      </c>
      <c r="U220" s="3">
        <f t="shared" si="181"/>
        <v>3.3968645169206571E-2</v>
      </c>
      <c r="V220" s="3">
        <f t="shared" si="181"/>
        <v>3.3920966052305331E-2</v>
      </c>
      <c r="W220" s="3">
        <f t="shared" si="181"/>
        <v>3.3447840215972205E-2</v>
      </c>
      <c r="X220" s="3">
        <f t="shared" si="181"/>
        <v>2.9064760999963961E-2</v>
      </c>
      <c r="Y220" s="3">
        <f t="shared" si="181"/>
        <v>7.1343353299794668E-3</v>
      </c>
      <c r="Z220" s="3">
        <f t="shared" si="181"/>
        <v>5.6652768850523371E-9</v>
      </c>
      <c r="AA220" s="3">
        <f t="shared" si="181"/>
        <v>5.6480347730099736E-70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3.6313930353248758E-2</v>
      </c>
      <c r="C221" s="3">
        <f t="shared" si="182"/>
        <v>3.6313930353248758E-2</v>
      </c>
      <c r="D221" s="3">
        <f t="shared" si="182"/>
        <v>3.6313930353248758E-2</v>
      </c>
      <c r="E221" s="3">
        <f t="shared" si="182"/>
        <v>3.6313930353248758E-2</v>
      </c>
      <c r="F221" s="3">
        <f t="shared" si="182"/>
        <v>3.6313930353248758E-2</v>
      </c>
      <c r="G221" s="3">
        <f t="shared" si="182"/>
        <v>3.6313930353248758E-2</v>
      </c>
      <c r="H221" s="3">
        <f t="shared" si="182"/>
        <v>3.6313930353248758E-2</v>
      </c>
      <c r="I221" s="3">
        <f t="shared" si="182"/>
        <v>3.6313930353248758E-2</v>
      </c>
      <c r="J221" s="3">
        <f t="shared" si="182"/>
        <v>3.6313930353248751E-2</v>
      </c>
      <c r="K221" s="3">
        <f t="shared" si="182"/>
        <v>3.6313930353248702E-2</v>
      </c>
      <c r="L221" s="3">
        <f t="shared" si="182"/>
        <v>3.6313930353248244E-2</v>
      </c>
      <c r="M221" s="3">
        <f t="shared" si="182"/>
        <v>3.6313930353243644E-2</v>
      </c>
      <c r="N221" s="3">
        <f t="shared" si="182"/>
        <v>3.6313930353197632E-2</v>
      </c>
      <c r="O221" s="3">
        <f t="shared" si="182"/>
        <v>3.6313930352737507E-2</v>
      </c>
      <c r="P221" s="3">
        <f t="shared" si="182"/>
        <v>3.6313930348136271E-2</v>
      </c>
      <c r="Q221" s="3">
        <f t="shared" si="182"/>
        <v>3.6313930302123876E-2</v>
      </c>
      <c r="R221" s="3">
        <f t="shared" si="182"/>
        <v>3.6313929841999978E-2</v>
      </c>
      <c r="S221" s="3">
        <f t="shared" si="182"/>
        <v>3.6313925240761297E-2</v>
      </c>
      <c r="T221" s="3">
        <f t="shared" si="182"/>
        <v>3.6313879228406572E-2</v>
      </c>
      <c r="U221" s="3">
        <f t="shared" si="182"/>
        <v>3.6313419108065806E-2</v>
      </c>
      <c r="V221" s="3">
        <f t="shared" si="182"/>
        <v>3.6308818225297246E-2</v>
      </c>
      <c r="W221" s="3">
        <f t="shared" si="182"/>
        <v>3.6262841446488753E-2</v>
      </c>
      <c r="X221" s="3">
        <f t="shared" si="182"/>
        <v>3.5806263571853354E-2</v>
      </c>
      <c r="Y221" s="3">
        <f t="shared" si="182"/>
        <v>3.1545014788155516E-2</v>
      </c>
      <c r="Z221" s="3">
        <f t="shared" si="182"/>
        <v>8.8848079891228303E-3</v>
      </c>
      <c r="AA221" s="3">
        <f t="shared" si="182"/>
        <v>2.7913941222611315E-8</v>
      </c>
      <c r="AB221" s="3">
        <f t="shared" si="182"/>
        <v>2.6154853399756019E-63</v>
      </c>
      <c r="AC221" s="3">
        <f t="shared" si="182"/>
        <v>0</v>
      </c>
      <c r="AD221" s="3">
        <f t="shared" si="182"/>
        <v>0</v>
      </c>
      <c r="AE221" s="3">
        <f t="shared" si="182"/>
        <v>0</v>
      </c>
      <c r="AF221" s="3">
        <f t="shared" si="182"/>
        <v>0</v>
      </c>
      <c r="AG221" s="3"/>
      <c r="AH221" s="3"/>
    </row>
    <row r="222" spans="1:34" x14ac:dyDescent="0.25">
      <c r="B222" s="3">
        <f t="shared" ref="B222:AF222" si="183">$C30*EXP(-B$207/$A30/EXP(-$D$126))</f>
        <v>4.1806327659667623E-2</v>
      </c>
      <c r="C222" s="3">
        <f t="shared" si="183"/>
        <v>4.1806327659667623E-2</v>
      </c>
      <c r="D222" s="3">
        <f t="shared" si="183"/>
        <v>4.1806327659667623E-2</v>
      </c>
      <c r="E222" s="3">
        <f t="shared" si="183"/>
        <v>4.1806327659667623E-2</v>
      </c>
      <c r="F222" s="3">
        <f t="shared" si="183"/>
        <v>4.1806327659667623E-2</v>
      </c>
      <c r="G222" s="3">
        <f t="shared" si="183"/>
        <v>4.1806327659667623E-2</v>
      </c>
      <c r="H222" s="3">
        <f t="shared" si="183"/>
        <v>4.1806327659667623E-2</v>
      </c>
      <c r="I222" s="3">
        <f t="shared" si="183"/>
        <v>4.1806327659667623E-2</v>
      </c>
      <c r="J222" s="3">
        <f t="shared" si="183"/>
        <v>4.1806327659667623E-2</v>
      </c>
      <c r="K222" s="3">
        <f t="shared" si="183"/>
        <v>4.1806327659667616E-2</v>
      </c>
      <c r="L222" s="3">
        <f t="shared" si="183"/>
        <v>4.1806327659667575E-2</v>
      </c>
      <c r="M222" s="3">
        <f t="shared" si="183"/>
        <v>4.1806327659667096E-2</v>
      </c>
      <c r="N222" s="3">
        <f t="shared" si="183"/>
        <v>4.1806327659662315E-2</v>
      </c>
      <c r="O222" s="3">
        <f t="shared" si="183"/>
        <v>4.1806327659614527E-2</v>
      </c>
      <c r="P222" s="3">
        <f t="shared" si="183"/>
        <v>4.180632765913668E-2</v>
      </c>
      <c r="Q222" s="3">
        <f t="shared" si="183"/>
        <v>4.1806327654358197E-2</v>
      </c>
      <c r="R222" s="3">
        <f t="shared" si="183"/>
        <v>4.1806327606573358E-2</v>
      </c>
      <c r="S222" s="3">
        <f t="shared" si="183"/>
        <v>4.1806327128724945E-2</v>
      </c>
      <c r="T222" s="3">
        <f t="shared" si="183"/>
        <v>4.1806322350241121E-2</v>
      </c>
      <c r="U222" s="3">
        <f t="shared" si="183"/>
        <v>4.1806274565432948E-2</v>
      </c>
      <c r="V222" s="3">
        <f t="shared" si="183"/>
        <v>4.1805796720355233E-2</v>
      </c>
      <c r="W222" s="3">
        <f t="shared" si="183"/>
        <v>4.180101856996464E-2</v>
      </c>
      <c r="X222" s="3">
        <f t="shared" si="183"/>
        <v>4.1753267092019437E-2</v>
      </c>
      <c r="Y222" s="3">
        <f t="shared" si="183"/>
        <v>4.1278742249032226E-2</v>
      </c>
      <c r="Z222" s="3">
        <f t="shared" si="183"/>
        <v>3.6820220041575542E-2</v>
      </c>
      <c r="AA222" s="3">
        <f t="shared" si="183"/>
        <v>1.1740473571462708E-2</v>
      </c>
      <c r="AB222" s="3">
        <f t="shared" si="183"/>
        <v>1.275492684595542E-7</v>
      </c>
      <c r="AC222" s="3">
        <f t="shared" si="183"/>
        <v>2.9214707386372418E-57</v>
      </c>
      <c r="AD222" s="3">
        <f t="shared" si="183"/>
        <v>0</v>
      </c>
      <c r="AE222" s="3">
        <f t="shared" si="183"/>
        <v>0</v>
      </c>
      <c r="AF222" s="3">
        <f t="shared" si="183"/>
        <v>0</v>
      </c>
      <c r="AG222" s="3"/>
      <c r="AH222" s="3"/>
    </row>
    <row r="223" spans="1:34" x14ac:dyDescent="0.25">
      <c r="B223" s="3">
        <f t="shared" ref="B223:AF223" si="184">$C31*EXP(-B$207/$A31/EXP(-$D$126))</f>
        <v>4.6977125912982913E-2</v>
      </c>
      <c r="C223" s="3">
        <f t="shared" si="184"/>
        <v>4.6977125912982913E-2</v>
      </c>
      <c r="D223" s="3">
        <f t="shared" si="184"/>
        <v>4.6977125912982913E-2</v>
      </c>
      <c r="E223" s="3">
        <f t="shared" si="184"/>
        <v>4.6977125912982913E-2</v>
      </c>
      <c r="F223" s="3">
        <f t="shared" si="184"/>
        <v>4.6977125912982913E-2</v>
      </c>
      <c r="G223" s="3">
        <f t="shared" si="184"/>
        <v>4.6977125912982913E-2</v>
      </c>
      <c r="H223" s="3">
        <f t="shared" si="184"/>
        <v>4.6977125912982913E-2</v>
      </c>
      <c r="I223" s="3">
        <f t="shared" si="184"/>
        <v>4.6977125912982913E-2</v>
      </c>
      <c r="J223" s="3">
        <f t="shared" si="184"/>
        <v>4.6977125912982913E-2</v>
      </c>
      <c r="K223" s="3">
        <f t="shared" si="184"/>
        <v>4.6977125912982913E-2</v>
      </c>
      <c r="L223" s="3">
        <f t="shared" si="184"/>
        <v>4.6977125912982906E-2</v>
      </c>
      <c r="M223" s="3">
        <f t="shared" si="184"/>
        <v>4.6977125912982858E-2</v>
      </c>
      <c r="N223" s="3">
        <f t="shared" si="184"/>
        <v>4.6977125912982379E-2</v>
      </c>
      <c r="O223" s="3">
        <f t="shared" si="184"/>
        <v>4.6977125912977528E-2</v>
      </c>
      <c r="P223" s="3">
        <f t="shared" si="184"/>
        <v>4.6977125912929095E-2</v>
      </c>
      <c r="Q223" s="3">
        <f t="shared" si="184"/>
        <v>4.6977125912444719E-2</v>
      </c>
      <c r="R223" s="3">
        <f t="shared" si="184"/>
        <v>4.6977125907600975E-2</v>
      </c>
      <c r="S223" s="3">
        <f t="shared" si="184"/>
        <v>4.6977125859163534E-2</v>
      </c>
      <c r="T223" s="3">
        <f t="shared" si="184"/>
        <v>4.697712537478916E-2</v>
      </c>
      <c r="U223" s="3">
        <f t="shared" si="184"/>
        <v>4.6977120531045663E-2</v>
      </c>
      <c r="V223" s="3">
        <f t="shared" si="184"/>
        <v>4.6977072093638182E-2</v>
      </c>
      <c r="W223" s="3">
        <f t="shared" si="184"/>
        <v>4.6976587722310177E-2</v>
      </c>
      <c r="X223" s="3">
        <f t="shared" si="184"/>
        <v>4.6971744283705825E-2</v>
      </c>
      <c r="Y223" s="3">
        <f t="shared" si="184"/>
        <v>4.6923337354751522E-2</v>
      </c>
      <c r="Z223" s="3">
        <f t="shared" si="184"/>
        <v>4.6442003328036524E-2</v>
      </c>
      <c r="AA223" s="3">
        <f t="shared" si="184"/>
        <v>4.1892035863034291E-2</v>
      </c>
      <c r="AB223" s="3">
        <f t="shared" si="184"/>
        <v>1.4939521261047693E-2</v>
      </c>
      <c r="AC223" s="3">
        <f t="shared" si="184"/>
        <v>4.9703711628348152E-7</v>
      </c>
      <c r="AD223" s="3">
        <f t="shared" si="184"/>
        <v>8.2586720992288644E-52</v>
      </c>
      <c r="AE223" s="3">
        <f t="shared" si="184"/>
        <v>0</v>
      </c>
      <c r="AF223" s="3">
        <f t="shared" si="184"/>
        <v>0</v>
      </c>
      <c r="AG223" s="3"/>
      <c r="AH223" s="3"/>
    </row>
    <row r="224" spans="1:34" x14ac:dyDescent="0.25">
      <c r="B224" s="3">
        <f t="shared" ref="B224:AF224" si="185">$C32*EXP(-B$207/$A32/EXP(-$D$126))</f>
        <v>6.4330039712108877E-2</v>
      </c>
      <c r="C224" s="3">
        <f t="shared" si="185"/>
        <v>6.4330039712108877E-2</v>
      </c>
      <c r="D224" s="3">
        <f t="shared" si="185"/>
        <v>6.4330039712108877E-2</v>
      </c>
      <c r="E224" s="3">
        <f t="shared" si="185"/>
        <v>6.4330039712108877E-2</v>
      </c>
      <c r="F224" s="3">
        <f t="shared" si="185"/>
        <v>6.4330039712108877E-2</v>
      </c>
      <c r="G224" s="3">
        <f t="shared" si="185"/>
        <v>6.4330039712108877E-2</v>
      </c>
      <c r="H224" s="3">
        <f t="shared" si="185"/>
        <v>6.4330039712108877E-2</v>
      </c>
      <c r="I224" s="3">
        <f t="shared" si="185"/>
        <v>6.4330039712108877E-2</v>
      </c>
      <c r="J224" s="3">
        <f t="shared" si="185"/>
        <v>6.4330039712108877E-2</v>
      </c>
      <c r="K224" s="3">
        <f t="shared" si="185"/>
        <v>6.4330039712108877E-2</v>
      </c>
      <c r="L224" s="3">
        <f t="shared" si="185"/>
        <v>6.4330039712108877E-2</v>
      </c>
      <c r="M224" s="3">
        <f t="shared" si="185"/>
        <v>6.4330039712108864E-2</v>
      </c>
      <c r="N224" s="3">
        <f t="shared" si="185"/>
        <v>6.4330039712108808E-2</v>
      </c>
      <c r="O224" s="3">
        <f t="shared" si="185"/>
        <v>6.4330039712108211E-2</v>
      </c>
      <c r="P224" s="3">
        <f t="shared" si="185"/>
        <v>6.433003971210223E-2</v>
      </c>
      <c r="Q224" s="3">
        <f t="shared" si="185"/>
        <v>6.4330039712042389E-2</v>
      </c>
      <c r="R224" s="3">
        <f t="shared" si="185"/>
        <v>6.4330039711444048E-2</v>
      </c>
      <c r="S224" s="3">
        <f t="shared" si="185"/>
        <v>6.4330039705460543E-2</v>
      </c>
      <c r="T224" s="3">
        <f t="shared" si="185"/>
        <v>6.4330039645625572E-2</v>
      </c>
      <c r="U224" s="3">
        <f t="shared" si="185"/>
        <v>6.43300390472758E-2</v>
      </c>
      <c r="V224" s="3">
        <f t="shared" si="185"/>
        <v>6.4330033063778394E-2</v>
      </c>
      <c r="W224" s="3">
        <f t="shared" si="185"/>
        <v>6.4329973228834977E-2</v>
      </c>
      <c r="X224" s="3">
        <f t="shared" si="185"/>
        <v>6.432937488246171E-2</v>
      </c>
      <c r="Y224" s="3">
        <f t="shared" si="185"/>
        <v>6.4323391724814424E-2</v>
      </c>
      <c r="Z224" s="3">
        <f t="shared" si="185"/>
        <v>6.4263590746344107E-2</v>
      </c>
      <c r="AA224" s="3">
        <f t="shared" si="185"/>
        <v>6.3668630257860889E-2</v>
      </c>
      <c r="AB224" s="3">
        <f t="shared" si="185"/>
        <v>5.8013716955750465E-2</v>
      </c>
      <c r="AC224" s="3">
        <f t="shared" si="185"/>
        <v>2.2886666533599782E-2</v>
      </c>
      <c r="AD224" s="3">
        <f t="shared" si="185"/>
        <v>2.0897822830947492E-6</v>
      </c>
      <c r="AE224" s="3">
        <f t="shared" si="185"/>
        <v>8.419495209315287E-47</v>
      </c>
      <c r="AF224" s="3">
        <f t="shared" si="185"/>
        <v>0</v>
      </c>
      <c r="AG224" s="3"/>
      <c r="AH224" s="3"/>
    </row>
    <row r="225" spans="2:34" x14ac:dyDescent="0.25">
      <c r="B225" s="3">
        <f t="shared" ref="B225:AF225" si="186">$C33*EXP(-B$207/$A33/EXP(-$D$126))</f>
        <v>7.1283808515689162E-2</v>
      </c>
      <c r="C225" s="3">
        <f t="shared" si="186"/>
        <v>7.1283808515689162E-2</v>
      </c>
      <c r="D225" s="3">
        <f t="shared" si="186"/>
        <v>7.1283808515689162E-2</v>
      </c>
      <c r="E225" s="3">
        <f t="shared" si="186"/>
        <v>7.1283808515689162E-2</v>
      </c>
      <c r="F225" s="3">
        <f t="shared" si="186"/>
        <v>7.1283808515689162E-2</v>
      </c>
      <c r="G225" s="3">
        <f t="shared" si="186"/>
        <v>7.1283808515689162E-2</v>
      </c>
      <c r="H225" s="3">
        <f t="shared" si="186"/>
        <v>7.1283808515689162E-2</v>
      </c>
      <c r="I225" s="3">
        <f t="shared" si="186"/>
        <v>7.1283808515689162E-2</v>
      </c>
      <c r="J225" s="3">
        <f t="shared" si="186"/>
        <v>7.1283808515689162E-2</v>
      </c>
      <c r="K225" s="3">
        <f t="shared" si="186"/>
        <v>7.1283808515689162E-2</v>
      </c>
      <c r="L225" s="3">
        <f t="shared" si="186"/>
        <v>7.1283808515689162E-2</v>
      </c>
      <c r="M225" s="3">
        <f t="shared" si="186"/>
        <v>7.1283808515689162E-2</v>
      </c>
      <c r="N225" s="3">
        <f t="shared" si="186"/>
        <v>7.1283808515689148E-2</v>
      </c>
      <c r="O225" s="3">
        <f t="shared" si="186"/>
        <v>7.1283808515689093E-2</v>
      </c>
      <c r="P225" s="3">
        <f t="shared" si="186"/>
        <v>7.1283808515688496E-2</v>
      </c>
      <c r="Q225" s="3">
        <f t="shared" si="186"/>
        <v>7.1283808515682515E-2</v>
      </c>
      <c r="R225" s="3">
        <f t="shared" si="186"/>
        <v>7.1283808515622701E-2</v>
      </c>
      <c r="S225" s="3">
        <f t="shared" si="186"/>
        <v>7.1283808515024596E-2</v>
      </c>
      <c r="T225" s="3">
        <f t="shared" si="186"/>
        <v>7.1283808509043534E-2</v>
      </c>
      <c r="U225" s="3">
        <f t="shared" si="186"/>
        <v>7.1283808449232836E-2</v>
      </c>
      <c r="V225" s="3">
        <f t="shared" si="186"/>
        <v>7.1283807851125966E-2</v>
      </c>
      <c r="W225" s="3">
        <f t="shared" si="186"/>
        <v>7.1283801870057478E-2</v>
      </c>
      <c r="X225" s="3">
        <f t="shared" si="186"/>
        <v>7.1283742059400163E-2</v>
      </c>
      <c r="Y225" s="3">
        <f t="shared" si="186"/>
        <v>7.1283143955587241E-2</v>
      </c>
      <c r="Z225" s="3">
        <f t="shared" si="186"/>
        <v>7.1277163193461349E-2</v>
      </c>
      <c r="AA225" s="3">
        <f t="shared" si="186"/>
        <v>7.1217383163974413E-2</v>
      </c>
      <c r="AB225" s="3">
        <f t="shared" si="186"/>
        <v>7.0622333499673451E-2</v>
      </c>
      <c r="AC225" s="3">
        <f t="shared" si="186"/>
        <v>6.4938548898495888E-2</v>
      </c>
      <c r="AD225" s="3">
        <f t="shared" si="186"/>
        <v>2.8061297190944898E-2</v>
      </c>
      <c r="AE225" s="3">
        <f t="shared" si="186"/>
        <v>6.3702925712691473E-6</v>
      </c>
      <c r="AF225" s="3">
        <f t="shared" si="186"/>
        <v>2.3156650131498436E-42</v>
      </c>
      <c r="AG225" s="3"/>
      <c r="AH225" s="3"/>
    </row>
    <row r="226" spans="2:34" x14ac:dyDescent="0.25">
      <c r="B226" s="3">
        <f t="shared" ref="B226:AF226" si="187">$C34*EXP(-B$207/$A34/EXP(-$D$126))</f>
        <v>6.5008577665533668E-2</v>
      </c>
      <c r="C226" s="3">
        <f t="shared" si="187"/>
        <v>6.5008577665533668E-2</v>
      </c>
      <c r="D226" s="3">
        <f t="shared" si="187"/>
        <v>6.5008577665533668E-2</v>
      </c>
      <c r="E226" s="3">
        <f t="shared" si="187"/>
        <v>6.5008577665533668E-2</v>
      </c>
      <c r="F226" s="3">
        <f t="shared" si="187"/>
        <v>6.5008577665533668E-2</v>
      </c>
      <c r="G226" s="3">
        <f t="shared" si="187"/>
        <v>6.5008577665533668E-2</v>
      </c>
      <c r="H226" s="3">
        <f t="shared" si="187"/>
        <v>6.5008577665533668E-2</v>
      </c>
      <c r="I226" s="3">
        <f t="shared" si="187"/>
        <v>6.5008577665533668E-2</v>
      </c>
      <c r="J226" s="3">
        <f t="shared" si="187"/>
        <v>6.5008577665533668E-2</v>
      </c>
      <c r="K226" s="3">
        <f t="shared" si="187"/>
        <v>6.5008577665533668E-2</v>
      </c>
      <c r="L226" s="3">
        <f t="shared" si="187"/>
        <v>6.5008577665533668E-2</v>
      </c>
      <c r="M226" s="3">
        <f t="shared" si="187"/>
        <v>6.5008577665533668E-2</v>
      </c>
      <c r="N226" s="3">
        <f t="shared" si="187"/>
        <v>6.5008577665533668E-2</v>
      </c>
      <c r="O226" s="3">
        <f t="shared" si="187"/>
        <v>6.5008577665533654E-2</v>
      </c>
      <c r="P226" s="3">
        <f t="shared" si="187"/>
        <v>6.5008577665533612E-2</v>
      </c>
      <c r="Q226" s="3">
        <f t="shared" si="187"/>
        <v>6.5008577665533113E-2</v>
      </c>
      <c r="R226" s="3">
        <f t="shared" si="187"/>
        <v>6.50085776655282E-2</v>
      </c>
      <c r="S226" s="3">
        <f t="shared" si="187"/>
        <v>6.5008577665478989E-2</v>
      </c>
      <c r="T226" s="3">
        <f t="shared" si="187"/>
        <v>6.5008577664986952E-2</v>
      </c>
      <c r="U226" s="3">
        <f t="shared" si="187"/>
        <v>6.5008577660066499E-2</v>
      </c>
      <c r="V226" s="3">
        <f t="shared" si="187"/>
        <v>6.5008577610861956E-2</v>
      </c>
      <c r="W226" s="3">
        <f t="shared" si="187"/>
        <v>6.500857711881658E-2</v>
      </c>
      <c r="X226" s="3">
        <f t="shared" si="187"/>
        <v>6.5008572198363007E-2</v>
      </c>
      <c r="Y226" s="3">
        <f t="shared" si="187"/>
        <v>6.5008522993847809E-2</v>
      </c>
      <c r="Z226" s="3">
        <f t="shared" si="187"/>
        <v>6.5008030950744131E-2</v>
      </c>
      <c r="AA226" s="3">
        <f t="shared" si="187"/>
        <v>6.5003110724535074E-2</v>
      </c>
      <c r="AB226" s="3">
        <f t="shared" si="187"/>
        <v>6.4953928939486094E-2</v>
      </c>
      <c r="AC226" s="3">
        <f t="shared" si="187"/>
        <v>6.4464153070136823E-2</v>
      </c>
      <c r="AD226" s="3">
        <f t="shared" si="187"/>
        <v>5.9764987851002135E-2</v>
      </c>
      <c r="AE226" s="3">
        <f t="shared" si="187"/>
        <v>2.8037054016352293E-2</v>
      </c>
      <c r="AF226" s="3">
        <f t="shared" si="187"/>
        <v>1.4473974604370542E-5</v>
      </c>
      <c r="AG226" s="3"/>
      <c r="AH226" s="3"/>
    </row>
    <row r="227" spans="2:34" x14ac:dyDescent="0.25">
      <c r="B227" s="3">
        <f t="shared" ref="B227:AF227" si="188">$C35*EXP(-B$207/$A35/EXP(-$D$126))</f>
        <v>4.954350168244695E-2</v>
      </c>
      <c r="C227" s="3">
        <f t="shared" si="188"/>
        <v>4.954350168244695E-2</v>
      </c>
      <c r="D227" s="3">
        <f t="shared" si="188"/>
        <v>4.954350168244695E-2</v>
      </c>
      <c r="E227" s="3">
        <f t="shared" si="188"/>
        <v>4.954350168244695E-2</v>
      </c>
      <c r="F227" s="3">
        <f t="shared" si="188"/>
        <v>4.954350168244695E-2</v>
      </c>
      <c r="G227" s="3">
        <f t="shared" si="188"/>
        <v>4.954350168244695E-2</v>
      </c>
      <c r="H227" s="3">
        <f t="shared" si="188"/>
        <v>4.954350168244695E-2</v>
      </c>
      <c r="I227" s="3">
        <f t="shared" si="188"/>
        <v>4.954350168244695E-2</v>
      </c>
      <c r="J227" s="3">
        <f t="shared" si="188"/>
        <v>4.954350168244695E-2</v>
      </c>
      <c r="K227" s="3">
        <f t="shared" si="188"/>
        <v>4.954350168244695E-2</v>
      </c>
      <c r="L227" s="3">
        <f t="shared" si="188"/>
        <v>4.954350168244695E-2</v>
      </c>
      <c r="M227" s="3">
        <f t="shared" si="188"/>
        <v>4.954350168244695E-2</v>
      </c>
      <c r="N227" s="3">
        <f t="shared" si="188"/>
        <v>4.954350168244695E-2</v>
      </c>
      <c r="O227" s="3">
        <f t="shared" si="188"/>
        <v>4.954350168244695E-2</v>
      </c>
      <c r="P227" s="3">
        <f t="shared" si="188"/>
        <v>4.9543501682446943E-2</v>
      </c>
      <c r="Q227" s="3">
        <f t="shared" si="188"/>
        <v>4.9543501682446908E-2</v>
      </c>
      <c r="R227" s="3">
        <f t="shared" si="188"/>
        <v>4.9543501682446575E-2</v>
      </c>
      <c r="S227" s="3">
        <f t="shared" si="188"/>
        <v>4.9543501682443196E-2</v>
      </c>
      <c r="T227" s="3">
        <f t="shared" si="188"/>
        <v>4.9543501682409369E-2</v>
      </c>
      <c r="U227" s="3">
        <f t="shared" si="188"/>
        <v>4.9543501682071091E-2</v>
      </c>
      <c r="V227" s="3">
        <f t="shared" si="188"/>
        <v>4.9543501678688352E-2</v>
      </c>
      <c r="W227" s="3">
        <f t="shared" si="188"/>
        <v>4.9543501644861022E-2</v>
      </c>
      <c r="X227" s="3">
        <f t="shared" si="188"/>
        <v>4.9543501306587676E-2</v>
      </c>
      <c r="Y227" s="3">
        <f t="shared" si="188"/>
        <v>4.9543497923854325E-2</v>
      </c>
      <c r="Z227" s="3">
        <f t="shared" si="188"/>
        <v>4.9543464096533492E-2</v>
      </c>
      <c r="AA227" s="3">
        <f t="shared" si="188"/>
        <v>4.9543125824595483E-2</v>
      </c>
      <c r="AB227" s="3">
        <f t="shared" si="188"/>
        <v>4.9539743232243409E-2</v>
      </c>
      <c r="AC227" s="3">
        <f t="shared" si="188"/>
        <v>4.9505930008311494E-2</v>
      </c>
      <c r="AD227" s="3">
        <f t="shared" si="188"/>
        <v>4.916906452543969E-2</v>
      </c>
      <c r="AE227" s="3">
        <f t="shared" si="188"/>
        <v>4.5923942757769849E-2</v>
      </c>
      <c r="AF227" s="3">
        <f t="shared" si="188"/>
        <v>2.3201249806971379E-2</v>
      </c>
      <c r="AG227" s="3"/>
      <c r="AH227" s="3"/>
    </row>
    <row r="228" spans="2:34" x14ac:dyDescent="0.25">
      <c r="B228" s="3">
        <f t="shared" ref="B228:AF228" si="189">$C36*EXP(-B$207/$A36/EXP(-$D$126))</f>
        <v>3.0281570029291476E-2</v>
      </c>
      <c r="C228" s="3">
        <f t="shared" si="189"/>
        <v>3.0281570029291476E-2</v>
      </c>
      <c r="D228" s="3">
        <f t="shared" si="189"/>
        <v>3.0281570029291476E-2</v>
      </c>
      <c r="E228" s="3">
        <f t="shared" si="189"/>
        <v>3.0281570029291476E-2</v>
      </c>
      <c r="F228" s="3">
        <f t="shared" si="189"/>
        <v>3.0281570029291476E-2</v>
      </c>
      <c r="G228" s="3">
        <f t="shared" si="189"/>
        <v>3.0281570029291476E-2</v>
      </c>
      <c r="H228" s="3">
        <f t="shared" si="189"/>
        <v>3.0281570029291476E-2</v>
      </c>
      <c r="I228" s="3">
        <f t="shared" si="189"/>
        <v>3.0281570029291476E-2</v>
      </c>
      <c r="J228" s="3">
        <f t="shared" si="189"/>
        <v>3.0281570029291476E-2</v>
      </c>
      <c r="K228" s="3">
        <f t="shared" si="189"/>
        <v>3.0281570029291476E-2</v>
      </c>
      <c r="L228" s="3">
        <f t="shared" si="189"/>
        <v>3.0281570029291476E-2</v>
      </c>
      <c r="M228" s="3">
        <f t="shared" si="189"/>
        <v>3.0281570029291476E-2</v>
      </c>
      <c r="N228" s="3">
        <f t="shared" si="189"/>
        <v>3.0281570029291476E-2</v>
      </c>
      <c r="O228" s="3">
        <f t="shared" si="189"/>
        <v>3.0281570029291476E-2</v>
      </c>
      <c r="P228" s="3">
        <f t="shared" si="189"/>
        <v>3.0281570029291476E-2</v>
      </c>
      <c r="Q228" s="3">
        <f t="shared" si="189"/>
        <v>3.0281570029291473E-2</v>
      </c>
      <c r="R228" s="3">
        <f t="shared" si="189"/>
        <v>3.0281570029291455E-2</v>
      </c>
      <c r="S228" s="3">
        <f t="shared" si="189"/>
        <v>3.0281570029291268E-2</v>
      </c>
      <c r="T228" s="3">
        <f t="shared" si="189"/>
        <v>3.0281570029289405E-2</v>
      </c>
      <c r="U228" s="3">
        <f t="shared" si="189"/>
        <v>3.0281570029270753E-2</v>
      </c>
      <c r="V228" s="3">
        <f t="shared" si="189"/>
        <v>3.0281570029084239E-2</v>
      </c>
      <c r="W228" s="3">
        <f t="shared" si="189"/>
        <v>3.0281570027219127E-2</v>
      </c>
      <c r="X228" s="3">
        <f t="shared" si="189"/>
        <v>3.0281570008567953E-2</v>
      </c>
      <c r="Y228" s="3">
        <f t="shared" si="189"/>
        <v>3.0281569822056265E-2</v>
      </c>
      <c r="Z228" s="3">
        <f t="shared" si="189"/>
        <v>3.0281567956939402E-2</v>
      </c>
      <c r="AA228" s="3">
        <f t="shared" si="189"/>
        <v>3.0281549305777117E-2</v>
      </c>
      <c r="AB228" s="3">
        <f t="shared" si="189"/>
        <v>3.0281362794786108E-2</v>
      </c>
      <c r="AC228" s="3">
        <f t="shared" si="189"/>
        <v>3.0279497748056845E-2</v>
      </c>
      <c r="AD228" s="3">
        <f t="shared" si="189"/>
        <v>3.0260853597409158E-2</v>
      </c>
      <c r="AE228" s="3">
        <f t="shared" si="189"/>
        <v>3.0075042318280572E-2</v>
      </c>
      <c r="AF228" s="3">
        <f t="shared" si="189"/>
        <v>2.8278539378653246E-2</v>
      </c>
      <c r="AG228" s="3"/>
      <c r="AH228" s="3"/>
    </row>
    <row r="229" spans="2:34" x14ac:dyDescent="0.25">
      <c r="B229" s="3">
        <f t="shared" ref="B229:AF229" si="190">$C37*EXP(-B$207/$A37/EXP(-$D$126))</f>
        <v>1.5838845962715554E-2</v>
      </c>
      <c r="C229" s="3">
        <f t="shared" si="190"/>
        <v>1.5838845962715554E-2</v>
      </c>
      <c r="D229" s="3">
        <f t="shared" si="190"/>
        <v>1.5838845962715554E-2</v>
      </c>
      <c r="E229" s="3">
        <f t="shared" si="190"/>
        <v>1.5838845962715554E-2</v>
      </c>
      <c r="F229" s="3">
        <f t="shared" si="190"/>
        <v>1.5838845962715554E-2</v>
      </c>
      <c r="G229" s="3">
        <f t="shared" si="190"/>
        <v>1.5838845962715554E-2</v>
      </c>
      <c r="H229" s="3">
        <f t="shared" si="190"/>
        <v>1.5838845962715554E-2</v>
      </c>
      <c r="I229" s="3">
        <f t="shared" si="190"/>
        <v>1.5838845962715554E-2</v>
      </c>
      <c r="J229" s="3">
        <f t="shared" si="190"/>
        <v>1.5838845962715554E-2</v>
      </c>
      <c r="K229" s="3">
        <f t="shared" si="190"/>
        <v>1.5838845962715554E-2</v>
      </c>
      <c r="L229" s="3">
        <f t="shared" si="190"/>
        <v>1.5838845962715554E-2</v>
      </c>
      <c r="M229" s="3">
        <f t="shared" si="190"/>
        <v>1.5838845962715554E-2</v>
      </c>
      <c r="N229" s="3">
        <f t="shared" si="190"/>
        <v>1.5838845962715554E-2</v>
      </c>
      <c r="O229" s="3">
        <f t="shared" si="190"/>
        <v>1.5838845962715554E-2</v>
      </c>
      <c r="P229" s="3">
        <f t="shared" si="190"/>
        <v>1.5838845962715554E-2</v>
      </c>
      <c r="Q229" s="3">
        <f t="shared" si="190"/>
        <v>1.5838845962715554E-2</v>
      </c>
      <c r="R229" s="3">
        <f t="shared" si="190"/>
        <v>1.583884596271555E-2</v>
      </c>
      <c r="S229" s="3">
        <f t="shared" si="190"/>
        <v>1.5838845962715543E-2</v>
      </c>
      <c r="T229" s="3">
        <f t="shared" si="190"/>
        <v>1.5838845962715457E-2</v>
      </c>
      <c r="U229" s="3">
        <f t="shared" si="190"/>
        <v>1.5838845962714575E-2</v>
      </c>
      <c r="V229" s="3">
        <f t="shared" si="190"/>
        <v>1.5838845962705773E-2</v>
      </c>
      <c r="W229" s="3">
        <f t="shared" si="190"/>
        <v>1.5838845962617771E-2</v>
      </c>
      <c r="X229" s="3">
        <f t="shared" si="190"/>
        <v>1.5838845961737742E-2</v>
      </c>
      <c r="Y229" s="3">
        <f t="shared" si="190"/>
        <v>1.5838845952937435E-2</v>
      </c>
      <c r="Z229" s="3">
        <f t="shared" si="190"/>
        <v>1.5838845864934371E-2</v>
      </c>
      <c r="AA229" s="3">
        <f t="shared" si="190"/>
        <v>1.5838844984903743E-2</v>
      </c>
      <c r="AB229" s="3">
        <f t="shared" si="190"/>
        <v>1.5838836184600153E-2</v>
      </c>
      <c r="AC229" s="3">
        <f t="shared" si="190"/>
        <v>1.5838748181833204E-2</v>
      </c>
      <c r="AD229" s="3">
        <f t="shared" si="190"/>
        <v>1.5837868181055818E-2</v>
      </c>
      <c r="AE229" s="3">
        <f t="shared" si="190"/>
        <v>1.5829070861939909E-2</v>
      </c>
      <c r="AF229" s="3">
        <f t="shared" si="190"/>
        <v>1.5741365984671914E-2</v>
      </c>
      <c r="AG229" s="3"/>
      <c r="AH229" s="3"/>
    </row>
    <row r="230" spans="2:34" x14ac:dyDescent="0.25">
      <c r="B230" s="3">
        <f t="shared" ref="B230:AF230" si="191">$C38*EXP(-B$207/$A38/EXP(-$D$126))</f>
        <v>5.1881409706128322E-3</v>
      </c>
      <c r="C230" s="3">
        <f t="shared" si="191"/>
        <v>5.1881409706128322E-3</v>
      </c>
      <c r="D230" s="3">
        <f t="shared" si="191"/>
        <v>5.1881409706128322E-3</v>
      </c>
      <c r="E230" s="3">
        <f t="shared" si="191"/>
        <v>5.1881409706128322E-3</v>
      </c>
      <c r="F230" s="3">
        <f t="shared" si="191"/>
        <v>5.1881409706128322E-3</v>
      </c>
      <c r="G230" s="3">
        <f t="shared" si="191"/>
        <v>5.1881409706128322E-3</v>
      </c>
      <c r="H230" s="3">
        <f t="shared" si="191"/>
        <v>5.1881409706128322E-3</v>
      </c>
      <c r="I230" s="3">
        <f t="shared" si="191"/>
        <v>5.1881409706128322E-3</v>
      </c>
      <c r="J230" s="3">
        <f t="shared" si="191"/>
        <v>5.1881409706128322E-3</v>
      </c>
      <c r="K230" s="3">
        <f t="shared" si="191"/>
        <v>5.1881409706128322E-3</v>
      </c>
      <c r="L230" s="3">
        <f t="shared" si="191"/>
        <v>5.1881409706128322E-3</v>
      </c>
      <c r="M230" s="3">
        <f t="shared" si="191"/>
        <v>5.1881409706128322E-3</v>
      </c>
      <c r="N230" s="3">
        <f t="shared" si="191"/>
        <v>5.1881409706128322E-3</v>
      </c>
      <c r="O230" s="3">
        <f t="shared" si="191"/>
        <v>5.1881409706128322E-3</v>
      </c>
      <c r="P230" s="3">
        <f t="shared" si="191"/>
        <v>5.1881409706128322E-3</v>
      </c>
      <c r="Q230" s="3">
        <f t="shared" si="191"/>
        <v>5.1881409706128322E-3</v>
      </c>
      <c r="R230" s="3">
        <f t="shared" si="191"/>
        <v>5.1881409706128322E-3</v>
      </c>
      <c r="S230" s="3">
        <f t="shared" si="191"/>
        <v>5.1881409706128314E-3</v>
      </c>
      <c r="T230" s="3">
        <f t="shared" si="191"/>
        <v>5.1881409706128296E-3</v>
      </c>
      <c r="U230" s="3">
        <f t="shared" si="191"/>
        <v>5.1881409706128036E-3</v>
      </c>
      <c r="V230" s="3">
        <f t="shared" si="191"/>
        <v>5.1881409706125434E-3</v>
      </c>
      <c r="W230" s="3">
        <f t="shared" si="191"/>
        <v>5.1881409706099431E-3</v>
      </c>
      <c r="X230" s="3">
        <f t="shared" si="191"/>
        <v>5.1881409705839395E-3</v>
      </c>
      <c r="Y230" s="3">
        <f t="shared" si="191"/>
        <v>5.1881409703239036E-3</v>
      </c>
      <c r="Z230" s="3">
        <f t="shared" si="191"/>
        <v>5.1881409677235488E-3</v>
      </c>
      <c r="AA230" s="3">
        <f t="shared" si="191"/>
        <v>5.1881409417199997E-3</v>
      </c>
      <c r="AB230" s="3">
        <f t="shared" si="191"/>
        <v>5.1881406816845178E-3</v>
      </c>
      <c r="AC230" s="3">
        <f t="shared" si="191"/>
        <v>5.1881380813304104E-3</v>
      </c>
      <c r="AD230" s="3">
        <f t="shared" si="191"/>
        <v>5.1881120778610214E-3</v>
      </c>
      <c r="AE230" s="3">
        <f t="shared" si="191"/>
        <v>5.1878520503352852E-3</v>
      </c>
      <c r="AF230" s="3">
        <f t="shared" si="191"/>
        <v>5.1852524917602319E-3</v>
      </c>
      <c r="AG230" s="3"/>
      <c r="AH230" s="3"/>
    </row>
    <row r="231" spans="2:34" x14ac:dyDescent="0.25">
      <c r="B231" s="3">
        <f t="shared" ref="B231:AF231" si="192">$C39*EXP(-B$207/$A39/EXP(-$D$126))</f>
        <v>3.8617191328215671E-3</v>
      </c>
      <c r="C231" s="3">
        <f t="shared" si="192"/>
        <v>3.8617191328215671E-3</v>
      </c>
      <c r="D231" s="3">
        <f t="shared" si="192"/>
        <v>3.8617191328215671E-3</v>
      </c>
      <c r="E231" s="3">
        <f t="shared" si="192"/>
        <v>3.8617191328215671E-3</v>
      </c>
      <c r="F231" s="3">
        <f t="shared" si="192"/>
        <v>3.8617191328215671E-3</v>
      </c>
      <c r="G231" s="3">
        <f t="shared" si="192"/>
        <v>3.8617191328215671E-3</v>
      </c>
      <c r="H231" s="3">
        <f t="shared" si="192"/>
        <v>3.8617191328215671E-3</v>
      </c>
      <c r="I231" s="3">
        <f t="shared" si="192"/>
        <v>3.8617191328215671E-3</v>
      </c>
      <c r="J231" s="3">
        <f t="shared" si="192"/>
        <v>3.8617191328215671E-3</v>
      </c>
      <c r="K231" s="3">
        <f t="shared" si="192"/>
        <v>3.8617191328215671E-3</v>
      </c>
      <c r="L231" s="3">
        <f t="shared" si="192"/>
        <v>3.8617191328215671E-3</v>
      </c>
      <c r="M231" s="3">
        <f t="shared" si="192"/>
        <v>3.8617191328215671E-3</v>
      </c>
      <c r="N231" s="3">
        <f t="shared" si="192"/>
        <v>3.8617191328215671E-3</v>
      </c>
      <c r="O231" s="3">
        <f t="shared" si="192"/>
        <v>3.8617191328215671E-3</v>
      </c>
      <c r="P231" s="3">
        <f t="shared" si="192"/>
        <v>3.8617191328215671E-3</v>
      </c>
      <c r="Q231" s="3">
        <f t="shared" si="192"/>
        <v>3.8617191328215671E-3</v>
      </c>
      <c r="R231" s="3">
        <f t="shared" si="192"/>
        <v>3.8617191328215671E-3</v>
      </c>
      <c r="S231" s="3">
        <f t="shared" si="192"/>
        <v>3.8617191328215671E-3</v>
      </c>
      <c r="T231" s="3">
        <f t="shared" si="192"/>
        <v>3.8617191328215667E-3</v>
      </c>
      <c r="U231" s="3">
        <f t="shared" si="192"/>
        <v>3.861719132821561E-3</v>
      </c>
      <c r="V231" s="3">
        <f t="shared" si="192"/>
        <v>3.8617191328215077E-3</v>
      </c>
      <c r="W231" s="3">
        <f t="shared" si="192"/>
        <v>3.8617191328209725E-3</v>
      </c>
      <c r="X231" s="3">
        <f t="shared" si="192"/>
        <v>3.8617191328156192E-3</v>
      </c>
      <c r="Y231" s="3">
        <f t="shared" si="192"/>
        <v>3.8617191327620874E-3</v>
      </c>
      <c r="Z231" s="3">
        <f t="shared" si="192"/>
        <v>3.8617191322267656E-3</v>
      </c>
      <c r="AA231" s="3">
        <f t="shared" si="192"/>
        <v>3.8617191268735546E-3</v>
      </c>
      <c r="AB231" s="3">
        <f t="shared" si="192"/>
        <v>3.8617190733414397E-3</v>
      </c>
      <c r="AC231" s="3">
        <f t="shared" si="192"/>
        <v>3.8617185380203341E-3</v>
      </c>
      <c r="AD231" s="3">
        <f t="shared" si="192"/>
        <v>3.8617131848133557E-3</v>
      </c>
      <c r="AE231" s="3">
        <f t="shared" si="192"/>
        <v>3.8616596531517193E-3</v>
      </c>
      <c r="AF231" s="3">
        <f t="shared" si="192"/>
        <v>3.8611243773471783E-3</v>
      </c>
      <c r="AG231" s="3"/>
      <c r="AH231" s="3"/>
    </row>
    <row r="232" spans="2:34" x14ac:dyDescent="0.25">
      <c r="B232" s="3">
        <f t="shared" ref="B232:AF232" si="193">$C40*EXP(-B$207/$A40/EXP(-$D$126))</f>
        <v>3.0600017424879029E-3</v>
      </c>
      <c r="C232" s="3">
        <f t="shared" si="193"/>
        <v>3.0600017424879029E-3</v>
      </c>
      <c r="D232" s="3">
        <f t="shared" si="193"/>
        <v>3.0600017424879029E-3</v>
      </c>
      <c r="E232" s="3">
        <f t="shared" si="193"/>
        <v>3.0600017424879029E-3</v>
      </c>
      <c r="F232" s="3">
        <f t="shared" si="193"/>
        <v>3.0600017424879029E-3</v>
      </c>
      <c r="G232" s="3">
        <f t="shared" si="193"/>
        <v>3.0600017424879029E-3</v>
      </c>
      <c r="H232" s="3">
        <f t="shared" si="193"/>
        <v>3.0600017424879029E-3</v>
      </c>
      <c r="I232" s="3">
        <f t="shared" si="193"/>
        <v>3.0600017424879029E-3</v>
      </c>
      <c r="J232" s="3">
        <f t="shared" si="193"/>
        <v>3.0600017424879029E-3</v>
      </c>
      <c r="K232" s="3">
        <f t="shared" si="193"/>
        <v>3.0600017424879029E-3</v>
      </c>
      <c r="L232" s="3">
        <f t="shared" si="193"/>
        <v>3.0600017424879029E-3</v>
      </c>
      <c r="M232" s="3">
        <f t="shared" si="193"/>
        <v>3.0600017424879029E-3</v>
      </c>
      <c r="N232" s="3">
        <f t="shared" si="193"/>
        <v>3.0600017424879029E-3</v>
      </c>
      <c r="O232" s="3">
        <f t="shared" si="193"/>
        <v>3.0600017424879029E-3</v>
      </c>
      <c r="P232" s="3">
        <f t="shared" si="193"/>
        <v>3.0600017424879029E-3</v>
      </c>
      <c r="Q232" s="3">
        <f t="shared" si="193"/>
        <v>3.0600017424879029E-3</v>
      </c>
      <c r="R232" s="3">
        <f t="shared" si="193"/>
        <v>3.0600017424879029E-3</v>
      </c>
      <c r="S232" s="3">
        <f t="shared" si="193"/>
        <v>3.0600017424879029E-3</v>
      </c>
      <c r="T232" s="3">
        <f t="shared" si="193"/>
        <v>3.0600017424879029E-3</v>
      </c>
      <c r="U232" s="3">
        <f t="shared" si="193"/>
        <v>3.0600017424879025E-3</v>
      </c>
      <c r="V232" s="3">
        <f t="shared" si="193"/>
        <v>3.0600017424878981E-3</v>
      </c>
      <c r="W232" s="3">
        <f t="shared" si="193"/>
        <v>3.0600017424878556E-3</v>
      </c>
      <c r="X232" s="3">
        <f t="shared" si="193"/>
        <v>3.0600017424874315E-3</v>
      </c>
      <c r="Y232" s="3">
        <f t="shared" si="193"/>
        <v>3.0600017424831896E-3</v>
      </c>
      <c r="Z232" s="3">
        <f t="shared" si="193"/>
        <v>3.0600017424407713E-3</v>
      </c>
      <c r="AA232" s="3">
        <f t="shared" si="193"/>
        <v>3.0600017420165859E-3</v>
      </c>
      <c r="AB232" s="3">
        <f t="shared" si="193"/>
        <v>3.0600017377747355E-3</v>
      </c>
      <c r="AC232" s="3">
        <f t="shared" si="193"/>
        <v>3.0600016953562272E-3</v>
      </c>
      <c r="AD232" s="3">
        <f t="shared" si="193"/>
        <v>3.060001271171179E-3</v>
      </c>
      <c r="AE232" s="3">
        <f t="shared" si="193"/>
        <v>3.0599970293239301E-3</v>
      </c>
      <c r="AF232" s="3">
        <f t="shared" si="193"/>
        <v>3.0599546111748487E-3</v>
      </c>
      <c r="AG232" s="3"/>
      <c r="AH232" s="3"/>
    </row>
    <row r="233" spans="2:34" x14ac:dyDescent="0.25">
      <c r="B233" s="3">
        <f t="shared" ref="B233:AF233" si="194">$C41*EXP(-B$207/$A41/EXP(-$D$126))</f>
        <v>1.8593150246318942E-3</v>
      </c>
      <c r="C233" s="3">
        <f t="shared" si="194"/>
        <v>1.8593150246318942E-3</v>
      </c>
      <c r="D233" s="3">
        <f t="shared" si="194"/>
        <v>1.8593150246318942E-3</v>
      </c>
      <c r="E233" s="3">
        <f t="shared" si="194"/>
        <v>1.8593150246318942E-3</v>
      </c>
      <c r="F233" s="3">
        <f t="shared" si="194"/>
        <v>1.8593150246318942E-3</v>
      </c>
      <c r="G233" s="3">
        <f t="shared" si="194"/>
        <v>1.8593150246318942E-3</v>
      </c>
      <c r="H233" s="3">
        <f t="shared" si="194"/>
        <v>1.8593150246318942E-3</v>
      </c>
      <c r="I233" s="3">
        <f t="shared" si="194"/>
        <v>1.8593150246318942E-3</v>
      </c>
      <c r="J233" s="3">
        <f t="shared" si="194"/>
        <v>1.8593150246318942E-3</v>
      </c>
      <c r="K233" s="3">
        <f t="shared" si="194"/>
        <v>1.8593150246318942E-3</v>
      </c>
      <c r="L233" s="3">
        <f t="shared" si="194"/>
        <v>1.8593150246318942E-3</v>
      </c>
      <c r="M233" s="3">
        <f t="shared" si="194"/>
        <v>1.8593150246318942E-3</v>
      </c>
      <c r="N233" s="3">
        <f t="shared" si="194"/>
        <v>1.8593150246318942E-3</v>
      </c>
      <c r="O233" s="3">
        <f t="shared" si="194"/>
        <v>1.8593150246318942E-3</v>
      </c>
      <c r="P233" s="3">
        <f t="shared" si="194"/>
        <v>1.8593150246318942E-3</v>
      </c>
      <c r="Q233" s="3">
        <f t="shared" si="194"/>
        <v>1.8593150246318942E-3</v>
      </c>
      <c r="R233" s="3">
        <f t="shared" si="194"/>
        <v>1.8593150246318942E-3</v>
      </c>
      <c r="S233" s="3">
        <f t="shared" si="194"/>
        <v>1.8593150246318942E-3</v>
      </c>
      <c r="T233" s="3">
        <f t="shared" si="194"/>
        <v>1.8593150246318942E-3</v>
      </c>
      <c r="U233" s="3">
        <f t="shared" si="194"/>
        <v>1.8593150246318942E-3</v>
      </c>
      <c r="V233" s="3">
        <f t="shared" si="194"/>
        <v>1.859315024631894E-3</v>
      </c>
      <c r="W233" s="3">
        <f t="shared" si="194"/>
        <v>1.8593150246318914E-3</v>
      </c>
      <c r="X233" s="3">
        <f t="shared" si="194"/>
        <v>1.8593150246318656E-3</v>
      </c>
      <c r="Y233" s="3">
        <f t="shared" si="194"/>
        <v>1.859315024631608E-3</v>
      </c>
      <c r="Z233" s="3">
        <f t="shared" si="194"/>
        <v>1.8593150246290304E-3</v>
      </c>
      <c r="AA233" s="3">
        <f t="shared" si="194"/>
        <v>1.8593150246032561E-3</v>
      </c>
      <c r="AB233" s="3">
        <f t="shared" si="194"/>
        <v>1.8593150243455133E-3</v>
      </c>
      <c r="AC233" s="3">
        <f t="shared" si="194"/>
        <v>1.8593150217680844E-3</v>
      </c>
      <c r="AD233" s="3">
        <f t="shared" si="194"/>
        <v>1.8593149959937954E-3</v>
      </c>
      <c r="AE233" s="3">
        <f t="shared" si="194"/>
        <v>1.8593147382509247E-3</v>
      </c>
      <c r="AF233" s="3">
        <f t="shared" si="194"/>
        <v>1.8593121608241824E-3</v>
      </c>
      <c r="AG233" s="3"/>
      <c r="AH233" s="3"/>
    </row>
    <row r="234" spans="2:34" x14ac:dyDescent="0.25">
      <c r="B234" s="3">
        <f t="shared" ref="B234:AF234" si="195">$C42*EXP(-B$207/$A42/EXP(-$D$126))</f>
        <v>1.0289911498978865E-4</v>
      </c>
      <c r="C234" s="3">
        <f t="shared" si="195"/>
        <v>1.0289911498978865E-4</v>
      </c>
      <c r="D234" s="3">
        <f t="shared" si="195"/>
        <v>1.0289911498978865E-4</v>
      </c>
      <c r="E234" s="3">
        <f t="shared" si="195"/>
        <v>1.0289911498978865E-4</v>
      </c>
      <c r="F234" s="3">
        <f t="shared" si="195"/>
        <v>1.0289911498978865E-4</v>
      </c>
      <c r="G234" s="3">
        <f t="shared" si="195"/>
        <v>1.0289911498978865E-4</v>
      </c>
      <c r="H234" s="3">
        <f t="shared" si="195"/>
        <v>1.0289911498978865E-4</v>
      </c>
      <c r="I234" s="3">
        <f t="shared" si="195"/>
        <v>1.0289911498978865E-4</v>
      </c>
      <c r="J234" s="3">
        <f t="shared" si="195"/>
        <v>1.0289911498978865E-4</v>
      </c>
      <c r="K234" s="3">
        <f t="shared" si="195"/>
        <v>1.0289911498978865E-4</v>
      </c>
      <c r="L234" s="3">
        <f t="shared" si="195"/>
        <v>1.0289911498978865E-4</v>
      </c>
      <c r="M234" s="3">
        <f t="shared" si="195"/>
        <v>1.0289911498978865E-4</v>
      </c>
      <c r="N234" s="3">
        <f t="shared" si="195"/>
        <v>1.0289911498978865E-4</v>
      </c>
      <c r="O234" s="3">
        <f t="shared" si="195"/>
        <v>1.0289911498978865E-4</v>
      </c>
      <c r="P234" s="3">
        <f t="shared" si="195"/>
        <v>1.0289911498978865E-4</v>
      </c>
      <c r="Q234" s="3">
        <f t="shared" si="195"/>
        <v>1.0289911498978865E-4</v>
      </c>
      <c r="R234" s="3">
        <f t="shared" si="195"/>
        <v>1.0289911498978865E-4</v>
      </c>
      <c r="S234" s="3">
        <f t="shared" si="195"/>
        <v>1.0289911498978865E-4</v>
      </c>
      <c r="T234" s="3">
        <f t="shared" si="195"/>
        <v>1.0289911498978865E-4</v>
      </c>
      <c r="U234" s="3">
        <f t="shared" si="195"/>
        <v>1.0289911498978865E-4</v>
      </c>
      <c r="V234" s="3">
        <f t="shared" si="195"/>
        <v>1.0289911498978865E-4</v>
      </c>
      <c r="W234" s="3">
        <f t="shared" si="195"/>
        <v>1.0289911498978864E-4</v>
      </c>
      <c r="X234" s="3">
        <f t="shared" si="195"/>
        <v>1.0289911498978849E-4</v>
      </c>
      <c r="Y234" s="3">
        <f t="shared" si="195"/>
        <v>1.0289911498978707E-4</v>
      </c>
      <c r="Z234" s="3">
        <f t="shared" si="195"/>
        <v>1.0289911498977281E-4</v>
      </c>
      <c r="AA234" s="3">
        <f t="shared" si="195"/>
        <v>1.0289911498963017E-4</v>
      </c>
      <c r="AB234" s="3">
        <f t="shared" si="195"/>
        <v>1.0289911498820375E-4</v>
      </c>
      <c r="AC234" s="3">
        <f t="shared" si="195"/>
        <v>1.0289911497393961E-4</v>
      </c>
      <c r="AD234" s="3">
        <f t="shared" si="195"/>
        <v>1.028991148312983E-4</v>
      </c>
      <c r="AE234" s="3">
        <f t="shared" si="195"/>
        <v>1.0289911340488507E-4</v>
      </c>
      <c r="AF234" s="3">
        <f t="shared" si="195"/>
        <v>1.0289909914075396E-4</v>
      </c>
      <c r="AG234" s="3"/>
      <c r="AH234" s="3"/>
    </row>
    <row r="235" spans="2:34" x14ac:dyDescent="0.25">
      <c r="B235" s="3">
        <f t="shared" ref="B235:AF235" si="196">$C43*EXP(-B$207/$A43/EXP(-$D$126))</f>
        <v>3.4301074619822757E-3</v>
      </c>
      <c r="C235" s="3">
        <f t="shared" si="196"/>
        <v>3.4301074619822757E-3</v>
      </c>
      <c r="D235" s="3">
        <f t="shared" si="196"/>
        <v>3.4301074619822757E-3</v>
      </c>
      <c r="E235" s="3">
        <f t="shared" si="196"/>
        <v>3.4301074619822757E-3</v>
      </c>
      <c r="F235" s="3">
        <f t="shared" si="196"/>
        <v>3.4301074619822757E-3</v>
      </c>
      <c r="G235" s="3">
        <f t="shared" si="196"/>
        <v>3.4301074619822757E-3</v>
      </c>
      <c r="H235" s="3">
        <f t="shared" si="196"/>
        <v>3.4301074619822757E-3</v>
      </c>
      <c r="I235" s="3">
        <f t="shared" si="196"/>
        <v>3.4301074619822757E-3</v>
      </c>
      <c r="J235" s="3">
        <f t="shared" si="196"/>
        <v>3.4301074619822757E-3</v>
      </c>
      <c r="K235" s="3">
        <f t="shared" si="196"/>
        <v>3.4301074619822757E-3</v>
      </c>
      <c r="L235" s="3">
        <f t="shared" si="196"/>
        <v>3.4301074619822757E-3</v>
      </c>
      <c r="M235" s="3">
        <f t="shared" si="196"/>
        <v>3.4301074619822757E-3</v>
      </c>
      <c r="N235" s="3">
        <f t="shared" si="196"/>
        <v>3.4301074619822757E-3</v>
      </c>
      <c r="O235" s="3">
        <f t="shared" si="196"/>
        <v>3.4301074619822757E-3</v>
      </c>
      <c r="P235" s="3">
        <f t="shared" si="196"/>
        <v>3.4301074619822757E-3</v>
      </c>
      <c r="Q235" s="3">
        <f t="shared" si="196"/>
        <v>3.4301074619822757E-3</v>
      </c>
      <c r="R235" s="3">
        <f t="shared" si="196"/>
        <v>3.4301074619822757E-3</v>
      </c>
      <c r="S235" s="3">
        <f t="shared" si="196"/>
        <v>3.4301074619822757E-3</v>
      </c>
      <c r="T235" s="3">
        <f t="shared" si="196"/>
        <v>3.4301074619822757E-3</v>
      </c>
      <c r="U235" s="3">
        <f t="shared" si="196"/>
        <v>3.4301074619822757E-3</v>
      </c>
      <c r="V235" s="3">
        <f t="shared" si="196"/>
        <v>3.4301074619822757E-3</v>
      </c>
      <c r="W235" s="3">
        <f t="shared" si="196"/>
        <v>3.4301074619822757E-3</v>
      </c>
      <c r="X235" s="3">
        <f t="shared" si="196"/>
        <v>3.4301074619822753E-3</v>
      </c>
      <c r="Y235" s="3">
        <f t="shared" si="196"/>
        <v>3.4301074619822705E-3</v>
      </c>
      <c r="Z235" s="3">
        <f t="shared" si="196"/>
        <v>3.4301074619822228E-3</v>
      </c>
      <c r="AA235" s="3">
        <f t="shared" si="196"/>
        <v>3.4301074619817475E-3</v>
      </c>
      <c r="AB235" s="3">
        <f t="shared" si="196"/>
        <v>3.4301074619769926E-3</v>
      </c>
      <c r="AC235" s="3">
        <f t="shared" si="196"/>
        <v>3.4301074619294439E-3</v>
      </c>
      <c r="AD235" s="3">
        <f t="shared" si="196"/>
        <v>3.4301074614539536E-3</v>
      </c>
      <c r="AE235" s="3">
        <f t="shared" si="196"/>
        <v>3.4301074566990531E-3</v>
      </c>
      <c r="AF235" s="3">
        <f t="shared" si="196"/>
        <v>3.4301074091500467E-3</v>
      </c>
      <c r="AG235" s="3"/>
      <c r="AH235" s="3"/>
    </row>
    <row r="236" spans="2:34" x14ac:dyDescent="0.25">
      <c r="B236" s="3">
        <f t="shared" ref="B236:AF236" si="197">$C44*EXP(-B$207/$A44/EXP(-$D$126))</f>
        <v>1.0099566360327609E-4</v>
      </c>
      <c r="C236" s="3">
        <f t="shared" si="197"/>
        <v>1.0099566360327609E-4</v>
      </c>
      <c r="D236" s="3">
        <f t="shared" si="197"/>
        <v>1.0099566360327609E-4</v>
      </c>
      <c r="E236" s="3">
        <f t="shared" si="197"/>
        <v>1.0099566360327609E-4</v>
      </c>
      <c r="F236" s="3">
        <f t="shared" si="197"/>
        <v>1.0099566360327609E-4</v>
      </c>
      <c r="G236" s="3">
        <f t="shared" si="197"/>
        <v>1.0099566360327609E-4</v>
      </c>
      <c r="H236" s="3">
        <f t="shared" si="197"/>
        <v>1.0099566360327609E-4</v>
      </c>
      <c r="I236" s="3">
        <f t="shared" si="197"/>
        <v>1.0099566360327609E-4</v>
      </c>
      <c r="J236" s="3">
        <f t="shared" si="197"/>
        <v>1.0099566360327609E-4</v>
      </c>
      <c r="K236" s="3">
        <f t="shared" si="197"/>
        <v>1.0099566360327609E-4</v>
      </c>
      <c r="L236" s="3">
        <f t="shared" si="197"/>
        <v>1.0099566360327609E-4</v>
      </c>
      <c r="M236" s="3">
        <f t="shared" si="197"/>
        <v>1.0099566360327609E-4</v>
      </c>
      <c r="N236" s="3">
        <f t="shared" si="197"/>
        <v>1.0099566360327609E-4</v>
      </c>
      <c r="O236" s="3">
        <f t="shared" si="197"/>
        <v>1.0099566360327609E-4</v>
      </c>
      <c r="P236" s="3">
        <f t="shared" si="197"/>
        <v>1.0099566360327609E-4</v>
      </c>
      <c r="Q236" s="3">
        <f t="shared" si="197"/>
        <v>1.0099566360327609E-4</v>
      </c>
      <c r="R236" s="3">
        <f t="shared" si="197"/>
        <v>1.0099566360327609E-4</v>
      </c>
      <c r="S236" s="3">
        <f t="shared" si="197"/>
        <v>1.0099566360327609E-4</v>
      </c>
      <c r="T236" s="3">
        <f t="shared" si="197"/>
        <v>1.0099566360327609E-4</v>
      </c>
      <c r="U236" s="3">
        <f t="shared" si="197"/>
        <v>1.0099566360327609E-4</v>
      </c>
      <c r="V236" s="3">
        <f t="shared" si="197"/>
        <v>1.0099566360327609E-4</v>
      </c>
      <c r="W236" s="3">
        <f t="shared" si="197"/>
        <v>1.0099566360327609E-4</v>
      </c>
      <c r="X236" s="3">
        <f t="shared" si="197"/>
        <v>1.0099566360327609E-4</v>
      </c>
      <c r="Y236" s="3">
        <f t="shared" si="197"/>
        <v>1.0099566360327608E-4</v>
      </c>
      <c r="Z236" s="3">
        <f t="shared" si="197"/>
        <v>1.0099566360327593E-4</v>
      </c>
      <c r="AA236" s="3">
        <f t="shared" si="197"/>
        <v>1.0099566360327454E-4</v>
      </c>
      <c r="AB236" s="3">
        <f t="shared" si="197"/>
        <v>1.0099566360326054E-4</v>
      </c>
      <c r="AC236" s="3">
        <f t="shared" si="197"/>
        <v>1.0099566360312054E-4</v>
      </c>
      <c r="AD236" s="3">
        <f t="shared" si="197"/>
        <v>1.0099566360172051E-4</v>
      </c>
      <c r="AE236" s="3">
        <f t="shared" si="197"/>
        <v>1.0099566358772023E-4</v>
      </c>
      <c r="AF236" s="3">
        <f t="shared" si="197"/>
        <v>1.0099566344771753E-4</v>
      </c>
      <c r="AG236" s="3"/>
      <c r="AH236" s="3"/>
    </row>
    <row r="237" spans="2:34" x14ac:dyDescent="0.25">
      <c r="B237" s="3">
        <f t="shared" ref="B237:AF237" si="198">$C45*EXP(-B$207/$A45/EXP(-$D$126))</f>
        <v>2.8535751866135694E-4</v>
      </c>
      <c r="C237" s="3">
        <f t="shared" si="198"/>
        <v>2.8535751866135694E-4</v>
      </c>
      <c r="D237" s="3">
        <f t="shared" si="198"/>
        <v>2.8535751866135694E-4</v>
      </c>
      <c r="E237" s="3">
        <f t="shared" si="198"/>
        <v>2.8535751866135694E-4</v>
      </c>
      <c r="F237" s="3">
        <f t="shared" si="198"/>
        <v>2.8535751866135694E-4</v>
      </c>
      <c r="G237" s="3">
        <f t="shared" si="198"/>
        <v>2.8535751866135694E-4</v>
      </c>
      <c r="H237" s="3">
        <f t="shared" si="198"/>
        <v>2.8535751866135694E-4</v>
      </c>
      <c r="I237" s="3">
        <f t="shared" si="198"/>
        <v>2.8535751866135694E-4</v>
      </c>
      <c r="J237" s="3">
        <f t="shared" si="198"/>
        <v>2.8535751866135694E-4</v>
      </c>
      <c r="K237" s="3">
        <f t="shared" si="198"/>
        <v>2.8535751866135694E-4</v>
      </c>
      <c r="L237" s="3">
        <f t="shared" si="198"/>
        <v>2.8535751866135694E-4</v>
      </c>
      <c r="M237" s="3">
        <f t="shared" si="198"/>
        <v>2.8535751866135694E-4</v>
      </c>
      <c r="N237" s="3">
        <f t="shared" si="198"/>
        <v>2.8535751866135694E-4</v>
      </c>
      <c r="O237" s="3">
        <f t="shared" si="198"/>
        <v>2.8535751866135694E-4</v>
      </c>
      <c r="P237" s="3">
        <f t="shared" si="198"/>
        <v>2.8535751866135694E-4</v>
      </c>
      <c r="Q237" s="3">
        <f t="shared" si="198"/>
        <v>2.8535751866135694E-4</v>
      </c>
      <c r="R237" s="3">
        <f t="shared" si="198"/>
        <v>2.8535751866135694E-4</v>
      </c>
      <c r="S237" s="3">
        <f t="shared" si="198"/>
        <v>2.8535751866135694E-4</v>
      </c>
      <c r="T237" s="3">
        <f t="shared" si="198"/>
        <v>2.8535751866135694E-4</v>
      </c>
      <c r="U237" s="3">
        <f t="shared" si="198"/>
        <v>2.8535751866135694E-4</v>
      </c>
      <c r="V237" s="3">
        <f t="shared" si="198"/>
        <v>2.8535751866135694E-4</v>
      </c>
      <c r="W237" s="3">
        <f t="shared" si="198"/>
        <v>2.8535751866135694E-4</v>
      </c>
      <c r="X237" s="3">
        <f t="shared" si="198"/>
        <v>2.8535751866135694E-4</v>
      </c>
      <c r="Y237" s="3">
        <f t="shared" si="198"/>
        <v>2.8535751866135694E-4</v>
      </c>
      <c r="Z237" s="3">
        <f t="shared" si="198"/>
        <v>2.8535751866135689E-4</v>
      </c>
      <c r="AA237" s="3">
        <f t="shared" si="198"/>
        <v>2.8535751866135651E-4</v>
      </c>
      <c r="AB237" s="3">
        <f t="shared" si="198"/>
        <v>2.8535751866135255E-4</v>
      </c>
      <c r="AC237" s="3">
        <f t="shared" si="198"/>
        <v>2.8535751866131298E-4</v>
      </c>
      <c r="AD237" s="3">
        <f t="shared" si="198"/>
        <v>2.8535751866091741E-4</v>
      </c>
      <c r="AE237" s="3">
        <f t="shared" si="198"/>
        <v>2.8535751865696175E-4</v>
      </c>
      <c r="AF237" s="3">
        <f t="shared" si="198"/>
        <v>2.8535751861740474E-4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1.5499334140859142E-4</v>
      </c>
      <c r="C240" s="3">
        <f t="shared" si="201"/>
        <v>1.5499334140859142E-4</v>
      </c>
      <c r="D240" s="3">
        <f t="shared" si="201"/>
        <v>1.5499334140859142E-4</v>
      </c>
      <c r="E240" s="3">
        <f t="shared" si="201"/>
        <v>1.5499334140859142E-4</v>
      </c>
      <c r="F240" s="3">
        <f t="shared" si="201"/>
        <v>1.5499334140859142E-4</v>
      </c>
      <c r="G240" s="3">
        <f t="shared" si="201"/>
        <v>1.5499334140859142E-4</v>
      </c>
      <c r="H240" s="3">
        <f t="shared" si="201"/>
        <v>1.5499334140859142E-4</v>
      </c>
      <c r="I240" s="3">
        <f t="shared" si="201"/>
        <v>1.5499334140859142E-4</v>
      </c>
      <c r="J240" s="3">
        <f t="shared" si="201"/>
        <v>1.5499334140859142E-4</v>
      </c>
      <c r="K240" s="3">
        <f t="shared" si="201"/>
        <v>1.5499334140859142E-4</v>
      </c>
      <c r="L240" s="3">
        <f t="shared" si="201"/>
        <v>1.5499334140859142E-4</v>
      </c>
      <c r="M240" s="3">
        <f t="shared" si="201"/>
        <v>1.5499334140859142E-4</v>
      </c>
      <c r="N240" s="3">
        <f t="shared" si="201"/>
        <v>1.5499334140859142E-4</v>
      </c>
      <c r="O240" s="3">
        <f t="shared" si="201"/>
        <v>1.5499334140859142E-4</v>
      </c>
      <c r="P240" s="3">
        <f t="shared" si="201"/>
        <v>1.5499334140859142E-4</v>
      </c>
      <c r="Q240" s="3">
        <f t="shared" si="201"/>
        <v>1.5499334140859142E-4</v>
      </c>
      <c r="R240" s="3">
        <f t="shared" si="201"/>
        <v>1.5499334140859142E-4</v>
      </c>
      <c r="S240" s="3">
        <f t="shared" si="201"/>
        <v>1.5499334140859142E-4</v>
      </c>
      <c r="T240" s="3">
        <f t="shared" si="201"/>
        <v>1.5499334140859142E-4</v>
      </c>
      <c r="U240" s="3">
        <f t="shared" si="201"/>
        <v>1.5499334140859142E-4</v>
      </c>
      <c r="V240" s="3">
        <f t="shared" si="201"/>
        <v>1.5499334140859142E-4</v>
      </c>
      <c r="W240" s="3">
        <f t="shared" si="201"/>
        <v>1.5499334140859142E-4</v>
      </c>
      <c r="X240" s="3">
        <f t="shared" si="201"/>
        <v>1.5499334140859142E-4</v>
      </c>
      <c r="Y240" s="3">
        <f t="shared" si="201"/>
        <v>1.5499334140859142E-4</v>
      </c>
      <c r="Z240" s="3">
        <f t="shared" si="201"/>
        <v>1.5499334140859142E-4</v>
      </c>
      <c r="AA240" s="3">
        <f t="shared" si="201"/>
        <v>1.5499334140859142E-4</v>
      </c>
      <c r="AB240" s="3">
        <f t="shared" si="201"/>
        <v>1.5499334140859142E-4</v>
      </c>
      <c r="AC240" s="3">
        <f t="shared" si="201"/>
        <v>1.5499334140859139E-4</v>
      </c>
      <c r="AD240" s="3">
        <f t="shared" si="201"/>
        <v>1.5499334140859117E-4</v>
      </c>
      <c r="AE240" s="3">
        <f t="shared" si="201"/>
        <v>1.5499334140858903E-4</v>
      </c>
      <c r="AF240" s="3">
        <f t="shared" si="201"/>
        <v>1.5499334140856754E-4</v>
      </c>
      <c r="AG240" s="3"/>
      <c r="AH240" s="3"/>
    </row>
    <row r="241" spans="1:34" x14ac:dyDescent="0.25">
      <c r="A241" s="79">
        <f>AVERAGE(B241:AF241)</f>
        <v>1.6245679820005091E-2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8.46744224321722E-2</v>
      </c>
      <c r="M241" s="80">
        <f t="shared" si="202"/>
        <v>5.9263299751385889E-2</v>
      </c>
      <c r="N241" s="80">
        <f t="shared" si="202"/>
        <v>3.2092267327005299E-2</v>
      </c>
      <c r="O241" s="80">
        <f t="shared" si="202"/>
        <v>1.9507511112624158E-2</v>
      </c>
      <c r="P241" s="80">
        <f t="shared" si="202"/>
        <v>4.0749157593965461E-2</v>
      </c>
      <c r="Q241" s="80">
        <f t="shared" si="202"/>
        <v>4.0610559948976749E-2</v>
      </c>
      <c r="R241" s="80">
        <f t="shared" si="202"/>
        <v>4.7803102823675073E-2</v>
      </c>
      <c r="S241" s="80">
        <f t="shared" si="202"/>
        <v>4.0820238411139853E-2</v>
      </c>
      <c r="T241" s="80">
        <f t="shared" si="202"/>
        <v>8.6157266521264333E-3</v>
      </c>
      <c r="U241" s="80">
        <f t="shared" si="202"/>
        <v>3.8477087720797158E-2</v>
      </c>
      <c r="V241" s="80">
        <f t="shared" si="202"/>
        <v>9.1002700646289444E-2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9.9274356299749108E-7</v>
      </c>
      <c r="C242" s="21">
        <f t="shared" ref="C242:AF242" si="203">(C209-C208)^2</f>
        <v>1.9159094134026653E-3</v>
      </c>
      <c r="D242" s="21">
        <f t="shared" si="203"/>
        <v>8.811661249268388E-4</v>
      </c>
      <c r="E242" s="21">
        <f t="shared" si="203"/>
        <v>0.21641732349424719</v>
      </c>
      <c r="F242" s="21">
        <f t="shared" si="203"/>
        <v>20.960380785146285</v>
      </c>
      <c r="G242" s="21">
        <f t="shared" si="203"/>
        <v>1434.7228074820493</v>
      </c>
      <c r="H242" s="21">
        <f t="shared" si="203"/>
        <v>3798.2453904721833</v>
      </c>
      <c r="I242" s="21">
        <f t="shared" si="203"/>
        <v>333746.70492119598</v>
      </c>
      <c r="J242" s="21">
        <f t="shared" si="203"/>
        <v>519267.99797065574</v>
      </c>
      <c r="K242" s="21">
        <f t="shared" si="203"/>
        <v>353563.39330521954</v>
      </c>
      <c r="L242" s="21">
        <f t="shared" si="203"/>
        <v>214425.74068452211</v>
      </c>
      <c r="M242" s="21">
        <f t="shared" si="203"/>
        <v>99390.397677309491</v>
      </c>
      <c r="N242" s="21">
        <f t="shared" si="203"/>
        <v>27398.83114968082</v>
      </c>
      <c r="O242" s="21">
        <f t="shared" si="203"/>
        <v>9469.5795035247811</v>
      </c>
      <c r="P242" s="21">
        <f t="shared" si="203"/>
        <v>38676.206860536229</v>
      </c>
      <c r="Q242" s="21">
        <f t="shared" si="203"/>
        <v>35771.455435534903</v>
      </c>
      <c r="R242" s="21">
        <f t="shared" si="203"/>
        <v>45206.730746593646</v>
      </c>
      <c r="S242" s="21">
        <f t="shared" si="203"/>
        <v>29248.462732779546</v>
      </c>
      <c r="T242" s="21">
        <f t="shared" si="203"/>
        <v>1111.6817617225784</v>
      </c>
      <c r="U242" s="21">
        <f t="shared" si="203"/>
        <v>18398.794239839452</v>
      </c>
      <c r="V242" s="21">
        <f t="shared" si="203"/>
        <v>84788.481666413456</v>
      </c>
      <c r="W242" s="21">
        <f t="shared" si="203"/>
        <v>149594.01019928657</v>
      </c>
      <c r="X242" s="21">
        <f t="shared" si="203"/>
        <v>193353.40546392067</v>
      </c>
      <c r="Y242" s="21">
        <f t="shared" si="203"/>
        <v>191369.5555319805</v>
      </c>
      <c r="Z242" s="21">
        <f t="shared" si="203"/>
        <v>174291.32830316829</v>
      </c>
      <c r="AA242" s="21">
        <f t="shared" si="203"/>
        <v>135243.34681449473</v>
      </c>
      <c r="AB242" s="21">
        <f t="shared" si="203"/>
        <v>86917.726546333957</v>
      </c>
      <c r="AC242" s="21">
        <f t="shared" si="203"/>
        <v>28721.765264417038</v>
      </c>
      <c r="AD242" s="21">
        <f t="shared" si="203"/>
        <v>624.72409043637015</v>
      </c>
      <c r="AE242" s="21">
        <f t="shared" si="203"/>
        <v>5878.3878429431252</v>
      </c>
      <c r="AF242" s="21">
        <f t="shared" si="203"/>
        <v>11338.577303277665</v>
      </c>
      <c r="AG242" s="3"/>
      <c r="AH242" s="3"/>
    </row>
    <row r="243" spans="1:34" x14ac:dyDescent="0.25">
      <c r="A243" s="71">
        <f>SUM(B243:AF243)</f>
        <v>603886.36245845712</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214425.74068452211</v>
      </c>
      <c r="M243" s="60">
        <f t="shared" ref="M243" si="214">IF($A$64&lt;=M207,IF($B$64&gt;=M207,ABS(M242),0),0)</f>
        <v>99390.397677309491</v>
      </c>
      <c r="N243" s="60">
        <f t="shared" ref="N243" si="215">IF($A$64&lt;=N207,IF($B$64&gt;=N207,ABS(N242),0),0)</f>
        <v>27398.83114968082</v>
      </c>
      <c r="O243" s="60">
        <f t="shared" ref="O243" si="216">IF($A$64&lt;=O207,IF($B$64&gt;=O207,ABS(O242),0),0)</f>
        <v>9469.5795035247811</v>
      </c>
      <c r="P243" s="60">
        <f t="shared" ref="P243" si="217">IF($A$64&lt;=P207,IF($B$64&gt;=P207,ABS(P242),0),0)</f>
        <v>38676.206860536229</v>
      </c>
      <c r="Q243" s="60">
        <f t="shared" ref="Q243" si="218">IF($A$64&lt;=Q207,IF($B$64&gt;=Q207,ABS(Q242),0),0)</f>
        <v>35771.455435534903</v>
      </c>
      <c r="R243" s="60">
        <f t="shared" ref="R243" si="219">IF($A$64&lt;=R207,IF($B$64&gt;=R207,ABS(R242),0),0)</f>
        <v>45206.730746593646</v>
      </c>
      <c r="S243" s="60">
        <f t="shared" ref="S243" si="220">IF($A$64&lt;=S207,IF($B$64&gt;=S207,ABS(S242),0),0)</f>
        <v>29248.462732779546</v>
      </c>
      <c r="T243" s="60">
        <f t="shared" ref="T243" si="221">IF($A$64&lt;=T207,IF($B$64&gt;=T207,ABS(T242),0),0)</f>
        <v>1111.6817617225784</v>
      </c>
      <c r="U243" s="60">
        <f t="shared" ref="U243" si="222">IF($A$64&lt;=U207,IF($B$64&gt;=U207,ABS(U242),0),0)</f>
        <v>18398.794239839452</v>
      </c>
      <c r="V243" s="60">
        <f t="shared" ref="V243" si="223">IF($A$64&lt;=V207,IF($B$64&gt;=V207,ABS(V242),0),0)</f>
        <v>84788.481666413456</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6190.9350754215493</v>
      </c>
      <c r="C248" s="27">
        <f t="shared" ref="C248:AF248" si="234">($C$17+SUM(C249:C279))*$B$51</f>
        <v>6190.8097615774168</v>
      </c>
      <c r="D248" s="27">
        <f t="shared" si="234"/>
        <v>6189.557351680879</v>
      </c>
      <c r="E248" s="27">
        <f t="shared" si="234"/>
        <v>6177.105822953883</v>
      </c>
      <c r="F248" s="27">
        <f t="shared" si="234"/>
        <v>6059.5714802026987</v>
      </c>
      <c r="G248" s="27">
        <f t="shared" si="234"/>
        <v>5371.8234066184186</v>
      </c>
      <c r="H248" s="27">
        <f t="shared" si="234"/>
        <v>5005.8114041187264</v>
      </c>
      <c r="I248" s="27">
        <f t="shared" si="234"/>
        <v>5005.7925915344122</v>
      </c>
      <c r="J248" s="27">
        <f t="shared" si="234"/>
        <v>5005.6980428091356</v>
      </c>
      <c r="K248" s="27">
        <f t="shared" si="234"/>
        <v>5004.7539108277997</v>
      </c>
      <c r="L248" s="27">
        <f t="shared" si="234"/>
        <v>4995.4467736057341</v>
      </c>
      <c r="M248" s="27">
        <f t="shared" si="234"/>
        <v>4914.5445967583564</v>
      </c>
      <c r="N248" s="27">
        <f t="shared" si="234"/>
        <v>4649.6166543124491</v>
      </c>
      <c r="O248" s="27">
        <f t="shared" si="234"/>
        <v>4489.1250912503056</v>
      </c>
      <c r="P248" s="27">
        <f t="shared" si="234"/>
        <v>4260.5578716206592</v>
      </c>
      <c r="Q248" s="27">
        <f t="shared" si="234"/>
        <v>4041.859711817473</v>
      </c>
      <c r="R248" s="27">
        <f t="shared" si="234"/>
        <v>3857.7180878077488</v>
      </c>
      <c r="S248" s="27">
        <f t="shared" si="234"/>
        <v>3682.2800457983344</v>
      </c>
      <c r="T248" s="27">
        <f t="shared" si="234"/>
        <v>3512.3561225233416</v>
      </c>
      <c r="U248" s="27">
        <f t="shared" si="234"/>
        <v>3343.750659196297</v>
      </c>
      <c r="V248" s="27">
        <f t="shared" si="234"/>
        <v>3173.2064890021584</v>
      </c>
      <c r="W248" s="27">
        <f t="shared" si="234"/>
        <v>2980.9304134688077</v>
      </c>
      <c r="X248" s="27">
        <f t="shared" si="234"/>
        <v>2767.8710351108416</v>
      </c>
      <c r="Y248" s="27">
        <f t="shared" si="234"/>
        <v>2529.4465350196283</v>
      </c>
      <c r="Z248" s="27">
        <f t="shared" si="234"/>
        <v>2255.9692638761585</v>
      </c>
      <c r="AA248" s="27">
        <f t="shared" si="234"/>
        <v>1917.9560231502737</v>
      </c>
      <c r="AB248" s="27">
        <f t="shared" si="234"/>
        <v>1518.5902711812557</v>
      </c>
      <c r="AC248" s="27">
        <f t="shared" si="234"/>
        <v>1120.1208400124017</v>
      </c>
      <c r="AD248" s="27">
        <f t="shared" si="234"/>
        <v>782.01678222605619</v>
      </c>
      <c r="AE248" s="27">
        <f t="shared" si="234"/>
        <v>539.43661251274307</v>
      </c>
      <c r="AF248" s="27">
        <f t="shared" si="234"/>
        <v>394.49143141744872</v>
      </c>
      <c r="AG248" s="27"/>
      <c r="AH248" s="27"/>
    </row>
    <row r="249" spans="1:34" x14ac:dyDescent="0.25">
      <c r="B249" s="3">
        <f t="shared" ref="B249:AF249" si="235">$C18*EXP(-B$246/$A18/EXP(-$E$126))</f>
        <v>0.19142977545957499</v>
      </c>
      <c r="C249" s="3">
        <f t="shared" si="235"/>
        <v>0.19140953400149222</v>
      </c>
      <c r="D249" s="3">
        <f t="shared" si="235"/>
        <v>0.19120723709968063</v>
      </c>
      <c r="E249" s="3">
        <f t="shared" si="235"/>
        <v>0.18919599007093615</v>
      </c>
      <c r="F249" s="3">
        <f t="shared" si="235"/>
        <v>0.17021112469814689</v>
      </c>
      <c r="G249" s="3">
        <f t="shared" si="235"/>
        <v>5.9121858897298443E-2</v>
      </c>
      <c r="H249" s="3">
        <f t="shared" si="235"/>
        <v>1.5112957903200864E-6</v>
      </c>
      <c r="I249" s="3">
        <f t="shared" si="235"/>
        <v>1.8003767381080903E-52</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5.4135576469201863E-2</v>
      </c>
      <c r="C250" s="3">
        <f t="shared" si="236"/>
        <v>5.4135576467735501E-2</v>
      </c>
      <c r="D250" s="3">
        <f t="shared" si="236"/>
        <v>5.4135576453071925E-2</v>
      </c>
      <c r="E250" s="3">
        <f t="shared" si="236"/>
        <v>5.4135576306436152E-2</v>
      </c>
      <c r="F250" s="3">
        <f t="shared" si="236"/>
        <v>5.4135574840078415E-2</v>
      </c>
      <c r="G250" s="3">
        <f t="shared" si="236"/>
        <v>5.4135560176503242E-2</v>
      </c>
      <c r="H250" s="3">
        <f t="shared" si="236"/>
        <v>5.4135413540970012E-2</v>
      </c>
      <c r="I250" s="3">
        <f t="shared" si="236"/>
        <v>5.4133947207482824E-2</v>
      </c>
      <c r="J250" s="3">
        <f t="shared" si="236"/>
        <v>5.411928605690669E-2</v>
      </c>
      <c r="K250" s="3">
        <f t="shared" si="236"/>
        <v>5.3972892761969447E-2</v>
      </c>
      <c r="L250" s="3">
        <f t="shared" si="236"/>
        <v>5.2530563777309816E-2</v>
      </c>
      <c r="M250" s="3">
        <f t="shared" si="236"/>
        <v>4.0065975982953451E-2</v>
      </c>
      <c r="N250" s="3">
        <f t="shared" si="236"/>
        <v>2.6693921044005811E-3</v>
      </c>
      <c r="O250" s="3">
        <f t="shared" si="236"/>
        <v>4.6002223500644673E-15</v>
      </c>
      <c r="P250" s="3">
        <f t="shared" si="236"/>
        <v>1.0627799303066312E-132</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2.1015020588817119E-2</v>
      </c>
      <c r="C251" s="3">
        <f t="shared" si="237"/>
        <v>2.1015020588765768E-2</v>
      </c>
      <c r="D251" s="3">
        <f t="shared" si="237"/>
        <v>2.1015020588252276E-2</v>
      </c>
      <c r="E251" s="3">
        <f t="shared" si="237"/>
        <v>2.1015020583117359E-2</v>
      </c>
      <c r="F251" s="3">
        <f t="shared" si="237"/>
        <v>2.101502053176817E-2</v>
      </c>
      <c r="G251" s="3">
        <f t="shared" si="237"/>
        <v>2.1015020018276289E-2</v>
      </c>
      <c r="H251" s="3">
        <f t="shared" si="237"/>
        <v>2.101501488335818E-2</v>
      </c>
      <c r="I251" s="3">
        <f t="shared" si="237"/>
        <v>2.1014963534246107E-2</v>
      </c>
      <c r="J251" s="3">
        <f t="shared" si="237"/>
        <v>2.1014450050026133E-2</v>
      </c>
      <c r="K251" s="3">
        <f t="shared" si="237"/>
        <v>2.1009315897838023E-2</v>
      </c>
      <c r="L251" s="3">
        <f t="shared" si="237"/>
        <v>2.0958043314779403E-2</v>
      </c>
      <c r="M251" s="3">
        <f t="shared" si="237"/>
        <v>2.045214944568758E-2</v>
      </c>
      <c r="N251" s="3">
        <f t="shared" si="237"/>
        <v>1.6018476059569669E-2</v>
      </c>
      <c r="O251" s="3">
        <f t="shared" si="237"/>
        <v>1.3913730479755112E-3</v>
      </c>
      <c r="P251" s="3">
        <f t="shared" si="237"/>
        <v>3.4014765888426049E-14</v>
      </c>
      <c r="Q251" s="3">
        <f t="shared" si="237"/>
        <v>2.5936208193742152E-120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4.0498121245542543E-2</v>
      </c>
      <c r="C252" s="3">
        <f t="shared" si="238"/>
        <v>4.0498121245533619E-2</v>
      </c>
      <c r="D252" s="3">
        <f t="shared" si="238"/>
        <v>4.049812124544435E-2</v>
      </c>
      <c r="E252" s="3">
        <f t="shared" si="238"/>
        <v>4.0498121244551689E-2</v>
      </c>
      <c r="F252" s="3">
        <f t="shared" si="238"/>
        <v>4.0498121235625108E-2</v>
      </c>
      <c r="G252" s="3">
        <f t="shared" si="238"/>
        <v>4.0498121146359284E-2</v>
      </c>
      <c r="H252" s="3">
        <f t="shared" si="238"/>
        <v>4.0498120253701024E-2</v>
      </c>
      <c r="I252" s="3">
        <f t="shared" si="238"/>
        <v>4.0498111327119501E-2</v>
      </c>
      <c r="J252" s="3">
        <f t="shared" si="238"/>
        <v>4.0498022061412495E-2</v>
      </c>
      <c r="K252" s="3">
        <f t="shared" si="238"/>
        <v>4.0497129415164125E-2</v>
      </c>
      <c r="L252" s="3">
        <f t="shared" si="238"/>
        <v>4.0488204034759362E-2</v>
      </c>
      <c r="M252" s="3">
        <f t="shared" si="238"/>
        <v>4.0399058350404131E-2</v>
      </c>
      <c r="N252" s="3">
        <f t="shared" si="238"/>
        <v>3.9518325816259178E-2</v>
      </c>
      <c r="O252" s="3">
        <f t="shared" si="238"/>
        <v>3.1700892466242372E-2</v>
      </c>
      <c r="P252" s="3">
        <f t="shared" si="238"/>
        <v>3.497848564458702E-3</v>
      </c>
      <c r="Q252" s="3">
        <f t="shared" si="238"/>
        <v>9.3561278142656295E-13</v>
      </c>
      <c r="R252" s="3">
        <f t="shared" si="238"/>
        <v>1.7540726399976012E-108</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3.8180364153293456E-2</v>
      </c>
      <c r="C253" s="3">
        <f t="shared" si="239"/>
        <v>3.8180364153292692E-2</v>
      </c>
      <c r="D253" s="3">
        <f t="shared" si="239"/>
        <v>3.8180364153285101E-2</v>
      </c>
      <c r="E253" s="3">
        <f t="shared" si="239"/>
        <v>3.8180364153209183E-2</v>
      </c>
      <c r="F253" s="3">
        <f t="shared" si="239"/>
        <v>3.8180364152450019E-2</v>
      </c>
      <c r="G253" s="3">
        <f t="shared" si="239"/>
        <v>3.8180364144858356E-2</v>
      </c>
      <c r="H253" s="3">
        <f t="shared" si="239"/>
        <v>3.8180364068941708E-2</v>
      </c>
      <c r="I253" s="3">
        <f t="shared" si="239"/>
        <v>3.8180363309775256E-2</v>
      </c>
      <c r="J253" s="3">
        <f t="shared" si="239"/>
        <v>3.8180355718111535E-2</v>
      </c>
      <c r="K253" s="3">
        <f t="shared" si="239"/>
        <v>3.8180279801557387E-2</v>
      </c>
      <c r="L253" s="3">
        <f t="shared" si="239"/>
        <v>3.8179520644318107E-2</v>
      </c>
      <c r="M253" s="3">
        <f t="shared" si="239"/>
        <v>3.8171929902084047E-2</v>
      </c>
      <c r="N253" s="3">
        <f t="shared" si="239"/>
        <v>3.8096105434577011E-2</v>
      </c>
      <c r="O253" s="3">
        <f t="shared" si="239"/>
        <v>3.7346095536518284E-2</v>
      </c>
      <c r="P253" s="3">
        <f t="shared" si="239"/>
        <v>3.06119815090636E-2</v>
      </c>
      <c r="Q253" s="3">
        <f t="shared" si="239"/>
        <v>4.1913490226597287E-3</v>
      </c>
      <c r="R253" s="3">
        <f t="shared" si="239"/>
        <v>9.7046007588182632E-12</v>
      </c>
      <c r="S253" s="3">
        <f t="shared" si="239"/>
        <v>4.2975025061132915E-98</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3.0339150850604003E-2</v>
      </c>
      <c r="C254" s="3">
        <f t="shared" si="240"/>
        <v>3.0339150850603951E-2</v>
      </c>
      <c r="D254" s="3">
        <f t="shared" si="240"/>
        <v>3.0339150850603402E-2</v>
      </c>
      <c r="E254" s="3">
        <f t="shared" si="240"/>
        <v>3.0339150850597962E-2</v>
      </c>
      <c r="F254" s="3">
        <f t="shared" si="240"/>
        <v>3.0339150850543544E-2</v>
      </c>
      <c r="G254" s="3">
        <f t="shared" si="240"/>
        <v>3.0339150849999358E-2</v>
      </c>
      <c r="H254" s="3">
        <f t="shared" si="240"/>
        <v>3.0339150844557503E-2</v>
      </c>
      <c r="I254" s="3">
        <f t="shared" si="240"/>
        <v>3.0339150790138953E-2</v>
      </c>
      <c r="J254" s="3">
        <f t="shared" si="240"/>
        <v>3.0339150245953468E-2</v>
      </c>
      <c r="K254" s="3">
        <f t="shared" si="240"/>
        <v>3.0339144804099123E-2</v>
      </c>
      <c r="L254" s="3">
        <f t="shared" si="240"/>
        <v>3.0339090385609363E-2</v>
      </c>
      <c r="M254" s="3">
        <f t="shared" si="240"/>
        <v>3.033854620608022E-2</v>
      </c>
      <c r="N254" s="3">
        <f t="shared" si="240"/>
        <v>3.0333104947599509E-2</v>
      </c>
      <c r="O254" s="3">
        <f t="shared" si="240"/>
        <v>3.0278746008253764E-2</v>
      </c>
      <c r="P254" s="3">
        <f t="shared" si="240"/>
        <v>2.9740485728787753E-2</v>
      </c>
      <c r="Q254" s="3">
        <f t="shared" si="240"/>
        <v>2.4857061132294054E-2</v>
      </c>
      <c r="R254" s="3">
        <f t="shared" si="240"/>
        <v>4.1349190521962377E-3</v>
      </c>
      <c r="S254" s="3">
        <f t="shared" si="240"/>
        <v>6.7087147661794055E-11</v>
      </c>
      <c r="T254" s="3">
        <f t="shared" si="240"/>
        <v>8.4793484406105771E-89</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2.9818488774257267E-2</v>
      </c>
      <c r="C255" s="3">
        <f t="shared" si="241"/>
        <v>2.981848877425726E-2</v>
      </c>
      <c r="D255" s="3">
        <f t="shared" si="241"/>
        <v>2.9818488774257215E-2</v>
      </c>
      <c r="E255" s="3">
        <f t="shared" si="241"/>
        <v>2.9818488774256729E-2</v>
      </c>
      <c r="F255" s="3">
        <f t="shared" si="241"/>
        <v>2.9818488774251906E-2</v>
      </c>
      <c r="G255" s="3">
        <f t="shared" si="241"/>
        <v>2.981848877420366E-2</v>
      </c>
      <c r="H255" s="3">
        <f t="shared" si="241"/>
        <v>2.9818488773721182E-2</v>
      </c>
      <c r="I255" s="3">
        <f t="shared" si="241"/>
        <v>2.9818488768896419E-2</v>
      </c>
      <c r="J255" s="3">
        <f t="shared" si="241"/>
        <v>2.9818488720648816E-2</v>
      </c>
      <c r="K255" s="3">
        <f t="shared" si="241"/>
        <v>2.9818488238172774E-2</v>
      </c>
      <c r="L255" s="3">
        <f t="shared" si="241"/>
        <v>2.9818483413412748E-2</v>
      </c>
      <c r="M255" s="3">
        <f t="shared" si="241"/>
        <v>2.9818435165855469E-2</v>
      </c>
      <c r="N255" s="3">
        <f t="shared" si="241"/>
        <v>2.9817952694576298E-2</v>
      </c>
      <c r="O255" s="3">
        <f t="shared" si="241"/>
        <v>2.9813128411122953E-2</v>
      </c>
      <c r="P255" s="3">
        <f t="shared" si="241"/>
        <v>2.9764928484732979E-2</v>
      </c>
      <c r="Q255" s="3">
        <f t="shared" si="241"/>
        <v>2.9287194457906892E-2</v>
      </c>
      <c r="R255" s="3">
        <f t="shared" si="241"/>
        <v>2.4911911051748854E-2</v>
      </c>
      <c r="S255" s="3">
        <f t="shared" si="241"/>
        <v>4.9396909956124458E-3</v>
      </c>
      <c r="T255" s="3">
        <f t="shared" si="241"/>
        <v>4.6411666151507399E-10</v>
      </c>
      <c r="U255" s="3">
        <f t="shared" si="241"/>
        <v>2.4882896476986402E-80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2.8586713902441586E-2</v>
      </c>
      <c r="C256" s="3">
        <f t="shared" si="242"/>
        <v>2.8586713902441586E-2</v>
      </c>
      <c r="D256" s="3">
        <f t="shared" si="242"/>
        <v>2.8586713902441583E-2</v>
      </c>
      <c r="E256" s="3">
        <f t="shared" si="242"/>
        <v>2.8586713902441538E-2</v>
      </c>
      <c r="F256" s="3">
        <f t="shared" si="242"/>
        <v>2.8586713902441122E-2</v>
      </c>
      <c r="G256" s="3">
        <f t="shared" si="242"/>
        <v>2.8586713902436951E-2</v>
      </c>
      <c r="H256" s="3">
        <f t="shared" si="242"/>
        <v>2.8586713902395224E-2</v>
      </c>
      <c r="I256" s="3">
        <f t="shared" si="242"/>
        <v>2.8586713901977971E-2</v>
      </c>
      <c r="J256" s="3">
        <f t="shared" si="242"/>
        <v>2.8586713897805427E-2</v>
      </c>
      <c r="K256" s="3">
        <f t="shared" si="242"/>
        <v>2.8586713856079984E-2</v>
      </c>
      <c r="L256" s="3">
        <f t="shared" si="242"/>
        <v>2.8586713438825555E-2</v>
      </c>
      <c r="M256" s="3">
        <f t="shared" si="242"/>
        <v>2.8586709266281624E-2</v>
      </c>
      <c r="N256" s="3">
        <f t="shared" si="242"/>
        <v>2.8586667540875802E-2</v>
      </c>
      <c r="O256" s="3">
        <f t="shared" si="242"/>
        <v>2.8586250290167193E-2</v>
      </c>
      <c r="P256" s="3">
        <f t="shared" si="242"/>
        <v>2.8582078118026752E-2</v>
      </c>
      <c r="Q256" s="3">
        <f t="shared" si="242"/>
        <v>2.8540389873102829E-2</v>
      </c>
      <c r="R256" s="3">
        <f t="shared" si="242"/>
        <v>2.8126837063123331E-2</v>
      </c>
      <c r="S256" s="3">
        <f t="shared" si="242"/>
        <v>2.430697175509049E-2</v>
      </c>
      <c r="T256" s="3">
        <f t="shared" si="242"/>
        <v>5.647164595997468E-3</v>
      </c>
      <c r="U256" s="3">
        <f t="shared" si="242"/>
        <v>2.5871782072858796E-9</v>
      </c>
      <c r="V256" s="3">
        <f t="shared" si="242"/>
        <v>1.053865837342075E-72</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2.8589469167233993E-2</v>
      </c>
      <c r="C257" s="3">
        <f t="shared" si="243"/>
        <v>2.8589469167233993E-2</v>
      </c>
      <c r="D257" s="3">
        <f t="shared" si="243"/>
        <v>2.8589469167233993E-2</v>
      </c>
      <c r="E257" s="3">
        <f t="shared" si="243"/>
        <v>2.858946916723399E-2</v>
      </c>
      <c r="F257" s="3">
        <f t="shared" si="243"/>
        <v>2.8589469167233952E-2</v>
      </c>
      <c r="G257" s="3">
        <f t="shared" si="243"/>
        <v>2.8589469167233574E-2</v>
      </c>
      <c r="H257" s="3">
        <f t="shared" si="243"/>
        <v>2.8589469167229809E-2</v>
      </c>
      <c r="I257" s="3">
        <f t="shared" si="243"/>
        <v>2.8589469167192169E-2</v>
      </c>
      <c r="J257" s="3">
        <f t="shared" si="243"/>
        <v>2.8589469166815734E-2</v>
      </c>
      <c r="K257" s="3">
        <f t="shared" si="243"/>
        <v>2.8589469163051388E-2</v>
      </c>
      <c r="L257" s="3">
        <f t="shared" si="243"/>
        <v>2.8589469125407937E-2</v>
      </c>
      <c r="M257" s="3">
        <f t="shared" si="243"/>
        <v>2.8589468748973456E-2</v>
      </c>
      <c r="N257" s="3">
        <f t="shared" si="243"/>
        <v>2.8589464984628891E-2</v>
      </c>
      <c r="O257" s="3">
        <f t="shared" si="243"/>
        <v>2.8589427341210505E-2</v>
      </c>
      <c r="P257" s="3">
        <f t="shared" si="243"/>
        <v>2.8589050909752698E-2</v>
      </c>
      <c r="Q257" s="3">
        <f t="shared" si="243"/>
        <v>2.8585286867765871E-2</v>
      </c>
      <c r="R257" s="3">
        <f t="shared" si="243"/>
        <v>2.8547673693746448E-2</v>
      </c>
      <c r="S257" s="3">
        <f t="shared" si="243"/>
        <v>2.8174253311560944E-2</v>
      </c>
      <c r="T257" s="3">
        <f t="shared" si="243"/>
        <v>2.4698428692307619E-2</v>
      </c>
      <c r="U257" s="3">
        <f t="shared" si="243"/>
        <v>6.6197016925841007E-3</v>
      </c>
      <c r="V257" s="3">
        <f t="shared" si="243"/>
        <v>1.2662788841769532E-8</v>
      </c>
      <c r="W257" s="3">
        <f t="shared" si="243"/>
        <v>8.3068969567093552E-66</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2.8115831969051441E-2</v>
      </c>
      <c r="C258" s="3">
        <f t="shared" si="244"/>
        <v>2.8115831969051441E-2</v>
      </c>
      <c r="D258" s="3">
        <f t="shared" si="244"/>
        <v>2.8115831969051441E-2</v>
      </c>
      <c r="E258" s="3">
        <f t="shared" si="244"/>
        <v>2.8115831969051441E-2</v>
      </c>
      <c r="F258" s="3">
        <f t="shared" si="244"/>
        <v>2.8115831969051437E-2</v>
      </c>
      <c r="G258" s="3">
        <f t="shared" si="244"/>
        <v>2.8115831969051402E-2</v>
      </c>
      <c r="H258" s="3">
        <f t="shared" si="244"/>
        <v>2.8115831969051069E-2</v>
      </c>
      <c r="I258" s="3">
        <f t="shared" si="244"/>
        <v>2.8115831969047728E-2</v>
      </c>
      <c r="J258" s="3">
        <f t="shared" si="244"/>
        <v>2.8115831969014335E-2</v>
      </c>
      <c r="K258" s="3">
        <f t="shared" si="244"/>
        <v>2.8115831968680387E-2</v>
      </c>
      <c r="L258" s="3">
        <f t="shared" si="244"/>
        <v>2.8115831965340891E-2</v>
      </c>
      <c r="M258" s="3">
        <f t="shared" si="244"/>
        <v>2.8115831931945938E-2</v>
      </c>
      <c r="N258" s="3">
        <f t="shared" si="244"/>
        <v>2.8115831597996403E-2</v>
      </c>
      <c r="O258" s="3">
        <f t="shared" si="244"/>
        <v>2.8115828258501303E-2</v>
      </c>
      <c r="P258" s="3">
        <f t="shared" si="244"/>
        <v>2.8115794863572088E-2</v>
      </c>
      <c r="Q258" s="3">
        <f t="shared" si="244"/>
        <v>2.8115460916461516E-2</v>
      </c>
      <c r="R258" s="3">
        <f t="shared" si="244"/>
        <v>2.8112121663504332E-2</v>
      </c>
      <c r="S258" s="3">
        <f t="shared" si="244"/>
        <v>2.8078750939198396E-2</v>
      </c>
      <c r="T258" s="3">
        <f t="shared" si="244"/>
        <v>2.7747214670286575E-2</v>
      </c>
      <c r="U258" s="3">
        <f t="shared" si="244"/>
        <v>2.4639704171885071E-2</v>
      </c>
      <c r="V258" s="3">
        <f t="shared" si="244"/>
        <v>7.5127068175602071E-3</v>
      </c>
      <c r="W258" s="3">
        <f t="shared" si="244"/>
        <v>5.2168212536388639E-8</v>
      </c>
      <c r="X258" s="3">
        <f t="shared" si="244"/>
        <v>1.3598816488563461E-59</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3.3973946984022944E-2</v>
      </c>
      <c r="C259" s="3">
        <f t="shared" si="245"/>
        <v>3.3973946984022944E-2</v>
      </c>
      <c r="D259" s="3">
        <f t="shared" si="245"/>
        <v>3.3973946984022944E-2</v>
      </c>
      <c r="E259" s="3">
        <f t="shared" si="245"/>
        <v>3.3973946984022944E-2</v>
      </c>
      <c r="F259" s="3">
        <f t="shared" si="245"/>
        <v>3.3973946984022944E-2</v>
      </c>
      <c r="G259" s="3">
        <f t="shared" si="245"/>
        <v>3.3973946984022937E-2</v>
      </c>
      <c r="H259" s="3">
        <f t="shared" si="245"/>
        <v>3.3973946984022903E-2</v>
      </c>
      <c r="I259" s="3">
        <f t="shared" si="245"/>
        <v>3.3973946984022542E-2</v>
      </c>
      <c r="J259" s="3">
        <f t="shared" si="245"/>
        <v>3.3973946984018899E-2</v>
      </c>
      <c r="K259" s="3">
        <f t="shared" si="245"/>
        <v>3.3973946983982498E-2</v>
      </c>
      <c r="L259" s="3">
        <f t="shared" si="245"/>
        <v>3.3973946983618476E-2</v>
      </c>
      <c r="M259" s="3">
        <f t="shared" si="245"/>
        <v>3.3973946979978305E-2</v>
      </c>
      <c r="N259" s="3">
        <f t="shared" si="245"/>
        <v>3.3973946943576534E-2</v>
      </c>
      <c r="O259" s="3">
        <f t="shared" si="245"/>
        <v>3.3973946579558836E-2</v>
      </c>
      <c r="P259" s="3">
        <f t="shared" si="245"/>
        <v>3.39739429393821E-2</v>
      </c>
      <c r="Q259" s="3">
        <f t="shared" si="245"/>
        <v>3.3973906537636121E-2</v>
      </c>
      <c r="R259" s="3">
        <f t="shared" si="245"/>
        <v>3.397354252232155E-2</v>
      </c>
      <c r="S259" s="3">
        <f t="shared" si="245"/>
        <v>3.3969902583683376E-2</v>
      </c>
      <c r="T259" s="3">
        <f t="shared" si="245"/>
        <v>3.3933524639553618E-2</v>
      </c>
      <c r="U259" s="3">
        <f t="shared" si="245"/>
        <v>3.3571880947184246E-2</v>
      </c>
      <c r="V259" s="3">
        <f t="shared" si="245"/>
        <v>3.0160789167342279E-2</v>
      </c>
      <c r="W259" s="3">
        <f t="shared" si="245"/>
        <v>1.0330300749103766E-2</v>
      </c>
      <c r="X259" s="3">
        <f t="shared" si="245"/>
        <v>2.2951739804350503E-7</v>
      </c>
      <c r="Y259" s="3">
        <f t="shared" si="245"/>
        <v>6.7273198332990478E-54</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3.6313930353248758E-2</v>
      </c>
      <c r="C260" s="3">
        <f t="shared" si="246"/>
        <v>3.6313930353248758E-2</v>
      </c>
      <c r="D260" s="3">
        <f t="shared" si="246"/>
        <v>3.6313930353248758E-2</v>
      </c>
      <c r="E260" s="3">
        <f t="shared" si="246"/>
        <v>3.6313930353248758E-2</v>
      </c>
      <c r="F260" s="3">
        <f t="shared" si="246"/>
        <v>3.6313930353248758E-2</v>
      </c>
      <c r="G260" s="3">
        <f t="shared" si="246"/>
        <v>3.6313930353248758E-2</v>
      </c>
      <c r="H260" s="3">
        <f t="shared" si="246"/>
        <v>3.6313930353248751E-2</v>
      </c>
      <c r="I260" s="3">
        <f t="shared" si="246"/>
        <v>3.6313930353248716E-2</v>
      </c>
      <c r="J260" s="3">
        <f t="shared" si="246"/>
        <v>3.6313930353248369E-2</v>
      </c>
      <c r="K260" s="3">
        <f t="shared" si="246"/>
        <v>3.6313930353244858E-2</v>
      </c>
      <c r="L260" s="3">
        <f t="shared" si="246"/>
        <v>3.6313930353209761E-2</v>
      </c>
      <c r="M260" s="3">
        <f t="shared" si="246"/>
        <v>3.6313930352858764E-2</v>
      </c>
      <c r="N260" s="3">
        <f t="shared" si="246"/>
        <v>3.6313930349348857E-2</v>
      </c>
      <c r="O260" s="3">
        <f t="shared" si="246"/>
        <v>3.6313930314249725E-2</v>
      </c>
      <c r="P260" s="3">
        <f t="shared" si="246"/>
        <v>3.631392996325844E-2</v>
      </c>
      <c r="Q260" s="3">
        <f t="shared" si="246"/>
        <v>3.6313926453345725E-2</v>
      </c>
      <c r="R260" s="3">
        <f t="shared" si="246"/>
        <v>3.6313891354237286E-2</v>
      </c>
      <c r="S260" s="3">
        <f t="shared" si="246"/>
        <v>3.6313540365018764E-2</v>
      </c>
      <c r="T260" s="3">
        <f t="shared" si="246"/>
        <v>3.6310030659413441E-2</v>
      </c>
      <c r="U260" s="3">
        <f t="shared" si="246"/>
        <v>3.6274952254679527E-2</v>
      </c>
      <c r="V260" s="3">
        <f t="shared" si="246"/>
        <v>3.5926026686354549E-2</v>
      </c>
      <c r="W260" s="3">
        <f t="shared" si="246"/>
        <v>3.2616140921144385E-2</v>
      </c>
      <c r="X260" s="3">
        <f t="shared" si="246"/>
        <v>1.2406990276235172E-2</v>
      </c>
      <c r="Y260" s="3">
        <f t="shared" si="246"/>
        <v>7.8705505363187574E-7</v>
      </c>
      <c r="Z260" s="3">
        <f t="shared" si="246"/>
        <v>8.3059977987783557E-49</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4.1806327659667623E-2</v>
      </c>
      <c r="C261" s="3">
        <f t="shared" si="247"/>
        <v>4.1806327659667623E-2</v>
      </c>
      <c r="D261" s="3">
        <f t="shared" si="247"/>
        <v>4.1806327659667623E-2</v>
      </c>
      <c r="E261" s="3">
        <f t="shared" si="247"/>
        <v>4.1806327659667623E-2</v>
      </c>
      <c r="F261" s="3">
        <f t="shared" si="247"/>
        <v>4.1806327659667623E-2</v>
      </c>
      <c r="G261" s="3">
        <f t="shared" si="247"/>
        <v>4.1806327659667623E-2</v>
      </c>
      <c r="H261" s="3">
        <f t="shared" si="247"/>
        <v>4.1806327659667623E-2</v>
      </c>
      <c r="I261" s="3">
        <f t="shared" si="247"/>
        <v>4.1806327659667616E-2</v>
      </c>
      <c r="J261" s="3">
        <f t="shared" si="247"/>
        <v>4.1806327659667582E-2</v>
      </c>
      <c r="K261" s="3">
        <f t="shared" si="247"/>
        <v>4.1806327659667221E-2</v>
      </c>
      <c r="L261" s="3">
        <f t="shared" si="247"/>
        <v>4.1806327659663571E-2</v>
      </c>
      <c r="M261" s="3">
        <f t="shared" si="247"/>
        <v>4.1806327659627121E-2</v>
      </c>
      <c r="N261" s="3">
        <f t="shared" si="247"/>
        <v>4.1806327659262614E-2</v>
      </c>
      <c r="O261" s="3">
        <f t="shared" si="247"/>
        <v>4.1806327655617495E-2</v>
      </c>
      <c r="P261" s="3">
        <f t="shared" si="247"/>
        <v>4.1806327619166299E-2</v>
      </c>
      <c r="Q261" s="3">
        <f t="shared" si="247"/>
        <v>4.1806327254654413E-2</v>
      </c>
      <c r="R261" s="3">
        <f t="shared" si="247"/>
        <v>4.1806323609535734E-2</v>
      </c>
      <c r="S261" s="3">
        <f t="shared" si="247"/>
        <v>4.1806287158366401E-2</v>
      </c>
      <c r="T261" s="3">
        <f t="shared" si="247"/>
        <v>4.1805922648421104E-2</v>
      </c>
      <c r="U261" s="3">
        <f t="shared" si="247"/>
        <v>4.1802277723762875E-2</v>
      </c>
      <c r="V261" s="3">
        <f t="shared" si="247"/>
        <v>4.1765845951022361E-2</v>
      </c>
      <c r="W261" s="3">
        <f t="shared" si="247"/>
        <v>4.1403269983765999E-2</v>
      </c>
      <c r="X261" s="3">
        <f t="shared" si="247"/>
        <v>3.7946195968955806E-2</v>
      </c>
      <c r="Y261" s="3">
        <f t="shared" si="247"/>
        <v>1.586734527402479E-2</v>
      </c>
      <c r="Z261" s="3">
        <f t="shared" si="247"/>
        <v>2.5933703464102988E-6</v>
      </c>
      <c r="AA261" s="3">
        <f t="shared" si="247"/>
        <v>3.5275016540918259E-44</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4.6977125912982913E-2</v>
      </c>
      <c r="C262" s="3">
        <f t="shared" si="248"/>
        <v>4.6977125912982913E-2</v>
      </c>
      <c r="D262" s="3">
        <f t="shared" si="248"/>
        <v>4.6977125912982913E-2</v>
      </c>
      <c r="E262" s="3">
        <f t="shared" si="248"/>
        <v>4.6977125912982913E-2</v>
      </c>
      <c r="F262" s="3">
        <f t="shared" si="248"/>
        <v>4.6977125912982913E-2</v>
      </c>
      <c r="G262" s="3">
        <f t="shared" si="248"/>
        <v>4.6977125912982913E-2</v>
      </c>
      <c r="H262" s="3">
        <f t="shared" si="248"/>
        <v>4.6977125912982913E-2</v>
      </c>
      <c r="I262" s="3">
        <f t="shared" si="248"/>
        <v>4.6977125912982913E-2</v>
      </c>
      <c r="J262" s="3">
        <f t="shared" si="248"/>
        <v>4.6977125912982906E-2</v>
      </c>
      <c r="K262" s="3">
        <f t="shared" si="248"/>
        <v>4.6977125912982871E-2</v>
      </c>
      <c r="L262" s="3">
        <f t="shared" si="248"/>
        <v>4.6977125912982504E-2</v>
      </c>
      <c r="M262" s="3">
        <f t="shared" si="248"/>
        <v>4.6977125912978805E-2</v>
      </c>
      <c r="N262" s="3">
        <f t="shared" si="248"/>
        <v>4.6977125912941856E-2</v>
      </c>
      <c r="O262" s="3">
        <f t="shared" si="248"/>
        <v>4.6977125912572366E-2</v>
      </c>
      <c r="P262" s="3">
        <f t="shared" si="248"/>
        <v>4.6977125908877468E-2</v>
      </c>
      <c r="Q262" s="3">
        <f t="shared" si="248"/>
        <v>4.6977125871928468E-2</v>
      </c>
      <c r="R262" s="3">
        <f t="shared" si="248"/>
        <v>4.6977125502438453E-2</v>
      </c>
      <c r="S262" s="3">
        <f t="shared" si="248"/>
        <v>4.6977121807538449E-2</v>
      </c>
      <c r="T262" s="3">
        <f t="shared" si="248"/>
        <v>4.6977084858554431E-2</v>
      </c>
      <c r="U262" s="3">
        <f t="shared" si="248"/>
        <v>4.6976715370312595E-2</v>
      </c>
      <c r="V262" s="3">
        <f t="shared" si="248"/>
        <v>4.6973020647727716E-2</v>
      </c>
      <c r="W262" s="3">
        <f t="shared" si="248"/>
        <v>4.6936089400571597E-2</v>
      </c>
      <c r="X262" s="3">
        <f t="shared" si="248"/>
        <v>4.6568370157981313E-2</v>
      </c>
      <c r="Y262" s="3">
        <f t="shared" si="248"/>
        <v>4.3045960002170681E-2</v>
      </c>
      <c r="Z262" s="3">
        <f t="shared" si="248"/>
        <v>1.9604058608906294E-2</v>
      </c>
      <c r="AA262" s="3">
        <f t="shared" si="248"/>
        <v>7.5245743252396966E-6</v>
      </c>
      <c r="AB262" s="3">
        <f t="shared" si="248"/>
        <v>5.2220542330176701E-40</v>
      </c>
      <c r="AC262" s="3">
        <f t="shared" si="248"/>
        <v>0</v>
      </c>
      <c r="AD262" s="3">
        <f t="shared" si="248"/>
        <v>0</v>
      </c>
      <c r="AE262" s="3">
        <f t="shared" si="248"/>
        <v>0</v>
      </c>
      <c r="AF262" s="3">
        <f t="shared" si="248"/>
        <v>0</v>
      </c>
      <c r="AG262" s="3"/>
      <c r="AH262" s="3"/>
    </row>
    <row r="263" spans="2:34" x14ac:dyDescent="0.25">
      <c r="B263" s="3">
        <f t="shared" ref="B263:AF263" si="249">$C32*EXP(-B$246/$A32/EXP(-$E$126))</f>
        <v>6.4330039712108877E-2</v>
      </c>
      <c r="C263" s="3">
        <f t="shared" si="249"/>
        <v>6.4330039712108877E-2</v>
      </c>
      <c r="D263" s="3">
        <f t="shared" si="249"/>
        <v>6.4330039712108877E-2</v>
      </c>
      <c r="E263" s="3">
        <f t="shared" si="249"/>
        <v>6.4330039712108877E-2</v>
      </c>
      <c r="F263" s="3">
        <f t="shared" si="249"/>
        <v>6.4330039712108877E-2</v>
      </c>
      <c r="G263" s="3">
        <f t="shared" si="249"/>
        <v>6.4330039712108877E-2</v>
      </c>
      <c r="H263" s="3">
        <f t="shared" si="249"/>
        <v>6.4330039712108877E-2</v>
      </c>
      <c r="I263" s="3">
        <f t="shared" si="249"/>
        <v>6.4330039712108877E-2</v>
      </c>
      <c r="J263" s="3">
        <f t="shared" si="249"/>
        <v>6.4330039712108877E-2</v>
      </c>
      <c r="K263" s="3">
        <f t="shared" si="249"/>
        <v>6.4330039712108864E-2</v>
      </c>
      <c r="L263" s="3">
        <f t="shared" si="249"/>
        <v>6.4330039712108822E-2</v>
      </c>
      <c r="M263" s="3">
        <f t="shared" si="249"/>
        <v>6.4330039712108364E-2</v>
      </c>
      <c r="N263" s="3">
        <f t="shared" si="249"/>
        <v>6.4330039712103812E-2</v>
      </c>
      <c r="O263" s="3">
        <f t="shared" si="249"/>
        <v>6.4330039712058168E-2</v>
      </c>
      <c r="P263" s="3">
        <f t="shared" si="249"/>
        <v>6.4330039711601728E-2</v>
      </c>
      <c r="Q263" s="3">
        <f t="shared" si="249"/>
        <v>6.4330039707037406E-2</v>
      </c>
      <c r="R263" s="3">
        <f t="shared" si="249"/>
        <v>6.4330039661394139E-2</v>
      </c>
      <c r="S263" s="3">
        <f t="shared" si="249"/>
        <v>6.4330039204961526E-2</v>
      </c>
      <c r="T263" s="3">
        <f t="shared" si="249"/>
        <v>6.4330034640635483E-2</v>
      </c>
      <c r="U263" s="3">
        <f t="shared" si="249"/>
        <v>6.4329988997392992E-2</v>
      </c>
      <c r="V263" s="3">
        <f t="shared" si="249"/>
        <v>6.4329532566749115E-2</v>
      </c>
      <c r="W263" s="3">
        <f t="shared" si="249"/>
        <v>6.4324968438420949E-2</v>
      </c>
      <c r="X263" s="3">
        <f t="shared" si="249"/>
        <v>6.427934496151573E-2</v>
      </c>
      <c r="Y263" s="3">
        <f t="shared" si="249"/>
        <v>6.3824886164419989E-2</v>
      </c>
      <c r="Z263" s="3">
        <f t="shared" si="249"/>
        <v>5.9453320248698496E-2</v>
      </c>
      <c r="AA263" s="3">
        <f t="shared" si="249"/>
        <v>2.9243998859004083E-2</v>
      </c>
      <c r="AB263" s="3">
        <f t="shared" si="249"/>
        <v>2.4246173435458586E-5</v>
      </c>
      <c r="AC263" s="3">
        <f t="shared" si="249"/>
        <v>3.7214115263184116E-36</v>
      </c>
      <c r="AD263" s="3">
        <f t="shared" si="249"/>
        <v>0</v>
      </c>
      <c r="AE263" s="3">
        <f t="shared" si="249"/>
        <v>0</v>
      </c>
      <c r="AF263" s="3">
        <f t="shared" si="249"/>
        <v>0</v>
      </c>
      <c r="AG263" s="3"/>
      <c r="AH263" s="3"/>
    </row>
    <row r="264" spans="2:34" x14ac:dyDescent="0.25">
      <c r="B264" s="3">
        <f t="shared" ref="B264:AF264" si="250">$C33*EXP(-B$246/$A33/EXP(-$E$126))</f>
        <v>7.1283808515689162E-2</v>
      </c>
      <c r="C264" s="3">
        <f t="shared" si="250"/>
        <v>7.1283808515689162E-2</v>
      </c>
      <c r="D264" s="3">
        <f t="shared" si="250"/>
        <v>7.1283808515689162E-2</v>
      </c>
      <c r="E264" s="3">
        <f t="shared" si="250"/>
        <v>7.1283808515689162E-2</v>
      </c>
      <c r="F264" s="3">
        <f t="shared" si="250"/>
        <v>7.1283808515689162E-2</v>
      </c>
      <c r="G264" s="3">
        <f t="shared" si="250"/>
        <v>7.1283808515689162E-2</v>
      </c>
      <c r="H264" s="3">
        <f t="shared" si="250"/>
        <v>7.1283808515689162E-2</v>
      </c>
      <c r="I264" s="3">
        <f t="shared" si="250"/>
        <v>7.1283808515689162E-2</v>
      </c>
      <c r="J264" s="3">
        <f t="shared" si="250"/>
        <v>7.1283808515689162E-2</v>
      </c>
      <c r="K264" s="3">
        <f t="shared" si="250"/>
        <v>7.1283808515689162E-2</v>
      </c>
      <c r="L264" s="3">
        <f t="shared" si="250"/>
        <v>7.1283808515689148E-2</v>
      </c>
      <c r="M264" s="3">
        <f t="shared" si="250"/>
        <v>7.128380851568912E-2</v>
      </c>
      <c r="N264" s="3">
        <f t="shared" si="250"/>
        <v>7.1283808515688662E-2</v>
      </c>
      <c r="O264" s="3">
        <f t="shared" si="250"/>
        <v>7.1283808515684083E-2</v>
      </c>
      <c r="P264" s="3">
        <f t="shared" si="250"/>
        <v>7.1283808515638467E-2</v>
      </c>
      <c r="Q264" s="3">
        <f t="shared" si="250"/>
        <v>7.128380851518222E-2</v>
      </c>
      <c r="R264" s="3">
        <f t="shared" si="250"/>
        <v>7.1283808510619745E-2</v>
      </c>
      <c r="S264" s="3">
        <f t="shared" si="250"/>
        <v>7.1283808464995019E-2</v>
      </c>
      <c r="T264" s="3">
        <f t="shared" si="250"/>
        <v>7.1283808008747673E-2</v>
      </c>
      <c r="U264" s="3">
        <f t="shared" si="250"/>
        <v>7.1283803446274469E-2</v>
      </c>
      <c r="V264" s="3">
        <f t="shared" si="250"/>
        <v>7.1283757821558491E-2</v>
      </c>
      <c r="W264" s="3">
        <f t="shared" si="250"/>
        <v>7.1283301576004751E-2</v>
      </c>
      <c r="X264" s="3">
        <f t="shared" si="250"/>
        <v>7.1278739281073075E-2</v>
      </c>
      <c r="Y264" s="3">
        <f t="shared" si="250"/>
        <v>7.1233132388527326E-2</v>
      </c>
      <c r="Z264" s="3">
        <f t="shared" si="250"/>
        <v>7.077866534416509E-2</v>
      </c>
      <c r="AA264" s="3">
        <f t="shared" si="250"/>
        <v>6.6390453569833599E-2</v>
      </c>
      <c r="AB264" s="3">
        <f t="shared" si="250"/>
        <v>3.5005662610214781E-2</v>
      </c>
      <c r="AC264" s="3">
        <f t="shared" si="250"/>
        <v>5.813865394111408E-5</v>
      </c>
      <c r="AD264" s="3">
        <f t="shared" si="250"/>
        <v>9.2839260172952128E-33</v>
      </c>
      <c r="AE264" s="3">
        <f t="shared" si="250"/>
        <v>0</v>
      </c>
      <c r="AF264" s="3">
        <f t="shared" si="250"/>
        <v>0</v>
      </c>
      <c r="AG264" s="3"/>
      <c r="AH264" s="3"/>
    </row>
    <row r="265" spans="2:34" x14ac:dyDescent="0.25">
      <c r="B265" s="3">
        <f t="shared" ref="B265:AF265" si="251">$C34*EXP(-B$246/$A34/EXP(-$E$126))</f>
        <v>6.5008577665533668E-2</v>
      </c>
      <c r="C265" s="3">
        <f t="shared" si="251"/>
        <v>6.5008577665533668E-2</v>
      </c>
      <c r="D265" s="3">
        <f t="shared" si="251"/>
        <v>6.5008577665533668E-2</v>
      </c>
      <c r="E265" s="3">
        <f t="shared" si="251"/>
        <v>6.5008577665533668E-2</v>
      </c>
      <c r="F265" s="3">
        <f t="shared" si="251"/>
        <v>6.5008577665533668E-2</v>
      </c>
      <c r="G265" s="3">
        <f t="shared" si="251"/>
        <v>6.5008577665533668E-2</v>
      </c>
      <c r="H265" s="3">
        <f t="shared" si="251"/>
        <v>6.5008577665533668E-2</v>
      </c>
      <c r="I265" s="3">
        <f t="shared" si="251"/>
        <v>6.5008577665533668E-2</v>
      </c>
      <c r="J265" s="3">
        <f t="shared" si="251"/>
        <v>6.5008577665533668E-2</v>
      </c>
      <c r="K265" s="3">
        <f t="shared" si="251"/>
        <v>6.5008577665533668E-2</v>
      </c>
      <c r="L265" s="3">
        <f t="shared" si="251"/>
        <v>6.5008577665533668E-2</v>
      </c>
      <c r="M265" s="3">
        <f t="shared" si="251"/>
        <v>6.5008577665533654E-2</v>
      </c>
      <c r="N265" s="3">
        <f t="shared" si="251"/>
        <v>6.5008577665533626E-2</v>
      </c>
      <c r="O265" s="3">
        <f t="shared" si="251"/>
        <v>6.5008577665533251E-2</v>
      </c>
      <c r="P265" s="3">
        <f t="shared" si="251"/>
        <v>6.5008577665529491E-2</v>
      </c>
      <c r="Q265" s="3">
        <f t="shared" si="251"/>
        <v>6.5008577665491965E-2</v>
      </c>
      <c r="R265" s="3">
        <f t="shared" si="251"/>
        <v>6.5008577665116626E-2</v>
      </c>
      <c r="S265" s="3">
        <f t="shared" si="251"/>
        <v>6.5008577661363212E-2</v>
      </c>
      <c r="T265" s="3">
        <f t="shared" si="251"/>
        <v>6.5008577623829042E-2</v>
      </c>
      <c r="U265" s="3">
        <f t="shared" si="251"/>
        <v>6.5008577248487437E-2</v>
      </c>
      <c r="V265" s="3">
        <f t="shared" si="251"/>
        <v>6.5008573495071553E-2</v>
      </c>
      <c r="W265" s="3">
        <f t="shared" si="251"/>
        <v>6.5008535960924527E-2</v>
      </c>
      <c r="X265" s="3">
        <f t="shared" si="251"/>
        <v>6.500816062064628E-2</v>
      </c>
      <c r="Y265" s="3">
        <f t="shared" si="251"/>
        <v>6.5004407337052428E-2</v>
      </c>
      <c r="Z265" s="3">
        <f t="shared" si="251"/>
        <v>6.4966886417439237E-2</v>
      </c>
      <c r="AA265" s="3">
        <f t="shared" si="251"/>
        <v>6.4592866312109892E-2</v>
      </c>
      <c r="AB265" s="3">
        <f t="shared" si="251"/>
        <v>6.0969072864876975E-2</v>
      </c>
      <c r="AC265" s="3">
        <f t="shared" si="251"/>
        <v>3.4226298358488783E-2</v>
      </c>
      <c r="AD265" s="3">
        <f t="shared" si="251"/>
        <v>1.0638082194020484E-4</v>
      </c>
      <c r="AE265" s="3">
        <f t="shared" si="251"/>
        <v>8.9515334332531431E-30</v>
      </c>
      <c r="AF265" s="3">
        <f t="shared" si="251"/>
        <v>1.5930830005121411E-280</v>
      </c>
      <c r="AG265" s="3"/>
      <c r="AH265" s="3"/>
    </row>
    <row r="266" spans="2:34" x14ac:dyDescent="0.25">
      <c r="B266" s="3">
        <f t="shared" ref="B266:AF266" si="252">$C35*EXP(-B$246/$A35/EXP(-$E$126))</f>
        <v>4.954350168244695E-2</v>
      </c>
      <c r="C266" s="3">
        <f t="shared" si="252"/>
        <v>4.954350168244695E-2</v>
      </c>
      <c r="D266" s="3">
        <f t="shared" si="252"/>
        <v>4.954350168244695E-2</v>
      </c>
      <c r="E266" s="3">
        <f t="shared" si="252"/>
        <v>4.954350168244695E-2</v>
      </c>
      <c r="F266" s="3">
        <f t="shared" si="252"/>
        <v>4.954350168244695E-2</v>
      </c>
      <c r="G266" s="3">
        <f t="shared" si="252"/>
        <v>4.954350168244695E-2</v>
      </c>
      <c r="H266" s="3">
        <f t="shared" si="252"/>
        <v>4.954350168244695E-2</v>
      </c>
      <c r="I266" s="3">
        <f t="shared" si="252"/>
        <v>4.954350168244695E-2</v>
      </c>
      <c r="J266" s="3">
        <f t="shared" si="252"/>
        <v>4.954350168244695E-2</v>
      </c>
      <c r="K266" s="3">
        <f t="shared" si="252"/>
        <v>4.954350168244695E-2</v>
      </c>
      <c r="L266" s="3">
        <f t="shared" si="252"/>
        <v>4.954350168244695E-2</v>
      </c>
      <c r="M266" s="3">
        <f t="shared" si="252"/>
        <v>4.954350168244695E-2</v>
      </c>
      <c r="N266" s="3">
        <f t="shared" si="252"/>
        <v>4.9543501682446943E-2</v>
      </c>
      <c r="O266" s="3">
        <f t="shared" si="252"/>
        <v>4.9543501682446922E-2</v>
      </c>
      <c r="P266" s="3">
        <f t="shared" si="252"/>
        <v>4.9543501682446665E-2</v>
      </c>
      <c r="Q266" s="3">
        <f t="shared" si="252"/>
        <v>4.9543501682444084E-2</v>
      </c>
      <c r="R266" s="3">
        <f t="shared" si="252"/>
        <v>4.9543501682418278E-2</v>
      </c>
      <c r="S266" s="3">
        <f t="shared" si="252"/>
        <v>4.9543501682160242E-2</v>
      </c>
      <c r="T266" s="3">
        <f t="shared" si="252"/>
        <v>4.954350167957982E-2</v>
      </c>
      <c r="U266" s="3">
        <f t="shared" si="252"/>
        <v>4.9543501653775683E-2</v>
      </c>
      <c r="V266" s="3">
        <f t="shared" si="252"/>
        <v>4.9543501395734324E-2</v>
      </c>
      <c r="W266" s="3">
        <f t="shared" si="252"/>
        <v>4.9543498815320761E-2</v>
      </c>
      <c r="X266" s="3">
        <f t="shared" si="252"/>
        <v>4.9543473011192531E-2</v>
      </c>
      <c r="Y266" s="3">
        <f t="shared" si="252"/>
        <v>4.9543214970649445E-2</v>
      </c>
      <c r="Z266" s="3">
        <f t="shared" si="252"/>
        <v>4.9540634639135717E-2</v>
      </c>
      <c r="AA266" s="3">
        <f t="shared" si="252"/>
        <v>4.9514838714291493E-2</v>
      </c>
      <c r="AB266" s="3">
        <f t="shared" si="252"/>
        <v>4.9257617072954937E-2</v>
      </c>
      <c r="AC266" s="3">
        <f t="shared" si="252"/>
        <v>4.6757759513063255E-2</v>
      </c>
      <c r="AD266" s="3">
        <f t="shared" si="252"/>
        <v>2.7775164524097392E-2</v>
      </c>
      <c r="AE266" s="3">
        <f t="shared" si="252"/>
        <v>1.5194489452924142E-4</v>
      </c>
      <c r="AF266" s="3">
        <f t="shared" si="252"/>
        <v>3.64737847573191E-27</v>
      </c>
      <c r="AG266" s="3"/>
      <c r="AH266" s="3"/>
    </row>
    <row r="267" spans="2:34" x14ac:dyDescent="0.25">
      <c r="B267" s="3">
        <f t="shared" ref="B267:AF267" si="253">$C36*EXP(-B$246/$A36/EXP(-$E$126))</f>
        <v>3.0281570029291476E-2</v>
      </c>
      <c r="C267" s="3">
        <f t="shared" si="253"/>
        <v>3.0281570029291476E-2</v>
      </c>
      <c r="D267" s="3">
        <f t="shared" si="253"/>
        <v>3.0281570029291476E-2</v>
      </c>
      <c r="E267" s="3">
        <f t="shared" si="253"/>
        <v>3.0281570029291476E-2</v>
      </c>
      <c r="F267" s="3">
        <f t="shared" si="253"/>
        <v>3.0281570029291476E-2</v>
      </c>
      <c r="G267" s="3">
        <f t="shared" si="253"/>
        <v>3.0281570029291476E-2</v>
      </c>
      <c r="H267" s="3">
        <f t="shared" si="253"/>
        <v>3.0281570029291476E-2</v>
      </c>
      <c r="I267" s="3">
        <f t="shared" si="253"/>
        <v>3.0281570029291476E-2</v>
      </c>
      <c r="J267" s="3">
        <f t="shared" si="253"/>
        <v>3.0281570029291476E-2</v>
      </c>
      <c r="K267" s="3">
        <f t="shared" si="253"/>
        <v>3.0281570029291476E-2</v>
      </c>
      <c r="L267" s="3">
        <f t="shared" si="253"/>
        <v>3.0281570029291476E-2</v>
      </c>
      <c r="M267" s="3">
        <f t="shared" si="253"/>
        <v>3.0281570029291476E-2</v>
      </c>
      <c r="N267" s="3">
        <f t="shared" si="253"/>
        <v>3.0281570029291476E-2</v>
      </c>
      <c r="O267" s="3">
        <f t="shared" si="253"/>
        <v>3.0281570029291476E-2</v>
      </c>
      <c r="P267" s="3">
        <f t="shared" si="253"/>
        <v>3.0281570029291459E-2</v>
      </c>
      <c r="Q267" s="3">
        <f t="shared" si="253"/>
        <v>3.0281570029291317E-2</v>
      </c>
      <c r="R267" s="3">
        <f t="shared" si="253"/>
        <v>3.0281570029289898E-2</v>
      </c>
      <c r="S267" s="3">
        <f t="shared" si="253"/>
        <v>3.0281570029275669E-2</v>
      </c>
      <c r="T267" s="3">
        <f t="shared" si="253"/>
        <v>3.0281570029133391E-2</v>
      </c>
      <c r="U267" s="3">
        <f t="shared" si="253"/>
        <v>3.0281570027710647E-2</v>
      </c>
      <c r="V267" s="3">
        <f t="shared" si="253"/>
        <v>3.0281570013483177E-2</v>
      </c>
      <c r="W267" s="3">
        <f t="shared" si="253"/>
        <v>3.0281569871208502E-2</v>
      </c>
      <c r="X267" s="3">
        <f t="shared" si="253"/>
        <v>3.0281568448461766E-2</v>
      </c>
      <c r="Y267" s="3">
        <f t="shared" si="253"/>
        <v>3.0281554220998087E-2</v>
      </c>
      <c r="Z267" s="3">
        <f t="shared" si="253"/>
        <v>3.028141194672895E-2</v>
      </c>
      <c r="AA267" s="3">
        <f t="shared" si="253"/>
        <v>3.0279989240802292E-2</v>
      </c>
      <c r="AB267" s="3">
        <f t="shared" si="253"/>
        <v>3.0265765857367566E-2</v>
      </c>
      <c r="AC267" s="3">
        <f t="shared" si="253"/>
        <v>3.0123898968000343E-2</v>
      </c>
      <c r="AD267" s="3">
        <f t="shared" si="253"/>
        <v>2.8741294610837013E-2</v>
      </c>
      <c r="AE267" s="3">
        <f t="shared" si="253"/>
        <v>1.7966263586092601E-2</v>
      </c>
      <c r="AF267" s="3">
        <f t="shared" si="253"/>
        <v>1.6367116466690506E-4</v>
      </c>
      <c r="AG267" s="3"/>
      <c r="AH267" s="3"/>
    </row>
    <row r="268" spans="2:34" x14ac:dyDescent="0.25">
      <c r="B268" s="3">
        <f t="shared" ref="B268:AF268" si="254">$C37*EXP(-B$246/$A37/EXP(-$E$126))</f>
        <v>1.5838845962715554E-2</v>
      </c>
      <c r="C268" s="3">
        <f t="shared" si="254"/>
        <v>1.5838845962715554E-2</v>
      </c>
      <c r="D268" s="3">
        <f t="shared" si="254"/>
        <v>1.5838845962715554E-2</v>
      </c>
      <c r="E268" s="3">
        <f t="shared" si="254"/>
        <v>1.5838845962715554E-2</v>
      </c>
      <c r="F268" s="3">
        <f t="shared" si="254"/>
        <v>1.5838845962715554E-2</v>
      </c>
      <c r="G268" s="3">
        <f t="shared" si="254"/>
        <v>1.5838845962715554E-2</v>
      </c>
      <c r="H268" s="3">
        <f t="shared" si="254"/>
        <v>1.5838845962715554E-2</v>
      </c>
      <c r="I268" s="3">
        <f t="shared" si="254"/>
        <v>1.5838845962715554E-2</v>
      </c>
      <c r="J268" s="3">
        <f t="shared" si="254"/>
        <v>1.5838845962715554E-2</v>
      </c>
      <c r="K268" s="3">
        <f t="shared" si="254"/>
        <v>1.5838845962715554E-2</v>
      </c>
      <c r="L268" s="3">
        <f t="shared" si="254"/>
        <v>1.5838845962715554E-2</v>
      </c>
      <c r="M268" s="3">
        <f t="shared" si="254"/>
        <v>1.5838845962715554E-2</v>
      </c>
      <c r="N268" s="3">
        <f t="shared" si="254"/>
        <v>1.5838845962715554E-2</v>
      </c>
      <c r="O268" s="3">
        <f t="shared" si="254"/>
        <v>1.5838845962715554E-2</v>
      </c>
      <c r="P268" s="3">
        <f t="shared" si="254"/>
        <v>1.5838845962715554E-2</v>
      </c>
      <c r="Q268" s="3">
        <f t="shared" si="254"/>
        <v>1.5838845962715547E-2</v>
      </c>
      <c r="R268" s="3">
        <f t="shared" si="254"/>
        <v>1.5838845962715481E-2</v>
      </c>
      <c r="S268" s="3">
        <f t="shared" si="254"/>
        <v>1.5838845962714808E-2</v>
      </c>
      <c r="T268" s="3">
        <f t="shared" si="254"/>
        <v>1.5838845962708095E-2</v>
      </c>
      <c r="U268" s="3">
        <f t="shared" si="254"/>
        <v>1.5838845962640964E-2</v>
      </c>
      <c r="V268" s="3">
        <f t="shared" si="254"/>
        <v>1.5838845961969661E-2</v>
      </c>
      <c r="W268" s="3">
        <f t="shared" si="254"/>
        <v>1.5838845955256618E-2</v>
      </c>
      <c r="X268" s="3">
        <f t="shared" si="254"/>
        <v>1.5838845888126202E-2</v>
      </c>
      <c r="Y268" s="3">
        <f t="shared" si="254"/>
        <v>1.5838845216822044E-2</v>
      </c>
      <c r="Z268" s="3">
        <f t="shared" si="254"/>
        <v>1.5838838503782038E-2</v>
      </c>
      <c r="AA268" s="3">
        <f t="shared" si="254"/>
        <v>1.5838771373538466E-2</v>
      </c>
      <c r="AB268" s="3">
        <f t="shared" si="254"/>
        <v>1.5838100086751166E-2</v>
      </c>
      <c r="AC268" s="3">
        <f t="shared" si="254"/>
        <v>1.583138878347402E-2</v>
      </c>
      <c r="AD268" s="3">
        <f t="shared" si="254"/>
        <v>1.5764431965209796E-2</v>
      </c>
      <c r="AE268" s="3">
        <f t="shared" si="254"/>
        <v>1.5110243012361239E-2</v>
      </c>
      <c r="AF268" s="3">
        <f t="shared" si="254"/>
        <v>9.8901453263207147E-3</v>
      </c>
      <c r="AG268" s="3"/>
      <c r="AH268" s="3"/>
    </row>
    <row r="269" spans="2:34" x14ac:dyDescent="0.25">
      <c r="B269" s="3">
        <f t="shared" ref="B269:AF269" si="255">$C38*EXP(-B$246/$A38/EXP(-$E$126))</f>
        <v>5.1881409706128322E-3</v>
      </c>
      <c r="C269" s="3">
        <f t="shared" si="255"/>
        <v>5.1881409706128322E-3</v>
      </c>
      <c r="D269" s="3">
        <f t="shared" si="255"/>
        <v>5.1881409706128322E-3</v>
      </c>
      <c r="E269" s="3">
        <f t="shared" si="255"/>
        <v>5.1881409706128322E-3</v>
      </c>
      <c r="F269" s="3">
        <f t="shared" si="255"/>
        <v>5.1881409706128322E-3</v>
      </c>
      <c r="G269" s="3">
        <f t="shared" si="255"/>
        <v>5.1881409706128322E-3</v>
      </c>
      <c r="H269" s="3">
        <f t="shared" si="255"/>
        <v>5.1881409706128322E-3</v>
      </c>
      <c r="I269" s="3">
        <f t="shared" si="255"/>
        <v>5.1881409706128322E-3</v>
      </c>
      <c r="J269" s="3">
        <f t="shared" si="255"/>
        <v>5.1881409706128322E-3</v>
      </c>
      <c r="K269" s="3">
        <f t="shared" si="255"/>
        <v>5.1881409706128322E-3</v>
      </c>
      <c r="L269" s="3">
        <f t="shared" si="255"/>
        <v>5.1881409706128322E-3</v>
      </c>
      <c r="M269" s="3">
        <f t="shared" si="255"/>
        <v>5.1881409706128322E-3</v>
      </c>
      <c r="N269" s="3">
        <f t="shared" si="255"/>
        <v>5.1881409706128322E-3</v>
      </c>
      <c r="O269" s="3">
        <f t="shared" si="255"/>
        <v>5.1881409706128322E-3</v>
      </c>
      <c r="P269" s="3">
        <f t="shared" si="255"/>
        <v>5.1881409706128322E-3</v>
      </c>
      <c r="Q269" s="3">
        <f t="shared" si="255"/>
        <v>5.1881409706128322E-3</v>
      </c>
      <c r="R269" s="3">
        <f t="shared" si="255"/>
        <v>5.1881409706128296E-3</v>
      </c>
      <c r="S269" s="3">
        <f t="shared" si="255"/>
        <v>5.1881409706128105E-3</v>
      </c>
      <c r="T269" s="3">
        <f t="shared" si="255"/>
        <v>5.1881409706126119E-3</v>
      </c>
      <c r="U269" s="3">
        <f t="shared" si="255"/>
        <v>5.1881409706106283E-3</v>
      </c>
      <c r="V269" s="3">
        <f t="shared" si="255"/>
        <v>5.1881409705907926E-3</v>
      </c>
      <c r="W269" s="3">
        <f t="shared" si="255"/>
        <v>5.1881409703924321E-3</v>
      </c>
      <c r="X269" s="3">
        <f t="shared" si="255"/>
        <v>5.1881409684088314E-3</v>
      </c>
      <c r="Y269" s="3">
        <f t="shared" si="255"/>
        <v>5.1881409485728287E-3</v>
      </c>
      <c r="Z269" s="3">
        <f t="shared" si="255"/>
        <v>5.1881407502128007E-3</v>
      </c>
      <c r="AA269" s="3">
        <f t="shared" si="255"/>
        <v>5.1881387666129347E-3</v>
      </c>
      <c r="AB269" s="3">
        <f t="shared" si="255"/>
        <v>5.1881189306559918E-3</v>
      </c>
      <c r="AC269" s="3">
        <f t="shared" si="255"/>
        <v>5.1879205752576726E-3</v>
      </c>
      <c r="AD269" s="3">
        <f t="shared" si="255"/>
        <v>5.1859374383272563E-3</v>
      </c>
      <c r="AE269" s="3">
        <f t="shared" si="255"/>
        <v>5.1661477153620529E-3</v>
      </c>
      <c r="AF269" s="3">
        <f t="shared" si="255"/>
        <v>4.9723568029298483E-3</v>
      </c>
      <c r="AG269" s="3"/>
      <c r="AH269" s="3"/>
    </row>
    <row r="270" spans="2:34" x14ac:dyDescent="0.25">
      <c r="B270" s="3">
        <f t="shared" ref="B270:AF270" si="256">$C39*EXP(-B$246/$A39/EXP(-$E$126))</f>
        <v>3.8617191328215671E-3</v>
      </c>
      <c r="C270" s="3">
        <f t="shared" si="256"/>
        <v>3.8617191328215671E-3</v>
      </c>
      <c r="D270" s="3">
        <f t="shared" si="256"/>
        <v>3.8617191328215671E-3</v>
      </c>
      <c r="E270" s="3">
        <f t="shared" si="256"/>
        <v>3.8617191328215671E-3</v>
      </c>
      <c r="F270" s="3">
        <f t="shared" si="256"/>
        <v>3.8617191328215671E-3</v>
      </c>
      <c r="G270" s="3">
        <f t="shared" si="256"/>
        <v>3.8617191328215671E-3</v>
      </c>
      <c r="H270" s="3">
        <f t="shared" si="256"/>
        <v>3.8617191328215671E-3</v>
      </c>
      <c r="I270" s="3">
        <f t="shared" si="256"/>
        <v>3.8617191328215671E-3</v>
      </c>
      <c r="J270" s="3">
        <f t="shared" si="256"/>
        <v>3.8617191328215671E-3</v>
      </c>
      <c r="K270" s="3">
        <f t="shared" si="256"/>
        <v>3.8617191328215671E-3</v>
      </c>
      <c r="L270" s="3">
        <f t="shared" si="256"/>
        <v>3.8617191328215671E-3</v>
      </c>
      <c r="M270" s="3">
        <f t="shared" si="256"/>
        <v>3.8617191328215671E-3</v>
      </c>
      <c r="N270" s="3">
        <f t="shared" si="256"/>
        <v>3.8617191328215671E-3</v>
      </c>
      <c r="O270" s="3">
        <f t="shared" si="256"/>
        <v>3.8617191328215671E-3</v>
      </c>
      <c r="P270" s="3">
        <f t="shared" si="256"/>
        <v>3.8617191328215671E-3</v>
      </c>
      <c r="Q270" s="3">
        <f t="shared" si="256"/>
        <v>3.8617191328215671E-3</v>
      </c>
      <c r="R270" s="3">
        <f t="shared" si="256"/>
        <v>3.8617191328215667E-3</v>
      </c>
      <c r="S270" s="3">
        <f t="shared" si="256"/>
        <v>3.8617191328215623E-3</v>
      </c>
      <c r="T270" s="3">
        <f t="shared" si="256"/>
        <v>3.8617191328215216E-3</v>
      </c>
      <c r="U270" s="3">
        <f t="shared" si="256"/>
        <v>3.8617191328211135E-3</v>
      </c>
      <c r="V270" s="3">
        <f t="shared" si="256"/>
        <v>3.8617191328170299E-3</v>
      </c>
      <c r="W270" s="3">
        <f t="shared" si="256"/>
        <v>3.8617191327761946E-3</v>
      </c>
      <c r="X270" s="3">
        <f t="shared" si="256"/>
        <v>3.8617191323678411E-3</v>
      </c>
      <c r="Y270" s="3">
        <f t="shared" si="256"/>
        <v>3.8617191282843094E-3</v>
      </c>
      <c r="Z270" s="3">
        <f t="shared" si="256"/>
        <v>3.8617190874489912E-3</v>
      </c>
      <c r="AA270" s="3">
        <f t="shared" si="256"/>
        <v>3.8617186790958304E-3</v>
      </c>
      <c r="AB270" s="3">
        <f t="shared" si="256"/>
        <v>3.8617145955666013E-3</v>
      </c>
      <c r="AC270" s="3">
        <f t="shared" si="256"/>
        <v>3.8616737605118023E-3</v>
      </c>
      <c r="AD270" s="3">
        <f t="shared" si="256"/>
        <v>3.8612654337122484E-3</v>
      </c>
      <c r="AE270" s="3">
        <f t="shared" si="256"/>
        <v>3.857184539631465E-3</v>
      </c>
      <c r="AF270" s="3">
        <f t="shared" si="256"/>
        <v>3.8166120641209876E-3</v>
      </c>
      <c r="AG270" s="3"/>
      <c r="AH270" s="3"/>
    </row>
    <row r="271" spans="2:34" x14ac:dyDescent="0.25">
      <c r="B271" s="3">
        <f t="shared" ref="B271:AF271" si="257">$C40*EXP(-B$246/$A40/EXP(-$E$126))</f>
        <v>3.0600017424879029E-3</v>
      </c>
      <c r="C271" s="3">
        <f t="shared" si="257"/>
        <v>3.0600017424879029E-3</v>
      </c>
      <c r="D271" s="3">
        <f t="shared" si="257"/>
        <v>3.0600017424879029E-3</v>
      </c>
      <c r="E271" s="3">
        <f t="shared" si="257"/>
        <v>3.0600017424879029E-3</v>
      </c>
      <c r="F271" s="3">
        <f t="shared" si="257"/>
        <v>3.0600017424879029E-3</v>
      </c>
      <c r="G271" s="3">
        <f t="shared" si="257"/>
        <v>3.0600017424879029E-3</v>
      </c>
      <c r="H271" s="3">
        <f t="shared" si="257"/>
        <v>3.0600017424879029E-3</v>
      </c>
      <c r="I271" s="3">
        <f t="shared" si="257"/>
        <v>3.0600017424879029E-3</v>
      </c>
      <c r="J271" s="3">
        <f t="shared" si="257"/>
        <v>3.0600017424879029E-3</v>
      </c>
      <c r="K271" s="3">
        <f t="shared" si="257"/>
        <v>3.0600017424879029E-3</v>
      </c>
      <c r="L271" s="3">
        <f t="shared" si="257"/>
        <v>3.0600017424879029E-3</v>
      </c>
      <c r="M271" s="3">
        <f t="shared" si="257"/>
        <v>3.0600017424879029E-3</v>
      </c>
      <c r="N271" s="3">
        <f t="shared" si="257"/>
        <v>3.0600017424879029E-3</v>
      </c>
      <c r="O271" s="3">
        <f t="shared" si="257"/>
        <v>3.0600017424879029E-3</v>
      </c>
      <c r="P271" s="3">
        <f t="shared" si="257"/>
        <v>3.0600017424879029E-3</v>
      </c>
      <c r="Q271" s="3">
        <f t="shared" si="257"/>
        <v>3.0600017424879029E-3</v>
      </c>
      <c r="R271" s="3">
        <f t="shared" si="257"/>
        <v>3.0600017424879029E-3</v>
      </c>
      <c r="S271" s="3">
        <f t="shared" si="257"/>
        <v>3.0600017424879025E-3</v>
      </c>
      <c r="T271" s="3">
        <f t="shared" si="257"/>
        <v>3.060001742487899E-3</v>
      </c>
      <c r="U271" s="3">
        <f t="shared" si="257"/>
        <v>3.0600017424878669E-3</v>
      </c>
      <c r="V271" s="3">
        <f t="shared" si="257"/>
        <v>3.0600017424875434E-3</v>
      </c>
      <c r="W271" s="3">
        <f t="shared" si="257"/>
        <v>3.0600017424843077E-3</v>
      </c>
      <c r="X271" s="3">
        <f t="shared" si="257"/>
        <v>3.0600017424519503E-3</v>
      </c>
      <c r="Y271" s="3">
        <f t="shared" si="257"/>
        <v>3.0600017421283732E-3</v>
      </c>
      <c r="Z271" s="3">
        <f t="shared" si="257"/>
        <v>3.0600017388926087E-3</v>
      </c>
      <c r="AA271" s="3">
        <f t="shared" si="257"/>
        <v>3.0600017065349617E-3</v>
      </c>
      <c r="AB271" s="3">
        <f t="shared" si="257"/>
        <v>3.0600013829585075E-3</v>
      </c>
      <c r="AC271" s="3">
        <f t="shared" si="257"/>
        <v>3.0599981471958518E-3</v>
      </c>
      <c r="AD271" s="3">
        <f t="shared" si="257"/>
        <v>3.0599657897574829E-3</v>
      </c>
      <c r="AE271" s="3">
        <f t="shared" si="257"/>
        <v>3.0596422341919003E-3</v>
      </c>
      <c r="AF271" s="3">
        <f t="shared" si="257"/>
        <v>3.0564085596110719E-3</v>
      </c>
      <c r="AG271" s="3"/>
      <c r="AH271" s="3"/>
    </row>
    <row r="272" spans="2:34" x14ac:dyDescent="0.25">
      <c r="B272" s="3">
        <f t="shared" ref="B272:AF272" si="258">$C41*EXP(-B$246/$A41/EXP(-$E$126))</f>
        <v>1.8593150246318942E-3</v>
      </c>
      <c r="C272" s="3">
        <f t="shared" si="258"/>
        <v>1.8593150246318942E-3</v>
      </c>
      <c r="D272" s="3">
        <f t="shared" si="258"/>
        <v>1.8593150246318942E-3</v>
      </c>
      <c r="E272" s="3">
        <f t="shared" si="258"/>
        <v>1.8593150246318942E-3</v>
      </c>
      <c r="F272" s="3">
        <f t="shared" si="258"/>
        <v>1.8593150246318942E-3</v>
      </c>
      <c r="G272" s="3">
        <f t="shared" si="258"/>
        <v>1.8593150246318942E-3</v>
      </c>
      <c r="H272" s="3">
        <f t="shared" si="258"/>
        <v>1.8593150246318942E-3</v>
      </c>
      <c r="I272" s="3">
        <f t="shared" si="258"/>
        <v>1.8593150246318942E-3</v>
      </c>
      <c r="J272" s="3">
        <f t="shared" si="258"/>
        <v>1.8593150246318942E-3</v>
      </c>
      <c r="K272" s="3">
        <f t="shared" si="258"/>
        <v>1.8593150246318942E-3</v>
      </c>
      <c r="L272" s="3">
        <f t="shared" si="258"/>
        <v>1.8593150246318942E-3</v>
      </c>
      <c r="M272" s="3">
        <f t="shared" si="258"/>
        <v>1.8593150246318942E-3</v>
      </c>
      <c r="N272" s="3">
        <f t="shared" si="258"/>
        <v>1.8593150246318942E-3</v>
      </c>
      <c r="O272" s="3">
        <f t="shared" si="258"/>
        <v>1.8593150246318942E-3</v>
      </c>
      <c r="P272" s="3">
        <f t="shared" si="258"/>
        <v>1.8593150246318942E-3</v>
      </c>
      <c r="Q272" s="3">
        <f t="shared" si="258"/>
        <v>1.8593150246318942E-3</v>
      </c>
      <c r="R272" s="3">
        <f t="shared" si="258"/>
        <v>1.8593150246318942E-3</v>
      </c>
      <c r="S272" s="3">
        <f t="shared" si="258"/>
        <v>1.8593150246318942E-3</v>
      </c>
      <c r="T272" s="3">
        <f t="shared" si="258"/>
        <v>1.859315024631894E-3</v>
      </c>
      <c r="U272" s="3">
        <f t="shared" si="258"/>
        <v>1.8593150246318921E-3</v>
      </c>
      <c r="V272" s="3">
        <f t="shared" si="258"/>
        <v>1.8593150246318723E-3</v>
      </c>
      <c r="W272" s="3">
        <f t="shared" si="258"/>
        <v>1.8593150246316759E-3</v>
      </c>
      <c r="X272" s="3">
        <f t="shared" si="258"/>
        <v>1.8593150246297096E-3</v>
      </c>
      <c r="Y272" s="3">
        <f t="shared" si="258"/>
        <v>1.8593150246100486E-3</v>
      </c>
      <c r="Z272" s="3">
        <f t="shared" si="258"/>
        <v>1.8593150244134373E-3</v>
      </c>
      <c r="AA272" s="3">
        <f t="shared" si="258"/>
        <v>1.8593150224473255E-3</v>
      </c>
      <c r="AB272" s="3">
        <f t="shared" si="258"/>
        <v>1.859315002786206E-3</v>
      </c>
      <c r="AC272" s="3">
        <f t="shared" si="258"/>
        <v>1.8593148061750232E-3</v>
      </c>
      <c r="AD272" s="3">
        <f t="shared" si="258"/>
        <v>1.8593128400643381E-3</v>
      </c>
      <c r="AE272" s="3">
        <f t="shared" si="258"/>
        <v>1.859293179071835E-3</v>
      </c>
      <c r="AF272" s="3">
        <f t="shared" si="258"/>
        <v>1.8590965805810441E-3</v>
      </c>
      <c r="AG272" s="3"/>
      <c r="AH272" s="3"/>
    </row>
    <row r="273" spans="1:34" x14ac:dyDescent="0.25">
      <c r="B273" s="3">
        <f t="shared" ref="B273:AF273" si="259">$C42*EXP(-B$246/$A42/EXP(-$E$126))</f>
        <v>1.0289911498978865E-4</v>
      </c>
      <c r="C273" s="3">
        <f t="shared" si="259"/>
        <v>1.0289911498978865E-4</v>
      </c>
      <c r="D273" s="3">
        <f t="shared" si="259"/>
        <v>1.0289911498978865E-4</v>
      </c>
      <c r="E273" s="3">
        <f t="shared" si="259"/>
        <v>1.0289911498978865E-4</v>
      </c>
      <c r="F273" s="3">
        <f t="shared" si="259"/>
        <v>1.0289911498978865E-4</v>
      </c>
      <c r="G273" s="3">
        <f t="shared" si="259"/>
        <v>1.0289911498978865E-4</v>
      </c>
      <c r="H273" s="3">
        <f t="shared" si="259"/>
        <v>1.0289911498978865E-4</v>
      </c>
      <c r="I273" s="3">
        <f t="shared" si="259"/>
        <v>1.0289911498978865E-4</v>
      </c>
      <c r="J273" s="3">
        <f t="shared" si="259"/>
        <v>1.0289911498978865E-4</v>
      </c>
      <c r="K273" s="3">
        <f t="shared" si="259"/>
        <v>1.0289911498978865E-4</v>
      </c>
      <c r="L273" s="3">
        <f t="shared" si="259"/>
        <v>1.0289911498978865E-4</v>
      </c>
      <c r="M273" s="3">
        <f t="shared" si="259"/>
        <v>1.0289911498978865E-4</v>
      </c>
      <c r="N273" s="3">
        <f t="shared" si="259"/>
        <v>1.0289911498978865E-4</v>
      </c>
      <c r="O273" s="3">
        <f t="shared" si="259"/>
        <v>1.0289911498978865E-4</v>
      </c>
      <c r="P273" s="3">
        <f t="shared" si="259"/>
        <v>1.0289911498978865E-4</v>
      </c>
      <c r="Q273" s="3">
        <f t="shared" si="259"/>
        <v>1.0289911498978865E-4</v>
      </c>
      <c r="R273" s="3">
        <f t="shared" si="259"/>
        <v>1.0289911498978865E-4</v>
      </c>
      <c r="S273" s="3">
        <f t="shared" si="259"/>
        <v>1.0289911498978865E-4</v>
      </c>
      <c r="T273" s="3">
        <f t="shared" si="259"/>
        <v>1.0289911498978865E-4</v>
      </c>
      <c r="U273" s="3">
        <f t="shared" si="259"/>
        <v>1.0289911498978864E-4</v>
      </c>
      <c r="V273" s="3">
        <f t="shared" si="259"/>
        <v>1.0289911498978853E-4</v>
      </c>
      <c r="W273" s="3">
        <f t="shared" si="259"/>
        <v>1.0289911498978745E-4</v>
      </c>
      <c r="X273" s="3">
        <f t="shared" si="259"/>
        <v>1.0289911498977656E-4</v>
      </c>
      <c r="Y273" s="3">
        <f t="shared" si="259"/>
        <v>1.0289911498966775E-4</v>
      </c>
      <c r="Z273" s="3">
        <f t="shared" si="259"/>
        <v>1.0289911498857966E-4</v>
      </c>
      <c r="AA273" s="3">
        <f t="shared" si="259"/>
        <v>1.028991149776987E-4</v>
      </c>
      <c r="AB273" s="3">
        <f t="shared" si="259"/>
        <v>1.0289911486888919E-4</v>
      </c>
      <c r="AC273" s="3">
        <f t="shared" si="259"/>
        <v>1.0289911378079397E-4</v>
      </c>
      <c r="AD273" s="3">
        <f t="shared" si="259"/>
        <v>1.0289910289984241E-4</v>
      </c>
      <c r="AE273" s="3">
        <f t="shared" si="259"/>
        <v>1.0289899409039011E-4</v>
      </c>
      <c r="AF273" s="3">
        <f t="shared" si="259"/>
        <v>1.028979060021955E-4</v>
      </c>
      <c r="AG273" s="3"/>
      <c r="AH273" s="3"/>
    </row>
    <row r="274" spans="1:34" x14ac:dyDescent="0.25">
      <c r="B274" s="3">
        <f t="shared" ref="B274:AF274" si="260">$C43*EXP(-B$246/$A43/EXP(-$E$126))</f>
        <v>3.4301074619822757E-3</v>
      </c>
      <c r="C274" s="3">
        <f t="shared" si="260"/>
        <v>3.4301074619822757E-3</v>
      </c>
      <c r="D274" s="3">
        <f t="shared" si="260"/>
        <v>3.4301074619822757E-3</v>
      </c>
      <c r="E274" s="3">
        <f t="shared" si="260"/>
        <v>3.4301074619822757E-3</v>
      </c>
      <c r="F274" s="3">
        <f t="shared" si="260"/>
        <v>3.4301074619822757E-3</v>
      </c>
      <c r="G274" s="3">
        <f t="shared" si="260"/>
        <v>3.4301074619822757E-3</v>
      </c>
      <c r="H274" s="3">
        <f t="shared" si="260"/>
        <v>3.4301074619822757E-3</v>
      </c>
      <c r="I274" s="3">
        <f t="shared" si="260"/>
        <v>3.4301074619822757E-3</v>
      </c>
      <c r="J274" s="3">
        <f t="shared" si="260"/>
        <v>3.4301074619822757E-3</v>
      </c>
      <c r="K274" s="3">
        <f t="shared" si="260"/>
        <v>3.4301074619822757E-3</v>
      </c>
      <c r="L274" s="3">
        <f t="shared" si="260"/>
        <v>3.4301074619822757E-3</v>
      </c>
      <c r="M274" s="3">
        <f t="shared" si="260"/>
        <v>3.4301074619822757E-3</v>
      </c>
      <c r="N274" s="3">
        <f t="shared" si="260"/>
        <v>3.4301074619822757E-3</v>
      </c>
      <c r="O274" s="3">
        <f t="shared" si="260"/>
        <v>3.4301074619822757E-3</v>
      </c>
      <c r="P274" s="3">
        <f t="shared" si="260"/>
        <v>3.4301074619822757E-3</v>
      </c>
      <c r="Q274" s="3">
        <f t="shared" si="260"/>
        <v>3.4301074619822757E-3</v>
      </c>
      <c r="R274" s="3">
        <f t="shared" si="260"/>
        <v>3.4301074619822757E-3</v>
      </c>
      <c r="S274" s="3">
        <f t="shared" si="260"/>
        <v>3.4301074619822757E-3</v>
      </c>
      <c r="T274" s="3">
        <f t="shared" si="260"/>
        <v>3.4301074619822757E-3</v>
      </c>
      <c r="U274" s="3">
        <f t="shared" si="260"/>
        <v>3.4301074619822757E-3</v>
      </c>
      <c r="V274" s="3">
        <f t="shared" si="260"/>
        <v>3.4301074619822753E-3</v>
      </c>
      <c r="W274" s="3">
        <f t="shared" si="260"/>
        <v>3.4301074619822714E-3</v>
      </c>
      <c r="X274" s="3">
        <f t="shared" si="260"/>
        <v>3.4301074619822354E-3</v>
      </c>
      <c r="Y274" s="3">
        <f t="shared" si="260"/>
        <v>3.4301074619818728E-3</v>
      </c>
      <c r="Z274" s="3">
        <f t="shared" si="260"/>
        <v>3.4301074619782455E-3</v>
      </c>
      <c r="AA274" s="3">
        <f t="shared" si="260"/>
        <v>3.4301074619419746E-3</v>
      </c>
      <c r="AB274" s="3">
        <f t="shared" si="260"/>
        <v>3.4301074615792613E-3</v>
      </c>
      <c r="AC274" s="3">
        <f t="shared" si="260"/>
        <v>3.4301074579521328E-3</v>
      </c>
      <c r="AD274" s="3">
        <f t="shared" si="260"/>
        <v>3.4301074216808438E-3</v>
      </c>
      <c r="AE274" s="3">
        <f t="shared" si="260"/>
        <v>3.4301070589679754E-3</v>
      </c>
      <c r="AF274" s="3">
        <f t="shared" si="260"/>
        <v>3.4301034318414032E-3</v>
      </c>
      <c r="AG274" s="3"/>
      <c r="AH274" s="3"/>
    </row>
    <row r="275" spans="1:34" x14ac:dyDescent="0.25">
      <c r="B275" s="3">
        <f t="shared" ref="B275:AF275" si="261">$C44*EXP(-B$246/$A44/EXP(-$E$126))</f>
        <v>1.0099566360327609E-4</v>
      </c>
      <c r="C275" s="3">
        <f t="shared" si="261"/>
        <v>1.0099566360327609E-4</v>
      </c>
      <c r="D275" s="3">
        <f t="shared" si="261"/>
        <v>1.0099566360327609E-4</v>
      </c>
      <c r="E275" s="3">
        <f t="shared" si="261"/>
        <v>1.0099566360327609E-4</v>
      </c>
      <c r="F275" s="3">
        <f t="shared" si="261"/>
        <v>1.0099566360327609E-4</v>
      </c>
      <c r="G275" s="3">
        <f t="shared" si="261"/>
        <v>1.0099566360327609E-4</v>
      </c>
      <c r="H275" s="3">
        <f t="shared" si="261"/>
        <v>1.0099566360327609E-4</v>
      </c>
      <c r="I275" s="3">
        <f t="shared" si="261"/>
        <v>1.0099566360327609E-4</v>
      </c>
      <c r="J275" s="3">
        <f t="shared" si="261"/>
        <v>1.0099566360327609E-4</v>
      </c>
      <c r="K275" s="3">
        <f t="shared" si="261"/>
        <v>1.0099566360327609E-4</v>
      </c>
      <c r="L275" s="3">
        <f t="shared" si="261"/>
        <v>1.0099566360327609E-4</v>
      </c>
      <c r="M275" s="3">
        <f t="shared" si="261"/>
        <v>1.0099566360327609E-4</v>
      </c>
      <c r="N275" s="3">
        <f t="shared" si="261"/>
        <v>1.0099566360327609E-4</v>
      </c>
      <c r="O275" s="3">
        <f t="shared" si="261"/>
        <v>1.0099566360327609E-4</v>
      </c>
      <c r="P275" s="3">
        <f t="shared" si="261"/>
        <v>1.0099566360327609E-4</v>
      </c>
      <c r="Q275" s="3">
        <f t="shared" si="261"/>
        <v>1.0099566360327609E-4</v>
      </c>
      <c r="R275" s="3">
        <f t="shared" si="261"/>
        <v>1.0099566360327609E-4</v>
      </c>
      <c r="S275" s="3">
        <f t="shared" si="261"/>
        <v>1.0099566360327609E-4</v>
      </c>
      <c r="T275" s="3">
        <f t="shared" si="261"/>
        <v>1.0099566360327609E-4</v>
      </c>
      <c r="U275" s="3">
        <f t="shared" si="261"/>
        <v>1.0099566360327609E-4</v>
      </c>
      <c r="V275" s="3">
        <f t="shared" si="261"/>
        <v>1.0099566360327609E-4</v>
      </c>
      <c r="W275" s="3">
        <f t="shared" si="261"/>
        <v>1.0099566360327608E-4</v>
      </c>
      <c r="X275" s="3">
        <f t="shared" si="261"/>
        <v>1.0099566360327597E-4</v>
      </c>
      <c r="Y275" s="3">
        <f t="shared" si="261"/>
        <v>1.009956636032749E-4</v>
      </c>
      <c r="Z275" s="3">
        <f t="shared" si="261"/>
        <v>1.0099566360326424E-4</v>
      </c>
      <c r="AA275" s="3">
        <f t="shared" si="261"/>
        <v>1.0099566360315743E-4</v>
      </c>
      <c r="AB275" s="3">
        <f t="shared" si="261"/>
        <v>1.0099566360208948E-4</v>
      </c>
      <c r="AC275" s="3">
        <f t="shared" si="261"/>
        <v>1.0099566359140979E-4</v>
      </c>
      <c r="AD275" s="3">
        <f t="shared" si="261"/>
        <v>1.0099566348461305E-4</v>
      </c>
      <c r="AE275" s="3">
        <f t="shared" si="261"/>
        <v>1.0099566241664567E-4</v>
      </c>
      <c r="AF275" s="3">
        <f t="shared" si="261"/>
        <v>1.0099565173697245E-4</v>
      </c>
      <c r="AG275" s="3"/>
      <c r="AH275" s="3"/>
    </row>
    <row r="276" spans="1:34" x14ac:dyDescent="0.25">
      <c r="B276" s="3">
        <f t="shared" ref="B276:AF276" si="262">$C45*EXP(-B$246/$A45/EXP(-$E$126))</f>
        <v>2.8535751866135694E-4</v>
      </c>
      <c r="C276" s="3">
        <f t="shared" si="262"/>
        <v>2.8535751866135694E-4</v>
      </c>
      <c r="D276" s="3">
        <f t="shared" si="262"/>
        <v>2.8535751866135694E-4</v>
      </c>
      <c r="E276" s="3">
        <f t="shared" si="262"/>
        <v>2.8535751866135694E-4</v>
      </c>
      <c r="F276" s="3">
        <f t="shared" si="262"/>
        <v>2.8535751866135694E-4</v>
      </c>
      <c r="G276" s="3">
        <f t="shared" si="262"/>
        <v>2.8535751866135694E-4</v>
      </c>
      <c r="H276" s="3">
        <f t="shared" si="262"/>
        <v>2.8535751866135694E-4</v>
      </c>
      <c r="I276" s="3">
        <f t="shared" si="262"/>
        <v>2.8535751866135694E-4</v>
      </c>
      <c r="J276" s="3">
        <f t="shared" si="262"/>
        <v>2.8535751866135694E-4</v>
      </c>
      <c r="K276" s="3">
        <f t="shared" si="262"/>
        <v>2.8535751866135694E-4</v>
      </c>
      <c r="L276" s="3">
        <f t="shared" si="262"/>
        <v>2.8535751866135694E-4</v>
      </c>
      <c r="M276" s="3">
        <f t="shared" si="262"/>
        <v>2.8535751866135694E-4</v>
      </c>
      <c r="N276" s="3">
        <f t="shared" si="262"/>
        <v>2.8535751866135694E-4</v>
      </c>
      <c r="O276" s="3">
        <f t="shared" si="262"/>
        <v>2.8535751866135694E-4</v>
      </c>
      <c r="P276" s="3">
        <f t="shared" si="262"/>
        <v>2.8535751866135694E-4</v>
      </c>
      <c r="Q276" s="3">
        <f t="shared" si="262"/>
        <v>2.8535751866135694E-4</v>
      </c>
      <c r="R276" s="3">
        <f t="shared" si="262"/>
        <v>2.8535751866135694E-4</v>
      </c>
      <c r="S276" s="3">
        <f t="shared" si="262"/>
        <v>2.8535751866135694E-4</v>
      </c>
      <c r="T276" s="3">
        <f t="shared" si="262"/>
        <v>2.8535751866135694E-4</v>
      </c>
      <c r="U276" s="3">
        <f t="shared" si="262"/>
        <v>2.8535751866135694E-4</v>
      </c>
      <c r="V276" s="3">
        <f t="shared" si="262"/>
        <v>2.8535751866135694E-4</v>
      </c>
      <c r="W276" s="3">
        <f t="shared" si="262"/>
        <v>2.8535751866135694E-4</v>
      </c>
      <c r="X276" s="3">
        <f t="shared" si="262"/>
        <v>2.8535751866135689E-4</v>
      </c>
      <c r="Y276" s="3">
        <f t="shared" si="262"/>
        <v>2.8535751866135662E-4</v>
      </c>
      <c r="Z276" s="3">
        <f t="shared" si="262"/>
        <v>2.8535751866135358E-4</v>
      </c>
      <c r="AA276" s="3">
        <f t="shared" si="262"/>
        <v>2.8535751866132344E-4</v>
      </c>
      <c r="AB276" s="3">
        <f t="shared" si="262"/>
        <v>2.8535751866102166E-4</v>
      </c>
      <c r="AC276" s="3">
        <f t="shared" si="262"/>
        <v>2.8535751865800421E-4</v>
      </c>
      <c r="AD276" s="3">
        <f t="shared" si="262"/>
        <v>2.8535751862782935E-4</v>
      </c>
      <c r="AE276" s="3">
        <f t="shared" si="262"/>
        <v>2.8535751832608125E-4</v>
      </c>
      <c r="AF276" s="3">
        <f t="shared" si="262"/>
        <v>2.8535751530860002E-4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1.5499334140859142E-4</v>
      </c>
      <c r="C279" s="3">
        <f t="shared" si="265"/>
        <v>1.5499334140859142E-4</v>
      </c>
      <c r="D279" s="3">
        <f t="shared" si="265"/>
        <v>1.5499334140859142E-4</v>
      </c>
      <c r="E279" s="3">
        <f t="shared" si="265"/>
        <v>1.5499334140859142E-4</v>
      </c>
      <c r="F279" s="3">
        <f t="shared" si="265"/>
        <v>1.5499334140859142E-4</v>
      </c>
      <c r="G279" s="3">
        <f t="shared" si="265"/>
        <v>1.5499334140859142E-4</v>
      </c>
      <c r="H279" s="3">
        <f t="shared" si="265"/>
        <v>1.5499334140859142E-4</v>
      </c>
      <c r="I279" s="3">
        <f t="shared" si="265"/>
        <v>1.5499334140859142E-4</v>
      </c>
      <c r="J279" s="3">
        <f t="shared" si="265"/>
        <v>1.5499334140859142E-4</v>
      </c>
      <c r="K279" s="3">
        <f t="shared" si="265"/>
        <v>1.5499334140859142E-4</v>
      </c>
      <c r="L279" s="3">
        <f t="shared" si="265"/>
        <v>1.5499334140859142E-4</v>
      </c>
      <c r="M279" s="3">
        <f t="shared" si="265"/>
        <v>1.5499334140859142E-4</v>
      </c>
      <c r="N279" s="3">
        <f t="shared" si="265"/>
        <v>1.5499334140859142E-4</v>
      </c>
      <c r="O279" s="3">
        <f t="shared" si="265"/>
        <v>1.5499334140859142E-4</v>
      </c>
      <c r="P279" s="3">
        <f t="shared" si="265"/>
        <v>1.5499334140859142E-4</v>
      </c>
      <c r="Q279" s="3">
        <f t="shared" si="265"/>
        <v>1.5499334140859142E-4</v>
      </c>
      <c r="R279" s="3">
        <f t="shared" si="265"/>
        <v>1.5499334140859142E-4</v>
      </c>
      <c r="S279" s="3">
        <f t="shared" si="265"/>
        <v>1.5499334140859142E-4</v>
      </c>
      <c r="T279" s="3">
        <f t="shared" si="265"/>
        <v>1.5499334140859142E-4</v>
      </c>
      <c r="U279" s="3">
        <f t="shared" si="265"/>
        <v>1.5499334140859142E-4</v>
      </c>
      <c r="V279" s="3">
        <f t="shared" si="265"/>
        <v>1.5499334140859142E-4</v>
      </c>
      <c r="W279" s="3">
        <f t="shared" si="265"/>
        <v>1.5499334140859142E-4</v>
      </c>
      <c r="X279" s="3">
        <f t="shared" si="265"/>
        <v>1.5499334140859142E-4</v>
      </c>
      <c r="Y279" s="3">
        <f t="shared" si="265"/>
        <v>1.5499334140859142E-4</v>
      </c>
      <c r="Z279" s="3">
        <f t="shared" si="265"/>
        <v>1.5499334140859142E-4</v>
      </c>
      <c r="AA279" s="3">
        <f t="shared" si="265"/>
        <v>1.5499334140859139E-4</v>
      </c>
      <c r="AB279" s="3">
        <f t="shared" si="265"/>
        <v>1.5499334140859123E-4</v>
      </c>
      <c r="AC279" s="3">
        <f t="shared" si="265"/>
        <v>1.549933414085896E-4</v>
      </c>
      <c r="AD279" s="3">
        <f t="shared" si="265"/>
        <v>1.549933414085732E-4</v>
      </c>
      <c r="AE279" s="3">
        <f t="shared" si="265"/>
        <v>1.549933414084093E-4</v>
      </c>
      <c r="AF279" s="3">
        <f t="shared" si="265"/>
        <v>1.5499334140677037E-4</v>
      </c>
      <c r="AG279" s="3"/>
      <c r="AH279" s="3"/>
    </row>
    <row r="280" spans="1:34" x14ac:dyDescent="0.25">
      <c r="A280" s="79">
        <f>AVERAGE(B280:AF280)</f>
        <v>4.7082085244306703E-2</v>
      </c>
      <c r="B280" s="80">
        <f>IF($D$61&lt;=B246,IF($E$61&gt;=B246,ABS((B248-B247)/B247),0),0)</f>
        <v>2.9934269458170119E-3</v>
      </c>
      <c r="C280" s="80">
        <f t="shared" ref="C280:AF280" si="266">IF($D$61&lt;=C246,IF($E$61&gt;=C246,ABS((C248-C247)/C247),0),0)</f>
        <v>3.142197632604672E-3</v>
      </c>
      <c r="D280" s="80">
        <f t="shared" si="266"/>
        <v>4.6510055698296858E-3</v>
      </c>
      <c r="E280" s="80">
        <f t="shared" si="266"/>
        <v>1.5946381532453174E-2</v>
      </c>
      <c r="F280" s="80">
        <f t="shared" si="266"/>
        <v>2.5399674797116516E-2</v>
      </c>
      <c r="G280" s="80">
        <f t="shared" si="266"/>
        <v>7.2840684725498303E-2</v>
      </c>
      <c r="H280" s="80">
        <f t="shared" si="266"/>
        <v>0.11873118441899647</v>
      </c>
      <c r="I280" s="80">
        <f t="shared" si="266"/>
        <v>9.8589287629305786E-2</v>
      </c>
      <c r="J280" s="80">
        <f t="shared" si="266"/>
        <v>7.6166907464297592E-2</v>
      </c>
      <c r="K280" s="80">
        <f t="shared" si="266"/>
        <v>4.9700390321410819E-2</v>
      </c>
      <c r="L280" s="80">
        <f t="shared" si="266"/>
        <v>2.100550645190238E-2</v>
      </c>
      <c r="M280" s="80">
        <f t="shared" si="266"/>
        <v>4.1793363357170406E-3</v>
      </c>
      <c r="N280" s="80">
        <f t="shared" si="266"/>
        <v>2.603680208052557E-2</v>
      </c>
      <c r="O280" s="80">
        <f t="shared" si="266"/>
        <v>2.3709205149967393E-2</v>
      </c>
      <c r="P280" s="80">
        <f t="shared" si="266"/>
        <v>2.8146030999049089E-2</v>
      </c>
      <c r="Q280" s="80">
        <f t="shared" si="266"/>
        <v>2.6741014294124142E-2</v>
      </c>
      <c r="R280" s="80">
        <f t="shared" si="266"/>
        <v>2.0231904357595358E-2</v>
      </c>
      <c r="S280" s="80">
        <f t="shared" si="266"/>
        <v>1.4857149505849727E-3</v>
      </c>
      <c r="T280" s="80">
        <f t="shared" si="266"/>
        <v>4.4678455802997813E-2</v>
      </c>
      <c r="U280" s="80">
        <f t="shared" si="266"/>
        <v>9.5655663322030807E-2</v>
      </c>
      <c r="V280" s="80">
        <f t="shared" si="266"/>
        <v>0.14068854769491923</v>
      </c>
      <c r="W280" s="80">
        <f t="shared" si="266"/>
        <v>0.16990978158708697</v>
      </c>
      <c r="X280" s="80">
        <f t="shared" si="266"/>
        <v>0.19063746369744142</v>
      </c>
      <c r="Y280" s="80">
        <f t="shared" si="266"/>
        <v>0.19827807481223533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341.39224595430812</v>
      </c>
      <c r="C281" s="21">
        <f t="shared" ref="C281:AF281" si="267">(C248-C247)^2</f>
        <v>376.04248364143331</v>
      </c>
      <c r="D281" s="21">
        <f t="shared" si="267"/>
        <v>821.07429387316586</v>
      </c>
      <c r="E281" s="21">
        <f t="shared" si="267"/>
        <v>9400.5401555489188</v>
      </c>
      <c r="F281" s="21">
        <f t="shared" si="267"/>
        <v>22529.61588882206</v>
      </c>
      <c r="G281" s="21">
        <f t="shared" si="267"/>
        <v>178107.72714898683</v>
      </c>
      <c r="H281" s="21">
        <f t="shared" si="267"/>
        <v>454843.25839040184</v>
      </c>
      <c r="I281" s="21">
        <f t="shared" si="267"/>
        <v>299750.37130253011</v>
      </c>
      <c r="J281" s="21">
        <f t="shared" si="267"/>
        <v>170323.63293378061</v>
      </c>
      <c r="K281" s="21">
        <f t="shared" si="267"/>
        <v>68511.575133608567</v>
      </c>
      <c r="L281" s="21">
        <f t="shared" si="267"/>
        <v>11488.266134192272</v>
      </c>
      <c r="M281" s="21">
        <f t="shared" si="267"/>
        <v>425.42101431728435</v>
      </c>
      <c r="N281" s="21">
        <f t="shared" si="267"/>
        <v>15449.857782380475</v>
      </c>
      <c r="O281" s="21">
        <f t="shared" si="267"/>
        <v>11884.995311954606</v>
      </c>
      <c r="P281" s="21">
        <f t="shared" si="267"/>
        <v>15225.278151093851</v>
      </c>
      <c r="Q281" s="21">
        <f t="shared" si="267"/>
        <v>12332.791216568361</v>
      </c>
      <c r="R281" s="21">
        <f t="shared" si="267"/>
        <v>6345.8224176327303</v>
      </c>
      <c r="S281" s="21">
        <f t="shared" si="267"/>
        <v>30.018988295150102</v>
      </c>
      <c r="T281" s="21">
        <f t="shared" si="267"/>
        <v>22564.624891814816</v>
      </c>
      <c r="U281" s="21">
        <f t="shared" si="267"/>
        <v>85219.890041312596</v>
      </c>
      <c r="V281" s="21">
        <f t="shared" si="267"/>
        <v>153172.2168068219</v>
      </c>
      <c r="W281" s="21">
        <f t="shared" si="267"/>
        <v>187428.52828587545</v>
      </c>
      <c r="X281" s="21">
        <f t="shared" si="267"/>
        <v>196403.45232468829</v>
      </c>
      <c r="Y281" s="21">
        <f t="shared" si="267"/>
        <v>175180.26106189055</v>
      </c>
      <c r="Z281" s="21">
        <f t="shared" si="267"/>
        <v>134591.09202367222</v>
      </c>
      <c r="AA281" s="21">
        <f t="shared" si="267"/>
        <v>71201.901869712936</v>
      </c>
      <c r="AB281" s="21">
        <f t="shared" si="267"/>
        <v>19085.087018109345</v>
      </c>
      <c r="AC281" s="21">
        <f t="shared" si="267"/>
        <v>1492.1673025608334</v>
      </c>
      <c r="AD281" s="21">
        <f t="shared" si="267"/>
        <v>59.884459137357616</v>
      </c>
      <c r="AE281" s="21">
        <f t="shared" si="267"/>
        <v>295.31353815576119</v>
      </c>
      <c r="AF281" s="21">
        <f t="shared" si="267"/>
        <v>76.103753084375597</v>
      </c>
      <c r="AG281" s="3"/>
      <c r="AH281" s="3"/>
    </row>
    <row r="282" spans="1:34" s="3" customFormat="1" x14ac:dyDescent="0.25">
      <c r="A282" s="71">
        <f>SUM(B282:AF282)</f>
        <v>2098156.654405986</v>
      </c>
      <c r="B282" s="21">
        <f>IF($D$61&lt;=B246,IF($E$61&gt;=B246,ABS(B281),0),0)</f>
        <v>341.39224595430812</v>
      </c>
      <c r="C282" s="21">
        <f t="shared" ref="C282:AF282" si="268">IF($D$61&lt;=C246,IF($E$61&gt;=C246,ABS(C281),0),0)</f>
        <v>376.04248364143331</v>
      </c>
      <c r="D282" s="21">
        <f t="shared" si="268"/>
        <v>821.07429387316586</v>
      </c>
      <c r="E282" s="21">
        <f t="shared" si="268"/>
        <v>9400.5401555489188</v>
      </c>
      <c r="F282" s="21">
        <f t="shared" si="268"/>
        <v>22529.61588882206</v>
      </c>
      <c r="G282" s="21">
        <f t="shared" si="268"/>
        <v>178107.72714898683</v>
      </c>
      <c r="H282" s="21">
        <f t="shared" si="268"/>
        <v>454843.25839040184</v>
      </c>
      <c r="I282" s="21">
        <f t="shared" si="268"/>
        <v>299750.37130253011</v>
      </c>
      <c r="J282" s="21">
        <f t="shared" si="268"/>
        <v>170323.63293378061</v>
      </c>
      <c r="K282" s="21">
        <f t="shared" si="268"/>
        <v>68511.575133608567</v>
      </c>
      <c r="L282" s="21">
        <f t="shared" si="268"/>
        <v>11488.266134192272</v>
      </c>
      <c r="M282" s="21">
        <f t="shared" si="268"/>
        <v>425.42101431728435</v>
      </c>
      <c r="N282" s="21">
        <f t="shared" si="268"/>
        <v>15449.857782380475</v>
      </c>
      <c r="O282" s="21">
        <f t="shared" si="268"/>
        <v>11884.995311954606</v>
      </c>
      <c r="P282" s="21">
        <f t="shared" si="268"/>
        <v>15225.278151093851</v>
      </c>
      <c r="Q282" s="21">
        <f t="shared" si="268"/>
        <v>12332.791216568361</v>
      </c>
      <c r="R282" s="21">
        <f t="shared" si="268"/>
        <v>6345.8224176327303</v>
      </c>
      <c r="S282" s="21">
        <f t="shared" si="268"/>
        <v>30.018988295150102</v>
      </c>
      <c r="T282" s="21">
        <f t="shared" si="268"/>
        <v>22564.624891814816</v>
      </c>
      <c r="U282" s="21">
        <f t="shared" si="268"/>
        <v>85219.890041312596</v>
      </c>
      <c r="V282" s="21">
        <f t="shared" si="268"/>
        <v>153172.2168068219</v>
      </c>
      <c r="W282" s="21">
        <f t="shared" si="268"/>
        <v>187428.52828587545</v>
      </c>
      <c r="X282" s="21">
        <f t="shared" si="268"/>
        <v>196403.45232468829</v>
      </c>
      <c r="Y282" s="21">
        <f t="shared" si="268"/>
        <v>175180.26106189055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6161.1573543594859</v>
      </c>
      <c r="C287" s="27">
        <f t="shared" ref="C287:AF287" si="269">($C$17+SUM(C288:C318))*$B$51</f>
        <v>5924.5699369635904</v>
      </c>
      <c r="D287" s="27">
        <f t="shared" si="269"/>
        <v>5098.7223683646826</v>
      </c>
      <c r="E287" s="27">
        <f t="shared" si="269"/>
        <v>5005.8008217723464</v>
      </c>
      <c r="F287" s="27">
        <f t="shared" si="269"/>
        <v>5005.7803320246076</v>
      </c>
      <c r="G287" s="27">
        <f t="shared" si="269"/>
        <v>5005.575498339138</v>
      </c>
      <c r="H287" s="27">
        <f t="shared" si="269"/>
        <v>5003.5335165048791</v>
      </c>
      <c r="I287" s="27">
        <f t="shared" si="269"/>
        <v>4983.7356530803845</v>
      </c>
      <c r="J287" s="27">
        <f t="shared" si="269"/>
        <v>4836.3603347695289</v>
      </c>
      <c r="K287" s="27">
        <f t="shared" si="269"/>
        <v>4599.10988706643</v>
      </c>
      <c r="L287" s="27">
        <f t="shared" si="269"/>
        <v>4425.7286979237742</v>
      </c>
      <c r="M287" s="27">
        <f t="shared" si="269"/>
        <v>4192.4243166415663</v>
      </c>
      <c r="N287" s="27">
        <f t="shared" si="269"/>
        <v>3981.8203532786447</v>
      </c>
      <c r="O287" s="27">
        <f t="shared" si="269"/>
        <v>3801.8398602295074</v>
      </c>
      <c r="P287" s="27">
        <f t="shared" si="269"/>
        <v>3626.2550810679254</v>
      </c>
      <c r="Q287" s="27">
        <f t="shared" si="269"/>
        <v>3455.7200349929017</v>
      </c>
      <c r="R287" s="27">
        <f t="shared" si="269"/>
        <v>3285.2502031076961</v>
      </c>
      <c r="S287" s="27">
        <f t="shared" si="269"/>
        <v>3109.3543956409276</v>
      </c>
      <c r="T287" s="27">
        <f t="shared" si="269"/>
        <v>2905.9186405813043</v>
      </c>
      <c r="U287" s="27">
        <f t="shared" si="269"/>
        <v>2684.5560672992788</v>
      </c>
      <c r="V287" s="27">
        <f t="shared" si="269"/>
        <v>2433.0755516229328</v>
      </c>
      <c r="W287" s="27">
        <f t="shared" si="269"/>
        <v>2142.0704021945553</v>
      </c>
      <c r="X287" s="27">
        <f t="shared" si="269"/>
        <v>1773.0900060152755</v>
      </c>
      <c r="Y287" s="27">
        <f t="shared" si="269"/>
        <v>1366.8448402711088</v>
      </c>
      <c r="Z287" s="27">
        <f t="shared" si="269"/>
        <v>988.01361323936305</v>
      </c>
      <c r="AA287" s="27">
        <f t="shared" si="269"/>
        <v>685.86344501658323</v>
      </c>
      <c r="AB287" s="27">
        <f t="shared" si="269"/>
        <v>482.56144427107415</v>
      </c>
      <c r="AC287" s="27">
        <f t="shared" si="269"/>
        <v>365.75719981426369</v>
      </c>
      <c r="AD287" s="27">
        <f t="shared" si="269"/>
        <v>308.68564789147536</v>
      </c>
      <c r="AE287" s="27">
        <f t="shared" si="269"/>
        <v>275.18359683877844</v>
      </c>
      <c r="AF287" s="27">
        <f t="shared" si="269"/>
        <v>257.74385995230523</v>
      </c>
      <c r="AG287" s="27"/>
      <c r="AH287" s="27"/>
    </row>
    <row r="288" spans="1:34" x14ac:dyDescent="0.25">
      <c r="B288" s="3">
        <f t="shared" ref="B288:AF288" si="270">$C18*EXP(-B$285/$A18/EXP(-$F$126))</f>
        <v>0.1866198959424932</v>
      </c>
      <c r="C288" s="3">
        <f t="shared" si="270"/>
        <v>0.14840485057457742</v>
      </c>
      <c r="D288" s="3">
        <f t="shared" si="270"/>
        <v>1.5008926348012631E-2</v>
      </c>
      <c r="E288" s="3">
        <f t="shared" si="270"/>
        <v>1.6802152841685802E-12</v>
      </c>
      <c r="F288" s="3">
        <f t="shared" si="270"/>
        <v>5.1941917293539631E-112</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5.4135576116324788E-2</v>
      </c>
      <c r="C289" s="3">
        <f t="shared" si="271"/>
        <v>5.4135572938964906E-2</v>
      </c>
      <c r="D289" s="3">
        <f t="shared" si="271"/>
        <v>5.413554116537634E-2</v>
      </c>
      <c r="E289" s="3">
        <f t="shared" si="271"/>
        <v>5.4135223430516355E-2</v>
      </c>
      <c r="F289" s="3">
        <f t="shared" si="271"/>
        <v>5.4132046184482273E-2</v>
      </c>
      <c r="G289" s="3">
        <f t="shared" si="271"/>
        <v>5.4100283978487762E-2</v>
      </c>
      <c r="H289" s="3">
        <f t="shared" si="271"/>
        <v>5.3783685129810202E-2</v>
      </c>
      <c r="I289" s="3">
        <f t="shared" si="271"/>
        <v>5.0717830189649274E-2</v>
      </c>
      <c r="J289" s="3">
        <f t="shared" si="271"/>
        <v>2.820082157618806E-2</v>
      </c>
      <c r="K289" s="3">
        <f t="shared" si="271"/>
        <v>7.9665945766499896E-5</v>
      </c>
      <c r="L289" s="3">
        <f t="shared" si="271"/>
        <v>2.5785898627717886E-30</v>
      </c>
      <c r="M289" s="3">
        <f t="shared" si="271"/>
        <v>3.2544516055081574E-285</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2.101502057646E-2</v>
      </c>
      <c r="C290" s="3">
        <f t="shared" si="272"/>
        <v>2.1015020465194618E-2</v>
      </c>
      <c r="D290" s="3">
        <f t="shared" si="272"/>
        <v>2.1015019352540822E-2</v>
      </c>
      <c r="E290" s="3">
        <f t="shared" si="272"/>
        <v>2.1015008226006094E-2</v>
      </c>
      <c r="F290" s="3">
        <f t="shared" si="272"/>
        <v>2.1014896960982805E-2</v>
      </c>
      <c r="G290" s="3">
        <f t="shared" si="272"/>
        <v>2.1013784343149832E-2</v>
      </c>
      <c r="H290" s="3">
        <f t="shared" si="272"/>
        <v>2.1002661404174606E-2</v>
      </c>
      <c r="I290" s="3">
        <f t="shared" si="272"/>
        <v>2.0891755316185215E-2</v>
      </c>
      <c r="J290" s="3">
        <f t="shared" si="272"/>
        <v>1.9814400137582403E-2</v>
      </c>
      <c r="K290" s="3">
        <f t="shared" si="272"/>
        <v>1.1669195386791282E-2</v>
      </c>
      <c r="L290" s="3">
        <f t="shared" si="272"/>
        <v>5.8565349318434068E-5</v>
      </c>
      <c r="M290" s="3">
        <f t="shared" si="272"/>
        <v>5.9379837086174966E-28</v>
      </c>
      <c r="N290" s="3">
        <f t="shared" si="272"/>
        <v>6.8174449367122835E-258</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4.0498121243394372E-2</v>
      </c>
      <c r="C291" s="3">
        <f t="shared" si="273"/>
        <v>4.0498121224051914E-2</v>
      </c>
      <c r="D291" s="3">
        <f t="shared" si="273"/>
        <v>4.0498121030627311E-2</v>
      </c>
      <c r="E291" s="3">
        <f t="shared" si="273"/>
        <v>4.0498119096381326E-2</v>
      </c>
      <c r="F291" s="3">
        <f t="shared" si="273"/>
        <v>4.0498099753926604E-2</v>
      </c>
      <c r="G291" s="3">
        <f t="shared" si="273"/>
        <v>4.0497906329887472E-2</v>
      </c>
      <c r="H291" s="3">
        <f t="shared" si="273"/>
        <v>4.0495972140305342E-2</v>
      </c>
      <c r="I291" s="3">
        <f t="shared" si="273"/>
        <v>4.0476635324510575E-2</v>
      </c>
      <c r="J291" s="3">
        <f t="shared" si="273"/>
        <v>4.02837742726255E-2</v>
      </c>
      <c r="K291" s="3">
        <f t="shared" si="273"/>
        <v>3.8404989550425192E-2</v>
      </c>
      <c r="L291" s="3">
        <f t="shared" si="273"/>
        <v>2.3821144658339177E-2</v>
      </c>
      <c r="M291" s="3">
        <f t="shared" si="273"/>
        <v>2.0077626837153496E-4</v>
      </c>
      <c r="N291" s="3">
        <f t="shared" si="273"/>
        <v>3.6325357351535757E-25</v>
      </c>
      <c r="O291" s="3">
        <f t="shared" si="273"/>
        <v>1.3651647549419076E-232</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3.8180364153110762E-2</v>
      </c>
      <c r="C292" s="3">
        <f t="shared" si="274"/>
        <v>3.8180364151465772E-2</v>
      </c>
      <c r="D292" s="3">
        <f t="shared" si="274"/>
        <v>3.8180364135015861E-2</v>
      </c>
      <c r="E292" s="3">
        <f t="shared" si="274"/>
        <v>3.8180363970516773E-2</v>
      </c>
      <c r="F292" s="3">
        <f t="shared" si="274"/>
        <v>3.8180362325525928E-2</v>
      </c>
      <c r="G292" s="3">
        <f t="shared" si="274"/>
        <v>3.8180345875621385E-2</v>
      </c>
      <c r="H292" s="3">
        <f t="shared" si="274"/>
        <v>3.8180181376965702E-2</v>
      </c>
      <c r="I292" s="3">
        <f t="shared" si="274"/>
        <v>3.8178536429388905E-2</v>
      </c>
      <c r="J292" s="3">
        <f t="shared" si="274"/>
        <v>3.8162090851000426E-2</v>
      </c>
      <c r="K292" s="3">
        <f t="shared" si="274"/>
        <v>3.7998024184483892E-2</v>
      </c>
      <c r="L292" s="3">
        <f t="shared" si="274"/>
        <v>3.6395656034301269E-2</v>
      </c>
      <c r="M292" s="3">
        <f t="shared" si="274"/>
        <v>2.3655652046481651E-2</v>
      </c>
      <c r="N292" s="3">
        <f t="shared" si="274"/>
        <v>3.1826482206474756E-4</v>
      </c>
      <c r="O292" s="3">
        <f t="shared" si="274"/>
        <v>6.1848018343821475E-23</v>
      </c>
      <c r="P292" s="3">
        <f t="shared" si="274"/>
        <v>4.750040302090725E-210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3.0339150850590905E-2</v>
      </c>
      <c r="C293" s="3">
        <f t="shared" si="275"/>
        <v>3.0339150850472993E-2</v>
      </c>
      <c r="D293" s="3">
        <f t="shared" si="275"/>
        <v>3.0339150849293828E-2</v>
      </c>
      <c r="E293" s="3">
        <f t="shared" si="275"/>
        <v>3.0339150837502209E-2</v>
      </c>
      <c r="F293" s="3">
        <f t="shared" si="275"/>
        <v>3.0339150719586021E-2</v>
      </c>
      <c r="G293" s="3">
        <f t="shared" si="275"/>
        <v>3.0339149540424135E-2</v>
      </c>
      <c r="H293" s="3">
        <f t="shared" si="275"/>
        <v>3.0339137748807816E-2</v>
      </c>
      <c r="I293" s="3">
        <f t="shared" si="275"/>
        <v>3.0339019832896681E-2</v>
      </c>
      <c r="J293" s="3">
        <f t="shared" si="275"/>
        <v>3.0337840698991064E-2</v>
      </c>
      <c r="K293" s="3">
        <f t="shared" si="275"/>
        <v>3.0326051880145088E-2</v>
      </c>
      <c r="L293" s="3">
        <f t="shared" si="275"/>
        <v>3.0208415350663594E-2</v>
      </c>
      <c r="M293" s="3">
        <f t="shared" si="275"/>
        <v>2.9056857788851094E-2</v>
      </c>
      <c r="N293" s="3">
        <f t="shared" si="275"/>
        <v>1.9699521917810461E-2</v>
      </c>
      <c r="O293" s="3">
        <f t="shared" si="275"/>
        <v>4.0413463624231594E-4</v>
      </c>
      <c r="P293" s="3">
        <f t="shared" si="275"/>
        <v>5.3361734679087403E-21</v>
      </c>
      <c r="Q293" s="3">
        <f t="shared" si="275"/>
        <v>8.5954496253463611E-190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2.9818488774256104E-2</v>
      </c>
      <c r="C294" s="3">
        <f t="shared" si="276"/>
        <v>2.9818488774245651E-2</v>
      </c>
      <c r="D294" s="3">
        <f t="shared" si="276"/>
        <v>2.9818488774141106E-2</v>
      </c>
      <c r="E294" s="3">
        <f t="shared" si="276"/>
        <v>2.9818488773095658E-2</v>
      </c>
      <c r="F294" s="3">
        <f t="shared" si="276"/>
        <v>2.9818488762641183E-2</v>
      </c>
      <c r="G294" s="3">
        <f t="shared" si="276"/>
        <v>2.9818488658096429E-2</v>
      </c>
      <c r="H294" s="3">
        <f t="shared" si="276"/>
        <v>2.9818487612648919E-2</v>
      </c>
      <c r="I294" s="3">
        <f t="shared" si="276"/>
        <v>2.9818477158175847E-2</v>
      </c>
      <c r="J294" s="3">
        <f t="shared" si="276"/>
        <v>2.9818372613646692E-2</v>
      </c>
      <c r="K294" s="3">
        <f t="shared" si="276"/>
        <v>2.9817327188514441E-2</v>
      </c>
      <c r="L294" s="3">
        <f t="shared" si="276"/>
        <v>2.9806874952859688E-2</v>
      </c>
      <c r="M294" s="3">
        <f t="shared" si="276"/>
        <v>2.9702553901852731E-2</v>
      </c>
      <c r="N294" s="3">
        <f t="shared" si="276"/>
        <v>2.86792152363648E-2</v>
      </c>
      <c r="O294" s="3">
        <f t="shared" si="276"/>
        <v>2.0197702452437231E-2</v>
      </c>
      <c r="P294" s="3">
        <f t="shared" si="276"/>
        <v>6.0624620986229828E-4</v>
      </c>
      <c r="Q294" s="3">
        <f t="shared" si="276"/>
        <v>3.5984850395592719E-19</v>
      </c>
      <c r="R294" s="3">
        <f t="shared" si="276"/>
        <v>1.9535581873975869E-171</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2.8586713902441486E-2</v>
      </c>
      <c r="C295" s="3">
        <f t="shared" si="277"/>
        <v>2.858671390244058E-2</v>
      </c>
      <c r="D295" s="3">
        <f t="shared" si="277"/>
        <v>2.8586713902431542E-2</v>
      </c>
      <c r="E295" s="3">
        <f t="shared" si="277"/>
        <v>2.8586713902341129E-2</v>
      </c>
      <c r="F295" s="3">
        <f t="shared" si="277"/>
        <v>2.8586713901437005E-2</v>
      </c>
      <c r="G295" s="3">
        <f t="shared" si="277"/>
        <v>2.8586713892395775E-2</v>
      </c>
      <c r="H295" s="3">
        <f t="shared" si="277"/>
        <v>2.8586713801983493E-2</v>
      </c>
      <c r="I295" s="3">
        <f t="shared" si="277"/>
        <v>2.8586712897860678E-2</v>
      </c>
      <c r="J295" s="3">
        <f t="shared" si="277"/>
        <v>2.8586703856634067E-2</v>
      </c>
      <c r="K295" s="3">
        <f t="shared" si="277"/>
        <v>2.8586613444525264E-2</v>
      </c>
      <c r="L295" s="3">
        <f t="shared" si="277"/>
        <v>2.8585709339164277E-2</v>
      </c>
      <c r="M295" s="3">
        <f t="shared" si="277"/>
        <v>2.8576669858076879E-2</v>
      </c>
      <c r="N295" s="3">
        <f t="shared" si="277"/>
        <v>2.8486432115588316E-2</v>
      </c>
      <c r="O295" s="3">
        <f t="shared" si="277"/>
        <v>2.7599579270365052E-2</v>
      </c>
      <c r="P295" s="3">
        <f t="shared" si="277"/>
        <v>2.0116225708238438E-2</v>
      </c>
      <c r="Q295" s="3">
        <f t="shared" si="277"/>
        <v>8.511123283510085E-4</v>
      </c>
      <c r="R295" s="3">
        <f t="shared" si="277"/>
        <v>1.5645544995272871E-17</v>
      </c>
      <c r="S295" s="3">
        <f t="shared" si="277"/>
        <v>6.8933263850465391E-155</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2.8589469167233983E-2</v>
      </c>
      <c r="C296" s="3">
        <f t="shared" si="278"/>
        <v>2.85894691672339E-2</v>
      </c>
      <c r="D296" s="3">
        <f t="shared" si="278"/>
        <v>2.8589469167233084E-2</v>
      </c>
      <c r="E296" s="3">
        <f t="shared" si="278"/>
        <v>2.8589469167224931E-2</v>
      </c>
      <c r="F296" s="3">
        <f t="shared" si="278"/>
        <v>2.8589469167143364E-2</v>
      </c>
      <c r="G296" s="3">
        <f t="shared" si="278"/>
        <v>2.8589469166327691E-2</v>
      </c>
      <c r="H296" s="3">
        <f t="shared" si="278"/>
        <v>2.8589469158170965E-2</v>
      </c>
      <c r="I296" s="3">
        <f t="shared" si="278"/>
        <v>2.8589469076603702E-2</v>
      </c>
      <c r="J296" s="3">
        <f t="shared" si="278"/>
        <v>2.8589468260931096E-2</v>
      </c>
      <c r="K296" s="3">
        <f t="shared" si="278"/>
        <v>2.858946010420629E-2</v>
      </c>
      <c r="L296" s="3">
        <f t="shared" si="278"/>
        <v>2.8589378537086246E-2</v>
      </c>
      <c r="M296" s="3">
        <f t="shared" si="278"/>
        <v>2.8588562878685036E-2</v>
      </c>
      <c r="N296" s="3">
        <f t="shared" si="278"/>
        <v>2.8580407574459146E-2</v>
      </c>
      <c r="O296" s="3">
        <f t="shared" si="278"/>
        <v>2.8498982375827698E-2</v>
      </c>
      <c r="P296" s="3">
        <f t="shared" si="278"/>
        <v>2.7697380820482002E-2</v>
      </c>
      <c r="Q296" s="3">
        <f t="shared" si="278"/>
        <v>2.0822467735019397E-2</v>
      </c>
      <c r="R296" s="3">
        <f t="shared" si="278"/>
        <v>1.2007902494517015E-3</v>
      </c>
      <c r="S296" s="3">
        <f t="shared" si="278"/>
        <v>4.8844616258820015E-16</v>
      </c>
      <c r="T296" s="3">
        <f t="shared" si="278"/>
        <v>6.057761830523923E-140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2.8115831969051441E-2</v>
      </c>
      <c r="C297" s="3">
        <f t="shared" si="279"/>
        <v>2.811583196905143E-2</v>
      </c>
      <c r="D297" s="3">
        <f t="shared" si="279"/>
        <v>2.8115831969051361E-2</v>
      </c>
      <c r="E297" s="3">
        <f t="shared" si="279"/>
        <v>2.8115831969050636E-2</v>
      </c>
      <c r="F297" s="3">
        <f t="shared" si="279"/>
        <v>2.8115831969043398E-2</v>
      </c>
      <c r="G297" s="3">
        <f t="shared" si="279"/>
        <v>2.811583196897104E-2</v>
      </c>
      <c r="H297" s="3">
        <f t="shared" si="279"/>
        <v>2.8115831968247424E-2</v>
      </c>
      <c r="I297" s="3">
        <f t="shared" si="279"/>
        <v>2.8115831961011278E-2</v>
      </c>
      <c r="J297" s="3">
        <f t="shared" si="279"/>
        <v>2.8115831888649818E-2</v>
      </c>
      <c r="K297" s="3">
        <f t="shared" si="279"/>
        <v>2.8115831165035222E-2</v>
      </c>
      <c r="L297" s="3">
        <f t="shared" si="279"/>
        <v>2.8115823928890307E-2</v>
      </c>
      <c r="M297" s="3">
        <f t="shared" si="279"/>
        <v>2.8115751567543559E-2</v>
      </c>
      <c r="N297" s="3">
        <f t="shared" si="279"/>
        <v>2.8115027964318966E-2</v>
      </c>
      <c r="O297" s="3">
        <f t="shared" si="279"/>
        <v>2.8107792956262839E-2</v>
      </c>
      <c r="P297" s="3">
        <f t="shared" si="279"/>
        <v>2.8035545197219E-2</v>
      </c>
      <c r="Q297" s="3">
        <f t="shared" si="279"/>
        <v>2.7323202988408714E-2</v>
      </c>
      <c r="R297" s="3">
        <f t="shared" si="279"/>
        <v>2.1123098950548452E-2</v>
      </c>
      <c r="S297" s="3">
        <f t="shared" si="279"/>
        <v>1.6107119566109518E-3</v>
      </c>
      <c r="T297" s="3">
        <f t="shared" si="279"/>
        <v>1.0705830746644055E-14</v>
      </c>
      <c r="U297" s="3">
        <f t="shared" si="279"/>
        <v>1.8015456823583735E-126</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3.3973946984022944E-2</v>
      </c>
      <c r="C298" s="3">
        <f t="shared" si="280"/>
        <v>3.3973946984022944E-2</v>
      </c>
      <c r="D298" s="3">
        <f t="shared" si="280"/>
        <v>3.3973946984022937E-2</v>
      </c>
      <c r="E298" s="3">
        <f t="shared" si="280"/>
        <v>3.3973946984022854E-2</v>
      </c>
      <c r="F298" s="3">
        <f t="shared" si="280"/>
        <v>3.397394698402207E-2</v>
      </c>
      <c r="G298" s="3">
        <f t="shared" si="280"/>
        <v>3.3973946984014181E-2</v>
      </c>
      <c r="H298" s="3">
        <f t="shared" si="280"/>
        <v>3.3973946983935306E-2</v>
      </c>
      <c r="I298" s="3">
        <f t="shared" si="280"/>
        <v>3.3973946983146534E-2</v>
      </c>
      <c r="J298" s="3">
        <f t="shared" si="280"/>
        <v>3.3973946975258865E-2</v>
      </c>
      <c r="K298" s="3">
        <f t="shared" si="280"/>
        <v>3.3973946896382119E-2</v>
      </c>
      <c r="L298" s="3">
        <f t="shared" si="280"/>
        <v>3.3973946107614679E-2</v>
      </c>
      <c r="M298" s="3">
        <f t="shared" si="280"/>
        <v>3.397393821994129E-2</v>
      </c>
      <c r="N298" s="3">
        <f t="shared" si="280"/>
        <v>3.3973859343308134E-2</v>
      </c>
      <c r="O298" s="3">
        <f t="shared" si="280"/>
        <v>3.3973070587048439E-2</v>
      </c>
      <c r="P298" s="3">
        <f t="shared" si="280"/>
        <v>3.3965184031552902E-2</v>
      </c>
      <c r="Q298" s="3">
        <f t="shared" si="280"/>
        <v>3.388641910027778E-2</v>
      </c>
      <c r="R298" s="3">
        <f t="shared" si="280"/>
        <v>3.3108746251687173E-2</v>
      </c>
      <c r="S298" s="3">
        <f t="shared" si="280"/>
        <v>2.6249033137804814E-2</v>
      </c>
      <c r="T298" s="3">
        <f t="shared" si="280"/>
        <v>2.5752480607694503E-3</v>
      </c>
      <c r="U298" s="3">
        <f t="shared" si="280"/>
        <v>2.1275346671402009E-13</v>
      </c>
      <c r="V298" s="3">
        <f t="shared" si="280"/>
        <v>3.1510290834969161E-114</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3.6313930353248758E-2</v>
      </c>
      <c r="C299" s="3">
        <f t="shared" si="281"/>
        <v>3.6313930353248758E-2</v>
      </c>
      <c r="D299" s="3">
        <f t="shared" si="281"/>
        <v>3.6313930353248758E-2</v>
      </c>
      <c r="E299" s="3">
        <f t="shared" si="281"/>
        <v>3.6313930353248751E-2</v>
      </c>
      <c r="F299" s="3">
        <f t="shared" si="281"/>
        <v>3.6313930353248675E-2</v>
      </c>
      <c r="G299" s="3">
        <f t="shared" si="281"/>
        <v>3.6313930353247911E-2</v>
      </c>
      <c r="H299" s="3">
        <f t="shared" si="281"/>
        <v>3.6313930353240306E-2</v>
      </c>
      <c r="I299" s="3">
        <f t="shared" si="281"/>
        <v>3.6313930353164256E-2</v>
      </c>
      <c r="J299" s="3">
        <f t="shared" si="281"/>
        <v>3.6313930352403712E-2</v>
      </c>
      <c r="K299" s="3">
        <f t="shared" si="281"/>
        <v>3.6313930344798295E-2</v>
      </c>
      <c r="L299" s="3">
        <f t="shared" si="281"/>
        <v>3.6313930268744167E-2</v>
      </c>
      <c r="M299" s="3">
        <f t="shared" si="281"/>
        <v>3.6313929508202836E-2</v>
      </c>
      <c r="N299" s="3">
        <f t="shared" si="281"/>
        <v>3.6313921902790453E-2</v>
      </c>
      <c r="O299" s="3">
        <f t="shared" si="281"/>
        <v>3.631384584875421E-2</v>
      </c>
      <c r="P299" s="3">
        <f t="shared" si="281"/>
        <v>3.631308531715232E-2</v>
      </c>
      <c r="Q299" s="3">
        <f t="shared" si="281"/>
        <v>3.6305480877120461E-2</v>
      </c>
      <c r="R299" s="3">
        <f t="shared" si="281"/>
        <v>3.6229524007663987E-2</v>
      </c>
      <c r="S299" s="3">
        <f t="shared" si="281"/>
        <v>3.5478640949073326E-2</v>
      </c>
      <c r="T299" s="3">
        <f t="shared" si="281"/>
        <v>2.8774676281170395E-2</v>
      </c>
      <c r="U299" s="3">
        <f t="shared" si="281"/>
        <v>3.5436037929860559E-3</v>
      </c>
      <c r="V299" s="3">
        <f t="shared" si="281"/>
        <v>2.843100894477224E-12</v>
      </c>
      <c r="W299" s="3">
        <f t="shared" si="281"/>
        <v>3.1424140875030198E-103</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4.1806327659667623E-2</v>
      </c>
      <c r="C300" s="3">
        <f t="shared" si="282"/>
        <v>4.1806327659667623E-2</v>
      </c>
      <c r="D300" s="3">
        <f t="shared" si="282"/>
        <v>4.1806327659667623E-2</v>
      </c>
      <c r="E300" s="3">
        <f t="shared" si="282"/>
        <v>4.1806327659667623E-2</v>
      </c>
      <c r="F300" s="3">
        <f t="shared" si="282"/>
        <v>4.1806327659667616E-2</v>
      </c>
      <c r="G300" s="3">
        <f t="shared" si="282"/>
        <v>4.1806327659667533E-2</v>
      </c>
      <c r="H300" s="3">
        <f t="shared" si="282"/>
        <v>4.1806327659666749E-2</v>
      </c>
      <c r="I300" s="3">
        <f t="shared" si="282"/>
        <v>4.1806327659658846E-2</v>
      </c>
      <c r="J300" s="3">
        <f t="shared" si="282"/>
        <v>4.180632765957986E-2</v>
      </c>
      <c r="K300" s="3">
        <f t="shared" si="282"/>
        <v>4.1806327658790027E-2</v>
      </c>
      <c r="L300" s="3">
        <f t="shared" si="282"/>
        <v>4.1806327650891643E-2</v>
      </c>
      <c r="M300" s="3">
        <f t="shared" si="282"/>
        <v>4.1806327571907817E-2</v>
      </c>
      <c r="N300" s="3">
        <f t="shared" si="282"/>
        <v>4.1806326782069546E-2</v>
      </c>
      <c r="O300" s="3">
        <f t="shared" si="282"/>
        <v>4.1806318883687667E-2</v>
      </c>
      <c r="P300" s="3">
        <f t="shared" si="282"/>
        <v>4.1806239899950928E-2</v>
      </c>
      <c r="Q300" s="3">
        <f t="shared" si="282"/>
        <v>4.1805450070790777E-2</v>
      </c>
      <c r="R300" s="3">
        <f t="shared" si="282"/>
        <v>4.1797552599849269E-2</v>
      </c>
      <c r="S300" s="3">
        <f t="shared" si="282"/>
        <v>4.1718659899101541E-2</v>
      </c>
      <c r="T300" s="3">
        <f t="shared" si="282"/>
        <v>4.0937876720125624E-2</v>
      </c>
      <c r="U300" s="3">
        <f t="shared" si="282"/>
        <v>3.3890264469174994E-2</v>
      </c>
      <c r="V300" s="3">
        <f t="shared" si="282"/>
        <v>5.1235549586769302E-3</v>
      </c>
      <c r="W300" s="3">
        <f t="shared" si="282"/>
        <v>3.1954778432993465E-11</v>
      </c>
      <c r="X300" s="3">
        <f t="shared" si="282"/>
        <v>2.8456397945941307E-93</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4.6977125912982913E-2</v>
      </c>
      <c r="C301" s="3">
        <f t="shared" si="283"/>
        <v>4.6977125912982913E-2</v>
      </c>
      <c r="D301" s="3">
        <f t="shared" si="283"/>
        <v>4.6977125912982913E-2</v>
      </c>
      <c r="E301" s="3">
        <f t="shared" si="283"/>
        <v>4.6977125912982913E-2</v>
      </c>
      <c r="F301" s="3">
        <f t="shared" si="283"/>
        <v>4.6977125912982913E-2</v>
      </c>
      <c r="G301" s="3">
        <f t="shared" si="283"/>
        <v>4.6977125912982899E-2</v>
      </c>
      <c r="H301" s="3">
        <f t="shared" si="283"/>
        <v>4.6977125912982823E-2</v>
      </c>
      <c r="I301" s="3">
        <f t="shared" si="283"/>
        <v>4.6977125912982018E-2</v>
      </c>
      <c r="J301" s="3">
        <f t="shared" si="283"/>
        <v>4.6977125912974017E-2</v>
      </c>
      <c r="K301" s="3">
        <f t="shared" si="283"/>
        <v>4.6977125912893949E-2</v>
      </c>
      <c r="L301" s="3">
        <f t="shared" si="283"/>
        <v>4.6977125912093333E-2</v>
      </c>
      <c r="M301" s="3">
        <f t="shared" si="283"/>
        <v>4.6977125904087078E-2</v>
      </c>
      <c r="N301" s="3">
        <f t="shared" si="283"/>
        <v>4.6977125824024565E-2</v>
      </c>
      <c r="O301" s="3">
        <f t="shared" si="283"/>
        <v>4.6977125023399499E-2</v>
      </c>
      <c r="P301" s="3">
        <f t="shared" si="283"/>
        <v>4.697711701714951E-2</v>
      </c>
      <c r="Q301" s="3">
        <f t="shared" si="283"/>
        <v>4.6977036954724688E-2</v>
      </c>
      <c r="R301" s="3">
        <f t="shared" si="283"/>
        <v>4.6976236337981155E-2</v>
      </c>
      <c r="S301" s="3">
        <f t="shared" si="283"/>
        <v>4.6968230920965477E-2</v>
      </c>
      <c r="T301" s="3">
        <f t="shared" si="283"/>
        <v>4.6888251745475451E-2</v>
      </c>
      <c r="U301" s="3">
        <f t="shared" si="283"/>
        <v>4.6095912381462718E-2</v>
      </c>
      <c r="V301" s="3">
        <f t="shared" si="283"/>
        <v>3.8872830843791562E-2</v>
      </c>
      <c r="W301" s="3">
        <f t="shared" si="283"/>
        <v>7.0710465955527661E-3</v>
      </c>
      <c r="X301" s="3">
        <f t="shared" si="283"/>
        <v>2.8045229937373671E-10</v>
      </c>
      <c r="Y301" s="3">
        <f t="shared" si="283"/>
        <v>2.7015441207992247E-84</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6.4330039712108877E-2</v>
      </c>
      <c r="C302" s="3">
        <f t="shared" si="284"/>
        <v>6.4330039712108877E-2</v>
      </c>
      <c r="D302" s="3">
        <f t="shared" si="284"/>
        <v>6.4330039712108877E-2</v>
      </c>
      <c r="E302" s="3">
        <f t="shared" si="284"/>
        <v>6.4330039712108877E-2</v>
      </c>
      <c r="F302" s="3">
        <f t="shared" si="284"/>
        <v>6.4330039712108877E-2</v>
      </c>
      <c r="G302" s="3">
        <f t="shared" si="284"/>
        <v>6.4330039712108877E-2</v>
      </c>
      <c r="H302" s="3">
        <f t="shared" si="284"/>
        <v>6.4330039712108864E-2</v>
      </c>
      <c r="I302" s="3">
        <f t="shared" si="284"/>
        <v>6.4330039712108766E-2</v>
      </c>
      <c r="J302" s="3">
        <f t="shared" si="284"/>
        <v>6.4330039712107781E-2</v>
      </c>
      <c r="K302" s="3">
        <f t="shared" si="284"/>
        <v>6.4330039712097886E-2</v>
      </c>
      <c r="L302" s="3">
        <f t="shared" si="284"/>
        <v>6.4330039711998993E-2</v>
      </c>
      <c r="M302" s="3">
        <f t="shared" si="284"/>
        <v>6.4330039711009965E-2</v>
      </c>
      <c r="N302" s="3">
        <f t="shared" si="284"/>
        <v>6.4330039701119807E-2</v>
      </c>
      <c r="O302" s="3">
        <f t="shared" si="284"/>
        <v>6.4330039602218253E-2</v>
      </c>
      <c r="P302" s="3">
        <f t="shared" si="284"/>
        <v>6.433003861320262E-2</v>
      </c>
      <c r="Q302" s="3">
        <f t="shared" si="284"/>
        <v>6.4330028723047161E-2</v>
      </c>
      <c r="R302" s="3">
        <f t="shared" si="284"/>
        <v>6.4329929821576148E-2</v>
      </c>
      <c r="S302" s="3">
        <f t="shared" si="284"/>
        <v>6.4328940815228844E-2</v>
      </c>
      <c r="T302" s="3">
        <f t="shared" si="284"/>
        <v>6.4319051587989728E-2</v>
      </c>
      <c r="U302" s="3">
        <f t="shared" si="284"/>
        <v>6.4220242891433937E-2</v>
      </c>
      <c r="V302" s="3">
        <f t="shared" si="284"/>
        <v>6.3240466162904296E-2</v>
      </c>
      <c r="W302" s="3">
        <f t="shared" si="284"/>
        <v>5.422833250275505E-2</v>
      </c>
      <c r="X302" s="3">
        <f t="shared" si="284"/>
        <v>1.1655693732296387E-2</v>
      </c>
      <c r="Y302" s="3">
        <f t="shared" si="284"/>
        <v>2.4527704052467058E-9</v>
      </c>
      <c r="Z302" s="3">
        <f t="shared" si="284"/>
        <v>4.1768088328745528E-76</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7.1283808515689162E-2</v>
      </c>
      <c r="C303" s="3">
        <f t="shared" si="285"/>
        <v>7.1283808515689162E-2</v>
      </c>
      <c r="D303" s="3">
        <f t="shared" si="285"/>
        <v>7.1283808515689162E-2</v>
      </c>
      <c r="E303" s="3">
        <f t="shared" si="285"/>
        <v>7.1283808515689162E-2</v>
      </c>
      <c r="F303" s="3">
        <f t="shared" si="285"/>
        <v>7.1283808515689162E-2</v>
      </c>
      <c r="G303" s="3">
        <f t="shared" si="285"/>
        <v>7.1283808515689162E-2</v>
      </c>
      <c r="H303" s="3">
        <f t="shared" si="285"/>
        <v>7.1283808515689162E-2</v>
      </c>
      <c r="I303" s="3">
        <f t="shared" si="285"/>
        <v>7.1283808515689148E-2</v>
      </c>
      <c r="J303" s="3">
        <f t="shared" si="285"/>
        <v>7.1283808515689051E-2</v>
      </c>
      <c r="K303" s="3">
        <f t="shared" si="285"/>
        <v>7.1283808515688066E-2</v>
      </c>
      <c r="L303" s="3">
        <f t="shared" si="285"/>
        <v>7.1283808515678171E-2</v>
      </c>
      <c r="M303" s="3">
        <f t="shared" si="285"/>
        <v>7.1283808515579319E-2</v>
      </c>
      <c r="N303" s="3">
        <f t="shared" si="285"/>
        <v>7.1283808514590707E-2</v>
      </c>
      <c r="O303" s="3">
        <f t="shared" si="285"/>
        <v>7.128380850470456E-2</v>
      </c>
      <c r="P303" s="3">
        <f t="shared" si="285"/>
        <v>7.1283808405843155E-2</v>
      </c>
      <c r="Q303" s="3">
        <f t="shared" si="285"/>
        <v>7.1283807417228992E-2</v>
      </c>
      <c r="R303" s="3">
        <f t="shared" si="285"/>
        <v>7.1283797531088253E-2</v>
      </c>
      <c r="S303" s="3">
        <f t="shared" si="285"/>
        <v>7.1283698669756299E-2</v>
      </c>
      <c r="T303" s="3">
        <f t="shared" si="285"/>
        <v>7.1282710063977586E-2</v>
      </c>
      <c r="U303" s="3">
        <f t="shared" si="285"/>
        <v>7.1272824760241368E-2</v>
      </c>
      <c r="V303" s="3">
        <f t="shared" si="285"/>
        <v>7.1174047089293868E-2</v>
      </c>
      <c r="W303" s="3">
        <f t="shared" si="285"/>
        <v>7.0193768490645223E-2</v>
      </c>
      <c r="X303" s="3">
        <f t="shared" si="285"/>
        <v>6.1103703782473213E-2</v>
      </c>
      <c r="Y303" s="3">
        <f t="shared" si="285"/>
        <v>1.5267126442266901E-2</v>
      </c>
      <c r="Z303" s="3">
        <f t="shared" si="285"/>
        <v>1.4476213182314528E-8</v>
      </c>
      <c r="AA303" s="3">
        <f t="shared" si="285"/>
        <v>8.5041643846051131E-69</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6.5008577665533668E-2</v>
      </c>
      <c r="C304" s="3">
        <f t="shared" si="286"/>
        <v>6.5008577665533668E-2</v>
      </c>
      <c r="D304" s="3">
        <f t="shared" si="286"/>
        <v>6.5008577665533668E-2</v>
      </c>
      <c r="E304" s="3">
        <f t="shared" si="286"/>
        <v>6.5008577665533668E-2</v>
      </c>
      <c r="F304" s="3">
        <f t="shared" si="286"/>
        <v>6.5008577665533668E-2</v>
      </c>
      <c r="G304" s="3">
        <f t="shared" si="286"/>
        <v>6.5008577665533668E-2</v>
      </c>
      <c r="H304" s="3">
        <f t="shared" si="286"/>
        <v>6.5008577665533668E-2</v>
      </c>
      <c r="I304" s="3">
        <f t="shared" si="286"/>
        <v>6.5008577665533668E-2</v>
      </c>
      <c r="J304" s="3">
        <f t="shared" si="286"/>
        <v>6.5008577665533654E-2</v>
      </c>
      <c r="K304" s="3">
        <f t="shared" si="286"/>
        <v>6.5008577665533571E-2</v>
      </c>
      <c r="L304" s="3">
        <f t="shared" si="286"/>
        <v>6.5008577665532766E-2</v>
      </c>
      <c r="M304" s="3">
        <f t="shared" si="286"/>
        <v>6.5008577665524633E-2</v>
      </c>
      <c r="N304" s="3">
        <f t="shared" si="286"/>
        <v>6.5008577665443296E-2</v>
      </c>
      <c r="O304" s="3">
        <f t="shared" si="286"/>
        <v>6.5008577664630002E-2</v>
      </c>
      <c r="P304" s="3">
        <f t="shared" si="286"/>
        <v>6.5008577656496952E-2</v>
      </c>
      <c r="Q304" s="3">
        <f t="shared" si="286"/>
        <v>6.5008577575166496E-2</v>
      </c>
      <c r="R304" s="3">
        <f t="shared" si="286"/>
        <v>6.5008576761861989E-2</v>
      </c>
      <c r="S304" s="3">
        <f t="shared" si="286"/>
        <v>6.5008568628817417E-2</v>
      </c>
      <c r="T304" s="3">
        <f t="shared" si="286"/>
        <v>6.5008487298427647E-2</v>
      </c>
      <c r="U304" s="3">
        <f t="shared" si="286"/>
        <v>6.500767400012622E-2</v>
      </c>
      <c r="V304" s="3">
        <f t="shared" si="286"/>
        <v>6.4999541576709813E-2</v>
      </c>
      <c r="W304" s="3">
        <f t="shared" si="286"/>
        <v>6.4918273276438745E-2</v>
      </c>
      <c r="X304" s="3">
        <f t="shared" si="286"/>
        <v>6.4111157857818707E-2</v>
      </c>
      <c r="Y304" s="3">
        <f t="shared" si="286"/>
        <v>5.6571829865825811E-2</v>
      </c>
      <c r="Z304" s="3">
        <f t="shared" si="286"/>
        <v>1.619072472045302E-2</v>
      </c>
      <c r="AA304" s="3">
        <f t="shared" si="286"/>
        <v>5.9693481808150974E-8</v>
      </c>
      <c r="AB304" s="3">
        <f t="shared" si="286"/>
        <v>2.7703403965331423E-62</v>
      </c>
      <c r="AC304" s="3">
        <f t="shared" si="286"/>
        <v>0</v>
      </c>
      <c r="AD304" s="3">
        <f t="shared" si="286"/>
        <v>0</v>
      </c>
      <c r="AE304" s="3">
        <f t="shared" si="286"/>
        <v>0</v>
      </c>
      <c r="AF304" s="3">
        <f t="shared" si="286"/>
        <v>0</v>
      </c>
      <c r="AG304" s="3"/>
      <c r="AH304" s="3"/>
    </row>
    <row r="305" spans="1:34" x14ac:dyDescent="0.25">
      <c r="B305" s="3">
        <f t="shared" ref="B305:AF305" si="287">$C35*EXP(-B$285/$A35/EXP(-$F$126))</f>
        <v>4.954350168244695E-2</v>
      </c>
      <c r="C305" s="3">
        <f t="shared" si="287"/>
        <v>4.954350168244695E-2</v>
      </c>
      <c r="D305" s="3">
        <f t="shared" si="287"/>
        <v>4.954350168244695E-2</v>
      </c>
      <c r="E305" s="3">
        <f t="shared" si="287"/>
        <v>4.954350168244695E-2</v>
      </c>
      <c r="F305" s="3">
        <f t="shared" si="287"/>
        <v>4.954350168244695E-2</v>
      </c>
      <c r="G305" s="3">
        <f t="shared" si="287"/>
        <v>4.954350168244695E-2</v>
      </c>
      <c r="H305" s="3">
        <f t="shared" si="287"/>
        <v>4.954350168244695E-2</v>
      </c>
      <c r="I305" s="3">
        <f t="shared" si="287"/>
        <v>4.954350168244695E-2</v>
      </c>
      <c r="J305" s="3">
        <f t="shared" si="287"/>
        <v>4.954350168244695E-2</v>
      </c>
      <c r="K305" s="3">
        <f t="shared" si="287"/>
        <v>4.9543501682446943E-2</v>
      </c>
      <c r="L305" s="3">
        <f t="shared" si="287"/>
        <v>4.9543501682446887E-2</v>
      </c>
      <c r="M305" s="3">
        <f t="shared" si="287"/>
        <v>4.9543501682446325E-2</v>
      </c>
      <c r="N305" s="3">
        <f t="shared" si="287"/>
        <v>4.954350168244074E-2</v>
      </c>
      <c r="O305" s="3">
        <f t="shared" si="287"/>
        <v>4.9543501682384819E-2</v>
      </c>
      <c r="P305" s="3">
        <f t="shared" si="287"/>
        <v>4.954350168182569E-2</v>
      </c>
      <c r="Q305" s="3">
        <f t="shared" si="287"/>
        <v>4.954350167623435E-2</v>
      </c>
      <c r="R305" s="3">
        <f t="shared" si="287"/>
        <v>4.9543501620320958E-2</v>
      </c>
      <c r="S305" s="3">
        <f t="shared" si="287"/>
        <v>4.9543501061187087E-2</v>
      </c>
      <c r="T305" s="3">
        <f t="shared" si="287"/>
        <v>4.9543495469848632E-2</v>
      </c>
      <c r="U305" s="3">
        <f t="shared" si="287"/>
        <v>4.9543439556498849E-2</v>
      </c>
      <c r="V305" s="3">
        <f t="shared" si="287"/>
        <v>4.9542880426471633E-2</v>
      </c>
      <c r="W305" s="3">
        <f t="shared" si="287"/>
        <v>4.9537289473245802E-2</v>
      </c>
      <c r="X305" s="3">
        <f t="shared" si="287"/>
        <v>4.9481414631133779E-2</v>
      </c>
      <c r="Y305" s="3">
        <f t="shared" si="287"/>
        <v>4.8926120782653057E-2</v>
      </c>
      <c r="Z305" s="3">
        <f t="shared" si="287"/>
        <v>4.3704639453347079E-2</v>
      </c>
      <c r="AA305" s="3">
        <f t="shared" si="287"/>
        <v>1.4138232814902686E-2</v>
      </c>
      <c r="AB305" s="3">
        <f t="shared" si="287"/>
        <v>1.7744795554219459E-7</v>
      </c>
      <c r="AC305" s="3">
        <f t="shared" si="287"/>
        <v>1.7211935534383516E-56</v>
      </c>
      <c r="AD305" s="3">
        <f t="shared" si="287"/>
        <v>0</v>
      </c>
      <c r="AE305" s="3">
        <f t="shared" si="287"/>
        <v>0</v>
      </c>
      <c r="AF305" s="3">
        <f t="shared" si="287"/>
        <v>0</v>
      </c>
      <c r="AG305" s="3"/>
      <c r="AH305" s="3"/>
    </row>
    <row r="306" spans="1:34" x14ac:dyDescent="0.25">
      <c r="B306" s="3">
        <f t="shared" ref="B306:AF306" si="288">$C36*EXP(-B$285/$A36/EXP(-$F$126))</f>
        <v>3.0281570029291476E-2</v>
      </c>
      <c r="C306" s="3">
        <f t="shared" si="288"/>
        <v>3.0281570029291476E-2</v>
      </c>
      <c r="D306" s="3">
        <f t="shared" si="288"/>
        <v>3.0281570029291476E-2</v>
      </c>
      <c r="E306" s="3">
        <f t="shared" si="288"/>
        <v>3.0281570029291476E-2</v>
      </c>
      <c r="F306" s="3">
        <f t="shared" si="288"/>
        <v>3.0281570029291476E-2</v>
      </c>
      <c r="G306" s="3">
        <f t="shared" si="288"/>
        <v>3.0281570029291476E-2</v>
      </c>
      <c r="H306" s="3">
        <f t="shared" si="288"/>
        <v>3.0281570029291476E-2</v>
      </c>
      <c r="I306" s="3">
        <f t="shared" si="288"/>
        <v>3.0281570029291476E-2</v>
      </c>
      <c r="J306" s="3">
        <f t="shared" si="288"/>
        <v>3.0281570029291476E-2</v>
      </c>
      <c r="K306" s="3">
        <f t="shared" si="288"/>
        <v>3.0281570029291476E-2</v>
      </c>
      <c r="L306" s="3">
        <f t="shared" si="288"/>
        <v>3.0281570029291473E-2</v>
      </c>
      <c r="M306" s="3">
        <f t="shared" si="288"/>
        <v>3.0281570029291442E-2</v>
      </c>
      <c r="N306" s="3">
        <f t="shared" si="288"/>
        <v>3.0281570029291133E-2</v>
      </c>
      <c r="O306" s="3">
        <f t="shared" si="288"/>
        <v>3.0281570029288052E-2</v>
      </c>
      <c r="P306" s="3">
        <f t="shared" si="288"/>
        <v>3.0281570029257222E-2</v>
      </c>
      <c r="Q306" s="3">
        <f t="shared" si="288"/>
        <v>3.0281570028948934E-2</v>
      </c>
      <c r="R306" s="3">
        <f t="shared" si="288"/>
        <v>3.0281570025866074E-2</v>
      </c>
      <c r="S306" s="3">
        <f t="shared" si="288"/>
        <v>3.0281569995037453E-2</v>
      </c>
      <c r="T306" s="3">
        <f t="shared" si="288"/>
        <v>3.0281569686751251E-2</v>
      </c>
      <c r="U306" s="3">
        <f t="shared" si="288"/>
        <v>3.0281566603889393E-2</v>
      </c>
      <c r="V306" s="3">
        <f t="shared" si="288"/>
        <v>3.0281535775288047E-2</v>
      </c>
      <c r="W306" s="3">
        <f t="shared" si="288"/>
        <v>3.0281227491000814E-2</v>
      </c>
      <c r="X306" s="3">
        <f t="shared" si="288"/>
        <v>3.0278144820741822E-2</v>
      </c>
      <c r="Y306" s="3">
        <f t="shared" si="288"/>
        <v>3.0247335372983689E-2</v>
      </c>
      <c r="Z306" s="3">
        <f t="shared" si="288"/>
        <v>2.9940959896620829E-2</v>
      </c>
      <c r="AA306" s="3">
        <f t="shared" si="288"/>
        <v>2.7042802624177433E-2</v>
      </c>
      <c r="AB306" s="3">
        <f t="shared" si="288"/>
        <v>9.7703807153935382E-3</v>
      </c>
      <c r="AC306" s="3">
        <f t="shared" si="288"/>
        <v>3.7026219526451754E-7</v>
      </c>
      <c r="AD306" s="3">
        <f t="shared" si="288"/>
        <v>2.2619771838655589E-51</v>
      </c>
      <c r="AE306" s="3">
        <f t="shared" si="288"/>
        <v>0</v>
      </c>
      <c r="AF306" s="3">
        <f t="shared" si="288"/>
        <v>0</v>
      </c>
      <c r="AG306" s="3"/>
      <c r="AH306" s="3"/>
    </row>
    <row r="307" spans="1:34" x14ac:dyDescent="0.25">
      <c r="B307" s="3">
        <f t="shared" ref="B307:AF307" si="289">$C37*EXP(-B$285/$A37/EXP(-$F$126))</f>
        <v>1.5838845962715554E-2</v>
      </c>
      <c r="C307" s="3">
        <f t="shared" si="289"/>
        <v>1.5838845962715554E-2</v>
      </c>
      <c r="D307" s="3">
        <f t="shared" si="289"/>
        <v>1.5838845962715554E-2</v>
      </c>
      <c r="E307" s="3">
        <f t="shared" si="289"/>
        <v>1.5838845962715554E-2</v>
      </c>
      <c r="F307" s="3">
        <f t="shared" si="289"/>
        <v>1.5838845962715554E-2</v>
      </c>
      <c r="G307" s="3">
        <f t="shared" si="289"/>
        <v>1.5838845962715554E-2</v>
      </c>
      <c r="H307" s="3">
        <f t="shared" si="289"/>
        <v>1.5838845962715554E-2</v>
      </c>
      <c r="I307" s="3">
        <f t="shared" si="289"/>
        <v>1.5838845962715554E-2</v>
      </c>
      <c r="J307" s="3">
        <f t="shared" si="289"/>
        <v>1.5838845962715554E-2</v>
      </c>
      <c r="K307" s="3">
        <f t="shared" si="289"/>
        <v>1.5838845962715554E-2</v>
      </c>
      <c r="L307" s="3">
        <f t="shared" si="289"/>
        <v>1.5838845962715554E-2</v>
      </c>
      <c r="M307" s="3">
        <f t="shared" si="289"/>
        <v>1.583884596271555E-2</v>
      </c>
      <c r="N307" s="3">
        <f t="shared" si="289"/>
        <v>1.5838845962715536E-2</v>
      </c>
      <c r="O307" s="3">
        <f t="shared" si="289"/>
        <v>1.5838845962715391E-2</v>
      </c>
      <c r="P307" s="3">
        <f t="shared" si="289"/>
        <v>1.5838845962713937E-2</v>
      </c>
      <c r="Q307" s="3">
        <f t="shared" si="289"/>
        <v>1.5838845962699393E-2</v>
      </c>
      <c r="R307" s="3">
        <f t="shared" si="289"/>
        <v>1.5838845962553933E-2</v>
      </c>
      <c r="S307" s="3">
        <f t="shared" si="289"/>
        <v>1.5838845961099322E-2</v>
      </c>
      <c r="T307" s="3">
        <f t="shared" si="289"/>
        <v>1.5838845946553246E-2</v>
      </c>
      <c r="U307" s="3">
        <f t="shared" si="289"/>
        <v>1.5838845801092499E-2</v>
      </c>
      <c r="V307" s="3">
        <f t="shared" si="289"/>
        <v>1.5838844346485054E-2</v>
      </c>
      <c r="W307" s="3">
        <f t="shared" si="289"/>
        <v>1.5838829800417984E-2</v>
      </c>
      <c r="X307" s="3">
        <f t="shared" si="289"/>
        <v>1.5838684340482006E-2</v>
      </c>
      <c r="Y307" s="3">
        <f t="shared" si="289"/>
        <v>1.5837229814592953E-2</v>
      </c>
      <c r="Z307" s="3">
        <f t="shared" si="289"/>
        <v>1.5822691900280576E-2</v>
      </c>
      <c r="AA307" s="3">
        <f t="shared" si="289"/>
        <v>1.5678044725395673E-2</v>
      </c>
      <c r="AB307" s="3">
        <f t="shared" si="289"/>
        <v>1.4302342492657202E-2</v>
      </c>
      <c r="AC307" s="3">
        <f t="shared" si="289"/>
        <v>5.7089983882800321E-3</v>
      </c>
      <c r="AD307" s="3">
        <f t="shared" si="289"/>
        <v>5.8625611714988032E-7</v>
      </c>
      <c r="AE307" s="3">
        <f t="shared" si="289"/>
        <v>7.6447283236657717E-47</v>
      </c>
      <c r="AF307" s="3">
        <f t="shared" si="289"/>
        <v>0</v>
      </c>
      <c r="AG307" s="3"/>
      <c r="AH307" s="3"/>
    </row>
    <row r="308" spans="1:34" x14ac:dyDescent="0.25">
      <c r="B308" s="3">
        <f t="shared" ref="B308:AF308" si="290">$C38*EXP(-B$285/$A38/EXP(-$F$126))</f>
        <v>5.1881409706128322E-3</v>
      </c>
      <c r="C308" s="3">
        <f t="shared" si="290"/>
        <v>5.1881409706128322E-3</v>
      </c>
      <c r="D308" s="3">
        <f t="shared" si="290"/>
        <v>5.1881409706128322E-3</v>
      </c>
      <c r="E308" s="3">
        <f t="shared" si="290"/>
        <v>5.1881409706128322E-3</v>
      </c>
      <c r="F308" s="3">
        <f t="shared" si="290"/>
        <v>5.1881409706128322E-3</v>
      </c>
      <c r="G308" s="3">
        <f t="shared" si="290"/>
        <v>5.1881409706128322E-3</v>
      </c>
      <c r="H308" s="3">
        <f t="shared" si="290"/>
        <v>5.1881409706128322E-3</v>
      </c>
      <c r="I308" s="3">
        <f t="shared" si="290"/>
        <v>5.1881409706128322E-3</v>
      </c>
      <c r="J308" s="3">
        <f t="shared" si="290"/>
        <v>5.1881409706128322E-3</v>
      </c>
      <c r="K308" s="3">
        <f t="shared" si="290"/>
        <v>5.1881409706128322E-3</v>
      </c>
      <c r="L308" s="3">
        <f t="shared" si="290"/>
        <v>5.1881409706128322E-3</v>
      </c>
      <c r="M308" s="3">
        <f t="shared" si="290"/>
        <v>5.1881409706128322E-3</v>
      </c>
      <c r="N308" s="3">
        <f t="shared" si="290"/>
        <v>5.1881409706128314E-3</v>
      </c>
      <c r="O308" s="3">
        <f t="shared" si="290"/>
        <v>5.1881409706128279E-3</v>
      </c>
      <c r="P308" s="3">
        <f t="shared" si="290"/>
        <v>5.1881409706127845E-3</v>
      </c>
      <c r="Q308" s="3">
        <f t="shared" si="290"/>
        <v>5.1881409706123543E-3</v>
      </c>
      <c r="R308" s="3">
        <f t="shared" si="290"/>
        <v>5.1881409706080565E-3</v>
      </c>
      <c r="S308" s="3">
        <f t="shared" si="290"/>
        <v>5.1881409705650753E-3</v>
      </c>
      <c r="T308" s="3">
        <f t="shared" si="290"/>
        <v>5.1881409701352611E-3</v>
      </c>
      <c r="U308" s="3">
        <f t="shared" si="290"/>
        <v>5.1881409658371203E-3</v>
      </c>
      <c r="V308" s="3">
        <f t="shared" si="290"/>
        <v>5.1881409228557111E-3</v>
      </c>
      <c r="W308" s="3">
        <f t="shared" si="290"/>
        <v>5.1881404930416378E-3</v>
      </c>
      <c r="X308" s="3">
        <f t="shared" si="290"/>
        <v>5.1881361949028633E-3</v>
      </c>
      <c r="Y308" s="3">
        <f t="shared" si="290"/>
        <v>5.1880932137109677E-3</v>
      </c>
      <c r="Z308" s="3">
        <f t="shared" si="290"/>
        <v>5.1876634213758339E-3</v>
      </c>
      <c r="AA308" s="3">
        <f t="shared" si="290"/>
        <v>5.1833674558064485E-3</v>
      </c>
      <c r="AB308" s="3">
        <f t="shared" si="290"/>
        <v>5.1406029795204606E-3</v>
      </c>
      <c r="AC308" s="3">
        <f t="shared" si="290"/>
        <v>4.7318909047270466E-3</v>
      </c>
      <c r="AD308" s="3">
        <f t="shared" si="290"/>
        <v>2.0665281229933501E-3</v>
      </c>
      <c r="AE308" s="3">
        <f t="shared" si="290"/>
        <v>5.2156361413097655E-7</v>
      </c>
      <c r="AF308" s="3">
        <f t="shared" si="290"/>
        <v>5.4697433367610881E-43</v>
      </c>
      <c r="AG308" s="3"/>
      <c r="AH308" s="3"/>
    </row>
    <row r="309" spans="1:34" x14ac:dyDescent="0.25">
      <c r="B309" s="3">
        <f t="shared" ref="B309:AF309" si="291">$C39*EXP(-B$285/$A39/EXP(-$F$126))</f>
        <v>3.8617191328215671E-3</v>
      </c>
      <c r="C309" s="3">
        <f t="shared" si="291"/>
        <v>3.8617191328215671E-3</v>
      </c>
      <c r="D309" s="3">
        <f t="shared" si="291"/>
        <v>3.8617191328215671E-3</v>
      </c>
      <c r="E309" s="3">
        <f t="shared" si="291"/>
        <v>3.8617191328215671E-3</v>
      </c>
      <c r="F309" s="3">
        <f t="shared" si="291"/>
        <v>3.8617191328215671E-3</v>
      </c>
      <c r="G309" s="3">
        <f t="shared" si="291"/>
        <v>3.8617191328215671E-3</v>
      </c>
      <c r="H309" s="3">
        <f t="shared" si="291"/>
        <v>3.8617191328215671E-3</v>
      </c>
      <c r="I309" s="3">
        <f t="shared" si="291"/>
        <v>3.8617191328215671E-3</v>
      </c>
      <c r="J309" s="3">
        <f t="shared" si="291"/>
        <v>3.8617191328215671E-3</v>
      </c>
      <c r="K309" s="3">
        <f t="shared" si="291"/>
        <v>3.8617191328215671E-3</v>
      </c>
      <c r="L309" s="3">
        <f t="shared" si="291"/>
        <v>3.8617191328215671E-3</v>
      </c>
      <c r="M309" s="3">
        <f t="shared" si="291"/>
        <v>3.8617191328215671E-3</v>
      </c>
      <c r="N309" s="3">
        <f t="shared" si="291"/>
        <v>3.8617191328215671E-3</v>
      </c>
      <c r="O309" s="3">
        <f t="shared" si="291"/>
        <v>3.8617191328215662E-3</v>
      </c>
      <c r="P309" s="3">
        <f t="shared" si="291"/>
        <v>3.8617191328215571E-3</v>
      </c>
      <c r="Q309" s="3">
        <f t="shared" si="291"/>
        <v>3.8617191328214691E-3</v>
      </c>
      <c r="R309" s="3">
        <f t="shared" si="291"/>
        <v>3.861719132820584E-3</v>
      </c>
      <c r="S309" s="3">
        <f t="shared" si="291"/>
        <v>3.8617191328117356E-3</v>
      </c>
      <c r="T309" s="3">
        <f t="shared" si="291"/>
        <v>3.8617191327232521E-3</v>
      </c>
      <c r="U309" s="3">
        <f t="shared" si="291"/>
        <v>3.8617191318384165E-3</v>
      </c>
      <c r="V309" s="3">
        <f t="shared" si="291"/>
        <v>3.8617191229900643E-3</v>
      </c>
      <c r="W309" s="3">
        <f t="shared" si="291"/>
        <v>3.8617190345065374E-3</v>
      </c>
      <c r="X309" s="3">
        <f t="shared" si="291"/>
        <v>3.86171814967138E-3</v>
      </c>
      <c r="Y309" s="3">
        <f t="shared" si="291"/>
        <v>3.8617093013309611E-3</v>
      </c>
      <c r="Z309" s="3">
        <f t="shared" si="291"/>
        <v>3.8616208190418405E-3</v>
      </c>
      <c r="AA309" s="3">
        <f t="shared" si="291"/>
        <v>3.8607361076483477E-3</v>
      </c>
      <c r="AB309" s="3">
        <f t="shared" si="291"/>
        <v>3.8519001340379271E-3</v>
      </c>
      <c r="AC309" s="3">
        <f t="shared" si="291"/>
        <v>3.7646450434392054E-3</v>
      </c>
      <c r="AD309" s="3">
        <f t="shared" si="291"/>
        <v>2.9937407387156576E-3</v>
      </c>
      <c r="AE309" s="3">
        <f t="shared" si="291"/>
        <v>3.0277200562152975E-4</v>
      </c>
      <c r="AF309" s="3">
        <f t="shared" si="291"/>
        <v>3.3894639740905179E-14</v>
      </c>
      <c r="AG309" s="3"/>
      <c r="AH309" s="3"/>
    </row>
    <row r="310" spans="1:34" x14ac:dyDescent="0.25">
      <c r="B310" s="3">
        <f t="shared" ref="B310:AF310" si="292">$C40*EXP(-B$285/$A40/EXP(-$F$126))</f>
        <v>3.0600017424879029E-3</v>
      </c>
      <c r="C310" s="3">
        <f t="shared" si="292"/>
        <v>3.0600017424879029E-3</v>
      </c>
      <c r="D310" s="3">
        <f t="shared" si="292"/>
        <v>3.0600017424879029E-3</v>
      </c>
      <c r="E310" s="3">
        <f t="shared" si="292"/>
        <v>3.0600017424879029E-3</v>
      </c>
      <c r="F310" s="3">
        <f t="shared" si="292"/>
        <v>3.0600017424879029E-3</v>
      </c>
      <c r="G310" s="3">
        <f t="shared" si="292"/>
        <v>3.0600017424879029E-3</v>
      </c>
      <c r="H310" s="3">
        <f t="shared" si="292"/>
        <v>3.0600017424879029E-3</v>
      </c>
      <c r="I310" s="3">
        <f t="shared" si="292"/>
        <v>3.0600017424879029E-3</v>
      </c>
      <c r="J310" s="3">
        <f t="shared" si="292"/>
        <v>3.0600017424879029E-3</v>
      </c>
      <c r="K310" s="3">
        <f t="shared" si="292"/>
        <v>3.0600017424879029E-3</v>
      </c>
      <c r="L310" s="3">
        <f t="shared" si="292"/>
        <v>3.0600017424879029E-3</v>
      </c>
      <c r="M310" s="3">
        <f t="shared" si="292"/>
        <v>3.0600017424879029E-3</v>
      </c>
      <c r="N310" s="3">
        <f t="shared" si="292"/>
        <v>3.0600017424879029E-3</v>
      </c>
      <c r="O310" s="3">
        <f t="shared" si="292"/>
        <v>3.0600017424879029E-3</v>
      </c>
      <c r="P310" s="3">
        <f t="shared" si="292"/>
        <v>3.060001742487902E-3</v>
      </c>
      <c r="Q310" s="3">
        <f t="shared" si="292"/>
        <v>3.0600017424878951E-3</v>
      </c>
      <c r="R310" s="3">
        <f t="shared" si="292"/>
        <v>3.0600017424878253E-3</v>
      </c>
      <c r="S310" s="3">
        <f t="shared" si="292"/>
        <v>3.060001742487124E-3</v>
      </c>
      <c r="T310" s="3">
        <f t="shared" si="292"/>
        <v>3.0600017424801127E-3</v>
      </c>
      <c r="U310" s="3">
        <f t="shared" si="292"/>
        <v>3.0600017424099986E-3</v>
      </c>
      <c r="V310" s="3">
        <f t="shared" si="292"/>
        <v>3.0600017417088607E-3</v>
      </c>
      <c r="W310" s="3">
        <f t="shared" si="292"/>
        <v>3.0600017346974822E-3</v>
      </c>
      <c r="X310" s="3">
        <f t="shared" si="292"/>
        <v>3.0600016645836968E-3</v>
      </c>
      <c r="Y310" s="3">
        <f t="shared" si="292"/>
        <v>3.0600009634459318E-3</v>
      </c>
      <c r="Z310" s="3">
        <f t="shared" si="292"/>
        <v>3.0599939520771164E-3</v>
      </c>
      <c r="AA310" s="3">
        <f t="shared" si="292"/>
        <v>3.0599238392725403E-3</v>
      </c>
      <c r="AB310" s="3">
        <f t="shared" si="292"/>
        <v>3.0592227995768573E-3</v>
      </c>
      <c r="AC310" s="3">
        <f t="shared" si="292"/>
        <v>3.0522212301424927E-3</v>
      </c>
      <c r="AD310" s="3">
        <f t="shared" si="292"/>
        <v>2.9830808498896326E-3</v>
      </c>
      <c r="AE310" s="3">
        <f t="shared" si="292"/>
        <v>2.3722211693664921E-3</v>
      </c>
      <c r="AF310" s="3">
        <f t="shared" si="292"/>
        <v>2.3991461649918152E-4</v>
      </c>
      <c r="AG310" s="3"/>
      <c r="AH310" s="3"/>
    </row>
    <row r="311" spans="1:34" x14ac:dyDescent="0.25">
      <c r="B311" s="3">
        <f t="shared" ref="B311:AF311" si="293">$C41*EXP(-B$285/$A41/EXP(-$F$126))</f>
        <v>1.8593150246318942E-3</v>
      </c>
      <c r="C311" s="3">
        <f t="shared" si="293"/>
        <v>1.8593150246318942E-3</v>
      </c>
      <c r="D311" s="3">
        <f t="shared" si="293"/>
        <v>1.8593150246318942E-3</v>
      </c>
      <c r="E311" s="3">
        <f t="shared" si="293"/>
        <v>1.8593150246318942E-3</v>
      </c>
      <c r="F311" s="3">
        <f t="shared" si="293"/>
        <v>1.8593150246318942E-3</v>
      </c>
      <c r="G311" s="3">
        <f t="shared" si="293"/>
        <v>1.8593150246318942E-3</v>
      </c>
      <c r="H311" s="3">
        <f t="shared" si="293"/>
        <v>1.8593150246318942E-3</v>
      </c>
      <c r="I311" s="3">
        <f t="shared" si="293"/>
        <v>1.8593150246318942E-3</v>
      </c>
      <c r="J311" s="3">
        <f t="shared" si="293"/>
        <v>1.8593150246318942E-3</v>
      </c>
      <c r="K311" s="3">
        <f t="shared" si="293"/>
        <v>1.8593150246318942E-3</v>
      </c>
      <c r="L311" s="3">
        <f t="shared" si="293"/>
        <v>1.8593150246318942E-3</v>
      </c>
      <c r="M311" s="3">
        <f t="shared" si="293"/>
        <v>1.8593150246318942E-3</v>
      </c>
      <c r="N311" s="3">
        <f t="shared" si="293"/>
        <v>1.8593150246318942E-3</v>
      </c>
      <c r="O311" s="3">
        <f t="shared" si="293"/>
        <v>1.8593150246318942E-3</v>
      </c>
      <c r="P311" s="3">
        <f t="shared" si="293"/>
        <v>1.8593150246318942E-3</v>
      </c>
      <c r="Q311" s="3">
        <f t="shared" si="293"/>
        <v>1.8593150246318938E-3</v>
      </c>
      <c r="R311" s="3">
        <f t="shared" si="293"/>
        <v>1.8593150246318895E-3</v>
      </c>
      <c r="S311" s="3">
        <f t="shared" si="293"/>
        <v>1.859315024631847E-3</v>
      </c>
      <c r="T311" s="3">
        <f t="shared" si="293"/>
        <v>1.8593150246314209E-3</v>
      </c>
      <c r="U311" s="3">
        <f t="shared" si="293"/>
        <v>1.8593150246271606E-3</v>
      </c>
      <c r="V311" s="3">
        <f t="shared" si="293"/>
        <v>1.8593150245845582E-3</v>
      </c>
      <c r="W311" s="3">
        <f t="shared" si="293"/>
        <v>1.8593150241585335E-3</v>
      </c>
      <c r="X311" s="3">
        <f t="shared" si="293"/>
        <v>1.8593150198982871E-3</v>
      </c>
      <c r="Y311" s="3">
        <f t="shared" si="293"/>
        <v>1.859314977295823E-3</v>
      </c>
      <c r="Z311" s="3">
        <f t="shared" si="293"/>
        <v>1.859314551271235E-3</v>
      </c>
      <c r="AA311" s="3">
        <f t="shared" si="293"/>
        <v>1.8593102910307261E-3</v>
      </c>
      <c r="AB311" s="3">
        <f t="shared" si="293"/>
        <v>1.8592676891625122E-3</v>
      </c>
      <c r="AC311" s="3">
        <f t="shared" si="293"/>
        <v>1.8588417241635553E-3</v>
      </c>
      <c r="AD311" s="3">
        <f t="shared" si="293"/>
        <v>1.8545874379438574E-3</v>
      </c>
      <c r="AE311" s="3">
        <f t="shared" si="293"/>
        <v>1.8125764331695968E-3</v>
      </c>
      <c r="AF311" s="3">
        <f t="shared" si="293"/>
        <v>1.4414065197122668E-3</v>
      </c>
      <c r="AG311" s="3"/>
      <c r="AH311" s="3"/>
    </row>
    <row r="312" spans="1:34" x14ac:dyDescent="0.25">
      <c r="B312" s="3">
        <f t="shared" ref="B312:AF312" si="294">$C42*EXP(-B$285/$A42/EXP(-$F$126))</f>
        <v>1.0289911498978865E-4</v>
      </c>
      <c r="C312" s="3">
        <f t="shared" si="294"/>
        <v>1.0289911498978865E-4</v>
      </c>
      <c r="D312" s="3">
        <f t="shared" si="294"/>
        <v>1.0289911498978865E-4</v>
      </c>
      <c r="E312" s="3">
        <f t="shared" si="294"/>
        <v>1.0289911498978865E-4</v>
      </c>
      <c r="F312" s="3">
        <f t="shared" si="294"/>
        <v>1.0289911498978865E-4</v>
      </c>
      <c r="G312" s="3">
        <f t="shared" si="294"/>
        <v>1.0289911498978865E-4</v>
      </c>
      <c r="H312" s="3">
        <f t="shared" si="294"/>
        <v>1.0289911498978865E-4</v>
      </c>
      <c r="I312" s="3">
        <f t="shared" si="294"/>
        <v>1.0289911498978865E-4</v>
      </c>
      <c r="J312" s="3">
        <f t="shared" si="294"/>
        <v>1.0289911498978865E-4</v>
      </c>
      <c r="K312" s="3">
        <f t="shared" si="294"/>
        <v>1.0289911498978865E-4</v>
      </c>
      <c r="L312" s="3">
        <f t="shared" si="294"/>
        <v>1.0289911498978865E-4</v>
      </c>
      <c r="M312" s="3">
        <f t="shared" si="294"/>
        <v>1.0289911498978865E-4</v>
      </c>
      <c r="N312" s="3">
        <f t="shared" si="294"/>
        <v>1.0289911498978865E-4</v>
      </c>
      <c r="O312" s="3">
        <f t="shared" si="294"/>
        <v>1.0289911498978865E-4</v>
      </c>
      <c r="P312" s="3">
        <f t="shared" si="294"/>
        <v>1.0289911498978865E-4</v>
      </c>
      <c r="Q312" s="3">
        <f t="shared" si="294"/>
        <v>1.0289911498978865E-4</v>
      </c>
      <c r="R312" s="3">
        <f t="shared" si="294"/>
        <v>1.0289911498978862E-4</v>
      </c>
      <c r="S312" s="3">
        <f t="shared" si="294"/>
        <v>1.0289911498978839E-4</v>
      </c>
      <c r="T312" s="3">
        <f t="shared" si="294"/>
        <v>1.0289911498978604E-4</v>
      </c>
      <c r="U312" s="3">
        <f t="shared" si="294"/>
        <v>1.0289911498976245E-4</v>
      </c>
      <c r="V312" s="3">
        <f t="shared" si="294"/>
        <v>1.0289911498952668E-4</v>
      </c>
      <c r="W312" s="3">
        <f t="shared" si="294"/>
        <v>1.0289911498716896E-4</v>
      </c>
      <c r="X312" s="3">
        <f t="shared" si="294"/>
        <v>1.0289911496359168E-4</v>
      </c>
      <c r="Y312" s="3">
        <f t="shared" si="294"/>
        <v>1.0289911472781907E-4</v>
      </c>
      <c r="Z312" s="3">
        <f t="shared" si="294"/>
        <v>1.0289911237009281E-4</v>
      </c>
      <c r="AA312" s="3">
        <f t="shared" si="294"/>
        <v>1.0289908879283319E-4</v>
      </c>
      <c r="AB312" s="3">
        <f t="shared" si="294"/>
        <v>1.0289885302053412E-4</v>
      </c>
      <c r="AC312" s="3">
        <f t="shared" si="294"/>
        <v>1.0289649532725566E-4</v>
      </c>
      <c r="AD312" s="3">
        <f t="shared" si="294"/>
        <v>1.0287292136543176E-4</v>
      </c>
      <c r="AE312" s="3">
        <f t="shared" si="294"/>
        <v>1.0263747859154957E-4</v>
      </c>
      <c r="AF312" s="3">
        <f t="shared" si="294"/>
        <v>1.0031248516448949E-4</v>
      </c>
      <c r="AG312" s="3"/>
      <c r="AH312" s="3"/>
    </row>
    <row r="313" spans="1:34" x14ac:dyDescent="0.25">
      <c r="B313" s="3">
        <f t="shared" ref="B313:AF313" si="295">$C43*EXP(-B$285/$A43/EXP(-$F$126))</f>
        <v>3.4301074619822757E-3</v>
      </c>
      <c r="C313" s="3">
        <f t="shared" si="295"/>
        <v>3.4301074619822757E-3</v>
      </c>
      <c r="D313" s="3">
        <f t="shared" si="295"/>
        <v>3.4301074619822757E-3</v>
      </c>
      <c r="E313" s="3">
        <f t="shared" si="295"/>
        <v>3.4301074619822757E-3</v>
      </c>
      <c r="F313" s="3">
        <f t="shared" si="295"/>
        <v>3.4301074619822757E-3</v>
      </c>
      <c r="G313" s="3">
        <f t="shared" si="295"/>
        <v>3.4301074619822757E-3</v>
      </c>
      <c r="H313" s="3">
        <f t="shared" si="295"/>
        <v>3.4301074619822757E-3</v>
      </c>
      <c r="I313" s="3">
        <f t="shared" si="295"/>
        <v>3.4301074619822757E-3</v>
      </c>
      <c r="J313" s="3">
        <f t="shared" si="295"/>
        <v>3.4301074619822757E-3</v>
      </c>
      <c r="K313" s="3">
        <f t="shared" si="295"/>
        <v>3.4301074619822757E-3</v>
      </c>
      <c r="L313" s="3">
        <f t="shared" si="295"/>
        <v>3.4301074619822757E-3</v>
      </c>
      <c r="M313" s="3">
        <f t="shared" si="295"/>
        <v>3.4301074619822757E-3</v>
      </c>
      <c r="N313" s="3">
        <f t="shared" si="295"/>
        <v>3.4301074619822757E-3</v>
      </c>
      <c r="O313" s="3">
        <f t="shared" si="295"/>
        <v>3.4301074619822757E-3</v>
      </c>
      <c r="P313" s="3">
        <f t="shared" si="295"/>
        <v>3.4301074619822757E-3</v>
      </c>
      <c r="Q313" s="3">
        <f t="shared" si="295"/>
        <v>3.4301074619822757E-3</v>
      </c>
      <c r="R313" s="3">
        <f t="shared" si="295"/>
        <v>3.4301074619822757E-3</v>
      </c>
      <c r="S313" s="3">
        <f t="shared" si="295"/>
        <v>3.4301074619822749E-3</v>
      </c>
      <c r="T313" s="3">
        <f t="shared" si="295"/>
        <v>3.4301074619822671E-3</v>
      </c>
      <c r="U313" s="3">
        <f t="shared" si="295"/>
        <v>3.4301074619821886E-3</v>
      </c>
      <c r="V313" s="3">
        <f t="shared" si="295"/>
        <v>3.4301074619814023E-3</v>
      </c>
      <c r="W313" s="3">
        <f t="shared" si="295"/>
        <v>3.4301074619735431E-3</v>
      </c>
      <c r="X313" s="3">
        <f t="shared" si="295"/>
        <v>3.4301074618949493E-3</v>
      </c>
      <c r="Y313" s="3">
        <f t="shared" si="295"/>
        <v>3.430107461109009E-3</v>
      </c>
      <c r="Z313" s="3">
        <f t="shared" si="295"/>
        <v>3.4301074532496075E-3</v>
      </c>
      <c r="AA313" s="3">
        <f t="shared" si="295"/>
        <v>3.4301073746555938E-3</v>
      </c>
      <c r="AB313" s="3">
        <f t="shared" si="295"/>
        <v>3.4301065887155577E-3</v>
      </c>
      <c r="AC313" s="3">
        <f t="shared" si="295"/>
        <v>3.4300987293251015E-3</v>
      </c>
      <c r="AD313" s="3">
        <f t="shared" si="295"/>
        <v>3.4300201364109804E-3</v>
      </c>
      <c r="AE313" s="3">
        <f t="shared" si="295"/>
        <v>3.4292343063057487E-3</v>
      </c>
      <c r="AF313" s="3">
        <f t="shared" si="295"/>
        <v>3.4213859004604387E-3</v>
      </c>
      <c r="AG313" s="3"/>
      <c r="AH313" s="3"/>
    </row>
    <row r="314" spans="1:34" x14ac:dyDescent="0.25">
      <c r="B314" s="3">
        <f t="shared" ref="B314:AF314" si="296">$C44*EXP(-B$285/$A44/EXP(-$F$126))</f>
        <v>1.0099566360327609E-4</v>
      </c>
      <c r="C314" s="3">
        <f t="shared" si="296"/>
        <v>1.0099566360327609E-4</v>
      </c>
      <c r="D314" s="3">
        <f t="shared" si="296"/>
        <v>1.0099566360327609E-4</v>
      </c>
      <c r="E314" s="3">
        <f t="shared" si="296"/>
        <v>1.0099566360327609E-4</v>
      </c>
      <c r="F314" s="3">
        <f t="shared" si="296"/>
        <v>1.0099566360327609E-4</v>
      </c>
      <c r="G314" s="3">
        <f t="shared" si="296"/>
        <v>1.0099566360327609E-4</v>
      </c>
      <c r="H314" s="3">
        <f t="shared" si="296"/>
        <v>1.0099566360327609E-4</v>
      </c>
      <c r="I314" s="3">
        <f t="shared" si="296"/>
        <v>1.0099566360327609E-4</v>
      </c>
      <c r="J314" s="3">
        <f t="shared" si="296"/>
        <v>1.0099566360327609E-4</v>
      </c>
      <c r="K314" s="3">
        <f t="shared" si="296"/>
        <v>1.0099566360327609E-4</v>
      </c>
      <c r="L314" s="3">
        <f t="shared" si="296"/>
        <v>1.0099566360327609E-4</v>
      </c>
      <c r="M314" s="3">
        <f t="shared" si="296"/>
        <v>1.0099566360327609E-4</v>
      </c>
      <c r="N314" s="3">
        <f t="shared" si="296"/>
        <v>1.0099566360327609E-4</v>
      </c>
      <c r="O314" s="3">
        <f t="shared" si="296"/>
        <v>1.0099566360327609E-4</v>
      </c>
      <c r="P314" s="3">
        <f t="shared" si="296"/>
        <v>1.0099566360327609E-4</v>
      </c>
      <c r="Q314" s="3">
        <f t="shared" si="296"/>
        <v>1.0099566360327609E-4</v>
      </c>
      <c r="R314" s="3">
        <f t="shared" si="296"/>
        <v>1.0099566360327609E-4</v>
      </c>
      <c r="S314" s="3">
        <f t="shared" si="296"/>
        <v>1.0099566360327609E-4</v>
      </c>
      <c r="T314" s="3">
        <f t="shared" si="296"/>
        <v>1.0099566360327607E-4</v>
      </c>
      <c r="U314" s="3">
        <f t="shared" si="296"/>
        <v>1.0099566360327584E-4</v>
      </c>
      <c r="V314" s="3">
        <f t="shared" si="296"/>
        <v>1.0099566360327353E-4</v>
      </c>
      <c r="W314" s="3">
        <f t="shared" si="296"/>
        <v>1.0099566360325039E-4</v>
      </c>
      <c r="X314" s="3">
        <f t="shared" si="296"/>
        <v>1.0099566360301898E-4</v>
      </c>
      <c r="Y314" s="3">
        <f t="shared" si="296"/>
        <v>1.0099566360070485E-4</v>
      </c>
      <c r="Z314" s="3">
        <f t="shared" si="296"/>
        <v>1.0099566357756372E-4</v>
      </c>
      <c r="AA314" s="3">
        <f t="shared" si="296"/>
        <v>1.0099566334615248E-4</v>
      </c>
      <c r="AB314" s="3">
        <f t="shared" si="296"/>
        <v>1.0099566103203998E-4</v>
      </c>
      <c r="AC314" s="3">
        <f t="shared" si="296"/>
        <v>1.0099563789091791E-4</v>
      </c>
      <c r="AD314" s="3">
        <f t="shared" si="296"/>
        <v>1.0099540647998882E-4</v>
      </c>
      <c r="AE314" s="3">
        <f t="shared" si="296"/>
        <v>1.0099309239986039E-4</v>
      </c>
      <c r="AF314" s="3">
        <f t="shared" si="296"/>
        <v>1.0096995451457925E-4</v>
      </c>
      <c r="AG314" s="3"/>
      <c r="AH314" s="3"/>
    </row>
    <row r="315" spans="1:34" x14ac:dyDescent="0.25">
      <c r="B315" s="3">
        <f t="shared" ref="B315:AF315" si="297">$C45*EXP(-B$285/$A45/EXP(-$F$126))</f>
        <v>2.8535751866135694E-4</v>
      </c>
      <c r="C315" s="3">
        <f t="shared" si="297"/>
        <v>2.8535751866135694E-4</v>
      </c>
      <c r="D315" s="3">
        <f t="shared" si="297"/>
        <v>2.8535751866135694E-4</v>
      </c>
      <c r="E315" s="3">
        <f t="shared" si="297"/>
        <v>2.8535751866135694E-4</v>
      </c>
      <c r="F315" s="3">
        <f t="shared" si="297"/>
        <v>2.8535751866135694E-4</v>
      </c>
      <c r="G315" s="3">
        <f t="shared" si="297"/>
        <v>2.8535751866135694E-4</v>
      </c>
      <c r="H315" s="3">
        <f t="shared" si="297"/>
        <v>2.8535751866135694E-4</v>
      </c>
      <c r="I315" s="3">
        <f t="shared" si="297"/>
        <v>2.8535751866135694E-4</v>
      </c>
      <c r="J315" s="3">
        <f t="shared" si="297"/>
        <v>2.8535751866135694E-4</v>
      </c>
      <c r="K315" s="3">
        <f t="shared" si="297"/>
        <v>2.8535751866135694E-4</v>
      </c>
      <c r="L315" s="3">
        <f t="shared" si="297"/>
        <v>2.8535751866135694E-4</v>
      </c>
      <c r="M315" s="3">
        <f t="shared" si="297"/>
        <v>2.8535751866135694E-4</v>
      </c>
      <c r="N315" s="3">
        <f t="shared" si="297"/>
        <v>2.8535751866135694E-4</v>
      </c>
      <c r="O315" s="3">
        <f t="shared" si="297"/>
        <v>2.8535751866135694E-4</v>
      </c>
      <c r="P315" s="3">
        <f t="shared" si="297"/>
        <v>2.8535751866135694E-4</v>
      </c>
      <c r="Q315" s="3">
        <f t="shared" si="297"/>
        <v>2.8535751866135694E-4</v>
      </c>
      <c r="R315" s="3">
        <f t="shared" si="297"/>
        <v>2.8535751866135694E-4</v>
      </c>
      <c r="S315" s="3">
        <f t="shared" si="297"/>
        <v>2.8535751866135694E-4</v>
      </c>
      <c r="T315" s="3">
        <f t="shared" si="297"/>
        <v>2.8535751866135694E-4</v>
      </c>
      <c r="U315" s="3">
        <f t="shared" si="297"/>
        <v>2.8535751866135689E-4</v>
      </c>
      <c r="V315" s="3">
        <f t="shared" si="297"/>
        <v>2.8535751866135624E-4</v>
      </c>
      <c r="W315" s="3">
        <f t="shared" si="297"/>
        <v>2.8535751866134968E-4</v>
      </c>
      <c r="X315" s="3">
        <f t="shared" si="297"/>
        <v>2.853575186612843E-4</v>
      </c>
      <c r="Y315" s="3">
        <f t="shared" si="297"/>
        <v>2.8535751866063047E-4</v>
      </c>
      <c r="Z315" s="3">
        <f t="shared" si="297"/>
        <v>2.8535751865409209E-4</v>
      </c>
      <c r="AA315" s="3">
        <f t="shared" si="297"/>
        <v>2.8535751858870813E-4</v>
      </c>
      <c r="AB315" s="3">
        <f t="shared" si="297"/>
        <v>2.8535751793486879E-4</v>
      </c>
      <c r="AC315" s="3">
        <f t="shared" si="297"/>
        <v>2.8535751139647516E-4</v>
      </c>
      <c r="AD315" s="3">
        <f t="shared" si="297"/>
        <v>2.853574460125474E-4</v>
      </c>
      <c r="AE315" s="3">
        <f t="shared" si="297"/>
        <v>2.8535679217409375E-4</v>
      </c>
      <c r="AF315" s="3">
        <f t="shared" si="297"/>
        <v>2.8535025387195408E-4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1.5499334140859142E-4</v>
      </c>
      <c r="C318" s="3">
        <f t="shared" si="300"/>
        <v>1.5499334140859142E-4</v>
      </c>
      <c r="D318" s="3">
        <f t="shared" si="300"/>
        <v>1.5499334140859142E-4</v>
      </c>
      <c r="E318" s="3">
        <f t="shared" si="300"/>
        <v>1.5499334140859142E-4</v>
      </c>
      <c r="F318" s="3">
        <f t="shared" si="300"/>
        <v>1.5499334140859142E-4</v>
      </c>
      <c r="G318" s="3">
        <f t="shared" si="300"/>
        <v>1.5499334140859142E-4</v>
      </c>
      <c r="H318" s="3">
        <f t="shared" si="300"/>
        <v>1.5499334140859142E-4</v>
      </c>
      <c r="I318" s="3">
        <f t="shared" si="300"/>
        <v>1.5499334140859142E-4</v>
      </c>
      <c r="J318" s="3">
        <f t="shared" si="300"/>
        <v>1.5499334140859142E-4</v>
      </c>
      <c r="K318" s="3">
        <f t="shared" si="300"/>
        <v>1.5499334140859142E-4</v>
      </c>
      <c r="L318" s="3">
        <f t="shared" si="300"/>
        <v>1.5499334140859142E-4</v>
      </c>
      <c r="M318" s="3">
        <f t="shared" si="300"/>
        <v>1.5499334140859142E-4</v>
      </c>
      <c r="N318" s="3">
        <f t="shared" si="300"/>
        <v>1.5499334140859142E-4</v>
      </c>
      <c r="O318" s="3">
        <f t="shared" si="300"/>
        <v>1.5499334140859142E-4</v>
      </c>
      <c r="P318" s="3">
        <f t="shared" si="300"/>
        <v>1.5499334140859142E-4</v>
      </c>
      <c r="Q318" s="3">
        <f t="shared" si="300"/>
        <v>1.5499334140859142E-4</v>
      </c>
      <c r="R318" s="3">
        <f t="shared" si="300"/>
        <v>1.5499334140859142E-4</v>
      </c>
      <c r="S318" s="3">
        <f t="shared" si="300"/>
        <v>1.5499334140859142E-4</v>
      </c>
      <c r="T318" s="3">
        <f t="shared" si="300"/>
        <v>1.5499334140859142E-4</v>
      </c>
      <c r="U318" s="3">
        <f t="shared" si="300"/>
        <v>1.5499334140859142E-4</v>
      </c>
      <c r="V318" s="3">
        <f t="shared" si="300"/>
        <v>1.5499334140859142E-4</v>
      </c>
      <c r="W318" s="3">
        <f t="shared" si="300"/>
        <v>1.5499334140859142E-4</v>
      </c>
      <c r="X318" s="3">
        <f t="shared" si="300"/>
        <v>1.5499334140859139E-4</v>
      </c>
      <c r="Y318" s="3">
        <f t="shared" si="300"/>
        <v>1.5499334140859101E-4</v>
      </c>
      <c r="Z318" s="3">
        <f t="shared" si="300"/>
        <v>1.5499334140858749E-4</v>
      </c>
      <c r="AA318" s="3">
        <f t="shared" si="300"/>
        <v>1.5499334140855195E-4</v>
      </c>
      <c r="AB318" s="3">
        <f t="shared" si="300"/>
        <v>1.5499334140819682E-4</v>
      </c>
      <c r="AC318" s="3">
        <f t="shared" si="300"/>
        <v>1.5499334140464546E-4</v>
      </c>
      <c r="AD318" s="3">
        <f t="shared" si="300"/>
        <v>1.5499334136913185E-4</v>
      </c>
      <c r="AE318" s="3">
        <f t="shared" si="300"/>
        <v>1.5499334101399579E-4</v>
      </c>
      <c r="AF318" s="3">
        <f t="shared" si="300"/>
        <v>1.5499333746263512E-4</v>
      </c>
      <c r="AG318" s="3"/>
      <c r="AH318" s="3"/>
    </row>
    <row r="319" spans="1:34" x14ac:dyDescent="0.25">
      <c r="A319" s="79">
        <f>AVERAGE(B319:AF319)</f>
        <v>1.5797066996302407E-2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3.1701039491312762E-2</v>
      </c>
      <c r="M319" s="80">
        <f t="shared" si="301"/>
        <v>3.746611644104942E-2</v>
      </c>
      <c r="N319" s="80">
        <f t="shared" si="301"/>
        <v>3.5505407941072306E-2</v>
      </c>
      <c r="O319" s="80">
        <f t="shared" si="301"/>
        <v>3.2880264051101296E-2</v>
      </c>
      <c r="P319" s="80">
        <f t="shared" si="301"/>
        <v>3.455618722382079E-2</v>
      </c>
      <c r="Q319" s="80">
        <f t="shared" si="301"/>
        <v>3.2799372207876397E-2</v>
      </c>
      <c r="R319" s="80">
        <f t="shared" si="301"/>
        <v>2.1138300925595915E-2</v>
      </c>
      <c r="S319" s="80">
        <f t="shared" si="301"/>
        <v>1.405246977313874E-2</v>
      </c>
      <c r="T319" s="80">
        <f t="shared" si="301"/>
        <v>5.3279801833079676E-2</v>
      </c>
      <c r="U319" s="80">
        <f t="shared" si="301"/>
        <v>8.8951066223292324E-2</v>
      </c>
      <c r="V319" s="80">
        <f t="shared" si="301"/>
        <v>0.10737905077403503</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5392.1156369821547</v>
      </c>
      <c r="C320" s="21">
        <f t="shared" ref="C320:AF320" si="302">(C287-C286)^2</f>
        <v>1711.2750403153645</v>
      </c>
      <c r="D320" s="21">
        <f t="shared" si="302"/>
        <v>446076.71051989851</v>
      </c>
      <c r="E320" s="21">
        <f t="shared" si="302"/>
        <v>417887.04627139721</v>
      </c>
      <c r="F320" s="21">
        <f t="shared" si="302"/>
        <v>270307.90353917505</v>
      </c>
      <c r="G320" s="21">
        <f t="shared" si="302"/>
        <v>148022.55822648521</v>
      </c>
      <c r="H320" s="21">
        <f t="shared" si="302"/>
        <v>55135.79794232842</v>
      </c>
      <c r="I320" s="21">
        <f t="shared" si="302"/>
        <v>8266.0180030623014</v>
      </c>
      <c r="J320" s="21">
        <f t="shared" si="302"/>
        <v>5212.3711150423205</v>
      </c>
      <c r="K320" s="21">
        <f t="shared" si="302"/>
        <v>22163.78792604816</v>
      </c>
      <c r="L320" s="21">
        <f t="shared" si="302"/>
        <v>20994.118799416563</v>
      </c>
      <c r="M320" s="21">
        <f t="shared" si="302"/>
        <v>26630.282053348536</v>
      </c>
      <c r="N320" s="21">
        <f t="shared" si="302"/>
        <v>21485.860135337796</v>
      </c>
      <c r="O320" s="21">
        <f t="shared" si="302"/>
        <v>16706.971838619946</v>
      </c>
      <c r="P320" s="21">
        <f t="shared" si="302"/>
        <v>16846.680134830927</v>
      </c>
      <c r="Q320" s="21">
        <f t="shared" si="302"/>
        <v>13733.303717029523</v>
      </c>
      <c r="R320" s="21">
        <f t="shared" si="302"/>
        <v>5033.0863637603852</v>
      </c>
      <c r="S320" s="21">
        <f t="shared" si="302"/>
        <v>1856.6280796544697</v>
      </c>
      <c r="T320" s="21">
        <f t="shared" si="302"/>
        <v>21607.503464854046</v>
      </c>
      <c r="U320" s="21">
        <f t="shared" si="302"/>
        <v>48087.31680280008</v>
      </c>
      <c r="V320" s="21">
        <f t="shared" si="302"/>
        <v>55661.858627957787</v>
      </c>
      <c r="W320" s="21">
        <f t="shared" si="302"/>
        <v>41975.253663588061</v>
      </c>
      <c r="X320" s="21">
        <f t="shared" si="302"/>
        <v>10161.767884260398</v>
      </c>
      <c r="Y320" s="21">
        <f t="shared" si="302"/>
        <v>313.57801590811039</v>
      </c>
      <c r="Z320" s="21">
        <f t="shared" si="302"/>
        <v>7640.9134382202083</v>
      </c>
      <c r="AA320" s="21">
        <f t="shared" si="302"/>
        <v>8973.0642820213106</v>
      </c>
      <c r="AB320" s="21">
        <f t="shared" si="302"/>
        <v>4378.1441925736353</v>
      </c>
      <c r="AC320" s="21">
        <f t="shared" si="302"/>
        <v>1087.4971503155716</v>
      </c>
      <c r="AD320" s="21">
        <f t="shared" si="302"/>
        <v>144.10726259428145</v>
      </c>
      <c r="AE320" s="21">
        <f t="shared" si="302"/>
        <v>42.760351291828727</v>
      </c>
      <c r="AF320" s="21">
        <f t="shared" si="302"/>
        <v>20.952838973448983</v>
      </c>
      <c r="AG320" s="3"/>
      <c r="AH320" s="3"/>
    </row>
    <row r="321" spans="1:34" x14ac:dyDescent="0.25">
      <c r="A321" s="71">
        <f>SUM(B321:AF321)</f>
        <v>248643.61001761007</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20994.118799416563</v>
      </c>
      <c r="M321" s="60">
        <f t="shared" ref="M321" si="313">IF($A$64&lt;=M285,IF($B$64&gt;=M285,ABS(M320),0),0)</f>
        <v>26630.282053348536</v>
      </c>
      <c r="N321" s="60">
        <f t="shared" ref="N321" si="314">IF($A$64&lt;=N285,IF($B$64&gt;=N285,ABS(N320),0),0)</f>
        <v>21485.860135337796</v>
      </c>
      <c r="O321" s="60">
        <f t="shared" ref="O321" si="315">IF($A$64&lt;=O285,IF($B$64&gt;=O285,ABS(O320),0),0)</f>
        <v>16706.971838619946</v>
      </c>
      <c r="P321" s="60">
        <f t="shared" ref="P321" si="316">IF($A$64&lt;=P285,IF($B$64&gt;=P285,ABS(P320),0),0)</f>
        <v>16846.680134830927</v>
      </c>
      <c r="Q321" s="60">
        <f t="shared" ref="Q321" si="317">IF($A$64&lt;=Q285,IF($B$64&gt;=Q285,ABS(Q320),0),0)</f>
        <v>13733.303717029523</v>
      </c>
      <c r="R321" s="60">
        <f t="shared" ref="R321" si="318">IF($A$64&lt;=R285,IF($B$64&gt;=R285,ABS(R320),0),0)</f>
        <v>5033.0863637603852</v>
      </c>
      <c r="S321" s="60">
        <f t="shared" ref="S321" si="319">IF($A$64&lt;=S285,IF($B$64&gt;=S285,ABS(S320),0),0)</f>
        <v>1856.6280796544697</v>
      </c>
      <c r="T321" s="60">
        <f t="shared" ref="T321" si="320">IF($A$64&lt;=T285,IF($B$64&gt;=T285,ABS(T320),0),0)</f>
        <v>21607.503464854046</v>
      </c>
      <c r="U321" s="60">
        <f t="shared" ref="U321" si="321">IF($A$64&lt;=U285,IF($B$64&gt;=U285,ABS(U320),0),0)</f>
        <v>48087.31680280008</v>
      </c>
      <c r="V321" s="60">
        <f t="shared" ref="V321" si="322">IF($A$64&lt;=V285,IF($B$64&gt;=V285,ABS(V320),0),0)</f>
        <v>55661.858627957787</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4996.9697771743295</v>
      </c>
      <c r="C326" s="27">
        <f t="shared" ref="C326:AF326" si="333">($C$17+SUM(C327:C357))*$B$51</f>
        <v>4926.5249026386846</v>
      </c>
      <c r="D326" s="27">
        <f t="shared" si="333"/>
        <v>4664.0278002033438</v>
      </c>
      <c r="E326" s="27">
        <f t="shared" si="333"/>
        <v>4501.527462818146</v>
      </c>
      <c r="F326" s="27">
        <f t="shared" si="333"/>
        <v>4277.0250170027957</v>
      </c>
      <c r="G326" s="27">
        <f t="shared" si="333"/>
        <v>4057.134219970209</v>
      </c>
      <c r="H326" s="27">
        <f t="shared" si="333"/>
        <v>3871.208819527641</v>
      </c>
      <c r="I326" s="27">
        <f t="shared" si="333"/>
        <v>3695.7627883025498</v>
      </c>
      <c r="J326" s="27">
        <f t="shared" si="333"/>
        <v>3525.6509672167294</v>
      </c>
      <c r="K326" s="27">
        <f t="shared" si="333"/>
        <v>3357.1604108621209</v>
      </c>
      <c r="L326" s="27">
        <f t="shared" si="333"/>
        <v>3187.0427442767659</v>
      </c>
      <c r="M326" s="27">
        <f t="shared" si="333"/>
        <v>2997.0030792469911</v>
      </c>
      <c r="N326" s="27">
        <f t="shared" si="333"/>
        <v>2785.0366755519622</v>
      </c>
      <c r="O326" s="27">
        <f t="shared" si="333"/>
        <v>2548.7132057560784</v>
      </c>
      <c r="P326" s="27">
        <f t="shared" si="333"/>
        <v>2277.7379546431857</v>
      </c>
      <c r="Q326" s="27">
        <f t="shared" si="333"/>
        <v>1945.4142099326052</v>
      </c>
      <c r="R326" s="27">
        <f t="shared" si="333"/>
        <v>1547.0322876036914</v>
      </c>
      <c r="S326" s="27">
        <f t="shared" si="333"/>
        <v>1144.6930936025217</v>
      </c>
      <c r="T326" s="27">
        <f t="shared" si="333"/>
        <v>800.00257931335318</v>
      </c>
      <c r="U326" s="27">
        <f t="shared" si="333"/>
        <v>550.39580880537301</v>
      </c>
      <c r="V326" s="27">
        <f t="shared" si="333"/>
        <v>400.370020600374</v>
      </c>
      <c r="W326" s="27">
        <f t="shared" si="333"/>
        <v>323.44812716686232</v>
      </c>
      <c r="X326" s="27">
        <f t="shared" si="333"/>
        <v>285.59942837570435</v>
      </c>
      <c r="Y326" s="27">
        <f t="shared" si="333"/>
        <v>264.76330244429232</v>
      </c>
      <c r="Z326" s="27">
        <f t="shared" si="333"/>
        <v>251.36788206894445</v>
      </c>
      <c r="AA326" s="27">
        <f t="shared" si="333"/>
        <v>244.97411515765978</v>
      </c>
      <c r="AB326" s="27">
        <f t="shared" si="333"/>
        <v>233.26754573725938</v>
      </c>
      <c r="AC326" s="27">
        <f t="shared" si="333"/>
        <v>224.9699483725343</v>
      </c>
      <c r="AD326" s="27">
        <f t="shared" si="333"/>
        <v>223.78952217890091</v>
      </c>
      <c r="AE326" s="27">
        <f t="shared" si="333"/>
        <v>223.13107525665356</v>
      </c>
      <c r="AF326" s="27">
        <f t="shared" si="333"/>
        <v>223.04922919324312</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5.2766483251816175E-2</v>
      </c>
      <c r="C328" s="3">
        <f t="shared" si="335"/>
        <v>4.1902179552579008E-2</v>
      </c>
      <c r="D328" s="3">
        <f t="shared" si="335"/>
        <v>4.1785080474622044E-3</v>
      </c>
      <c r="E328" s="3">
        <f t="shared" si="335"/>
        <v>4.0631938005257773E-13</v>
      </c>
      <c r="F328" s="3">
        <f t="shared" si="335"/>
        <v>3.0713582742909273E-113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2.0966516826349847E-2</v>
      </c>
      <c r="C329" s="3">
        <f t="shared" si="336"/>
        <v>2.0534989797325046E-2</v>
      </c>
      <c r="D329" s="3">
        <f t="shared" si="336"/>
        <v>1.6679250669984519E-2</v>
      </c>
      <c r="E329" s="3">
        <f t="shared" si="336"/>
        <v>2.0844763799668957E-3</v>
      </c>
      <c r="F329" s="3">
        <f t="shared" si="336"/>
        <v>1.9373201911971869E-12</v>
      </c>
      <c r="G329" s="3">
        <f t="shared" si="336"/>
        <v>9.3163472909259655E-103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4.0489680448014403E-2</v>
      </c>
      <c r="C330" s="3">
        <f t="shared" si="337"/>
        <v>4.0413792393343084E-2</v>
      </c>
      <c r="D330" s="3">
        <f t="shared" si="337"/>
        <v>3.9662690878176525E-2</v>
      </c>
      <c r="E330" s="3">
        <f t="shared" si="337"/>
        <v>3.2878187311623314E-2</v>
      </c>
      <c r="F330" s="3">
        <f t="shared" si="337"/>
        <v>5.0369166853342249E-3</v>
      </c>
      <c r="G330" s="3">
        <f t="shared" si="337"/>
        <v>3.587019907902417E-11</v>
      </c>
      <c r="H330" s="3">
        <f t="shared" si="337"/>
        <v>1.2034387288003359E-92</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3.8179646232646844E-2</v>
      </c>
      <c r="C331" s="3">
        <f t="shared" si="338"/>
        <v>3.8173185554266804E-2</v>
      </c>
      <c r="D331" s="3">
        <f t="shared" si="338"/>
        <v>3.8108638869374378E-2</v>
      </c>
      <c r="E331" s="3">
        <f t="shared" si="338"/>
        <v>3.7469144449513409E-2</v>
      </c>
      <c r="F331" s="3">
        <f t="shared" si="338"/>
        <v>3.1635679808662075E-2</v>
      </c>
      <c r="G331" s="3">
        <f t="shared" si="338"/>
        <v>5.8238625529270375E-3</v>
      </c>
      <c r="H331" s="3">
        <f t="shared" si="338"/>
        <v>2.6034579742538162E-10</v>
      </c>
      <c r="I331" s="3">
        <f t="shared" si="338"/>
        <v>8.297459081384158E-84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3.0339099388195939E-2</v>
      </c>
      <c r="C332" s="3">
        <f t="shared" si="339"/>
        <v>3.0338636230451434E-2</v>
      </c>
      <c r="D332" s="3">
        <f t="shared" si="339"/>
        <v>3.0334005041870615E-2</v>
      </c>
      <c r="E332" s="3">
        <f t="shared" si="339"/>
        <v>3.0287732020527661E-2</v>
      </c>
      <c r="F332" s="3">
        <f t="shared" si="339"/>
        <v>2.9828866390479152E-2</v>
      </c>
      <c r="G332" s="3">
        <f t="shared" si="339"/>
        <v>2.5605702562996817E-2</v>
      </c>
      <c r="H332" s="3">
        <f t="shared" si="339"/>
        <v>5.5633472959892745E-3</v>
      </c>
      <c r="I332" s="3">
        <f t="shared" si="339"/>
        <v>1.3041601546412321E-9</v>
      </c>
      <c r="J332" s="3">
        <f t="shared" si="339"/>
        <v>6.5354949113238724E-76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2.9818484211585384E-2</v>
      </c>
      <c r="C333" s="3">
        <f t="shared" si="340"/>
        <v>2.981844314756987E-2</v>
      </c>
      <c r="D333" s="3">
        <f t="shared" si="340"/>
        <v>2.9818032510524974E-2</v>
      </c>
      <c r="E333" s="3">
        <f t="shared" si="340"/>
        <v>2.9813926451087235E-2</v>
      </c>
      <c r="F333" s="3">
        <f t="shared" si="340"/>
        <v>2.9772896941988803E-2</v>
      </c>
      <c r="G333" s="3">
        <f t="shared" si="340"/>
        <v>2.9365694597901594E-2</v>
      </c>
      <c r="H333" s="3">
        <f t="shared" si="340"/>
        <v>2.5587750943506644E-2</v>
      </c>
      <c r="I333" s="3">
        <f t="shared" si="340"/>
        <v>6.4558062131378907E-3</v>
      </c>
      <c r="J333" s="3">
        <f t="shared" si="340"/>
        <v>6.7473648056051856E-9</v>
      </c>
      <c r="K333" s="3">
        <f t="shared" si="340"/>
        <v>1.0494729562671283E-68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2.8586713507853051E-2</v>
      </c>
      <c r="C334" s="3">
        <f t="shared" si="341"/>
        <v>2.8586709956556454E-2</v>
      </c>
      <c r="D334" s="3">
        <f t="shared" si="341"/>
        <v>2.8586674443614783E-2</v>
      </c>
      <c r="E334" s="3">
        <f t="shared" si="341"/>
        <v>2.8586319316624517E-2</v>
      </c>
      <c r="F334" s="3">
        <f t="shared" si="341"/>
        <v>2.8582768289355028E-2</v>
      </c>
      <c r="G334" s="3">
        <f t="shared" si="341"/>
        <v>2.8547282268831499E-2</v>
      </c>
      <c r="H334" s="3">
        <f t="shared" si="341"/>
        <v>2.8194836170238675E-2</v>
      </c>
      <c r="I334" s="3">
        <f t="shared" si="341"/>
        <v>2.4901048655068394E-2</v>
      </c>
      <c r="J334" s="3">
        <f t="shared" si="341"/>
        <v>7.1894927742105121E-3</v>
      </c>
      <c r="K334" s="3">
        <f t="shared" si="341"/>
        <v>2.8940391269185355E-8</v>
      </c>
      <c r="L334" s="3">
        <f t="shared" si="341"/>
        <v>3.2327034514824948E-62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2.8589469131635393E-2</v>
      </c>
      <c r="C335" s="3">
        <f t="shared" si="342"/>
        <v>2.8589468811247999E-2</v>
      </c>
      <c r="D335" s="3">
        <f t="shared" si="342"/>
        <v>2.8589465607374239E-2</v>
      </c>
      <c r="E335" s="3">
        <f t="shared" si="342"/>
        <v>2.8589433568656397E-2</v>
      </c>
      <c r="F335" s="3">
        <f t="shared" si="342"/>
        <v>2.85891131834527E-2</v>
      </c>
      <c r="G335" s="3">
        <f t="shared" si="342"/>
        <v>2.8585909528879502E-2</v>
      </c>
      <c r="H335" s="3">
        <f t="shared" si="342"/>
        <v>2.8553892721340068E-2</v>
      </c>
      <c r="I335" s="3">
        <f t="shared" si="342"/>
        <v>2.8235690305431875E-2</v>
      </c>
      <c r="J335" s="3">
        <f t="shared" si="342"/>
        <v>2.5242320282389867E-2</v>
      </c>
      <c r="K335" s="3">
        <f t="shared" si="342"/>
        <v>8.2307214390963078E-3</v>
      </c>
      <c r="L335" s="3">
        <f t="shared" si="342"/>
        <v>1.1182121613843255E-7</v>
      </c>
      <c r="M335" s="3">
        <f t="shared" si="342"/>
        <v>2.3954509740086372E-56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2.8115831965893352E-2</v>
      </c>
      <c r="C336" s="3">
        <f t="shared" si="343"/>
        <v>2.8115831937470553E-2</v>
      </c>
      <c r="D336" s="3">
        <f t="shared" si="343"/>
        <v>2.8115831653242551E-2</v>
      </c>
      <c r="E336" s="3">
        <f t="shared" si="343"/>
        <v>2.8115828810962695E-2</v>
      </c>
      <c r="F336" s="3">
        <f t="shared" si="343"/>
        <v>2.8115800388179967E-2</v>
      </c>
      <c r="G336" s="3">
        <f t="shared" si="343"/>
        <v>2.8115516161933002E-2</v>
      </c>
      <c r="H336" s="3">
        <f t="shared" si="343"/>
        <v>2.8112674057488928E-2</v>
      </c>
      <c r="I336" s="3">
        <f t="shared" si="343"/>
        <v>2.808426880969828E-2</v>
      </c>
      <c r="J336" s="3">
        <f t="shared" si="343"/>
        <v>2.7801790104171508E-2</v>
      </c>
      <c r="K336" s="3">
        <f t="shared" si="343"/>
        <v>2.5128649562564942E-2</v>
      </c>
      <c r="L336" s="3">
        <f t="shared" si="343"/>
        <v>9.1439332260134353E-3</v>
      </c>
      <c r="M336" s="3">
        <f t="shared" si="343"/>
        <v>3.7219626199485571E-7</v>
      </c>
      <c r="N336" s="3">
        <f t="shared" si="343"/>
        <v>4.646881730635551E-51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3.3973946983678699E-2</v>
      </c>
      <c r="C337" s="3">
        <f t="shared" si="344"/>
        <v>3.3973946980580504E-2</v>
      </c>
      <c r="D337" s="3">
        <f t="shared" si="344"/>
        <v>3.3973946949598571E-2</v>
      </c>
      <c r="E337" s="3">
        <f t="shared" si="344"/>
        <v>3.3973946639779241E-2</v>
      </c>
      <c r="F337" s="3">
        <f t="shared" si="344"/>
        <v>3.3973943541586046E-2</v>
      </c>
      <c r="G337" s="3">
        <f t="shared" si="344"/>
        <v>3.3973912559669625E-2</v>
      </c>
      <c r="H337" s="3">
        <f t="shared" si="344"/>
        <v>3.3973602742059357E-2</v>
      </c>
      <c r="I337" s="3">
        <f t="shared" si="344"/>
        <v>3.3970504721344719E-2</v>
      </c>
      <c r="J337" s="3">
        <f t="shared" si="344"/>
        <v>3.3939540047755345E-2</v>
      </c>
      <c r="K337" s="3">
        <f t="shared" si="344"/>
        <v>3.3631441439073248E-2</v>
      </c>
      <c r="L337" s="3">
        <f t="shared" si="344"/>
        <v>3.0700169445782358E-2</v>
      </c>
      <c r="M337" s="3">
        <f t="shared" si="344"/>
        <v>1.2333708574377364E-2</v>
      </c>
      <c r="N337" s="3">
        <f t="shared" si="344"/>
        <v>1.3508986966987033E-6</v>
      </c>
      <c r="O337" s="3">
        <f t="shared" si="344"/>
        <v>3.3567097053046323E-46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3.6313930353215562E-2</v>
      </c>
      <c r="C338" s="3">
        <f t="shared" si="345"/>
        <v>3.6313930352916829E-2</v>
      </c>
      <c r="D338" s="3">
        <f t="shared" si="345"/>
        <v>3.631393034992951E-2</v>
      </c>
      <c r="E338" s="3">
        <f t="shared" si="345"/>
        <v>3.6313930320056267E-2</v>
      </c>
      <c r="F338" s="3">
        <f t="shared" si="345"/>
        <v>3.6313930021323847E-2</v>
      </c>
      <c r="G338" s="3">
        <f t="shared" si="345"/>
        <v>3.6313927033999757E-2</v>
      </c>
      <c r="H338" s="3">
        <f t="shared" si="345"/>
        <v>3.63138971607724E-2</v>
      </c>
      <c r="I338" s="3">
        <f t="shared" si="345"/>
        <v>3.6313598429850436E-2</v>
      </c>
      <c r="J338" s="3">
        <f t="shared" si="345"/>
        <v>3.6310611255788099E-2</v>
      </c>
      <c r="K338" s="3">
        <f t="shared" si="345"/>
        <v>3.6280753026780625E-2</v>
      </c>
      <c r="L338" s="3">
        <f t="shared" si="345"/>
        <v>3.598351779471385E-2</v>
      </c>
      <c r="M338" s="3">
        <f t="shared" si="345"/>
        <v>3.314185981314826E-2</v>
      </c>
      <c r="N338" s="3">
        <f t="shared" si="345"/>
        <v>1.4558259381501156E-2</v>
      </c>
      <c r="O338" s="3">
        <f t="shared" si="345"/>
        <v>3.8943521621330869E-6</v>
      </c>
      <c r="P338" s="3">
        <f t="shared" si="345"/>
        <v>7.3062227842525328E-42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4.1806327659664175E-2</v>
      </c>
      <c r="C339" s="3">
        <f t="shared" si="346"/>
        <v>4.1806327659633151E-2</v>
      </c>
      <c r="D339" s="3">
        <f t="shared" si="346"/>
        <v>4.1806327659322913E-2</v>
      </c>
      <c r="E339" s="3">
        <f t="shared" si="346"/>
        <v>4.1806327656220513E-2</v>
      </c>
      <c r="F339" s="3">
        <f t="shared" si="346"/>
        <v>4.1806327625196517E-2</v>
      </c>
      <c r="G339" s="3">
        <f t="shared" si="346"/>
        <v>4.1806327314956572E-2</v>
      </c>
      <c r="H339" s="3">
        <f t="shared" si="346"/>
        <v>4.1806324212557248E-2</v>
      </c>
      <c r="I339" s="3">
        <f t="shared" si="346"/>
        <v>4.1806293188576642E-2</v>
      </c>
      <c r="J339" s="3">
        <f t="shared" si="346"/>
        <v>4.1805982950036819E-2</v>
      </c>
      <c r="K339" s="3">
        <f t="shared" si="346"/>
        <v>4.1802880691258752E-2</v>
      </c>
      <c r="L339" s="3">
        <f t="shared" si="346"/>
        <v>4.1771870762018035E-2</v>
      </c>
      <c r="M339" s="3">
        <f t="shared" si="346"/>
        <v>4.1463033854803683E-2</v>
      </c>
      <c r="N339" s="3">
        <f t="shared" si="346"/>
        <v>3.84975048665828E-2</v>
      </c>
      <c r="O339" s="3">
        <f t="shared" si="346"/>
        <v>1.8329374518763552E-2</v>
      </c>
      <c r="P339" s="3">
        <f t="shared" si="346"/>
        <v>1.0972315093458513E-5</v>
      </c>
      <c r="Q339" s="3">
        <f t="shared" si="346"/>
        <v>6.4834255424077121E-38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4.6977125912982566E-2</v>
      </c>
      <c r="C340" s="3">
        <f t="shared" si="347"/>
        <v>4.6977125912979416E-2</v>
      </c>
      <c r="D340" s="3">
        <f t="shared" si="347"/>
        <v>4.6977125912947969E-2</v>
      </c>
      <c r="E340" s="3">
        <f t="shared" si="347"/>
        <v>4.6977125912633498E-2</v>
      </c>
      <c r="F340" s="3">
        <f t="shared" si="347"/>
        <v>4.6977125909488729E-2</v>
      </c>
      <c r="G340" s="3">
        <f t="shared" si="347"/>
        <v>4.6977125878041037E-2</v>
      </c>
      <c r="H340" s="3">
        <f t="shared" si="347"/>
        <v>4.6977125563564148E-2</v>
      </c>
      <c r="I340" s="3">
        <f t="shared" si="347"/>
        <v>4.6977122418795418E-2</v>
      </c>
      <c r="J340" s="3">
        <f t="shared" si="347"/>
        <v>4.6977090971119642E-2</v>
      </c>
      <c r="K340" s="3">
        <f t="shared" si="347"/>
        <v>4.6976776495519727E-2</v>
      </c>
      <c r="L340" s="3">
        <f t="shared" si="347"/>
        <v>4.6973631855302796E-2</v>
      </c>
      <c r="M340" s="3">
        <f t="shared" si="347"/>
        <v>4.6942197028485108E-2</v>
      </c>
      <c r="N340" s="3">
        <f t="shared" si="347"/>
        <v>4.6629003433529694E-2</v>
      </c>
      <c r="O340" s="3">
        <f t="shared" si="347"/>
        <v>4.3609725315988099E-2</v>
      </c>
      <c r="P340" s="3">
        <f t="shared" si="347"/>
        <v>2.2328293186175588E-2</v>
      </c>
      <c r="Q340" s="3">
        <f t="shared" si="347"/>
        <v>2.7642497261272165E-5</v>
      </c>
      <c r="R340" s="3">
        <f t="shared" si="347"/>
        <v>2.3377322410826186E-34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6.4330039712108836E-2</v>
      </c>
      <c r="C341" s="3">
        <f t="shared" si="348"/>
        <v>6.4330039712108447E-2</v>
      </c>
      <c r="D341" s="3">
        <f t="shared" si="348"/>
        <v>6.4330039712104561E-2</v>
      </c>
      <c r="E341" s="3">
        <f t="shared" si="348"/>
        <v>6.4330039712065717E-2</v>
      </c>
      <c r="F341" s="3">
        <f t="shared" si="348"/>
        <v>6.4330039711677237E-2</v>
      </c>
      <c r="G341" s="3">
        <f t="shared" si="348"/>
        <v>6.4330039707792483E-2</v>
      </c>
      <c r="H341" s="3">
        <f t="shared" si="348"/>
        <v>6.433003966894503E-2</v>
      </c>
      <c r="I341" s="3">
        <f t="shared" si="348"/>
        <v>6.4330039280470361E-2</v>
      </c>
      <c r="J341" s="3">
        <f t="shared" si="348"/>
        <v>6.4330035395723878E-2</v>
      </c>
      <c r="K341" s="3">
        <f t="shared" si="348"/>
        <v>6.4329996548271928E-2</v>
      </c>
      <c r="L341" s="3">
        <f t="shared" si="348"/>
        <v>6.4329608075042635E-2</v>
      </c>
      <c r="M341" s="3">
        <f t="shared" si="348"/>
        <v>6.4325723471771595E-2</v>
      </c>
      <c r="N341" s="3">
        <f t="shared" si="348"/>
        <v>6.428689033837047E-2</v>
      </c>
      <c r="O341" s="3">
        <f t="shared" si="348"/>
        <v>6.3899846057777543E-2</v>
      </c>
      <c r="P341" s="3">
        <f t="shared" si="348"/>
        <v>6.015527873084893E-2</v>
      </c>
      <c r="Q341" s="3">
        <f t="shared" si="348"/>
        <v>3.2886151941062466E-2</v>
      </c>
      <c r="R341" s="3">
        <f t="shared" si="348"/>
        <v>7.8416276127574801E-5</v>
      </c>
      <c r="S341" s="3">
        <f t="shared" si="348"/>
        <v>4.6594834023010898E-31</v>
      </c>
      <c r="T341" s="3">
        <f t="shared" si="348"/>
        <v>2.556544255701054E-293</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7.1283808515689148E-2</v>
      </c>
      <c r="C342" s="3">
        <f t="shared" si="349"/>
        <v>7.128380851568912E-2</v>
      </c>
      <c r="D342" s="3">
        <f t="shared" si="349"/>
        <v>7.1283808515688732E-2</v>
      </c>
      <c r="E342" s="3">
        <f t="shared" si="349"/>
        <v>7.1283808515684846E-2</v>
      </c>
      <c r="F342" s="3">
        <f t="shared" si="349"/>
        <v>7.1283808515646016E-2</v>
      </c>
      <c r="G342" s="3">
        <f t="shared" si="349"/>
        <v>7.1283808515257702E-2</v>
      </c>
      <c r="H342" s="3">
        <f t="shared" si="349"/>
        <v>7.128380851137453E-2</v>
      </c>
      <c r="I342" s="3">
        <f t="shared" si="349"/>
        <v>7.1283808472542842E-2</v>
      </c>
      <c r="J342" s="3">
        <f t="shared" si="349"/>
        <v>7.1283808084225866E-2</v>
      </c>
      <c r="K342" s="3">
        <f t="shared" si="349"/>
        <v>7.1283804201056344E-2</v>
      </c>
      <c r="L342" s="3">
        <f t="shared" si="349"/>
        <v>7.1283765369372754E-2</v>
      </c>
      <c r="M342" s="3">
        <f t="shared" si="349"/>
        <v>7.1283377053700289E-2</v>
      </c>
      <c r="N342" s="3">
        <f t="shared" si="349"/>
        <v>7.1279494013317138E-2</v>
      </c>
      <c r="O342" s="3">
        <f t="shared" si="349"/>
        <v>7.1240675241294724E-2</v>
      </c>
      <c r="P342" s="3">
        <f t="shared" si="349"/>
        <v>7.085364836092746E-2</v>
      </c>
      <c r="Q342" s="3">
        <f t="shared" si="349"/>
        <v>6.7097157494724127E-2</v>
      </c>
      <c r="R342" s="3">
        <f t="shared" si="349"/>
        <v>3.8915549457811491E-2</v>
      </c>
      <c r="S342" s="3">
        <f t="shared" si="349"/>
        <v>1.676152823960933E-4</v>
      </c>
      <c r="T342" s="3">
        <f t="shared" si="349"/>
        <v>3.683138723332874E-28</v>
      </c>
      <c r="U342" s="3">
        <f t="shared" si="349"/>
        <v>9.6663543596529223E-265</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6.5008577665533668E-2</v>
      </c>
      <c r="C343" s="3">
        <f t="shared" si="350"/>
        <v>6.5008577665533668E-2</v>
      </c>
      <c r="D343" s="3">
        <f t="shared" si="350"/>
        <v>6.5008577665533626E-2</v>
      </c>
      <c r="E343" s="3">
        <f t="shared" si="350"/>
        <v>6.5008577665533321E-2</v>
      </c>
      <c r="F343" s="3">
        <f t="shared" si="350"/>
        <v>6.5008577665530115E-2</v>
      </c>
      <c r="G343" s="3">
        <f t="shared" si="350"/>
        <v>6.5008577665498168E-2</v>
      </c>
      <c r="H343" s="3">
        <f t="shared" si="350"/>
        <v>6.5008577665178716E-2</v>
      </c>
      <c r="I343" s="3">
        <f t="shared" si="350"/>
        <v>6.5008577661984146E-2</v>
      </c>
      <c r="J343" s="3">
        <f t="shared" si="350"/>
        <v>6.5008577630038422E-2</v>
      </c>
      <c r="K343" s="3">
        <f t="shared" si="350"/>
        <v>6.5008577310581184E-2</v>
      </c>
      <c r="L343" s="3">
        <f t="shared" si="350"/>
        <v>6.5008574116008966E-2</v>
      </c>
      <c r="M343" s="3">
        <f t="shared" si="350"/>
        <v>6.5008542170295308E-2</v>
      </c>
      <c r="N343" s="3">
        <f t="shared" si="350"/>
        <v>6.5008222714022137E-2</v>
      </c>
      <c r="O343" s="3">
        <f t="shared" si="350"/>
        <v>6.5005028237629853E-2</v>
      </c>
      <c r="P343" s="3">
        <f t="shared" si="350"/>
        <v>6.4973092106070926E-2</v>
      </c>
      <c r="Q343" s="3">
        <f t="shared" si="350"/>
        <v>6.4654592459390897E-2</v>
      </c>
      <c r="R343" s="3">
        <f t="shared" si="350"/>
        <v>6.1554216569619534E-2</v>
      </c>
      <c r="S343" s="3">
        <f t="shared" si="350"/>
        <v>3.7656686677970314E-2</v>
      </c>
      <c r="T343" s="3">
        <f t="shared" si="350"/>
        <v>2.7649359229829943E-4</v>
      </c>
      <c r="U343" s="3">
        <f t="shared" si="350"/>
        <v>1.259258042343949E-25</v>
      </c>
      <c r="V343" s="3">
        <f t="shared" si="350"/>
        <v>4.8351656204691479E-239</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4.954350168244695E-2</v>
      </c>
      <c r="C344" s="3">
        <f t="shared" si="351"/>
        <v>4.954350168244695E-2</v>
      </c>
      <c r="D344" s="3">
        <f t="shared" si="351"/>
        <v>4.954350168244695E-2</v>
      </c>
      <c r="E344" s="3">
        <f t="shared" si="351"/>
        <v>4.9543501682446929E-2</v>
      </c>
      <c r="F344" s="3">
        <f t="shared" si="351"/>
        <v>4.9543501682446707E-2</v>
      </c>
      <c r="G344" s="3">
        <f t="shared" si="351"/>
        <v>4.9543501682444507E-2</v>
      </c>
      <c r="H344" s="3">
        <f t="shared" si="351"/>
        <v>4.9543501682422553E-2</v>
      </c>
      <c r="I344" s="3">
        <f t="shared" si="351"/>
        <v>4.9543501682202923E-2</v>
      </c>
      <c r="J344" s="3">
        <f t="shared" si="351"/>
        <v>4.9543501680006707E-2</v>
      </c>
      <c r="K344" s="3">
        <f t="shared" si="351"/>
        <v>4.9543501658044532E-2</v>
      </c>
      <c r="L344" s="3">
        <f t="shared" si="351"/>
        <v>4.9543501438422781E-2</v>
      </c>
      <c r="M344" s="3">
        <f t="shared" si="351"/>
        <v>4.954349924220533E-2</v>
      </c>
      <c r="N344" s="3">
        <f t="shared" si="351"/>
        <v>4.9543477280036136E-2</v>
      </c>
      <c r="O344" s="3">
        <f t="shared" si="351"/>
        <v>4.9543257658879666E-2</v>
      </c>
      <c r="P344" s="3">
        <f t="shared" si="351"/>
        <v>4.9541061500859955E-2</v>
      </c>
      <c r="Q344" s="3">
        <f t="shared" si="351"/>
        <v>4.9519105274282958E-2</v>
      </c>
      <c r="R344" s="3">
        <f t="shared" si="351"/>
        <v>4.9300077493473156E-2</v>
      </c>
      <c r="S344" s="3">
        <f t="shared" si="351"/>
        <v>4.7162381829840852E-2</v>
      </c>
      <c r="T344" s="3">
        <f t="shared" si="351"/>
        <v>3.0274502220621422E-2</v>
      </c>
      <c r="U344" s="3">
        <f t="shared" si="351"/>
        <v>3.5965808030635169E-4</v>
      </c>
      <c r="V344" s="3">
        <f t="shared" si="351"/>
        <v>2.013807386662033E-23</v>
      </c>
      <c r="W344" s="3">
        <f t="shared" si="351"/>
        <v>6.0995669967840167E-216</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3.0281570029291476E-2</v>
      </c>
      <c r="C345" s="3">
        <f t="shared" si="352"/>
        <v>3.0281570029291476E-2</v>
      </c>
      <c r="D345" s="3">
        <f t="shared" si="352"/>
        <v>3.0281570029291476E-2</v>
      </c>
      <c r="E345" s="3">
        <f t="shared" si="352"/>
        <v>3.0281570029291476E-2</v>
      </c>
      <c r="F345" s="3">
        <f t="shared" si="352"/>
        <v>3.0281570029291462E-2</v>
      </c>
      <c r="G345" s="3">
        <f t="shared" si="352"/>
        <v>3.0281570029291341E-2</v>
      </c>
      <c r="H345" s="3">
        <f t="shared" si="352"/>
        <v>3.028157002929013E-2</v>
      </c>
      <c r="I345" s="3">
        <f t="shared" si="352"/>
        <v>3.0281570029278022E-2</v>
      </c>
      <c r="J345" s="3">
        <f t="shared" si="352"/>
        <v>3.0281570029156931E-2</v>
      </c>
      <c r="K345" s="3">
        <f t="shared" si="352"/>
        <v>3.0281570027946014E-2</v>
      </c>
      <c r="L345" s="3">
        <f t="shared" si="352"/>
        <v>3.0281570015836867E-2</v>
      </c>
      <c r="M345" s="3">
        <f t="shared" si="352"/>
        <v>3.0281569894745376E-2</v>
      </c>
      <c r="N345" s="3">
        <f t="shared" si="352"/>
        <v>3.028156868383048E-2</v>
      </c>
      <c r="O345" s="3">
        <f t="shared" si="352"/>
        <v>3.0281556574684211E-2</v>
      </c>
      <c r="P345" s="3">
        <f t="shared" si="352"/>
        <v>3.0281435483487846E-2</v>
      </c>
      <c r="Q345" s="3">
        <f t="shared" si="352"/>
        <v>3.0280224598156227E-2</v>
      </c>
      <c r="R345" s="3">
        <f t="shared" si="352"/>
        <v>3.0268118407649983E-2</v>
      </c>
      <c r="S345" s="3">
        <f t="shared" si="352"/>
        <v>3.014732239001958E-2</v>
      </c>
      <c r="T345" s="3">
        <f t="shared" si="352"/>
        <v>2.896556172903135E-2</v>
      </c>
      <c r="U345" s="3">
        <f t="shared" si="352"/>
        <v>1.9418427356040057E-2</v>
      </c>
      <c r="V345" s="3">
        <f t="shared" si="352"/>
        <v>3.560697255912269E-4</v>
      </c>
      <c r="W345" s="3">
        <f t="shared" si="352"/>
        <v>1.5301887387489979E-21</v>
      </c>
      <c r="X345" s="3">
        <f t="shared" si="352"/>
        <v>3.287339194557542E-195</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1.5838845962715554E-2</v>
      </c>
      <c r="C346" s="3">
        <f t="shared" si="353"/>
        <v>1.5838845962715554E-2</v>
      </c>
      <c r="D346" s="3">
        <f t="shared" si="353"/>
        <v>1.5838845962715554E-2</v>
      </c>
      <c r="E346" s="3">
        <f t="shared" si="353"/>
        <v>1.5838845962715554E-2</v>
      </c>
      <c r="F346" s="3">
        <f t="shared" si="353"/>
        <v>1.5838845962715554E-2</v>
      </c>
      <c r="G346" s="3">
        <f t="shared" si="353"/>
        <v>1.5838845962715547E-2</v>
      </c>
      <c r="H346" s="3">
        <f t="shared" si="353"/>
        <v>1.5838845962715491E-2</v>
      </c>
      <c r="I346" s="3">
        <f t="shared" si="353"/>
        <v>1.5838845962714919E-2</v>
      </c>
      <c r="J346" s="3">
        <f t="shared" si="353"/>
        <v>1.5838845962709205E-2</v>
      </c>
      <c r="K346" s="3">
        <f t="shared" si="353"/>
        <v>1.583884596265207E-2</v>
      </c>
      <c r="L346" s="3">
        <f t="shared" si="353"/>
        <v>1.5838845962080718E-2</v>
      </c>
      <c r="M346" s="3">
        <f t="shared" si="353"/>
        <v>1.5838845956367174E-2</v>
      </c>
      <c r="N346" s="3">
        <f t="shared" si="353"/>
        <v>1.5838845899231763E-2</v>
      </c>
      <c r="O346" s="3">
        <f t="shared" si="353"/>
        <v>1.5838845327877646E-2</v>
      </c>
      <c r="P346" s="3">
        <f t="shared" si="353"/>
        <v>1.5838839614337637E-2</v>
      </c>
      <c r="Q346" s="3">
        <f t="shared" si="353"/>
        <v>1.5838782479050871E-2</v>
      </c>
      <c r="R346" s="3">
        <f t="shared" si="353"/>
        <v>1.5838211137518814E-2</v>
      </c>
      <c r="S346" s="3">
        <f t="shared" si="353"/>
        <v>1.5832498855604192E-2</v>
      </c>
      <c r="T346" s="3">
        <f t="shared" si="353"/>
        <v>1.5775489225923079E-2</v>
      </c>
      <c r="U346" s="3">
        <f t="shared" si="353"/>
        <v>1.5216562248313106E-2</v>
      </c>
      <c r="V346" s="3">
        <f t="shared" si="353"/>
        <v>1.0608491993687619E-2</v>
      </c>
      <c r="W346" s="3">
        <f t="shared" si="353"/>
        <v>2.8775621530245231E-4</v>
      </c>
      <c r="X346" s="3">
        <f t="shared" si="353"/>
        <v>6.2049074973631882E-20</v>
      </c>
      <c r="Y346" s="3">
        <f t="shared" si="353"/>
        <v>1.3484700267848126E-176</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5.1881409706128322E-3</v>
      </c>
      <c r="C347" s="3">
        <f t="shared" si="354"/>
        <v>5.1881409706128322E-3</v>
      </c>
      <c r="D347" s="3">
        <f t="shared" si="354"/>
        <v>5.1881409706128322E-3</v>
      </c>
      <c r="E347" s="3">
        <f t="shared" si="354"/>
        <v>5.1881409706128322E-3</v>
      </c>
      <c r="F347" s="3">
        <f t="shared" si="354"/>
        <v>5.1881409706128322E-3</v>
      </c>
      <c r="G347" s="3">
        <f t="shared" si="354"/>
        <v>5.1881409706128322E-3</v>
      </c>
      <c r="H347" s="3">
        <f t="shared" si="354"/>
        <v>5.1881409706128305E-3</v>
      </c>
      <c r="I347" s="3">
        <f t="shared" si="354"/>
        <v>5.1881409706128132E-3</v>
      </c>
      <c r="J347" s="3">
        <f t="shared" si="354"/>
        <v>5.1881409706126449E-3</v>
      </c>
      <c r="K347" s="3">
        <f t="shared" si="354"/>
        <v>5.1881409706109561E-3</v>
      </c>
      <c r="L347" s="3">
        <f t="shared" si="354"/>
        <v>5.1881409705940738E-3</v>
      </c>
      <c r="M347" s="3">
        <f t="shared" si="354"/>
        <v>5.1881409704252479E-3</v>
      </c>
      <c r="N347" s="3">
        <f t="shared" si="354"/>
        <v>5.1881409687369847E-3</v>
      </c>
      <c r="O347" s="3">
        <f t="shared" si="354"/>
        <v>5.1881409518543505E-3</v>
      </c>
      <c r="P347" s="3">
        <f t="shared" si="354"/>
        <v>5.1881407830280191E-3</v>
      </c>
      <c r="Q347" s="3">
        <f t="shared" si="354"/>
        <v>5.1881390947650045E-3</v>
      </c>
      <c r="R347" s="3">
        <f t="shared" si="354"/>
        <v>5.1881222121650744E-3</v>
      </c>
      <c r="S347" s="3">
        <f t="shared" si="354"/>
        <v>5.1879533891872991E-3</v>
      </c>
      <c r="T347" s="3">
        <f t="shared" si="354"/>
        <v>5.1862654615251807E-3</v>
      </c>
      <c r="U347" s="3">
        <f t="shared" si="354"/>
        <v>5.169416360124619E-3</v>
      </c>
      <c r="V347" s="3">
        <f t="shared" si="354"/>
        <v>5.0039068509762918E-3</v>
      </c>
      <c r="W347" s="3">
        <f t="shared" si="354"/>
        <v>3.6139842296255445E-3</v>
      </c>
      <c r="X347" s="3">
        <f t="shared" si="354"/>
        <v>1.3955860449866341E-4</v>
      </c>
      <c r="Y347" s="3">
        <f t="shared" si="354"/>
        <v>1.0291063745427189E-18</v>
      </c>
      <c r="Z347" s="3">
        <f t="shared" si="354"/>
        <v>4.8921162730416413E-160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3.8617191328215671E-3</v>
      </c>
      <c r="C348" s="3">
        <f t="shared" si="355"/>
        <v>3.8617191328215671E-3</v>
      </c>
      <c r="D348" s="3">
        <f t="shared" si="355"/>
        <v>3.8617191328215671E-3</v>
      </c>
      <c r="E348" s="3">
        <f t="shared" si="355"/>
        <v>3.8617191328215671E-3</v>
      </c>
      <c r="F348" s="3">
        <f t="shared" si="355"/>
        <v>3.8617191328215671E-3</v>
      </c>
      <c r="G348" s="3">
        <f t="shared" si="355"/>
        <v>3.8617191328215671E-3</v>
      </c>
      <c r="H348" s="3">
        <f t="shared" si="355"/>
        <v>3.8617191328215667E-3</v>
      </c>
      <c r="I348" s="3">
        <f t="shared" si="355"/>
        <v>3.8617191328215632E-3</v>
      </c>
      <c r="J348" s="3">
        <f t="shared" si="355"/>
        <v>3.8617191328215285E-3</v>
      </c>
      <c r="K348" s="3">
        <f t="shared" si="355"/>
        <v>3.8617191328211807E-3</v>
      </c>
      <c r="L348" s="3">
        <f t="shared" si="355"/>
        <v>3.8617191328177056E-3</v>
      </c>
      <c r="M348" s="3">
        <f t="shared" si="355"/>
        <v>3.86171913278295E-3</v>
      </c>
      <c r="N348" s="3">
        <f t="shared" si="355"/>
        <v>3.8617191324353964E-3</v>
      </c>
      <c r="O348" s="3">
        <f t="shared" si="355"/>
        <v>3.8617191289598589E-3</v>
      </c>
      <c r="P348" s="3">
        <f t="shared" si="355"/>
        <v>3.8617190942044849E-3</v>
      </c>
      <c r="Q348" s="3">
        <f t="shared" si="355"/>
        <v>3.8617187466507604E-3</v>
      </c>
      <c r="R348" s="3">
        <f t="shared" si="355"/>
        <v>3.8617152711152409E-3</v>
      </c>
      <c r="S348" s="3">
        <f t="shared" si="355"/>
        <v>3.8616805159320798E-3</v>
      </c>
      <c r="T348" s="3">
        <f t="shared" si="355"/>
        <v>3.8613329813036931E-3</v>
      </c>
      <c r="U348" s="3">
        <f t="shared" si="355"/>
        <v>3.8578593547696329E-3</v>
      </c>
      <c r="V348" s="3">
        <f t="shared" si="355"/>
        <v>3.8232944931103339E-3</v>
      </c>
      <c r="W348" s="3">
        <f t="shared" si="355"/>
        <v>3.4942289533920097E-3</v>
      </c>
      <c r="X348" s="3">
        <f t="shared" si="355"/>
        <v>1.4206510774772768E-3</v>
      </c>
      <c r="Y348" s="3">
        <f t="shared" si="355"/>
        <v>1.7532671499969702E-7</v>
      </c>
      <c r="Z348" s="3">
        <f t="shared" si="355"/>
        <v>1.4369934966473967E-46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3.0600017424879029E-3</v>
      </c>
      <c r="C349" s="3">
        <f t="shared" si="356"/>
        <v>3.0600017424879029E-3</v>
      </c>
      <c r="D349" s="3">
        <f t="shared" si="356"/>
        <v>3.0600017424879029E-3</v>
      </c>
      <c r="E349" s="3">
        <f t="shared" si="356"/>
        <v>3.0600017424879029E-3</v>
      </c>
      <c r="F349" s="3">
        <f t="shared" si="356"/>
        <v>3.0600017424879029E-3</v>
      </c>
      <c r="G349" s="3">
        <f t="shared" si="356"/>
        <v>3.0600017424879029E-3</v>
      </c>
      <c r="H349" s="3">
        <f t="shared" si="356"/>
        <v>3.0600017424879029E-3</v>
      </c>
      <c r="I349" s="3">
        <f t="shared" si="356"/>
        <v>3.0600017424879025E-3</v>
      </c>
      <c r="J349" s="3">
        <f t="shared" si="356"/>
        <v>3.0600017424878998E-3</v>
      </c>
      <c r="K349" s="3">
        <f t="shared" si="356"/>
        <v>3.0600017424878721E-3</v>
      </c>
      <c r="L349" s="3">
        <f t="shared" si="356"/>
        <v>3.0600017424875967E-3</v>
      </c>
      <c r="M349" s="3">
        <f t="shared" si="356"/>
        <v>3.0600017424848428E-3</v>
      </c>
      <c r="N349" s="3">
        <f t="shared" si="356"/>
        <v>3.0600017424573028E-3</v>
      </c>
      <c r="O349" s="3">
        <f t="shared" si="356"/>
        <v>3.0600017421819037E-3</v>
      </c>
      <c r="P349" s="3">
        <f t="shared" si="356"/>
        <v>3.0600017394279097E-3</v>
      </c>
      <c r="Q349" s="3">
        <f t="shared" si="356"/>
        <v>3.0600017118879719E-3</v>
      </c>
      <c r="R349" s="3">
        <f t="shared" si="356"/>
        <v>3.0600014364886058E-3</v>
      </c>
      <c r="S349" s="3">
        <f t="shared" si="356"/>
        <v>3.0599986824963081E-3</v>
      </c>
      <c r="T349" s="3">
        <f t="shared" si="356"/>
        <v>3.0599711427096547E-3</v>
      </c>
      <c r="U349" s="3">
        <f t="shared" si="356"/>
        <v>3.0596957584748462E-3</v>
      </c>
      <c r="V349" s="3">
        <f t="shared" si="356"/>
        <v>3.0569432788455963E-3</v>
      </c>
      <c r="W349" s="3">
        <f t="shared" si="356"/>
        <v>3.0295543017427925E-3</v>
      </c>
      <c r="X349" s="3">
        <f t="shared" si="356"/>
        <v>2.7688048556288613E-3</v>
      </c>
      <c r="Y349" s="3">
        <f t="shared" si="356"/>
        <v>1.1257149013246604E-3</v>
      </c>
      <c r="Z349" s="3">
        <f t="shared" si="356"/>
        <v>1.3892777671061715E-7</v>
      </c>
      <c r="AA349" s="3">
        <f t="shared" si="356"/>
        <v>1.138664530600391E-46</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1.8593150246318942E-3</v>
      </c>
      <c r="C350" s="3">
        <f t="shared" si="357"/>
        <v>1.8593150246318942E-3</v>
      </c>
      <c r="D350" s="3">
        <f t="shared" si="357"/>
        <v>1.8593150246318942E-3</v>
      </c>
      <c r="E350" s="3">
        <f t="shared" si="357"/>
        <v>1.8593150246318942E-3</v>
      </c>
      <c r="F350" s="3">
        <f t="shared" si="357"/>
        <v>1.8593150246318942E-3</v>
      </c>
      <c r="G350" s="3">
        <f t="shared" si="357"/>
        <v>1.8593150246318942E-3</v>
      </c>
      <c r="H350" s="3">
        <f t="shared" si="357"/>
        <v>1.8593150246318942E-3</v>
      </c>
      <c r="I350" s="3">
        <f t="shared" si="357"/>
        <v>1.8593150246318942E-3</v>
      </c>
      <c r="J350" s="3">
        <f t="shared" si="357"/>
        <v>1.859315024631894E-3</v>
      </c>
      <c r="K350" s="3">
        <f t="shared" si="357"/>
        <v>1.8593150246318923E-3</v>
      </c>
      <c r="L350" s="3">
        <f t="shared" si="357"/>
        <v>1.8593150246318756E-3</v>
      </c>
      <c r="M350" s="3">
        <f t="shared" si="357"/>
        <v>1.8593150246317082E-3</v>
      </c>
      <c r="N350" s="3">
        <f t="shared" si="357"/>
        <v>1.859315024630035E-3</v>
      </c>
      <c r="O350" s="3">
        <f t="shared" si="357"/>
        <v>1.859315024613301E-3</v>
      </c>
      <c r="P350" s="3">
        <f t="shared" si="357"/>
        <v>1.8593150244459633E-3</v>
      </c>
      <c r="Q350" s="3">
        <f t="shared" si="357"/>
        <v>1.8593150227725844E-3</v>
      </c>
      <c r="R350" s="3">
        <f t="shared" si="357"/>
        <v>1.8593150060387965E-3</v>
      </c>
      <c r="S350" s="3">
        <f t="shared" si="357"/>
        <v>1.8593148387009246E-3</v>
      </c>
      <c r="T350" s="3">
        <f t="shared" si="357"/>
        <v>1.8593131653230357E-3</v>
      </c>
      <c r="U350" s="3">
        <f t="shared" si="357"/>
        <v>1.8592964316269762E-3</v>
      </c>
      <c r="V350" s="3">
        <f t="shared" si="357"/>
        <v>1.8591291029492775E-3</v>
      </c>
      <c r="W350" s="3">
        <f t="shared" si="357"/>
        <v>1.8574566441860688E-3</v>
      </c>
      <c r="X350" s="3">
        <f t="shared" si="357"/>
        <v>1.840814582866477E-3</v>
      </c>
      <c r="Y350" s="3">
        <f t="shared" si="357"/>
        <v>1.6823782800067593E-3</v>
      </c>
      <c r="Z350" s="3">
        <f t="shared" si="357"/>
        <v>6.8400569856643669E-4</v>
      </c>
      <c r="AA350" s="3">
        <f t="shared" si="357"/>
        <v>8.4415148851104488E-8</v>
      </c>
      <c r="AB350" s="3">
        <f t="shared" si="357"/>
        <v>6.9187413862039647E-47</v>
      </c>
      <c r="AC350" s="3">
        <f t="shared" si="357"/>
        <v>0</v>
      </c>
      <c r="AD350" s="3">
        <f t="shared" si="357"/>
        <v>0</v>
      </c>
      <c r="AE350" s="3">
        <f t="shared" si="357"/>
        <v>0</v>
      </c>
      <c r="AF350" s="3">
        <f t="shared" si="357"/>
        <v>0</v>
      </c>
      <c r="AG350" s="3"/>
      <c r="AH350" s="3"/>
    </row>
    <row r="351" spans="2:34" x14ac:dyDescent="0.25">
      <c r="B351" s="3">
        <f t="shared" ref="B351:AF351" si="358">$C42*EXP(-B$363/$A42/EXP(-$G$126))</f>
        <v>1.0289911498978865E-4</v>
      </c>
      <c r="C351" s="3">
        <f t="shared" si="358"/>
        <v>1.0289911498978865E-4</v>
      </c>
      <c r="D351" s="3">
        <f t="shared" si="358"/>
        <v>1.0289911498978865E-4</v>
      </c>
      <c r="E351" s="3">
        <f t="shared" si="358"/>
        <v>1.0289911498978865E-4</v>
      </c>
      <c r="F351" s="3">
        <f t="shared" si="358"/>
        <v>1.0289911498978865E-4</v>
      </c>
      <c r="G351" s="3">
        <f t="shared" si="358"/>
        <v>1.0289911498978865E-4</v>
      </c>
      <c r="H351" s="3">
        <f t="shared" si="358"/>
        <v>1.0289911498978865E-4</v>
      </c>
      <c r="I351" s="3">
        <f t="shared" si="358"/>
        <v>1.0289911498978865E-4</v>
      </c>
      <c r="J351" s="3">
        <f t="shared" si="358"/>
        <v>1.0289911498978865E-4</v>
      </c>
      <c r="K351" s="3">
        <f t="shared" si="358"/>
        <v>1.0289911498978864E-4</v>
      </c>
      <c r="L351" s="3">
        <f t="shared" si="358"/>
        <v>1.0289911498978854E-4</v>
      </c>
      <c r="M351" s="3">
        <f t="shared" si="358"/>
        <v>1.0289911498978762E-4</v>
      </c>
      <c r="N351" s="3">
        <f t="shared" si="358"/>
        <v>1.0289911498977837E-4</v>
      </c>
      <c r="O351" s="3">
        <f t="shared" si="358"/>
        <v>1.0289911498968576E-4</v>
      </c>
      <c r="P351" s="3">
        <f t="shared" si="358"/>
        <v>1.0289911498875966E-4</v>
      </c>
      <c r="Q351" s="3">
        <f t="shared" si="358"/>
        <v>1.0289911497949877E-4</v>
      </c>
      <c r="R351" s="3">
        <f t="shared" si="358"/>
        <v>1.0289911488688983E-4</v>
      </c>
      <c r="S351" s="3">
        <f t="shared" si="358"/>
        <v>1.0289911396080041E-4</v>
      </c>
      <c r="T351" s="3">
        <f t="shared" si="358"/>
        <v>1.0289910469990664E-4</v>
      </c>
      <c r="U351" s="3">
        <f t="shared" si="358"/>
        <v>1.0289901209101491E-4</v>
      </c>
      <c r="V351" s="3">
        <f t="shared" si="358"/>
        <v>1.0289808600668158E-4</v>
      </c>
      <c r="W351" s="3">
        <f t="shared" si="358"/>
        <v>1.0288882562174439E-4</v>
      </c>
      <c r="X351" s="3">
        <f t="shared" si="358"/>
        <v>1.0279626759671301E-4</v>
      </c>
      <c r="Y351" s="3">
        <f t="shared" si="358"/>
        <v>1.0187525455766071E-4</v>
      </c>
      <c r="Z351" s="3">
        <f t="shared" si="358"/>
        <v>9.3106995747001834E-5</v>
      </c>
      <c r="AA351" s="3">
        <f t="shared" si="358"/>
        <v>3.7854575528099638E-5</v>
      </c>
      <c r="AB351" s="3">
        <f t="shared" si="358"/>
        <v>4.6717441603149645E-9</v>
      </c>
      <c r="AC351" s="3">
        <f t="shared" si="358"/>
        <v>3.8290034558536382E-48</v>
      </c>
      <c r="AD351" s="3">
        <f t="shared" si="358"/>
        <v>0</v>
      </c>
      <c r="AE351" s="3">
        <f t="shared" si="358"/>
        <v>0</v>
      </c>
      <c r="AF351" s="3">
        <f t="shared" si="358"/>
        <v>0</v>
      </c>
      <c r="AG351" s="3"/>
      <c r="AH351" s="3"/>
    </row>
    <row r="352" spans="2:34" x14ac:dyDescent="0.25">
      <c r="B352" s="3">
        <f t="shared" ref="B352:AF352" si="359">$C43*EXP(-B$363/$A43/EXP(-$G$126))</f>
        <v>3.4301074619822757E-3</v>
      </c>
      <c r="C352" s="3">
        <f t="shared" si="359"/>
        <v>3.4301074619822757E-3</v>
      </c>
      <c r="D352" s="3">
        <f t="shared" si="359"/>
        <v>3.4301074619822757E-3</v>
      </c>
      <c r="E352" s="3">
        <f t="shared" si="359"/>
        <v>3.4301074619822757E-3</v>
      </c>
      <c r="F352" s="3">
        <f t="shared" si="359"/>
        <v>3.4301074619822757E-3</v>
      </c>
      <c r="G352" s="3">
        <f t="shared" si="359"/>
        <v>3.4301074619822757E-3</v>
      </c>
      <c r="H352" s="3">
        <f t="shared" si="359"/>
        <v>3.4301074619822757E-3</v>
      </c>
      <c r="I352" s="3">
        <f t="shared" si="359"/>
        <v>3.4301074619822757E-3</v>
      </c>
      <c r="J352" s="3">
        <f t="shared" si="359"/>
        <v>3.4301074619822757E-3</v>
      </c>
      <c r="K352" s="3">
        <f t="shared" si="359"/>
        <v>3.4301074619822757E-3</v>
      </c>
      <c r="L352" s="3">
        <f t="shared" si="359"/>
        <v>3.4301074619822753E-3</v>
      </c>
      <c r="M352" s="3">
        <f t="shared" si="359"/>
        <v>3.4301074619822723E-3</v>
      </c>
      <c r="N352" s="3">
        <f t="shared" si="359"/>
        <v>3.4301074619822415E-3</v>
      </c>
      <c r="O352" s="3">
        <f t="shared" si="359"/>
        <v>3.4301074619819327E-3</v>
      </c>
      <c r="P352" s="3">
        <f t="shared" si="359"/>
        <v>3.4301074619788458E-3</v>
      </c>
      <c r="Q352" s="3">
        <f t="shared" si="359"/>
        <v>3.4301074619479746E-3</v>
      </c>
      <c r="R352" s="3">
        <f t="shared" si="359"/>
        <v>3.4301074616392663E-3</v>
      </c>
      <c r="S352" s="3">
        <f t="shared" si="359"/>
        <v>3.4301074585521779E-3</v>
      </c>
      <c r="T352" s="3">
        <f t="shared" si="359"/>
        <v>3.4301074276812979E-3</v>
      </c>
      <c r="U352" s="3">
        <f t="shared" si="359"/>
        <v>3.4301071189725128E-3</v>
      </c>
      <c r="V352" s="3">
        <f t="shared" si="359"/>
        <v>3.4301040318861892E-3</v>
      </c>
      <c r="W352" s="3">
        <f t="shared" si="359"/>
        <v>3.4300731611757612E-3</v>
      </c>
      <c r="X352" s="3">
        <f t="shared" si="359"/>
        <v>3.429764469351958E-3</v>
      </c>
      <c r="Y352" s="3">
        <f t="shared" si="359"/>
        <v>3.426679078652942E-3</v>
      </c>
      <c r="Z352" s="3">
        <f t="shared" si="359"/>
        <v>3.3959774181172831E-3</v>
      </c>
      <c r="AA352" s="3">
        <f t="shared" si="359"/>
        <v>3.1036904535693614E-3</v>
      </c>
      <c r="AB352" s="3">
        <f t="shared" si="359"/>
        <v>1.2618695700346073E-3</v>
      </c>
      <c r="AC352" s="3">
        <f t="shared" si="359"/>
        <v>1.5573102359878123E-7</v>
      </c>
      <c r="AD352" s="3">
        <f t="shared" si="359"/>
        <v>1.2763854506603722E-46</v>
      </c>
      <c r="AE352" s="3">
        <f t="shared" si="359"/>
        <v>0</v>
      </c>
      <c r="AF352" s="3">
        <f t="shared" si="359"/>
        <v>0</v>
      </c>
      <c r="AG352" s="3"/>
      <c r="AH352" s="3"/>
    </row>
    <row r="353" spans="1:34" x14ac:dyDescent="0.25">
      <c r="B353" s="3">
        <f t="shared" ref="B353:AF353" si="360">$C44*EXP(-B$363/$A44/EXP(-$G$126))</f>
        <v>1.0099566360327609E-4</v>
      </c>
      <c r="C353" s="3">
        <f t="shared" si="360"/>
        <v>1.0099566360327609E-4</v>
      </c>
      <c r="D353" s="3">
        <f t="shared" si="360"/>
        <v>1.0099566360327609E-4</v>
      </c>
      <c r="E353" s="3">
        <f t="shared" si="360"/>
        <v>1.0099566360327609E-4</v>
      </c>
      <c r="F353" s="3">
        <f t="shared" si="360"/>
        <v>1.0099566360327609E-4</v>
      </c>
      <c r="G353" s="3">
        <f t="shared" si="360"/>
        <v>1.0099566360327609E-4</v>
      </c>
      <c r="H353" s="3">
        <f t="shared" si="360"/>
        <v>1.0099566360327609E-4</v>
      </c>
      <c r="I353" s="3">
        <f t="shared" si="360"/>
        <v>1.0099566360327609E-4</v>
      </c>
      <c r="J353" s="3">
        <f t="shared" si="360"/>
        <v>1.0099566360327609E-4</v>
      </c>
      <c r="K353" s="3">
        <f t="shared" si="360"/>
        <v>1.0099566360327609E-4</v>
      </c>
      <c r="L353" s="3">
        <f t="shared" si="360"/>
        <v>1.0099566360327609E-4</v>
      </c>
      <c r="M353" s="3">
        <f t="shared" si="360"/>
        <v>1.0099566360327608E-4</v>
      </c>
      <c r="N353" s="3">
        <f t="shared" si="360"/>
        <v>1.00995663603276E-4</v>
      </c>
      <c r="O353" s="3">
        <f t="shared" si="360"/>
        <v>1.0099566360327509E-4</v>
      </c>
      <c r="P353" s="3">
        <f t="shared" si="360"/>
        <v>1.00995663603266E-4</v>
      </c>
      <c r="Q353" s="3">
        <f t="shared" si="360"/>
        <v>1.009956636031751E-4</v>
      </c>
      <c r="R353" s="3">
        <f t="shared" si="360"/>
        <v>1.0099566360226613E-4</v>
      </c>
      <c r="S353" s="3">
        <f t="shared" si="360"/>
        <v>1.0099566359317656E-4</v>
      </c>
      <c r="T353" s="3">
        <f t="shared" si="360"/>
        <v>1.0099566350228071E-4</v>
      </c>
      <c r="U353" s="3">
        <f t="shared" si="360"/>
        <v>1.0099566259332231E-4</v>
      </c>
      <c r="V353" s="3">
        <f t="shared" si="360"/>
        <v>1.0099565350373868E-4</v>
      </c>
      <c r="W353" s="3">
        <f t="shared" si="360"/>
        <v>1.0099556260794743E-4</v>
      </c>
      <c r="X353" s="3">
        <f t="shared" si="360"/>
        <v>1.0099465365453412E-4</v>
      </c>
      <c r="Y353" s="3">
        <f t="shared" si="360"/>
        <v>1.0098556457031752E-4</v>
      </c>
      <c r="Z353" s="3">
        <f t="shared" si="360"/>
        <v>1.0089471870482315E-4</v>
      </c>
      <c r="AA353" s="3">
        <f t="shared" si="360"/>
        <v>9.9990742775821369E-5</v>
      </c>
      <c r="AB353" s="3">
        <f t="shared" si="360"/>
        <v>9.1384681224022346E-5</v>
      </c>
      <c r="AC353" s="3">
        <f t="shared" si="360"/>
        <v>3.7154332923661726E-5</v>
      </c>
      <c r="AD353" s="3">
        <f t="shared" si="360"/>
        <v>4.5853251673016046E-9</v>
      </c>
      <c r="AE353" s="3">
        <f t="shared" si="360"/>
        <v>3.7581736733260696E-48</v>
      </c>
      <c r="AF353" s="3">
        <f t="shared" si="360"/>
        <v>0</v>
      </c>
      <c r="AG353" s="3"/>
      <c r="AH353" s="3"/>
    </row>
    <row r="354" spans="1:34" x14ac:dyDescent="0.25">
      <c r="B354" s="3">
        <f t="shared" ref="B354:AF354" si="361">$C45*EXP(-B$363/$A45/EXP(-$G$126))</f>
        <v>2.8535751866135694E-4</v>
      </c>
      <c r="C354" s="3">
        <f t="shared" si="361"/>
        <v>2.8535751866135694E-4</v>
      </c>
      <c r="D354" s="3">
        <f t="shared" si="361"/>
        <v>2.8535751866135694E-4</v>
      </c>
      <c r="E354" s="3">
        <f t="shared" si="361"/>
        <v>2.8535751866135694E-4</v>
      </c>
      <c r="F354" s="3">
        <f t="shared" si="361"/>
        <v>2.8535751866135694E-4</v>
      </c>
      <c r="G354" s="3">
        <f t="shared" si="361"/>
        <v>2.8535751866135694E-4</v>
      </c>
      <c r="H354" s="3">
        <f t="shared" si="361"/>
        <v>2.8535751866135694E-4</v>
      </c>
      <c r="I354" s="3">
        <f t="shared" si="361"/>
        <v>2.8535751866135694E-4</v>
      </c>
      <c r="J354" s="3">
        <f t="shared" si="361"/>
        <v>2.8535751866135694E-4</v>
      </c>
      <c r="K354" s="3">
        <f t="shared" si="361"/>
        <v>2.8535751866135694E-4</v>
      </c>
      <c r="L354" s="3">
        <f t="shared" si="361"/>
        <v>2.8535751866135694E-4</v>
      </c>
      <c r="M354" s="3">
        <f t="shared" si="361"/>
        <v>2.8535751866135694E-4</v>
      </c>
      <c r="N354" s="3">
        <f t="shared" si="361"/>
        <v>2.8535751866135689E-4</v>
      </c>
      <c r="O354" s="3">
        <f t="shared" si="361"/>
        <v>2.8535751866135667E-4</v>
      </c>
      <c r="P354" s="3">
        <f t="shared" si="361"/>
        <v>2.8535751866135407E-4</v>
      </c>
      <c r="Q354" s="3">
        <f t="shared" si="361"/>
        <v>2.8535751866132838E-4</v>
      </c>
      <c r="R354" s="3">
        <f t="shared" si="361"/>
        <v>2.8535751866107158E-4</v>
      </c>
      <c r="S354" s="3">
        <f t="shared" si="361"/>
        <v>2.8535751865850338E-4</v>
      </c>
      <c r="T354" s="3">
        <f t="shared" si="361"/>
        <v>2.8535751863282129E-4</v>
      </c>
      <c r="U354" s="3">
        <f t="shared" si="361"/>
        <v>2.8535751837600025E-4</v>
      </c>
      <c r="V354" s="3">
        <f t="shared" si="361"/>
        <v>2.8535751580778984E-4</v>
      </c>
      <c r="W354" s="3">
        <f t="shared" si="361"/>
        <v>2.8535749012568686E-4</v>
      </c>
      <c r="X354" s="3">
        <f t="shared" si="361"/>
        <v>2.8535723330478464E-4</v>
      </c>
      <c r="Y354" s="3">
        <f t="shared" si="361"/>
        <v>2.8535466510847451E-4</v>
      </c>
      <c r="Z354" s="3">
        <f t="shared" si="361"/>
        <v>2.853289844165872E-4</v>
      </c>
      <c r="AA354" s="3">
        <f t="shared" si="361"/>
        <v>2.850723045767483E-4</v>
      </c>
      <c r="AB354" s="3">
        <f t="shared" si="361"/>
        <v>2.8251817186623082E-4</v>
      </c>
      <c r="AC354" s="3">
        <f t="shared" si="361"/>
        <v>2.5820223311944472E-4</v>
      </c>
      <c r="AD354" s="3">
        <f t="shared" si="361"/>
        <v>1.0497746014384477E-4</v>
      </c>
      <c r="AE354" s="3">
        <f t="shared" si="361"/>
        <v>1.2955576163511774E-8</v>
      </c>
      <c r="AF354" s="3">
        <f t="shared" si="361"/>
        <v>1.0618506536393282E-47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1.5499334140859142E-4</v>
      </c>
      <c r="C357" s="3">
        <f t="shared" si="364"/>
        <v>1.5499334140859142E-4</v>
      </c>
      <c r="D357" s="3">
        <f t="shared" si="364"/>
        <v>1.5499334140859142E-4</v>
      </c>
      <c r="E357" s="3">
        <f t="shared" si="364"/>
        <v>1.5499334140859142E-4</v>
      </c>
      <c r="F357" s="3">
        <f t="shared" si="364"/>
        <v>1.5499334140859142E-4</v>
      </c>
      <c r="G357" s="3">
        <f t="shared" si="364"/>
        <v>1.5499334140859142E-4</v>
      </c>
      <c r="H357" s="3">
        <f t="shared" si="364"/>
        <v>1.5499334140859142E-4</v>
      </c>
      <c r="I357" s="3">
        <f t="shared" si="364"/>
        <v>1.5499334140859142E-4</v>
      </c>
      <c r="J357" s="3">
        <f t="shared" si="364"/>
        <v>1.5499334140859142E-4</v>
      </c>
      <c r="K357" s="3">
        <f t="shared" si="364"/>
        <v>1.5499334140859142E-4</v>
      </c>
      <c r="L357" s="3">
        <f t="shared" si="364"/>
        <v>1.5499334140859142E-4</v>
      </c>
      <c r="M357" s="3">
        <f t="shared" si="364"/>
        <v>1.5499334140859142E-4</v>
      </c>
      <c r="N357" s="3">
        <f t="shared" si="364"/>
        <v>1.5499334140859142E-4</v>
      </c>
      <c r="O357" s="3">
        <f t="shared" si="364"/>
        <v>1.5499334140859142E-4</v>
      </c>
      <c r="P357" s="3">
        <f t="shared" si="364"/>
        <v>1.5499334140859142E-4</v>
      </c>
      <c r="Q357" s="3">
        <f t="shared" si="364"/>
        <v>1.5499334140859139E-4</v>
      </c>
      <c r="R357" s="3">
        <f t="shared" si="364"/>
        <v>1.5499334140859126E-4</v>
      </c>
      <c r="S357" s="3">
        <f t="shared" si="364"/>
        <v>1.5499334140858987E-4</v>
      </c>
      <c r="T357" s="3">
        <f t="shared" si="364"/>
        <v>1.5499334140857591E-4</v>
      </c>
      <c r="U357" s="3">
        <f t="shared" si="364"/>
        <v>1.5499334140843643E-4</v>
      </c>
      <c r="V357" s="3">
        <f t="shared" si="364"/>
        <v>1.549933414070415E-4</v>
      </c>
      <c r="W357" s="3">
        <f t="shared" si="364"/>
        <v>1.5499334139309213E-4</v>
      </c>
      <c r="X357" s="3">
        <f t="shared" si="364"/>
        <v>1.5499334125359851E-4</v>
      </c>
      <c r="Y357" s="3">
        <f t="shared" si="364"/>
        <v>1.549933398586624E-4</v>
      </c>
      <c r="Z357" s="3">
        <f t="shared" si="364"/>
        <v>1.5499332590930169E-4</v>
      </c>
      <c r="AA357" s="3">
        <f t="shared" si="364"/>
        <v>1.5499318641576401E-4</v>
      </c>
      <c r="AB357" s="3">
        <f t="shared" si="364"/>
        <v>1.5499179148729196E-4</v>
      </c>
      <c r="AC357" s="3">
        <f t="shared" si="364"/>
        <v>1.5497784289303739E-4</v>
      </c>
      <c r="AD357" s="3">
        <f t="shared" si="364"/>
        <v>1.5483842597409483E-4</v>
      </c>
      <c r="AE357" s="3">
        <f t="shared" si="364"/>
        <v>1.5345113621540487E-4</v>
      </c>
      <c r="AF357" s="3">
        <f t="shared" si="364"/>
        <v>1.4024381434937902E-4</v>
      </c>
      <c r="AG357" s="3"/>
      <c r="AH357" s="3"/>
    </row>
    <row r="358" spans="1:34" x14ac:dyDescent="0.25">
      <c r="A358" s="79">
        <f>AVERAGE(B358:AF358)</f>
        <v>8.0143266276437245E-6</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6.0235647753468389E-6</v>
      </c>
      <c r="M358" s="80">
        <f t="shared" si="365"/>
        <v>1.2192420292625994E-5</v>
      </c>
      <c r="N358" s="80">
        <f t="shared" si="365"/>
        <v>1.8529143727980802E-5</v>
      </c>
      <c r="O358" s="80">
        <f t="shared" si="365"/>
        <v>1.9448783280703635E-5</v>
      </c>
      <c r="P358" s="80">
        <f t="shared" si="365"/>
        <v>1.4623694839024809E-5</v>
      </c>
      <c r="Q358" s="80">
        <f t="shared" si="365"/>
        <v>1.149365207508706E-5</v>
      </c>
      <c r="R358" s="80">
        <f t="shared" si="365"/>
        <v>1.4489150240783396E-5</v>
      </c>
      <c r="S358" s="80">
        <f t="shared" si="365"/>
        <v>2.62375214533855E-5</v>
      </c>
      <c r="T358" s="80">
        <f t="shared" si="365"/>
        <v>3.6076556447748235E-5</v>
      </c>
      <c r="U358" s="80">
        <f t="shared" si="365"/>
        <v>4.065837087224727E-5</v>
      </c>
      <c r="V358" s="80">
        <f t="shared" si="365"/>
        <v>4.867126745202191E-5</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3608.8022865585199</v>
      </c>
      <c r="C359" s="21">
        <f t="shared" ref="C359:AF359" si="366">(C326-C325)^2</f>
        <v>6037.4841618961464</v>
      </c>
      <c r="D359" s="21">
        <f t="shared" si="366"/>
        <v>423.17165380855607</v>
      </c>
      <c r="E359" s="21">
        <f t="shared" si="366"/>
        <v>11.277884979941655</v>
      </c>
      <c r="F359" s="21">
        <f t="shared" si="366"/>
        <v>0.21778333915082837</v>
      </c>
      <c r="G359" s="21">
        <f t="shared" si="366"/>
        <v>3.426627500758173E-3</v>
      </c>
      <c r="H359" s="21">
        <f t="shared" si="366"/>
        <v>1.0561503194755446E-4</v>
      </c>
      <c r="I359" s="21">
        <f t="shared" si="366"/>
        <v>7.1184849525842984E-5</v>
      </c>
      <c r="J359" s="21">
        <f t="shared" si="366"/>
        <v>7.3468306524174568E-5</v>
      </c>
      <c r="K359" s="21">
        <f t="shared" si="366"/>
        <v>1.1985150643642974E-4</v>
      </c>
      <c r="L359" s="21">
        <f t="shared" si="366"/>
        <v>3.6854300986888998E-4</v>
      </c>
      <c r="M359" s="21">
        <f t="shared" si="366"/>
        <v>1.3351917442911648E-3</v>
      </c>
      <c r="N359" s="21">
        <f t="shared" si="366"/>
        <v>2.6631070965685158E-3</v>
      </c>
      <c r="O359" s="21">
        <f t="shared" si="366"/>
        <v>2.4570269465653328E-3</v>
      </c>
      <c r="P359" s="21">
        <f t="shared" si="366"/>
        <v>1.1095182520973138E-3</v>
      </c>
      <c r="Q359" s="21">
        <f t="shared" si="366"/>
        <v>4.9995426459105408E-4</v>
      </c>
      <c r="R359" s="21">
        <f t="shared" si="366"/>
        <v>5.0245499997832101E-4</v>
      </c>
      <c r="S359" s="21">
        <f t="shared" si="366"/>
        <v>9.0198839341675701E-4</v>
      </c>
      <c r="T359" s="21">
        <f t="shared" si="366"/>
        <v>8.3303694845117751E-4</v>
      </c>
      <c r="U359" s="21">
        <f t="shared" si="366"/>
        <v>5.0074297781715232E-4</v>
      </c>
      <c r="V359" s="21">
        <f t="shared" si="366"/>
        <v>3.7976128557941607E-4</v>
      </c>
      <c r="W359" s="21">
        <f t="shared" si="366"/>
        <v>2.8428508764416363E-4</v>
      </c>
      <c r="X359" s="21">
        <f t="shared" si="366"/>
        <v>4.6165304907791731E-4</v>
      </c>
      <c r="Y359" s="21">
        <f t="shared" si="366"/>
        <v>1.235647792343004E-3</v>
      </c>
      <c r="Z359" s="21">
        <f t="shared" si="366"/>
        <v>2.0705160879306165E-3</v>
      </c>
      <c r="AA359" s="21">
        <f t="shared" si="366"/>
        <v>2.1187574314087874E-3</v>
      </c>
      <c r="AB359" s="21">
        <f t="shared" si="366"/>
        <v>1.5544898202934268E-3</v>
      </c>
      <c r="AC359" s="21">
        <f t="shared" si="366"/>
        <v>1.0940604265280271E-3</v>
      </c>
      <c r="AD359" s="21">
        <f t="shared" si="366"/>
        <v>1.0807844219895214E-3</v>
      </c>
      <c r="AE359" s="21">
        <f t="shared" si="366"/>
        <v>3.4988657543975728E-5</v>
      </c>
      <c r="AF359" s="21">
        <f t="shared" si="366"/>
        <v>5.5371035186934259E-4</v>
      </c>
      <c r="AG359" s="3"/>
      <c r="AH359" s="3"/>
    </row>
    <row r="360" spans="1:34" x14ac:dyDescent="0.25">
      <c r="A360" s="71">
        <f>SUM(B360:AF360)</f>
        <v>1.1551325919225095E-2</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3.6854300986888998E-4</v>
      </c>
      <c r="M360" s="60">
        <f t="shared" si="367"/>
        <v>1.3351917442911648E-3</v>
      </c>
      <c r="N360" s="60">
        <f t="shared" si="367"/>
        <v>2.6631070965685158E-3</v>
      </c>
      <c r="O360" s="60">
        <f t="shared" si="367"/>
        <v>2.4570269465653328E-3</v>
      </c>
      <c r="P360" s="60">
        <f t="shared" si="367"/>
        <v>1.1095182520973138E-3</v>
      </c>
      <c r="Q360" s="60">
        <f t="shared" si="367"/>
        <v>4.9995426459105408E-4</v>
      </c>
      <c r="R360" s="60">
        <f t="shared" si="367"/>
        <v>5.0245499997832101E-4</v>
      </c>
      <c r="S360" s="60">
        <f t="shared" si="367"/>
        <v>9.0198839341675701E-4</v>
      </c>
      <c r="T360" s="60">
        <f t="shared" si="367"/>
        <v>8.3303694845117751E-4</v>
      </c>
      <c r="U360" s="60">
        <f t="shared" si="367"/>
        <v>5.0074297781715232E-4</v>
      </c>
      <c r="V360" s="60">
        <f t="shared" si="367"/>
        <v>3.7976128557941607E-4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3864.5580453351822</v>
      </c>
      <c r="C365" s="27">
        <f t="shared" ref="C365:AF365" si="368">($C$17+SUM(C366:C396))*$B$51</f>
        <v>3689.1325657316042</v>
      </c>
      <c r="D365" s="27">
        <f t="shared" si="368"/>
        <v>3519.1363439659058</v>
      </c>
      <c r="E365" s="27">
        <f t="shared" si="368"/>
        <v>3350.6103426149089</v>
      </c>
      <c r="F365" s="27">
        <f t="shared" si="368"/>
        <v>3180.3165999239554</v>
      </c>
      <c r="G365" s="27">
        <f t="shared" si="368"/>
        <v>2989.2048851784066</v>
      </c>
      <c r="H365" s="27">
        <f t="shared" si="368"/>
        <v>2776.735249847557</v>
      </c>
      <c r="I365" s="27">
        <f t="shared" si="368"/>
        <v>2539.4187855500927</v>
      </c>
      <c r="J365" s="27">
        <f t="shared" si="368"/>
        <v>2267.2678069693993</v>
      </c>
      <c r="K365" s="27">
        <f t="shared" si="368"/>
        <v>1932.2166727832182</v>
      </c>
      <c r="L365" s="27">
        <f t="shared" si="368"/>
        <v>1533.3580569458543</v>
      </c>
      <c r="M365" s="27">
        <f t="shared" si="368"/>
        <v>1132.8569421532998</v>
      </c>
      <c r="N365" s="27">
        <f t="shared" si="368"/>
        <v>791.29903570396618</v>
      </c>
      <c r="O365" s="27">
        <f t="shared" si="368"/>
        <v>545.04548354501912</v>
      </c>
      <c r="P365" s="27">
        <f t="shared" si="368"/>
        <v>397.46683247842151</v>
      </c>
      <c r="Q365" s="27">
        <f t="shared" si="368"/>
        <v>322.10529516079191</v>
      </c>
      <c r="R365" s="27">
        <f t="shared" si="368"/>
        <v>284.53800925488122</v>
      </c>
      <c r="S365" s="27">
        <f t="shared" si="368"/>
        <v>264.12806914853974</v>
      </c>
      <c r="T365" s="27">
        <f t="shared" si="368"/>
        <v>251.0127733654609</v>
      </c>
      <c r="U365" s="27">
        <f t="shared" si="368"/>
        <v>244.79819328194554</v>
      </c>
      <c r="V365" s="27">
        <f t="shared" si="368"/>
        <v>232.64776872952396</v>
      </c>
      <c r="W365" s="27">
        <f t="shared" si="368"/>
        <v>224.9383062935637</v>
      </c>
      <c r="X365" s="27">
        <f t="shared" si="368"/>
        <v>223.73837132265569</v>
      </c>
      <c r="Y365" s="27">
        <f t="shared" si="368"/>
        <v>223.13025348961168</v>
      </c>
      <c r="Z365" s="27">
        <f t="shared" si="368"/>
        <v>223.04215447642687</v>
      </c>
      <c r="AA365" s="27">
        <f t="shared" si="368"/>
        <v>222.50625713678471</v>
      </c>
      <c r="AB365" s="27">
        <f t="shared" si="368"/>
        <v>222.18100611358943</v>
      </c>
      <c r="AC365" s="27">
        <f t="shared" si="368"/>
        <v>222.18098689104067</v>
      </c>
      <c r="AD365" s="27">
        <f t="shared" si="368"/>
        <v>222.18098689104067</v>
      </c>
      <c r="AE365" s="27">
        <f t="shared" si="368"/>
        <v>222.18098689104067</v>
      </c>
      <c r="AF365" s="27">
        <f t="shared" si="368"/>
        <v>222.18098689104067</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4.717966348722136E-100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5.5899432277133097E-11</v>
      </c>
      <c r="C370" s="3">
        <f t="shared" si="373"/>
        <v>1.7278791942123017E-90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4.8424383371327463E-3</v>
      </c>
      <c r="C371" s="3">
        <f t="shared" si="374"/>
        <v>3.2554437809435735E-10</v>
      </c>
      <c r="D371" s="3">
        <f t="shared" si="374"/>
        <v>6.1386264458221639E-82</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2.526940828665199E-2</v>
      </c>
      <c r="C372" s="3">
        <f t="shared" si="375"/>
        <v>5.6961322203763678E-3</v>
      </c>
      <c r="D372" s="3">
        <f t="shared" si="375"/>
        <v>1.9294341178038464E-9</v>
      </c>
      <c r="E372" s="3">
        <f t="shared" si="375"/>
        <v>3.8364440999745114E-74</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2.8163012566148123E-2</v>
      </c>
      <c r="C373" s="3">
        <f t="shared" si="376"/>
        <v>2.4621412958388659E-2</v>
      </c>
      <c r="D373" s="3">
        <f t="shared" si="376"/>
        <v>6.4217235578009979E-3</v>
      </c>
      <c r="E373" s="3">
        <f t="shared" si="376"/>
        <v>9.35487403770001E-9</v>
      </c>
      <c r="F373" s="3">
        <f t="shared" si="376"/>
        <v>4.0262554371258165E-67</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2.8550983915120395E-2</v>
      </c>
      <c r="C374" s="3">
        <f t="shared" si="377"/>
        <v>2.8206939580716229E-2</v>
      </c>
      <c r="D374" s="3">
        <f t="shared" si="377"/>
        <v>2.498646727169887E-2</v>
      </c>
      <c r="E374" s="3">
        <f t="shared" si="377"/>
        <v>7.4335069052096905E-3</v>
      </c>
      <c r="F374" s="3">
        <f t="shared" si="377"/>
        <v>4.0372223292285349E-8</v>
      </c>
      <c r="G374" s="3">
        <f t="shared" si="377"/>
        <v>9.0151268231678349E-61</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2.8112415701614289E-2</v>
      </c>
      <c r="C375" s="3">
        <f t="shared" si="378"/>
        <v>2.8081687968130872E-2</v>
      </c>
      <c r="D375" s="3">
        <f t="shared" si="378"/>
        <v>2.7776251838802932E-2</v>
      </c>
      <c r="E375" s="3">
        <f t="shared" si="378"/>
        <v>2.4898773758050604E-2</v>
      </c>
      <c r="F375" s="3">
        <f t="shared" si="378"/>
        <v>8.3410579378502374E-3</v>
      </c>
      <c r="G375" s="3">
        <f t="shared" si="378"/>
        <v>1.4847486063916681E-7</v>
      </c>
      <c r="H375" s="3">
        <f t="shared" si="378"/>
        <v>4.7421011229213257E-55</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3.3973574577290298E-2</v>
      </c>
      <c r="C376" s="3">
        <f t="shared" si="379"/>
        <v>3.3970223100387886E-2</v>
      </c>
      <c r="D376" s="3">
        <f t="shared" si="379"/>
        <v>3.3936726510171024E-2</v>
      </c>
      <c r="E376" s="3">
        <f t="shared" si="379"/>
        <v>3.3603571870548687E-2</v>
      </c>
      <c r="F376" s="3">
        <f t="shared" si="379"/>
        <v>3.0446711101507526E-2</v>
      </c>
      <c r="G376" s="3">
        <f t="shared" si="379"/>
        <v>1.1352455836873158E-2</v>
      </c>
      <c r="H376" s="3">
        <f t="shared" si="379"/>
        <v>5.8963624020298085E-7</v>
      </c>
      <c r="I376" s="3">
        <f t="shared" si="379"/>
        <v>8.4241800410897935E-50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3.6313894445057317E-2</v>
      </c>
      <c r="C377" s="3">
        <f t="shared" si="380"/>
        <v>3.6313571272932145E-2</v>
      </c>
      <c r="D377" s="3">
        <f t="shared" si="380"/>
        <v>3.631033970985844E-2</v>
      </c>
      <c r="E377" s="3">
        <f t="shared" si="380"/>
        <v>3.627803989171325E-2</v>
      </c>
      <c r="F377" s="3">
        <f t="shared" si="380"/>
        <v>3.5956617775059499E-2</v>
      </c>
      <c r="G377" s="3">
        <f t="shared" si="380"/>
        <v>3.2894934663638707E-2</v>
      </c>
      <c r="H377" s="3">
        <f t="shared" si="380"/>
        <v>1.3509241783409605E-2</v>
      </c>
      <c r="I377" s="3">
        <f t="shared" si="380"/>
        <v>1.8435309758141982E-6</v>
      </c>
      <c r="J377" s="3">
        <f t="shared" si="380"/>
        <v>4.1290019251284729E-45</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4.180632393052424E-2</v>
      </c>
      <c r="C378" s="3">
        <f t="shared" si="381"/>
        <v>4.1806290368248768E-2</v>
      </c>
      <c r="D378" s="3">
        <f t="shared" si="381"/>
        <v>4.1805954746975939E-2</v>
      </c>
      <c r="E378" s="3">
        <f t="shared" si="381"/>
        <v>4.180259868243448E-2</v>
      </c>
      <c r="F378" s="3">
        <f t="shared" si="381"/>
        <v>4.1769052851300385E-2</v>
      </c>
      <c r="G378" s="3">
        <f t="shared" si="381"/>
        <v>4.1435071577048732E-2</v>
      </c>
      <c r="H378" s="3">
        <f t="shared" si="381"/>
        <v>3.8238667815143658E-2</v>
      </c>
      <c r="I378" s="3">
        <f t="shared" si="381"/>
        <v>1.7133628883187126E-2</v>
      </c>
      <c r="J378" s="3">
        <f t="shared" si="381"/>
        <v>5.5887589383524111E-6</v>
      </c>
      <c r="K378" s="3">
        <f t="shared" si="381"/>
        <v>7.6203618515143267E-41</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4.6977125534975676E-2</v>
      </c>
      <c r="C379" s="3">
        <f t="shared" si="382"/>
        <v>4.6977122132910686E-2</v>
      </c>
      <c r="D379" s="3">
        <f t="shared" si="382"/>
        <v>4.6977088112274377E-2</v>
      </c>
      <c r="E379" s="3">
        <f t="shared" si="382"/>
        <v>4.6976747907266282E-2</v>
      </c>
      <c r="F379" s="3">
        <f t="shared" si="382"/>
        <v>4.6973345992688272E-2</v>
      </c>
      <c r="G379" s="3">
        <f t="shared" si="382"/>
        <v>4.6939340393567272E-2</v>
      </c>
      <c r="H379" s="3">
        <f t="shared" si="382"/>
        <v>4.6600635445427377E-2</v>
      </c>
      <c r="I379" s="3">
        <f t="shared" si="382"/>
        <v>4.334513917640051E-2</v>
      </c>
      <c r="J379" s="3">
        <f t="shared" si="382"/>
        <v>2.1009999000592649E-2</v>
      </c>
      <c r="K379" s="3">
        <f t="shared" si="382"/>
        <v>1.5041194652021808E-5</v>
      </c>
      <c r="L379" s="3">
        <f t="shared" si="382"/>
        <v>5.3191878785872302E-37</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6.433003966541348E-2</v>
      </c>
      <c r="C380" s="3">
        <f t="shared" si="383"/>
        <v>6.4330039245154902E-2</v>
      </c>
      <c r="D380" s="3">
        <f t="shared" si="383"/>
        <v>6.4330035042569234E-2</v>
      </c>
      <c r="E380" s="3">
        <f t="shared" si="383"/>
        <v>6.4329993016727691E-2</v>
      </c>
      <c r="F380" s="3">
        <f t="shared" si="383"/>
        <v>6.4329572759822276E-2</v>
      </c>
      <c r="G380" s="3">
        <f t="shared" si="383"/>
        <v>6.4325370341765886E-2</v>
      </c>
      <c r="H380" s="3">
        <f t="shared" si="383"/>
        <v>6.4283361257324742E-2</v>
      </c>
      <c r="I380" s="3">
        <f t="shared" si="383"/>
        <v>6.3864776382595037E-2</v>
      </c>
      <c r="J380" s="3">
        <f t="shared" si="383"/>
        <v>5.9825947177357446E-2</v>
      </c>
      <c r="K380" s="3">
        <f t="shared" si="383"/>
        <v>3.112945063002907E-2</v>
      </c>
      <c r="L380" s="3">
        <f t="shared" si="383"/>
        <v>4.5288734780874001E-5</v>
      </c>
      <c r="M380" s="3">
        <f t="shared" si="383"/>
        <v>1.9238778979344863E-33</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7.1283808511021521E-2</v>
      </c>
      <c r="C381" s="3">
        <f t="shared" si="384"/>
        <v>7.1283808469012722E-2</v>
      </c>
      <c r="D381" s="3">
        <f t="shared" si="384"/>
        <v>7.1283808048924743E-2</v>
      </c>
      <c r="E381" s="3">
        <f t="shared" si="384"/>
        <v>7.1283803848045058E-2</v>
      </c>
      <c r="F381" s="3">
        <f t="shared" si="384"/>
        <v>7.1283761839261883E-2</v>
      </c>
      <c r="G381" s="3">
        <f t="shared" si="384"/>
        <v>7.1283341752791676E-2</v>
      </c>
      <c r="H381" s="3">
        <f t="shared" si="384"/>
        <v>7.1279141024247317E-2</v>
      </c>
      <c r="I381" s="3">
        <f t="shared" si="384"/>
        <v>7.1237147351592117E-2</v>
      </c>
      <c r="J381" s="3">
        <f t="shared" si="384"/>
        <v>7.081856894033027E-2</v>
      </c>
      <c r="K381" s="3">
        <f t="shared" si="384"/>
        <v>6.6765700693006372E-2</v>
      </c>
      <c r="L381" s="3">
        <f t="shared" si="384"/>
        <v>3.7035316268560721E-2</v>
      </c>
      <c r="M381" s="3">
        <f t="shared" si="384"/>
        <v>1.0215097660001189E-4</v>
      </c>
      <c r="N381" s="3">
        <f t="shared" si="384"/>
        <v>2.6031978430127255E-30</v>
      </c>
      <c r="O381" s="3">
        <f t="shared" si="384"/>
        <v>3.0071403851394201E-286</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6.5008577665149669E-2</v>
      </c>
      <c r="C382" s="3">
        <f t="shared" si="385"/>
        <v>6.5008577661693726E-2</v>
      </c>
      <c r="D382" s="3">
        <f t="shared" si="385"/>
        <v>6.5008577627134301E-2</v>
      </c>
      <c r="E382" s="3">
        <f t="shared" si="385"/>
        <v>6.5008577281539956E-2</v>
      </c>
      <c r="F382" s="3">
        <f t="shared" si="385"/>
        <v>6.5008573825596688E-2</v>
      </c>
      <c r="G382" s="3">
        <f t="shared" si="385"/>
        <v>6.5008539266174128E-2</v>
      </c>
      <c r="H382" s="3">
        <f t="shared" si="385"/>
        <v>6.5008193672958944E-2</v>
      </c>
      <c r="I382" s="3">
        <f t="shared" si="385"/>
        <v>6.5004737841852372E-2</v>
      </c>
      <c r="J382" s="3">
        <f t="shared" si="385"/>
        <v>6.4970189633321365E-2</v>
      </c>
      <c r="K382" s="3">
        <f t="shared" si="385"/>
        <v>6.4625715817164489E-2</v>
      </c>
      <c r="L382" s="3">
        <f t="shared" si="385"/>
        <v>6.1279849221766283E-2</v>
      </c>
      <c r="M382" s="3">
        <f t="shared" si="385"/>
        <v>3.6011474436612234E-2</v>
      </c>
      <c r="N382" s="3">
        <f t="shared" si="385"/>
        <v>1.7687768910954577E-4</v>
      </c>
      <c r="O382" s="3">
        <f t="shared" si="385"/>
        <v>1.4454217273897404E-27</v>
      </c>
      <c r="P382" s="3">
        <f t="shared" si="385"/>
        <v>1.9195958823189266E-258</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4.9543501682420554E-2</v>
      </c>
      <c r="C383" s="3">
        <f t="shared" si="386"/>
        <v>4.954350168218296E-2</v>
      </c>
      <c r="D383" s="3">
        <f t="shared" si="386"/>
        <v>4.9543501679807055E-2</v>
      </c>
      <c r="E383" s="3">
        <f t="shared" si="386"/>
        <v>4.954350165604799E-2</v>
      </c>
      <c r="F383" s="3">
        <f t="shared" si="386"/>
        <v>4.9543501418457397E-2</v>
      </c>
      <c r="G383" s="3">
        <f t="shared" si="386"/>
        <v>4.9543499042551523E-2</v>
      </c>
      <c r="H383" s="3">
        <f t="shared" si="386"/>
        <v>4.954347528349904E-2</v>
      </c>
      <c r="I383" s="3">
        <f t="shared" si="386"/>
        <v>4.9543237693600868E-2</v>
      </c>
      <c r="J383" s="3">
        <f t="shared" si="386"/>
        <v>4.9540861857284263E-2</v>
      </c>
      <c r="K383" s="3">
        <f t="shared" si="386"/>
        <v>4.9517109759519E-2</v>
      </c>
      <c r="L383" s="3">
        <f t="shared" si="386"/>
        <v>4.9280214211659443E-2</v>
      </c>
      <c r="M383" s="3">
        <f t="shared" si="386"/>
        <v>4.69727060597862E-2</v>
      </c>
      <c r="N383" s="3">
        <f t="shared" si="386"/>
        <v>2.9078735243193692E-2</v>
      </c>
      <c r="O383" s="3">
        <f t="shared" si="386"/>
        <v>2.4036700032812998E-4</v>
      </c>
      <c r="P383" s="3">
        <f t="shared" si="386"/>
        <v>3.5798773512472827E-25</v>
      </c>
      <c r="Q383" s="3">
        <f t="shared" si="386"/>
        <v>1.9222115735429112E-233</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3.0281570029290019E-2</v>
      </c>
      <c r="C384" s="3">
        <f t="shared" si="387"/>
        <v>3.0281570029276922E-2</v>
      </c>
      <c r="D384" s="3">
        <f t="shared" si="387"/>
        <v>3.0281570029145922E-2</v>
      </c>
      <c r="E384" s="3">
        <f t="shared" si="387"/>
        <v>3.0281570027835932E-2</v>
      </c>
      <c r="F384" s="3">
        <f t="shared" si="387"/>
        <v>3.0281570014736046E-2</v>
      </c>
      <c r="G384" s="3">
        <f t="shared" si="387"/>
        <v>3.0281569883737182E-2</v>
      </c>
      <c r="H384" s="3">
        <f t="shared" si="387"/>
        <v>3.0281568573748592E-2</v>
      </c>
      <c r="I384" s="3">
        <f t="shared" si="387"/>
        <v>3.0281555473865799E-2</v>
      </c>
      <c r="J384" s="3">
        <f t="shared" si="387"/>
        <v>3.0281424475349528E-2</v>
      </c>
      <c r="K384" s="3">
        <f t="shared" si="387"/>
        <v>3.0280114521355039E-2</v>
      </c>
      <c r="L384" s="3">
        <f t="shared" si="387"/>
        <v>3.0267018097730601E-2</v>
      </c>
      <c r="M384" s="3">
        <f t="shared" si="387"/>
        <v>3.0136364995304157E-2</v>
      </c>
      <c r="N384" s="3">
        <f t="shared" si="387"/>
        <v>2.8860455053017792E-2</v>
      </c>
      <c r="O384" s="3">
        <f t="shared" si="387"/>
        <v>1.872519063003775E-2</v>
      </c>
      <c r="P384" s="3">
        <f t="shared" si="387"/>
        <v>2.4754660794491296E-4</v>
      </c>
      <c r="Q384" s="3">
        <f t="shared" si="387"/>
        <v>4.0361221363459971E-23</v>
      </c>
      <c r="R384" s="3">
        <f t="shared" si="387"/>
        <v>5.3584292577850172E-211</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1.5838845962715484E-2</v>
      </c>
      <c r="C385" s="3">
        <f t="shared" si="388"/>
        <v>1.5838845962714867E-2</v>
      </c>
      <c r="D385" s="3">
        <f t="shared" si="388"/>
        <v>1.5838845962708684E-2</v>
      </c>
      <c r="E385" s="3">
        <f t="shared" si="388"/>
        <v>1.5838845962646876E-2</v>
      </c>
      <c r="F385" s="3">
        <f t="shared" si="388"/>
        <v>1.5838845962028773E-2</v>
      </c>
      <c r="G385" s="3">
        <f t="shared" si="388"/>
        <v>1.5838845955847766E-2</v>
      </c>
      <c r="H385" s="3">
        <f t="shared" si="388"/>
        <v>1.5838845894037692E-2</v>
      </c>
      <c r="I385" s="3">
        <f t="shared" si="388"/>
        <v>1.5838845275936972E-2</v>
      </c>
      <c r="J385" s="3">
        <f t="shared" si="388"/>
        <v>1.583883909493106E-2</v>
      </c>
      <c r="K385" s="3">
        <f t="shared" si="388"/>
        <v>1.5838777285004626E-2</v>
      </c>
      <c r="L385" s="3">
        <f t="shared" si="388"/>
        <v>1.5838159199006625E-2</v>
      </c>
      <c r="M385" s="3">
        <f t="shared" si="388"/>
        <v>1.5831979665467802E-2</v>
      </c>
      <c r="N385" s="3">
        <f t="shared" si="388"/>
        <v>1.5770316782875243E-2</v>
      </c>
      <c r="O385" s="3">
        <f t="shared" si="388"/>
        <v>1.516674396770405E-2</v>
      </c>
      <c r="P385" s="3">
        <f t="shared" si="388"/>
        <v>1.0266247677937101E-2</v>
      </c>
      <c r="Q385" s="3">
        <f t="shared" si="388"/>
        <v>2.0730298676560952E-4</v>
      </c>
      <c r="R385" s="3">
        <f t="shared" si="388"/>
        <v>2.3363815963966746E-21</v>
      </c>
      <c r="S385" s="3">
        <f t="shared" si="388"/>
        <v>7.7254884907629144E-191</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5.1881409706128296E-3</v>
      </c>
      <c r="C386" s="3">
        <f t="shared" si="389"/>
        <v>5.1881409706128123E-3</v>
      </c>
      <c r="D386" s="3">
        <f t="shared" si="389"/>
        <v>5.1881409706126293E-3</v>
      </c>
      <c r="E386" s="3">
        <f t="shared" si="389"/>
        <v>5.1881409706108026E-3</v>
      </c>
      <c r="F386" s="3">
        <f t="shared" si="389"/>
        <v>5.1881409705925394E-3</v>
      </c>
      <c r="G386" s="3">
        <f t="shared" si="389"/>
        <v>5.1881409704098999E-3</v>
      </c>
      <c r="H386" s="3">
        <f t="shared" si="389"/>
        <v>5.1881409685835076E-3</v>
      </c>
      <c r="I386" s="3">
        <f t="shared" si="389"/>
        <v>5.1881409503195834E-3</v>
      </c>
      <c r="J386" s="3">
        <f t="shared" si="389"/>
        <v>5.1881407676803498E-3</v>
      </c>
      <c r="K386" s="3">
        <f t="shared" si="389"/>
        <v>5.1881389412883642E-3</v>
      </c>
      <c r="L386" s="3">
        <f t="shared" si="389"/>
        <v>5.1881206774038683E-3</v>
      </c>
      <c r="M386" s="3">
        <f t="shared" si="389"/>
        <v>5.187938042095077E-3</v>
      </c>
      <c r="N386" s="3">
        <f t="shared" si="389"/>
        <v>5.1861120425778428E-3</v>
      </c>
      <c r="O386" s="3">
        <f t="shared" si="389"/>
        <v>5.1678873584634875E-3</v>
      </c>
      <c r="P386" s="3">
        <f t="shared" si="389"/>
        <v>4.9891260596742863E-3</v>
      </c>
      <c r="Q386" s="3">
        <f t="shared" si="389"/>
        <v>3.5086404073855128E-3</v>
      </c>
      <c r="R386" s="3">
        <f t="shared" si="389"/>
        <v>1.038203989837423E-4</v>
      </c>
      <c r="S386" s="3">
        <f t="shared" si="389"/>
        <v>5.3422108204576521E-20</v>
      </c>
      <c r="T386" s="3">
        <f t="shared" si="389"/>
        <v>6.9519127631602798E-173</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3.8617191328215667E-3</v>
      </c>
      <c r="C387" s="3">
        <f t="shared" si="390"/>
        <v>3.8617191328215628E-3</v>
      </c>
      <c r="D387" s="3">
        <f t="shared" si="390"/>
        <v>3.8617191328215255E-3</v>
      </c>
      <c r="E387" s="3">
        <f t="shared" si="390"/>
        <v>3.8617191328211495E-3</v>
      </c>
      <c r="F387" s="3">
        <f t="shared" si="390"/>
        <v>3.8617191328173895E-3</v>
      </c>
      <c r="G387" s="3">
        <f t="shared" si="390"/>
        <v>3.8617191327797906E-3</v>
      </c>
      <c r="H387" s="3">
        <f t="shared" si="390"/>
        <v>3.8617191324038006E-3</v>
      </c>
      <c r="I387" s="3">
        <f t="shared" si="390"/>
        <v>3.8617191286439046E-3</v>
      </c>
      <c r="J387" s="3">
        <f t="shared" si="390"/>
        <v>3.8617190910449424E-3</v>
      </c>
      <c r="K387" s="3">
        <f t="shared" si="390"/>
        <v>3.8617187150553371E-3</v>
      </c>
      <c r="L387" s="3">
        <f t="shared" si="390"/>
        <v>3.8617149551613025E-3</v>
      </c>
      <c r="M387" s="3">
        <f t="shared" si="390"/>
        <v>3.8616773564222949E-3</v>
      </c>
      <c r="N387" s="3">
        <f t="shared" si="390"/>
        <v>3.861301389165581E-3</v>
      </c>
      <c r="O387" s="3">
        <f t="shared" si="390"/>
        <v>3.8575437292097605E-3</v>
      </c>
      <c r="P387" s="3">
        <f t="shared" si="390"/>
        <v>3.8201676676361995E-3</v>
      </c>
      <c r="Q387" s="3">
        <f t="shared" si="390"/>
        <v>3.4657568549078832E-3</v>
      </c>
      <c r="R387" s="3">
        <f t="shared" si="390"/>
        <v>1.309045536565866E-3</v>
      </c>
      <c r="S387" s="3">
        <f t="shared" si="390"/>
        <v>7.7360877517992058E-8</v>
      </c>
      <c r="T387" s="3">
        <f t="shared" si="390"/>
        <v>4.0196451805562812E-50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3.0600017424879029E-3</v>
      </c>
      <c r="C388" s="3">
        <f t="shared" si="391"/>
        <v>3.0600017424879025E-3</v>
      </c>
      <c r="D388" s="3">
        <f t="shared" si="391"/>
        <v>3.0600017424878994E-3</v>
      </c>
      <c r="E388" s="3">
        <f t="shared" si="391"/>
        <v>3.0600017424878699E-3</v>
      </c>
      <c r="F388" s="3">
        <f t="shared" si="391"/>
        <v>3.060001742487572E-3</v>
      </c>
      <c r="G388" s="3">
        <f t="shared" si="391"/>
        <v>3.0600017424845926E-3</v>
      </c>
      <c r="H388" s="3">
        <f t="shared" si="391"/>
        <v>3.0600017424547996E-3</v>
      </c>
      <c r="I388" s="3">
        <f t="shared" si="391"/>
        <v>3.0600017421568673E-3</v>
      </c>
      <c r="J388" s="3">
        <f t="shared" si="391"/>
        <v>3.0600017391775496E-3</v>
      </c>
      <c r="K388" s="3">
        <f t="shared" si="391"/>
        <v>3.0600017093843704E-3</v>
      </c>
      <c r="L388" s="3">
        <f t="shared" si="391"/>
        <v>3.0600014114525926E-3</v>
      </c>
      <c r="M388" s="3">
        <f t="shared" si="391"/>
        <v>3.0599984321364121E-3</v>
      </c>
      <c r="N388" s="3">
        <f t="shared" si="391"/>
        <v>3.0599686391341446E-3</v>
      </c>
      <c r="O388" s="3">
        <f t="shared" si="391"/>
        <v>3.0596707250650232E-3</v>
      </c>
      <c r="P388" s="3">
        <f t="shared" si="391"/>
        <v>3.0566931791542501E-3</v>
      </c>
      <c r="Q388" s="3">
        <f t="shared" si="391"/>
        <v>3.0270766250733564E-3</v>
      </c>
      <c r="R388" s="3">
        <f t="shared" si="391"/>
        <v>2.7462437454141846E-3</v>
      </c>
      <c r="S388" s="3">
        <f t="shared" si="391"/>
        <v>1.0372793787208467E-3</v>
      </c>
      <c r="T388" s="3">
        <f t="shared" si="391"/>
        <v>6.130026857558801E-8</v>
      </c>
      <c r="U388" s="3">
        <f t="shared" si="391"/>
        <v>3.1851413408458403E-50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1.8593150246318942E-3</v>
      </c>
      <c r="C389" s="3">
        <f t="shared" si="392"/>
        <v>1.8593150246318942E-3</v>
      </c>
      <c r="D389" s="3">
        <f t="shared" si="392"/>
        <v>1.859315024631894E-3</v>
      </c>
      <c r="E389" s="3">
        <f t="shared" si="392"/>
        <v>1.8593150246318921E-3</v>
      </c>
      <c r="F389" s="3">
        <f t="shared" si="392"/>
        <v>1.8593150246318743E-3</v>
      </c>
      <c r="G389" s="3">
        <f t="shared" si="392"/>
        <v>1.8593150246316932E-3</v>
      </c>
      <c r="H389" s="3">
        <f t="shared" si="392"/>
        <v>1.8593150246298828E-3</v>
      </c>
      <c r="I389" s="3">
        <f t="shared" si="392"/>
        <v>1.8593150246117799E-3</v>
      </c>
      <c r="J389" s="3">
        <f t="shared" si="392"/>
        <v>1.8593150244307509E-3</v>
      </c>
      <c r="K389" s="3">
        <f t="shared" si="392"/>
        <v>1.8593150226204609E-3</v>
      </c>
      <c r="L389" s="3">
        <f t="shared" si="392"/>
        <v>1.8593150045175609E-3</v>
      </c>
      <c r="M389" s="3">
        <f t="shared" si="392"/>
        <v>1.8593148234885687E-3</v>
      </c>
      <c r="N389" s="3">
        <f t="shared" si="392"/>
        <v>1.85931301319962E-3</v>
      </c>
      <c r="O389" s="3">
        <f t="shared" si="392"/>
        <v>1.859294910407071E-3</v>
      </c>
      <c r="P389" s="3">
        <f t="shared" si="392"/>
        <v>1.8591138921752589E-3</v>
      </c>
      <c r="Q389" s="3">
        <f t="shared" si="392"/>
        <v>1.8573046788759454E-3</v>
      </c>
      <c r="R389" s="3">
        <f t="shared" si="392"/>
        <v>1.8393090995872691E-3</v>
      </c>
      <c r="S389" s="3">
        <f t="shared" si="392"/>
        <v>1.6686697220631226E-3</v>
      </c>
      <c r="T389" s="3">
        <f t="shared" si="392"/>
        <v>6.3027059979006901E-4</v>
      </c>
      <c r="U389" s="3">
        <f t="shared" si="392"/>
        <v>3.7247204403188915E-8</v>
      </c>
      <c r="V389" s="3">
        <f t="shared" si="392"/>
        <v>1.9353522151251716E-50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1.0289911498978865E-4</v>
      </c>
      <c r="C390" s="3">
        <f t="shared" si="393"/>
        <v>1.0289911498978865E-4</v>
      </c>
      <c r="D390" s="3">
        <f t="shared" si="393"/>
        <v>1.0289911498978865E-4</v>
      </c>
      <c r="E390" s="3">
        <f t="shared" si="393"/>
        <v>1.0289911498978864E-4</v>
      </c>
      <c r="F390" s="3">
        <f t="shared" si="393"/>
        <v>1.0289911498978854E-4</v>
      </c>
      <c r="G390" s="3">
        <f t="shared" si="393"/>
        <v>1.0289911498978754E-4</v>
      </c>
      <c r="H390" s="3">
        <f t="shared" si="393"/>
        <v>1.0289911498977753E-4</v>
      </c>
      <c r="I390" s="3">
        <f t="shared" si="393"/>
        <v>1.0289911498967733E-4</v>
      </c>
      <c r="J390" s="3">
        <f t="shared" si="393"/>
        <v>1.0289911498867547E-4</v>
      </c>
      <c r="K390" s="3">
        <f t="shared" si="393"/>
        <v>1.0289911497865688E-4</v>
      </c>
      <c r="L390" s="3">
        <f t="shared" si="393"/>
        <v>1.0289911487847093E-4</v>
      </c>
      <c r="M390" s="3">
        <f t="shared" si="393"/>
        <v>1.0289911387661145E-4</v>
      </c>
      <c r="N390" s="3">
        <f t="shared" si="393"/>
        <v>1.0289910385801705E-4</v>
      </c>
      <c r="O390" s="3">
        <f t="shared" si="393"/>
        <v>1.0289900367212697E-4</v>
      </c>
      <c r="P390" s="3">
        <f t="shared" si="393"/>
        <v>1.0289800181859087E-4</v>
      </c>
      <c r="Q390" s="3">
        <f t="shared" si="393"/>
        <v>1.028879838197022E-4</v>
      </c>
      <c r="R390" s="3">
        <f t="shared" si="393"/>
        <v>1.0278785745872471E-4</v>
      </c>
      <c r="S390" s="3">
        <f t="shared" si="393"/>
        <v>1.017919373709494E-4</v>
      </c>
      <c r="T390" s="3">
        <f t="shared" si="393"/>
        <v>9.2348330076311773E-5</v>
      </c>
      <c r="U390" s="3">
        <f t="shared" si="393"/>
        <v>3.4880741597471452E-5</v>
      </c>
      <c r="V390" s="3">
        <f t="shared" si="393"/>
        <v>2.0613528735888607E-9</v>
      </c>
      <c r="W390" s="3">
        <f t="shared" si="393"/>
        <v>1.0710720211026854E-51</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3.4301074619822757E-3</v>
      </c>
      <c r="C391" s="3">
        <f t="shared" si="394"/>
        <v>3.4301074619822757E-3</v>
      </c>
      <c r="D391" s="3">
        <f t="shared" si="394"/>
        <v>3.4301074619822757E-3</v>
      </c>
      <c r="E391" s="3">
        <f t="shared" si="394"/>
        <v>3.4301074619822757E-3</v>
      </c>
      <c r="F391" s="3">
        <f t="shared" si="394"/>
        <v>3.4301074619822753E-3</v>
      </c>
      <c r="G391" s="3">
        <f t="shared" si="394"/>
        <v>3.4301074619822718E-3</v>
      </c>
      <c r="H391" s="3">
        <f t="shared" si="394"/>
        <v>3.4301074619822389E-3</v>
      </c>
      <c r="I391" s="3">
        <f t="shared" si="394"/>
        <v>3.4301074619819049E-3</v>
      </c>
      <c r="J391" s="3">
        <f t="shared" si="394"/>
        <v>3.4301074619785652E-3</v>
      </c>
      <c r="K391" s="3">
        <f t="shared" si="394"/>
        <v>3.4301074619451683E-3</v>
      </c>
      <c r="L391" s="3">
        <f t="shared" si="394"/>
        <v>3.4301074616112019E-3</v>
      </c>
      <c r="M391" s="3">
        <f t="shared" si="394"/>
        <v>3.430107458271537E-3</v>
      </c>
      <c r="N391" s="3">
        <f t="shared" si="394"/>
        <v>3.430107424874887E-3</v>
      </c>
      <c r="O391" s="3">
        <f t="shared" si="394"/>
        <v>3.4301070909084058E-3</v>
      </c>
      <c r="P391" s="3">
        <f t="shared" si="394"/>
        <v>3.4301037512453852E-3</v>
      </c>
      <c r="Q391" s="3">
        <f t="shared" si="394"/>
        <v>3.4300703547940131E-3</v>
      </c>
      <c r="R391" s="3">
        <f t="shared" si="394"/>
        <v>3.4297364081634168E-3</v>
      </c>
      <c r="S391" s="3">
        <f t="shared" si="394"/>
        <v>3.4263987295258111E-3</v>
      </c>
      <c r="T391" s="3">
        <f t="shared" si="394"/>
        <v>3.3932000676621483E-3</v>
      </c>
      <c r="U391" s="3">
        <f t="shared" si="394"/>
        <v>3.0784005880691379E-3</v>
      </c>
      <c r="V391" s="3">
        <f t="shared" si="394"/>
        <v>1.1627378140699803E-3</v>
      </c>
      <c r="W391" s="3">
        <f t="shared" si="394"/>
        <v>6.8714506185766764E-8</v>
      </c>
      <c r="X391" s="3">
        <f t="shared" si="394"/>
        <v>3.5703826337761438E-50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1.0099566360327609E-4</v>
      </c>
      <c r="C392" s="3">
        <f t="shared" si="395"/>
        <v>1.0099566360327609E-4</v>
      </c>
      <c r="D392" s="3">
        <f t="shared" si="395"/>
        <v>1.0099566360327609E-4</v>
      </c>
      <c r="E392" s="3">
        <f t="shared" si="395"/>
        <v>1.0099566360327609E-4</v>
      </c>
      <c r="F392" s="3">
        <f t="shared" si="395"/>
        <v>1.0099566360327609E-4</v>
      </c>
      <c r="G392" s="3">
        <f t="shared" si="395"/>
        <v>1.0099566360327608E-4</v>
      </c>
      <c r="H392" s="3">
        <f t="shared" si="395"/>
        <v>1.0099566360327599E-4</v>
      </c>
      <c r="I392" s="3">
        <f t="shared" si="395"/>
        <v>1.0099566360327501E-4</v>
      </c>
      <c r="J392" s="3">
        <f t="shared" si="395"/>
        <v>1.0099566360326517E-4</v>
      </c>
      <c r="K392" s="3">
        <f t="shared" si="395"/>
        <v>1.0099566360316683E-4</v>
      </c>
      <c r="L392" s="3">
        <f t="shared" si="395"/>
        <v>1.0099566360218352E-4</v>
      </c>
      <c r="M392" s="3">
        <f t="shared" si="395"/>
        <v>1.0099566359235024E-4</v>
      </c>
      <c r="N392" s="3">
        <f t="shared" si="395"/>
        <v>1.0099566349401756E-4</v>
      </c>
      <c r="O392" s="3">
        <f t="shared" si="395"/>
        <v>1.0099566251069069E-4</v>
      </c>
      <c r="P392" s="3">
        <f t="shared" si="395"/>
        <v>1.0099565267742256E-4</v>
      </c>
      <c r="Q392" s="3">
        <f t="shared" si="395"/>
        <v>1.00995554344794E-4</v>
      </c>
      <c r="R392" s="3">
        <f t="shared" si="395"/>
        <v>1.0099457102377398E-4</v>
      </c>
      <c r="S392" s="3">
        <f t="shared" si="395"/>
        <v>1.0098473834012223E-4</v>
      </c>
      <c r="T392" s="3">
        <f t="shared" si="395"/>
        <v>1.0088646413949277E-4</v>
      </c>
      <c r="U392" s="3">
        <f t="shared" si="395"/>
        <v>9.9908966809504247E-5</v>
      </c>
      <c r="V392" s="3">
        <f t="shared" si="395"/>
        <v>9.064004952459547E-5</v>
      </c>
      <c r="W392" s="3">
        <f t="shared" si="395"/>
        <v>3.4235509653903403E-5</v>
      </c>
      <c r="X392" s="3">
        <f t="shared" si="395"/>
        <v>2.0232214962129352E-9</v>
      </c>
      <c r="Y392" s="3">
        <f t="shared" si="395"/>
        <v>1.0512590856481382E-51</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2.8535751866135694E-4</v>
      </c>
      <c r="C393" s="3">
        <f t="shared" si="396"/>
        <v>2.8535751866135694E-4</v>
      </c>
      <c r="D393" s="3">
        <f t="shared" si="396"/>
        <v>2.8535751866135694E-4</v>
      </c>
      <c r="E393" s="3">
        <f t="shared" si="396"/>
        <v>2.8535751866135694E-4</v>
      </c>
      <c r="F393" s="3">
        <f t="shared" si="396"/>
        <v>2.8535751866135694E-4</v>
      </c>
      <c r="G393" s="3">
        <f t="shared" si="396"/>
        <v>2.8535751866135694E-4</v>
      </c>
      <c r="H393" s="3">
        <f t="shared" si="396"/>
        <v>2.8535751866135689E-4</v>
      </c>
      <c r="I393" s="3">
        <f t="shared" si="396"/>
        <v>2.8535751866135662E-4</v>
      </c>
      <c r="J393" s="3">
        <f t="shared" si="396"/>
        <v>2.8535751866135385E-4</v>
      </c>
      <c r="K393" s="3">
        <f t="shared" si="396"/>
        <v>2.853575186613261E-4</v>
      </c>
      <c r="L393" s="3">
        <f t="shared" si="396"/>
        <v>2.8535751866104822E-4</v>
      </c>
      <c r="M393" s="3">
        <f t="shared" si="396"/>
        <v>2.853575186582699E-4</v>
      </c>
      <c r="N393" s="3">
        <f t="shared" si="396"/>
        <v>2.8535751863048656E-4</v>
      </c>
      <c r="O393" s="3">
        <f t="shared" si="396"/>
        <v>2.8535751835265314E-4</v>
      </c>
      <c r="P393" s="3">
        <f t="shared" si="396"/>
        <v>2.8535751557431889E-4</v>
      </c>
      <c r="Q393" s="3">
        <f t="shared" si="396"/>
        <v>2.8535748779097756E-4</v>
      </c>
      <c r="R393" s="3">
        <f t="shared" si="396"/>
        <v>2.8535720995771335E-4</v>
      </c>
      <c r="S393" s="3">
        <f t="shared" si="396"/>
        <v>2.8535443163994886E-4</v>
      </c>
      <c r="T393" s="3">
        <f t="shared" si="396"/>
        <v>2.8532664995003728E-4</v>
      </c>
      <c r="U393" s="3">
        <f t="shared" si="396"/>
        <v>2.8504898177063689E-4</v>
      </c>
      <c r="V393" s="3">
        <f t="shared" si="396"/>
        <v>2.8228711851203877E-4</v>
      </c>
      <c r="W393" s="3">
        <f t="shared" si="396"/>
        <v>2.5609831849099379E-4</v>
      </c>
      <c r="X393" s="3">
        <f t="shared" si="396"/>
        <v>9.6730490561655253E-5</v>
      </c>
      <c r="Y393" s="3">
        <f t="shared" si="396"/>
        <v>5.7164975729008769E-9</v>
      </c>
      <c r="Z393" s="3">
        <f t="shared" si="396"/>
        <v>2.9702729151732484E-51</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1.5499334140859142E-4</v>
      </c>
      <c r="C396" s="3">
        <f t="shared" si="399"/>
        <v>1.5499334140859142E-4</v>
      </c>
      <c r="D396" s="3">
        <f t="shared" si="399"/>
        <v>1.5499334140859142E-4</v>
      </c>
      <c r="E396" s="3">
        <f t="shared" si="399"/>
        <v>1.5499334140859142E-4</v>
      </c>
      <c r="F396" s="3">
        <f t="shared" si="399"/>
        <v>1.5499334140859142E-4</v>
      </c>
      <c r="G396" s="3">
        <f t="shared" si="399"/>
        <v>1.5499334140859142E-4</v>
      </c>
      <c r="H396" s="3">
        <f t="shared" si="399"/>
        <v>1.5499334140859142E-4</v>
      </c>
      <c r="I396" s="3">
        <f t="shared" si="399"/>
        <v>1.5499334140859142E-4</v>
      </c>
      <c r="J396" s="3">
        <f t="shared" si="399"/>
        <v>1.5499334140859142E-4</v>
      </c>
      <c r="K396" s="3">
        <f t="shared" si="399"/>
        <v>1.5499334140859139E-4</v>
      </c>
      <c r="L396" s="3">
        <f t="shared" si="399"/>
        <v>1.5499334140859126E-4</v>
      </c>
      <c r="M396" s="3">
        <f t="shared" si="399"/>
        <v>1.5499334140858974E-4</v>
      </c>
      <c r="N396" s="3">
        <f t="shared" si="399"/>
        <v>1.5499334140857467E-4</v>
      </c>
      <c r="O396" s="3">
        <f t="shared" si="399"/>
        <v>1.5499334140842375E-4</v>
      </c>
      <c r="P396" s="3">
        <f t="shared" si="399"/>
        <v>1.5499334140691467E-4</v>
      </c>
      <c r="Q396" s="3">
        <f t="shared" si="399"/>
        <v>1.5499334139182402E-4</v>
      </c>
      <c r="R396" s="3">
        <f t="shared" si="399"/>
        <v>1.5499334124091741E-4</v>
      </c>
      <c r="S396" s="3">
        <f t="shared" si="399"/>
        <v>1.5499333973185148E-4</v>
      </c>
      <c r="T396" s="3">
        <f t="shared" si="399"/>
        <v>1.5499332464119283E-4</v>
      </c>
      <c r="U396" s="3">
        <f t="shared" si="399"/>
        <v>1.5499317373468728E-4</v>
      </c>
      <c r="V396" s="3">
        <f t="shared" si="399"/>
        <v>1.5499166467771263E-4</v>
      </c>
      <c r="W396" s="3">
        <f t="shared" si="399"/>
        <v>1.5497657491603549E-4</v>
      </c>
      <c r="X396" s="3">
        <f t="shared" si="399"/>
        <v>1.548257580771101E-4</v>
      </c>
      <c r="Y396" s="3">
        <f t="shared" si="399"/>
        <v>1.5332563844833047E-4</v>
      </c>
      <c r="Z396" s="3">
        <f t="shared" si="399"/>
        <v>1.3910106275891187E-4</v>
      </c>
      <c r="AA396" s="3">
        <f t="shared" si="399"/>
        <v>5.2539642265516568E-5</v>
      </c>
      <c r="AB396" s="3">
        <f t="shared" si="399"/>
        <v>3.1049438057017781E-9</v>
      </c>
      <c r="AC396" s="3">
        <f t="shared" si="399"/>
        <v>1.6133183599920436E-51</v>
      </c>
      <c r="AD396" s="3">
        <f t="shared" si="399"/>
        <v>0</v>
      </c>
      <c r="AE396" s="3">
        <f t="shared" si="399"/>
        <v>0</v>
      </c>
      <c r="AF396" s="3">
        <f t="shared" si="399"/>
        <v>0</v>
      </c>
      <c r="AG396" s="3"/>
      <c r="AH396" s="3"/>
    </row>
    <row r="397" spans="1:34" x14ac:dyDescent="0.25">
      <c r="A397" s="79">
        <f>AVERAGE(B397:AF397)</f>
        <v>1.7757431890315395E-2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1.2788262602406657E-2</v>
      </c>
      <c r="M397" s="80">
        <f t="shared" si="400"/>
        <v>2.3586325058291622E-3</v>
      </c>
      <c r="N397" s="80">
        <f t="shared" si="400"/>
        <v>7.6672662165327178E-3</v>
      </c>
      <c r="O397" s="80">
        <f t="shared" si="400"/>
        <v>2.4860277771485598E-2</v>
      </c>
      <c r="P397" s="80">
        <f t="shared" si="400"/>
        <v>5.8461738653450897E-2</v>
      </c>
      <c r="Q397" s="80">
        <f t="shared" si="400"/>
        <v>8.1768600377783829E-2</v>
      </c>
      <c r="R397" s="80">
        <f t="shared" si="400"/>
        <v>9.7087160641577921E-2</v>
      </c>
      <c r="S397" s="80">
        <f t="shared" si="400"/>
        <v>9.0854493096755987E-2</v>
      </c>
      <c r="T397" s="80">
        <f t="shared" si="400"/>
        <v>7.909938349961193E-2</v>
      </c>
      <c r="U397" s="80">
        <f t="shared" si="400"/>
        <v>5.9953045844615679E-2</v>
      </c>
      <c r="V397" s="80">
        <f t="shared" si="400"/>
        <v>3.5581527389726815E-2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1.9045803041568279</v>
      </c>
      <c r="C398" s="21">
        <f t="shared" ref="C398:AF398" si="401">(C365-C364)^2</f>
        <v>2494.9712789164773</v>
      </c>
      <c r="D398" s="21">
        <f t="shared" si="401"/>
        <v>2493.8075827839602</v>
      </c>
      <c r="E398" s="21">
        <f t="shared" si="401"/>
        <v>2631.7793776108956</v>
      </c>
      <c r="F398" s="21">
        <f t="shared" si="401"/>
        <v>2625.5347142918422</v>
      </c>
      <c r="G398" s="21">
        <f t="shared" si="401"/>
        <v>3345.8079272205932</v>
      </c>
      <c r="H398" s="21">
        <f t="shared" si="401"/>
        <v>3631.9329623136591</v>
      </c>
      <c r="I398" s="21">
        <f t="shared" si="401"/>
        <v>4366.4831977503281</v>
      </c>
      <c r="J398" s="21">
        <f t="shared" si="401"/>
        <v>4462.1341561099571</v>
      </c>
      <c r="K398" s="21">
        <f t="shared" si="401"/>
        <v>2610.4785148719052</v>
      </c>
      <c r="L398" s="21">
        <f t="shared" si="401"/>
        <v>374.86330635106594</v>
      </c>
      <c r="M398" s="21">
        <f t="shared" si="401"/>
        <v>7.1059873476152733</v>
      </c>
      <c r="N398" s="21">
        <f t="shared" si="401"/>
        <v>37.380725266686753</v>
      </c>
      <c r="O398" s="21">
        <f t="shared" si="401"/>
        <v>193.08287139167763</v>
      </c>
      <c r="P398" s="21">
        <f t="shared" si="401"/>
        <v>609.07292677873147</v>
      </c>
      <c r="Q398" s="21">
        <f t="shared" si="401"/>
        <v>822.74372256630318</v>
      </c>
      <c r="R398" s="21">
        <f t="shared" si="401"/>
        <v>936.07903843441522</v>
      </c>
      <c r="S398" s="21">
        <f t="shared" si="401"/>
        <v>696.71496496114116</v>
      </c>
      <c r="T398" s="21">
        <f t="shared" si="401"/>
        <v>464.84944209993563</v>
      </c>
      <c r="U398" s="21">
        <f t="shared" si="401"/>
        <v>243.74730737717272</v>
      </c>
      <c r="V398" s="21">
        <f t="shared" si="401"/>
        <v>73.674282742410028</v>
      </c>
      <c r="W398" s="21">
        <f t="shared" si="401"/>
        <v>56.622473397986298</v>
      </c>
      <c r="X398" s="21">
        <f t="shared" si="401"/>
        <v>30.132566473225655</v>
      </c>
      <c r="Y398" s="21">
        <f t="shared" si="401"/>
        <v>16.998916877565197</v>
      </c>
      <c r="Z398" s="21">
        <f t="shared" si="401"/>
        <v>7.6101695361264508</v>
      </c>
      <c r="AA398" s="21">
        <f t="shared" si="401"/>
        <v>7.9754535333269159</v>
      </c>
      <c r="AB398" s="21">
        <f t="shared" si="401"/>
        <v>3.4907075605998923</v>
      </c>
      <c r="AC398" s="21">
        <f t="shared" si="401"/>
        <v>3.0270048660626365</v>
      </c>
      <c r="AD398" s="21">
        <f t="shared" si="401"/>
        <v>0.31166903085788472</v>
      </c>
      <c r="AE398" s="21">
        <f t="shared" si="401"/>
        <v>0.27180039499890973</v>
      </c>
      <c r="AF398" s="21">
        <f t="shared" si="401"/>
        <v>4.7912729097803669E-2</v>
      </c>
      <c r="AG398" s="3"/>
      <c r="AH398" s="3"/>
    </row>
    <row r="399" spans="1:34" x14ac:dyDescent="0.25">
      <c r="A399" s="71">
        <f>SUM(B399:AF399)</f>
        <v>4459.3145753171557</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374.86330635106594</v>
      </c>
      <c r="M399" s="60">
        <f t="shared" ref="M399" si="412">IF($A$64&lt;=M363,IF($B$64&gt;=M363,ABS(M398),0),0)</f>
        <v>7.1059873476152733</v>
      </c>
      <c r="N399" s="60">
        <f t="shared" ref="N399" si="413">IF($A$64&lt;=N363,IF($B$64&gt;=N363,ABS(N398),0),0)</f>
        <v>37.380725266686753</v>
      </c>
      <c r="O399" s="60">
        <f t="shared" ref="O399" si="414">IF($A$64&lt;=O363,IF($B$64&gt;=O363,ABS(O398),0),0)</f>
        <v>193.08287139167763</v>
      </c>
      <c r="P399" s="60">
        <f t="shared" ref="P399" si="415">IF($A$64&lt;=P363,IF($B$64&gt;=P363,ABS(P398),0),0)</f>
        <v>609.07292677873147</v>
      </c>
      <c r="Q399" s="60">
        <f t="shared" ref="Q399" si="416">IF($A$64&lt;=Q363,IF($B$64&gt;=Q363,ABS(Q398),0),0)</f>
        <v>822.74372256630318</v>
      </c>
      <c r="R399" s="60">
        <f t="shared" ref="R399" si="417">IF($A$64&lt;=R363,IF($B$64&gt;=R363,ABS(R398),0),0)</f>
        <v>936.07903843441522</v>
      </c>
      <c r="S399" s="60">
        <f t="shared" ref="S399" si="418">IF($A$64&lt;=S363,IF($B$64&gt;=S363,ABS(S398),0),0)</f>
        <v>696.71496496114116</v>
      </c>
      <c r="T399" s="60">
        <f t="shared" ref="T399" si="419">IF($A$64&lt;=T363,IF($B$64&gt;=T363,ABS(T398),0),0)</f>
        <v>464.84944209993563</v>
      </c>
      <c r="U399" s="60">
        <f t="shared" ref="U399" si="420">IF($A$64&lt;=U363,IF($B$64&gt;=U363,ABS(U398),0),0)</f>
        <v>243.74730737717272</v>
      </c>
      <c r="V399" s="60">
        <f t="shared" ref="V399" si="421">IF($A$64&lt;=V363,IF($B$64&gt;=V363,ABS(V398),0),0)</f>
        <v>73.674282742410028</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-44.148639789513958</v>
      </c>
      <c r="C403" s="107">
        <f t="shared" ref="C403:H403" si="432">IF(C125=$B$2,0,C126)</f>
        <v>-32.523099905859404</v>
      </c>
      <c r="D403" s="107">
        <f t="shared" si="432"/>
        <v>-27.199076392270609</v>
      </c>
      <c r="E403" s="107">
        <f t="shared" si="432"/>
        <v>-22.864640601908093</v>
      </c>
      <c r="F403" s="107">
        <f t="shared" si="432"/>
        <v>-15.183616272404954</v>
      </c>
      <c r="G403" s="107">
        <f t="shared" si="432"/>
        <v>0</v>
      </c>
      <c r="H403" s="107">
        <f t="shared" si="432"/>
        <v>13.89414998788293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6.7063984979372177E-35</v>
      </c>
      <c r="C404" s="3">
        <f t="shared" ref="C404:H419" si="433">$A404/EXP(-C$403)</f>
        <v>7.505803257846905E-30</v>
      </c>
      <c r="D404" s="3">
        <f t="shared" si="433"/>
        <v>1.5402499734235971E-27</v>
      </c>
      <c r="E404" s="3">
        <f t="shared" si="433"/>
        <v>1.1749320639766188E-25</v>
      </c>
      <c r="F404" s="3">
        <f t="shared" si="433"/>
        <v>2.5458876689307422E-22</v>
      </c>
      <c r="G404" s="3">
        <f t="shared" si="433"/>
        <v>1.0000000000000001E-15</v>
      </c>
      <c r="H404" s="3">
        <f t="shared" si="433"/>
        <v>1.0818141819105362E-9</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6.7063984979372166E-34</v>
      </c>
      <c r="C405" s="3">
        <f t="shared" si="433"/>
        <v>7.505803257846905E-29</v>
      </c>
      <c r="D405" s="3">
        <f t="shared" si="433"/>
        <v>1.540249973423597E-26</v>
      </c>
      <c r="E405" s="3">
        <f t="shared" si="433"/>
        <v>1.1749320639766185E-24</v>
      </c>
      <c r="F405" s="3">
        <f t="shared" si="433"/>
        <v>2.5458876689307419E-21</v>
      </c>
      <c r="G405" s="3">
        <f t="shared" si="433"/>
        <v>1E-14</v>
      </c>
      <c r="H405" s="3">
        <f t="shared" si="433"/>
        <v>1.0818141819105361E-8</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6.7063984979372166E-33</v>
      </c>
      <c r="C406" s="3">
        <f t="shared" si="433"/>
        <v>7.5058032578469052E-28</v>
      </c>
      <c r="D406" s="3">
        <f t="shared" si="433"/>
        <v>1.5402499734235972E-25</v>
      </c>
      <c r="E406" s="3">
        <f t="shared" si="433"/>
        <v>1.1749320639766187E-23</v>
      </c>
      <c r="F406" s="3">
        <f t="shared" si="433"/>
        <v>2.545887668930742E-20</v>
      </c>
      <c r="G406" s="3">
        <f t="shared" si="433"/>
        <v>1E-13</v>
      </c>
      <c r="H406" s="3">
        <f t="shared" si="433"/>
        <v>1.0818141819105362E-7</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6.7063984979372169E-32</v>
      </c>
      <c r="C407" s="3">
        <f t="shared" si="433"/>
        <v>7.5058032578469045E-27</v>
      </c>
      <c r="D407" s="3">
        <f t="shared" si="433"/>
        <v>1.5402499734235971E-24</v>
      </c>
      <c r="E407" s="3">
        <f t="shared" si="433"/>
        <v>1.1749320639766186E-22</v>
      </c>
      <c r="F407" s="3">
        <f t="shared" si="433"/>
        <v>2.5458876689307421E-19</v>
      </c>
      <c r="G407" s="3">
        <f t="shared" si="433"/>
        <v>9.9999999999999998E-13</v>
      </c>
      <c r="H407" s="3">
        <f t="shared" si="433"/>
        <v>1.0818141819105361E-6</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6.7063984979372166E-31</v>
      </c>
      <c r="C408" s="3">
        <f t="shared" si="433"/>
        <v>7.5058032578469042E-26</v>
      </c>
      <c r="D408" s="3">
        <f t="shared" si="433"/>
        <v>1.5402499734235971E-23</v>
      </c>
      <c r="E408" s="3">
        <f t="shared" si="433"/>
        <v>1.1749320639766186E-21</v>
      </c>
      <c r="F408" s="3">
        <f t="shared" si="433"/>
        <v>2.5458876689307418E-18</v>
      </c>
      <c r="G408" s="3">
        <f t="shared" si="433"/>
        <v>9.9999999999999994E-12</v>
      </c>
      <c r="H408" s="3">
        <f t="shared" si="433"/>
        <v>1.0818141819105361E-5</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6.706398497937217E-30</v>
      </c>
      <c r="C409" s="3">
        <f t="shared" si="433"/>
        <v>7.5058032578469053E-25</v>
      </c>
      <c r="D409" s="3">
        <f t="shared" si="433"/>
        <v>1.5402499734235973E-22</v>
      </c>
      <c r="E409" s="3">
        <f t="shared" si="433"/>
        <v>1.1749320639766187E-20</v>
      </c>
      <c r="F409" s="3">
        <f t="shared" si="433"/>
        <v>2.5458876689307419E-17</v>
      </c>
      <c r="G409" s="3">
        <f t="shared" si="433"/>
        <v>1E-10</v>
      </c>
      <c r="H409" s="3">
        <f t="shared" si="433"/>
        <v>1.0818141819105362E-4</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6.706398497937217E-29</v>
      </c>
      <c r="C410" s="3">
        <f t="shared" si="433"/>
        <v>7.5058032578469055E-24</v>
      </c>
      <c r="D410" s="3">
        <f t="shared" si="433"/>
        <v>1.5402499734235972E-21</v>
      </c>
      <c r="E410" s="3">
        <f t="shared" si="433"/>
        <v>1.1749320639766188E-19</v>
      </c>
      <c r="F410" s="3">
        <f t="shared" si="433"/>
        <v>2.5458876689307422E-16</v>
      </c>
      <c r="G410" s="3">
        <f t="shared" si="433"/>
        <v>1.0000000000000001E-9</v>
      </c>
      <c r="H410" s="3">
        <f t="shared" si="433"/>
        <v>1.0818141819105361E-3</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6.7063984979372172E-28</v>
      </c>
      <c r="C411" s="3">
        <f t="shared" si="433"/>
        <v>7.5058032578469055E-23</v>
      </c>
      <c r="D411" s="3">
        <f t="shared" si="433"/>
        <v>1.5402499734235972E-20</v>
      </c>
      <c r="E411" s="3">
        <f t="shared" si="433"/>
        <v>1.1749320639766186E-18</v>
      </c>
      <c r="F411" s="3">
        <f t="shared" si="433"/>
        <v>2.5458876689307421E-15</v>
      </c>
      <c r="G411" s="3">
        <f t="shared" si="433"/>
        <v>1E-8</v>
      </c>
      <c r="H411" s="3">
        <f t="shared" si="433"/>
        <v>1.0818141819105362E-2</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6.7063984979372167E-27</v>
      </c>
      <c r="C412" s="3">
        <f t="shared" si="433"/>
        <v>7.5058032578469051E-22</v>
      </c>
      <c r="D412" s="3">
        <f t="shared" si="433"/>
        <v>1.5402499734235971E-19</v>
      </c>
      <c r="E412" s="3">
        <f t="shared" si="433"/>
        <v>1.1749320639766185E-17</v>
      </c>
      <c r="F412" s="3">
        <f t="shared" si="433"/>
        <v>2.5458876689307419E-14</v>
      </c>
      <c r="G412" s="3">
        <f t="shared" si="433"/>
        <v>9.9999999999999995E-8</v>
      </c>
      <c r="H412" s="3">
        <f t="shared" si="433"/>
        <v>0.1081814181910536</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6.7063984979372161E-26</v>
      </c>
      <c r="C413" s="3">
        <f t="shared" si="433"/>
        <v>7.5058032578469053E-21</v>
      </c>
      <c r="D413" s="3">
        <f t="shared" si="433"/>
        <v>1.5402499734235971E-18</v>
      </c>
      <c r="E413" s="3">
        <f t="shared" si="433"/>
        <v>1.1749320639766185E-16</v>
      </c>
      <c r="F413" s="3">
        <f t="shared" si="433"/>
        <v>2.5458876689307416E-13</v>
      </c>
      <c r="G413" s="3">
        <f t="shared" si="433"/>
        <v>9.9999999999999995E-7</v>
      </c>
      <c r="H413" s="3">
        <f t="shared" si="433"/>
        <v>1.081814181910536</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6.7063984979372175E-25</v>
      </c>
      <c r="C414" s="3">
        <f t="shared" si="433"/>
        <v>7.5058032578469056E-20</v>
      </c>
      <c r="D414" s="3">
        <f t="shared" si="433"/>
        <v>1.5402499734235973E-17</v>
      </c>
      <c r="E414" s="3">
        <f t="shared" si="433"/>
        <v>1.1749320639766186E-15</v>
      </c>
      <c r="F414" s="3">
        <f t="shared" si="433"/>
        <v>2.545887668930742E-12</v>
      </c>
      <c r="G414" s="3">
        <f t="shared" si="433"/>
        <v>1.0000000000000001E-5</v>
      </c>
      <c r="H414" s="3">
        <f t="shared" si="433"/>
        <v>10.818141819105362</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6.7063984979372166E-24</v>
      </c>
      <c r="C415" s="3">
        <f t="shared" si="433"/>
        <v>7.5058032578469051E-19</v>
      </c>
      <c r="D415" s="3">
        <f t="shared" si="433"/>
        <v>1.5402499734235973E-16</v>
      </c>
      <c r="E415" s="3">
        <f t="shared" si="433"/>
        <v>1.1749320639766186E-14</v>
      </c>
      <c r="F415" s="3">
        <f t="shared" si="433"/>
        <v>2.545887668930742E-11</v>
      </c>
      <c r="G415" s="3">
        <f t="shared" si="433"/>
        <v>1E-4</v>
      </c>
      <c r="H415" s="3">
        <f t="shared" si="433"/>
        <v>108.18141819105361</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6.7063984979372174E-23</v>
      </c>
      <c r="C416" s="3">
        <f t="shared" si="433"/>
        <v>7.5058032578469051E-18</v>
      </c>
      <c r="D416" s="3">
        <f t="shared" si="433"/>
        <v>1.5402499734235971E-15</v>
      </c>
      <c r="E416" s="3">
        <f t="shared" si="433"/>
        <v>1.1749320639766186E-13</v>
      </c>
      <c r="F416" s="3">
        <f t="shared" si="433"/>
        <v>2.545887668930742E-10</v>
      </c>
      <c r="G416" s="3">
        <f t="shared" si="433"/>
        <v>1E-3</v>
      </c>
      <c r="H416" s="3">
        <f t="shared" si="433"/>
        <v>1081.814181910536</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6.7063984979372172E-22</v>
      </c>
      <c r="C417" s="3">
        <f t="shared" si="433"/>
        <v>7.5058032578469057E-17</v>
      </c>
      <c r="D417" s="3">
        <f t="shared" si="433"/>
        <v>1.5402499734235971E-14</v>
      </c>
      <c r="E417" s="3">
        <f t="shared" si="433"/>
        <v>1.1749320639766187E-12</v>
      </c>
      <c r="F417" s="3">
        <f t="shared" si="433"/>
        <v>2.545887668930742E-9</v>
      </c>
      <c r="G417" s="3">
        <f t="shared" si="433"/>
        <v>0.01</v>
      </c>
      <c r="H417" s="3">
        <f t="shared" si="433"/>
        <v>10818.141819105362</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6.7063984979372168E-21</v>
      </c>
      <c r="C418" s="3">
        <f t="shared" si="433"/>
        <v>7.5058032578469059E-16</v>
      </c>
      <c r="D418" s="3">
        <f t="shared" si="433"/>
        <v>1.5402499734235971E-13</v>
      </c>
      <c r="E418" s="3">
        <f t="shared" si="433"/>
        <v>1.1749320639766186E-11</v>
      </c>
      <c r="F418" s="3">
        <f t="shared" si="433"/>
        <v>2.5458876689307422E-8</v>
      </c>
      <c r="G418" s="3">
        <f t="shared" si="433"/>
        <v>0.1</v>
      </c>
      <c r="H418" s="3">
        <f t="shared" si="433"/>
        <v>108181.41819105361</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6.7063984979372173E-20</v>
      </c>
      <c r="C419" s="3">
        <f t="shared" si="433"/>
        <v>7.5058032578469044E-15</v>
      </c>
      <c r="D419" s="3">
        <f t="shared" si="433"/>
        <v>1.5402499734235971E-12</v>
      </c>
      <c r="E419" s="3">
        <f t="shared" si="433"/>
        <v>1.1749320639766186E-10</v>
      </c>
      <c r="F419" s="3">
        <f t="shared" si="433"/>
        <v>2.5458876689307419E-7</v>
      </c>
      <c r="G419" s="3">
        <f t="shared" si="433"/>
        <v>1</v>
      </c>
      <c r="H419" s="3">
        <f t="shared" si="433"/>
        <v>1081814.181910536</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6.7063984979372173E-19</v>
      </c>
      <c r="C420" s="3">
        <f t="shared" si="434"/>
        <v>7.505803257846905E-14</v>
      </c>
      <c r="D420" s="3">
        <f t="shared" si="434"/>
        <v>1.540249973423597E-11</v>
      </c>
      <c r="E420" s="3">
        <f t="shared" si="434"/>
        <v>1.1749320639766185E-9</v>
      </c>
      <c r="F420" s="3">
        <f t="shared" si="434"/>
        <v>2.545887668930742E-6</v>
      </c>
      <c r="G420" s="3">
        <f t="shared" si="434"/>
        <v>10</v>
      </c>
      <c r="H420" s="3">
        <f t="shared" si="434"/>
        <v>10818141.819105361</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6.7063984979372165E-18</v>
      </c>
      <c r="C421" s="3">
        <f t="shared" si="434"/>
        <v>7.5058032578469047E-13</v>
      </c>
      <c r="D421" s="3">
        <f t="shared" si="434"/>
        <v>1.540249973423597E-10</v>
      </c>
      <c r="E421" s="3">
        <f t="shared" si="434"/>
        <v>1.1749320639766186E-8</v>
      </c>
      <c r="F421" s="3">
        <f t="shared" si="434"/>
        <v>2.5458876689307419E-5</v>
      </c>
      <c r="G421" s="3">
        <f t="shared" si="434"/>
        <v>100</v>
      </c>
      <c r="H421" s="3">
        <f t="shared" si="434"/>
        <v>108181418.19105361</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6.7063984979372171E-17</v>
      </c>
      <c r="C422" s="3">
        <f t="shared" si="434"/>
        <v>7.5058032578469043E-12</v>
      </c>
      <c r="D422" s="3">
        <f t="shared" si="434"/>
        <v>1.5402499734235972E-9</v>
      </c>
      <c r="E422" s="3">
        <f t="shared" si="434"/>
        <v>1.1749320639766186E-7</v>
      </c>
      <c r="F422" s="3">
        <f t="shared" si="434"/>
        <v>2.545887668930742E-4</v>
      </c>
      <c r="G422" s="3">
        <f t="shared" si="434"/>
        <v>1000</v>
      </c>
      <c r="H422" s="3">
        <f t="shared" si="434"/>
        <v>1081814181.9105361</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6.7063984979372166E-16</v>
      </c>
      <c r="C423" s="3">
        <f t="shared" si="434"/>
        <v>7.505803257846905E-11</v>
      </c>
      <c r="D423" s="3">
        <f t="shared" si="434"/>
        <v>1.540249973423597E-8</v>
      </c>
      <c r="E423" s="3">
        <f t="shared" si="434"/>
        <v>1.1749320639766185E-6</v>
      </c>
      <c r="F423" s="3">
        <f t="shared" si="434"/>
        <v>2.5458876689307421E-3</v>
      </c>
      <c r="G423" s="3">
        <f t="shared" si="434"/>
        <v>10000</v>
      </c>
      <c r="H423" s="3">
        <f t="shared" si="434"/>
        <v>10818141819.105362</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6.7063984979372168E-15</v>
      </c>
      <c r="C424" s="3">
        <f t="shared" si="434"/>
        <v>7.5058032578469052E-10</v>
      </c>
      <c r="D424" s="3">
        <f t="shared" si="434"/>
        <v>1.540249973423597E-7</v>
      </c>
      <c r="E424" s="3">
        <f t="shared" si="434"/>
        <v>1.1749320639766187E-5</v>
      </c>
      <c r="F424" s="3">
        <f t="shared" si="434"/>
        <v>2.5458876689307419E-2</v>
      </c>
      <c r="G424" s="3">
        <f t="shared" si="434"/>
        <v>100000</v>
      </c>
      <c r="H424" s="3">
        <f t="shared" si="434"/>
        <v>108181418191.0536</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6.7063984979372173E-14</v>
      </c>
      <c r="C425" s="3">
        <f t="shared" si="434"/>
        <v>7.5058032578469054E-9</v>
      </c>
      <c r="D425" s="3">
        <f t="shared" si="434"/>
        <v>1.5402499734235972E-6</v>
      </c>
      <c r="E425" s="3">
        <f t="shared" si="434"/>
        <v>1.1749320639766186E-4</v>
      </c>
      <c r="F425" s="3">
        <f t="shared" si="434"/>
        <v>0.25458876689307419</v>
      </c>
      <c r="G425" s="3">
        <f t="shared" si="434"/>
        <v>1000000</v>
      </c>
      <c r="H425" s="3">
        <f t="shared" si="434"/>
        <v>1081814181910.5361</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6.7063984979372171E-13</v>
      </c>
      <c r="C426" s="3">
        <f t="shared" si="434"/>
        <v>7.5058032578469048E-8</v>
      </c>
      <c r="D426" s="3">
        <f t="shared" si="434"/>
        <v>1.5402499734235973E-5</v>
      </c>
      <c r="E426" s="3">
        <f t="shared" si="434"/>
        <v>1.1749320639766186E-3</v>
      </c>
      <c r="F426" s="3">
        <f t="shared" si="434"/>
        <v>2.5458876689307419</v>
      </c>
      <c r="G426" s="3">
        <f t="shared" si="434"/>
        <v>10000000</v>
      </c>
      <c r="H426" s="3">
        <f t="shared" si="434"/>
        <v>10818141819105.361</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6.7063984979372165E-12</v>
      </c>
      <c r="C427" s="3">
        <f t="shared" si="434"/>
        <v>7.5058032578469053E-7</v>
      </c>
      <c r="D427" s="3">
        <f t="shared" si="434"/>
        <v>1.5402499734235971E-4</v>
      </c>
      <c r="E427" s="3">
        <f t="shared" si="434"/>
        <v>1.1749320639766187E-2</v>
      </c>
      <c r="F427" s="3">
        <f t="shared" si="434"/>
        <v>25.45887668930742</v>
      </c>
      <c r="G427" s="3">
        <f t="shared" si="434"/>
        <v>100000000</v>
      </c>
      <c r="H427" s="3">
        <f t="shared" si="434"/>
        <v>108181418191053.61</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6.7063984979372163E-11</v>
      </c>
      <c r="C428" s="3">
        <f t="shared" si="434"/>
        <v>7.5058032578469047E-6</v>
      </c>
      <c r="D428" s="3">
        <f t="shared" si="434"/>
        <v>1.5402499734235972E-3</v>
      </c>
      <c r="E428" s="3">
        <f t="shared" si="434"/>
        <v>0.11749320639766186</v>
      </c>
      <c r="F428" s="3">
        <f t="shared" si="434"/>
        <v>254.58876689307419</v>
      </c>
      <c r="G428" s="3">
        <f t="shared" si="434"/>
        <v>1000000000</v>
      </c>
      <c r="H428" s="3">
        <f t="shared" si="434"/>
        <v>1081814181910536.1</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6.7063984979372165E-10</v>
      </c>
      <c r="C429" s="3">
        <f t="shared" si="434"/>
        <v>7.5058032578469055E-5</v>
      </c>
      <c r="D429" s="3">
        <f t="shared" si="434"/>
        <v>1.5402499734235971E-2</v>
      </c>
      <c r="E429" s="3">
        <f t="shared" si="434"/>
        <v>1.1749320639766185</v>
      </c>
      <c r="F429" s="3">
        <f t="shared" si="434"/>
        <v>2545.8876689307417</v>
      </c>
      <c r="G429" s="3">
        <f t="shared" si="434"/>
        <v>10000000000</v>
      </c>
      <c r="H429" s="3">
        <f t="shared" si="434"/>
        <v>1.0818141819105362E+16</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6.706398497937217E-9</v>
      </c>
      <c r="C430" s="3">
        <f t="shared" si="434"/>
        <v>7.505803257846905E-4</v>
      </c>
      <c r="D430" s="3">
        <f t="shared" si="434"/>
        <v>0.15402499734235972</v>
      </c>
      <c r="E430" s="3">
        <f t="shared" si="434"/>
        <v>11.749320639766186</v>
      </c>
      <c r="F430" s="3">
        <f t="shared" si="434"/>
        <v>25458.876689307421</v>
      </c>
      <c r="G430" s="3">
        <f t="shared" si="434"/>
        <v>100000000000</v>
      </c>
      <c r="H430" s="3">
        <f t="shared" si="434"/>
        <v>1.0818141819105362E+17</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6.7063984979372163E-8</v>
      </c>
      <c r="C431" s="3">
        <f t="shared" si="434"/>
        <v>7.5058032578469054E-3</v>
      </c>
      <c r="D431" s="3">
        <f t="shared" si="434"/>
        <v>1.540249973423597</v>
      </c>
      <c r="E431" s="3">
        <f t="shared" si="434"/>
        <v>117.49320639766187</v>
      </c>
      <c r="F431" s="3">
        <f t="shared" si="434"/>
        <v>254588.76689307421</v>
      </c>
      <c r="G431" s="3">
        <f t="shared" si="434"/>
        <v>1000000000000</v>
      </c>
      <c r="H431" s="3">
        <f t="shared" si="434"/>
        <v>1.0818141819105361E+18</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6.7063984979372166E-7</v>
      </c>
      <c r="C432" s="3">
        <f t="shared" si="434"/>
        <v>7.5058032578469047E-2</v>
      </c>
      <c r="D432" s="3">
        <f t="shared" si="434"/>
        <v>15.40249973423597</v>
      </c>
      <c r="E432" s="3">
        <f t="shared" si="434"/>
        <v>1174.9320639766186</v>
      </c>
      <c r="F432" s="3">
        <f t="shared" si="434"/>
        <v>2545887.668930742</v>
      </c>
      <c r="G432" s="3">
        <f t="shared" si="434"/>
        <v>10000000000000</v>
      </c>
      <c r="H432" s="3">
        <f t="shared" si="434"/>
        <v>1.0818141819105362E+19</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6.7063984979372172E-6</v>
      </c>
      <c r="C433" s="3">
        <f t="shared" si="434"/>
        <v>0.75058032578469047</v>
      </c>
      <c r="D433" s="3">
        <f t="shared" si="434"/>
        <v>154.02499734235971</v>
      </c>
      <c r="E433" s="3">
        <f t="shared" si="434"/>
        <v>11749.320639766185</v>
      </c>
      <c r="F433" s="3">
        <f t="shared" si="434"/>
        <v>25458876.689307418</v>
      </c>
      <c r="G433" s="3">
        <f t="shared" si="434"/>
        <v>100000000000000</v>
      </c>
      <c r="H433" s="3">
        <f t="shared" si="434"/>
        <v>1.081814181910536E+20</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6.7063984979372172E-5</v>
      </c>
      <c r="C434" s="3">
        <f t="shared" si="434"/>
        <v>7.5058032578469049</v>
      </c>
      <c r="D434" s="3">
        <f t="shared" si="434"/>
        <v>1540.2499734235971</v>
      </c>
      <c r="E434" s="3">
        <f t="shared" si="434"/>
        <v>117493.20639766187</v>
      </c>
      <c r="F434" s="3">
        <f t="shared" si="434"/>
        <v>254588766.89307418</v>
      </c>
      <c r="G434" s="3">
        <f t="shared" si="434"/>
        <v>1000000000000000</v>
      </c>
      <c r="H434" s="3">
        <f t="shared" si="434"/>
        <v>1.0818141819105361E+21</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-44.148639789513958</v>
      </c>
      <c r="M1" s="54">
        <v>1</v>
      </c>
      <c r="N1" s="56">
        <f>INDEX($H$217:$P$217,1,Q1)</f>
        <v>0.36811790140473383</v>
      </c>
      <c r="O1" s="11"/>
      <c r="P1" s="55">
        <v>1</v>
      </c>
      <c r="Q1" s="11">
        <v>2</v>
      </c>
    </row>
    <row r="2" spans="1:17" x14ac:dyDescent="0.25">
      <c r="A2" s="11">
        <f>'Mastercurve bestimmen'!M119</f>
        <v>0</v>
      </c>
      <c r="B2" s="11">
        <f>'Mastercurve bestimmen'!N119</f>
        <v>-32.523099905859404</v>
      </c>
      <c r="M2" s="54">
        <v>2</v>
      </c>
      <c r="N2" s="56">
        <f t="shared" ref="N2:N9" si="0">INDEX($H$217:$P$217,1,Q2)</f>
        <v>1.0013170433171759E-3</v>
      </c>
      <c r="O2" s="11"/>
      <c r="P2" s="55">
        <v>2</v>
      </c>
      <c r="Q2" s="11">
        <f>Q1+1</f>
        <v>3</v>
      </c>
    </row>
    <row r="3" spans="1:17" x14ac:dyDescent="0.25">
      <c r="A3" s="11">
        <f>'Mastercurve bestimmen'!M120</f>
        <v>25</v>
      </c>
      <c r="B3" s="11">
        <f>'Mastercurve bestimmen'!N120</f>
        <v>-27.199076392270609</v>
      </c>
      <c r="M3" s="54">
        <v>3</v>
      </c>
      <c r="N3" s="56">
        <f t="shared" si="0"/>
        <v>1.7390647060256478E-5</v>
      </c>
      <c r="O3" s="11"/>
      <c r="P3" s="55">
        <v>3</v>
      </c>
      <c r="Q3" s="11">
        <f t="shared" ref="Q3:Q8" si="1">Q2+1</f>
        <v>4</v>
      </c>
    </row>
    <row r="4" spans="1:17" x14ac:dyDescent="0.25">
      <c r="A4" s="11">
        <f>'Mastercurve bestimmen'!M121</f>
        <v>50</v>
      </c>
      <c r="B4" s="11">
        <f>'Mastercurve bestimmen'!N121</f>
        <v>-22.864640601908093</v>
      </c>
      <c r="M4" s="54">
        <v>4</v>
      </c>
      <c r="N4" s="56">
        <f t="shared" si="0"/>
        <v>-7.5731375387443209E-8</v>
      </c>
      <c r="O4" s="11"/>
      <c r="P4" s="55">
        <v>4</v>
      </c>
      <c r="Q4" s="11">
        <f t="shared" si="1"/>
        <v>5</v>
      </c>
    </row>
    <row r="5" spans="1:17" x14ac:dyDescent="0.25">
      <c r="A5" s="11">
        <f>'Mastercurve bestimmen'!M122</f>
        <v>80</v>
      </c>
      <c r="B5" s="11">
        <f>'Mastercurve bestimmen'!N122</f>
        <v>-15.183616272404954</v>
      </c>
      <c r="M5" s="54">
        <v>5</v>
      </c>
      <c r="N5" s="56">
        <f t="shared" si="0"/>
        <v>-1.219939891810129E-8</v>
      </c>
      <c r="O5" s="11"/>
      <c r="P5" s="55">
        <v>5</v>
      </c>
      <c r="Q5" s="11">
        <f t="shared" si="1"/>
        <v>6</v>
      </c>
    </row>
    <row r="6" spans="1:17" x14ac:dyDescent="0.25">
      <c r="A6" s="11">
        <f>'Mastercurve bestimmen'!M123</f>
        <v>125</v>
      </c>
      <c r="B6" s="11">
        <f>'Mastercurve bestimmen'!N123</f>
        <v>0</v>
      </c>
      <c r="M6" s="54">
        <v>6</v>
      </c>
      <c r="N6" s="56">
        <f t="shared" si="0"/>
        <v>-1.6835439719889624E-10</v>
      </c>
      <c r="O6" s="11"/>
      <c r="P6" s="55">
        <v>6</v>
      </c>
      <c r="Q6" s="11">
        <f t="shared" si="1"/>
        <v>7</v>
      </c>
    </row>
    <row r="7" spans="1:17" x14ac:dyDescent="0.25">
      <c r="A7" s="11">
        <f>'Mastercurve bestimmen'!M124</f>
        <v>160</v>
      </c>
      <c r="B7" s="11">
        <f>'Mastercurve bestimmen'!N124</f>
        <v>13.89414998788293</v>
      </c>
      <c r="M7" s="54">
        <v>7</v>
      </c>
      <c r="N7" s="56">
        <f t="shared" si="0"/>
        <v>-8.6124966554903782E-13</v>
      </c>
      <c r="O7" s="11"/>
      <c r="P7" s="55">
        <v>7</v>
      </c>
      <c r="Q7" s="11">
        <f t="shared" si="1"/>
        <v>8</v>
      </c>
    </row>
    <row r="8" spans="1:17" x14ac:dyDescent="0.25">
      <c r="A8" s="11"/>
      <c r="B8" s="11"/>
      <c r="M8" s="54">
        <v>8</v>
      </c>
      <c r="N8" s="56">
        <f t="shared" si="0"/>
        <v>-1.5262640175208399E-15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-44.148639789513958</v>
      </c>
      <c r="E15" s="11">
        <f>A15-'Mastercurve bestimmen'!$B$2</f>
        <v>-165</v>
      </c>
      <c r="F15" s="11">
        <f>B15</f>
        <v>-44.148639789513958</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-43.918987289151943</v>
      </c>
      <c r="E16" s="11">
        <f>A16-'Mastercurve bestimmen'!$B$2</f>
        <v>-164</v>
      </c>
      <c r="F16" s="11">
        <f t="shared" ref="F16:F79" si="4">B16</f>
        <v>-43.918987289151943</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-43.689105948276868</v>
      </c>
      <c r="E17" s="11">
        <f>A17-'Mastercurve bestimmen'!$B$2</f>
        <v>-163</v>
      </c>
      <c r="F17" s="11">
        <f t="shared" si="4"/>
        <v>-43.689105948276868</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-43.458766926375674</v>
      </c>
      <c r="E18" s="11">
        <f>A18-'Mastercurve bestimmen'!$B$2</f>
        <v>-162</v>
      </c>
      <c r="F18" s="11">
        <f t="shared" si="4"/>
        <v>-43.458766926375674</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-43.227741382935321</v>
      </c>
      <c r="E19" s="11">
        <f>A19-'Mastercurve bestimmen'!$B$2</f>
        <v>-161</v>
      </c>
      <c r="F19" s="11">
        <f t="shared" si="4"/>
        <v>-43.227741382935321</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-42.995800477442749</v>
      </c>
      <c r="E20" s="11">
        <f>A20-'Mastercurve bestimmen'!$B$2</f>
        <v>-160</v>
      </c>
      <c r="F20" s="11">
        <f t="shared" si="4"/>
        <v>-42.995800477442749</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-42.762715369384892</v>
      </c>
      <c r="E21" s="11">
        <f>A21-'Mastercurve bestimmen'!$B$2</f>
        <v>-159</v>
      </c>
      <c r="F21" s="11">
        <f t="shared" si="4"/>
        <v>-42.762715369384892</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-42.528257218248704</v>
      </c>
      <c r="E22" s="11">
        <f>A22-'Mastercurve bestimmen'!$B$2</f>
        <v>-158</v>
      </c>
      <c r="F22" s="11">
        <f t="shared" si="4"/>
        <v>-42.528257218248704</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-42.292197183521125</v>
      </c>
      <c r="E23" s="11">
        <f>A23-'Mastercurve bestimmen'!$B$2</f>
        <v>-157</v>
      </c>
      <c r="F23" s="11">
        <f t="shared" si="4"/>
        <v>-42.292197183521125</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-42.054306424689102</v>
      </c>
      <c r="E24" s="11">
        <f>A24-'Mastercurve bestimmen'!$B$2</f>
        <v>-156</v>
      </c>
      <c r="F24" s="11">
        <f t="shared" si="4"/>
        <v>-42.054306424689102</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-41.814356101239568</v>
      </c>
      <c r="E25" s="11">
        <f>A25-'Mastercurve bestimmen'!$B$2</f>
        <v>-155</v>
      </c>
      <c r="F25" s="11">
        <f t="shared" si="4"/>
        <v>-41.814356101239568</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-41.572117372659491</v>
      </c>
      <c r="E26" s="11">
        <f>A26-'Mastercurve bestimmen'!$B$2</f>
        <v>-154</v>
      </c>
      <c r="F26" s="11">
        <f t="shared" si="4"/>
        <v>-41.572117372659491</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-41.327361398435798</v>
      </c>
      <c r="E27" s="11">
        <f>A27-'Mastercurve bestimmen'!$B$2</f>
        <v>-153</v>
      </c>
      <c r="F27" s="11">
        <f t="shared" si="4"/>
        <v>-41.327361398435798</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-41.079859338055428</v>
      </c>
      <c r="E28" s="11">
        <f>A28-'Mastercurve bestimmen'!$B$2</f>
        <v>-152</v>
      </c>
      <c r="F28" s="11">
        <f t="shared" si="4"/>
        <v>-41.079859338055428</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-40.829382351005343</v>
      </c>
      <c r="E29" s="11">
        <f>A29-'Mastercurve bestimmen'!$B$2</f>
        <v>-151</v>
      </c>
      <c r="F29" s="11">
        <f t="shared" si="4"/>
        <v>-40.829382351005343</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-40.575701596772475</v>
      </c>
      <c r="E30" s="11">
        <f>A30-'Mastercurve bestimmen'!$B$2</f>
        <v>-150</v>
      </c>
      <c r="F30" s="11">
        <f t="shared" si="4"/>
        <v>-40.575701596772475</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-40.318588234843773</v>
      </c>
      <c r="E31" s="11">
        <f>A31-'Mastercurve bestimmen'!$B$2</f>
        <v>-149</v>
      </c>
      <c r="F31" s="11">
        <f t="shared" si="4"/>
        <v>-40.318588234843773</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-40.057813424706175</v>
      </c>
      <c r="E32" s="11">
        <f>A32-'Mastercurve bestimmen'!$B$2</f>
        <v>-148</v>
      </c>
      <c r="F32" s="11">
        <f t="shared" si="4"/>
        <v>-40.057813424706175</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-39.79314832584663</v>
      </c>
      <c r="E33" s="11">
        <f>A33-'Mastercurve bestimmen'!$B$2</f>
        <v>-147</v>
      </c>
      <c r="F33" s="11">
        <f t="shared" si="4"/>
        <v>-39.79314832584663</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-39.524364097752091</v>
      </c>
      <c r="E34" s="11">
        <f>A34-'Mastercurve bestimmen'!$B$2</f>
        <v>-146</v>
      </c>
      <c r="F34" s="11">
        <f t="shared" si="4"/>
        <v>-39.524364097752091</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-39.251231899909484</v>
      </c>
      <c r="E35" s="11">
        <f>A35-'Mastercurve bestimmen'!$B$2</f>
        <v>-145</v>
      </c>
      <c r="F35" s="11">
        <f t="shared" si="4"/>
        <v>-39.251231899909484</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-38.973522891805771</v>
      </c>
      <c r="E36" s="11">
        <f>A36-'Mastercurve bestimmen'!$B$2</f>
        <v>-144</v>
      </c>
      <c r="F36" s="11">
        <f t="shared" si="4"/>
        <v>-38.973522891805771</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-38.691008232927885</v>
      </c>
      <c r="E37" s="11">
        <f>A37-'Mastercurve bestimmen'!$B$2</f>
        <v>-143</v>
      </c>
      <c r="F37" s="11">
        <f t="shared" si="4"/>
        <v>-38.691008232927885</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-38.40345908276278</v>
      </c>
      <c r="E38" s="11">
        <f>A38-'Mastercurve bestimmen'!$B$2</f>
        <v>-142</v>
      </c>
      <c r="F38" s="11">
        <f t="shared" si="4"/>
        <v>-38.40345908276278</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-38.110646600797381</v>
      </c>
      <c r="E39" s="11">
        <f>A39-'Mastercurve bestimmen'!$B$2</f>
        <v>-141</v>
      </c>
      <c r="F39" s="11">
        <f t="shared" si="4"/>
        <v>-38.110646600797381</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-37.812341946518643</v>
      </c>
      <c r="E40" s="11">
        <f>A40-'Mastercurve bestimmen'!$B$2</f>
        <v>-140</v>
      </c>
      <c r="F40" s="11">
        <f t="shared" si="4"/>
        <v>-37.812341946518643</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-37.508316279413528</v>
      </c>
      <c r="E41" s="11">
        <f>A41-'Mastercurve bestimmen'!$B$2</f>
        <v>-139</v>
      </c>
      <c r="F41" s="11">
        <f t="shared" si="4"/>
        <v>-37.508316279413528</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-37.198340758968961</v>
      </c>
      <c r="E42" s="11">
        <f>A42-'Mastercurve bestimmen'!$B$2</f>
        <v>-138</v>
      </c>
      <c r="F42" s="11">
        <f t="shared" si="4"/>
        <v>-37.198340758968961</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-36.882186544671882</v>
      </c>
      <c r="E43" s="11">
        <f>A43-'Mastercurve bestimmen'!$B$2</f>
        <v>-137</v>
      </c>
      <c r="F43" s="11">
        <f t="shared" si="4"/>
        <v>-36.882186544671882</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-36.559624796009246</v>
      </c>
      <c r="E44" s="11">
        <f>A44-'Mastercurve bestimmen'!$B$2</f>
        <v>-136</v>
      </c>
      <c r="F44" s="11">
        <f t="shared" si="4"/>
        <v>-36.559624796009246</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-36.230426672467999</v>
      </c>
      <c r="E45" s="11">
        <f>A45-'Mastercurve bestimmen'!$B$2</f>
        <v>-135</v>
      </c>
      <c r="F45" s="11">
        <f t="shared" si="4"/>
        <v>-36.230426672467999</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-35.894363333535075</v>
      </c>
      <c r="E46" s="11">
        <f>A46-'Mastercurve bestimmen'!$B$2</f>
        <v>-134</v>
      </c>
      <c r="F46" s="11">
        <f t="shared" si="4"/>
        <v>-35.894363333535075</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-35.551205938697429</v>
      </c>
      <c r="E47" s="11">
        <f>A47-'Mastercurve bestimmen'!$B$2</f>
        <v>-133</v>
      </c>
      <c r="F47" s="11">
        <f t="shared" si="4"/>
        <v>-35.551205938697429</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-35.200725647441999</v>
      </c>
      <c r="E48" s="11">
        <f>A48-'Mastercurve bestimmen'!$B$2</f>
        <v>-132</v>
      </c>
      <c r="F48" s="11">
        <f t="shared" si="4"/>
        <v>-35.200725647441999</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-34.842693619255733</v>
      </c>
      <c r="E49" s="11">
        <f>A49-'Mastercurve bestimmen'!$B$2</f>
        <v>-131</v>
      </c>
      <c r="F49" s="11">
        <f t="shared" si="4"/>
        <v>-34.842693619255733</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-34.476881013625572</v>
      </c>
      <c r="E50" s="11">
        <f>A50-'Mastercurve bestimmen'!$B$2</f>
        <v>-130</v>
      </c>
      <c r="F50" s="11">
        <f t="shared" si="4"/>
        <v>-34.476881013625572</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-34.103058990038463</v>
      </c>
      <c r="E51" s="11">
        <f>A51-'Mastercurve bestimmen'!$B$2</f>
        <v>-129</v>
      </c>
      <c r="F51" s="11">
        <f t="shared" si="4"/>
        <v>-34.103058990038463</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-33.720998707981337</v>
      </c>
      <c r="E52" s="11">
        <f>A52-'Mastercurve bestimmen'!$B$2</f>
        <v>-128</v>
      </c>
      <c r="F52" s="11">
        <f t="shared" si="4"/>
        <v>-33.720998707981337</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-33.330471326941165</v>
      </c>
      <c r="E53" s="11">
        <f>A53-'Mastercurve bestimmen'!$B$2</f>
        <v>-127</v>
      </c>
      <c r="F53" s="11">
        <f t="shared" si="4"/>
        <v>-33.330471326941165</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-32.931248006404871</v>
      </c>
      <c r="E54" s="11">
        <f>A54-'Mastercurve bestimmen'!$B$2</f>
        <v>-126</v>
      </c>
      <c r="F54" s="11">
        <f t="shared" si="4"/>
        <v>-32.931248006404871</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-32.523099905859404</v>
      </c>
      <c r="E55" s="11">
        <f>A55-'Mastercurve bestimmen'!$B$2</f>
        <v>-125</v>
      </c>
      <c r="F55" s="11">
        <f t="shared" si="4"/>
        <v>-32.523099905859404</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-32.356855853195633</v>
      </c>
      <c r="E56" s="11">
        <f>A56-'Mastercurve bestimmen'!$B$2</f>
        <v>-124</v>
      </c>
      <c r="F56" s="11">
        <f t="shared" si="4"/>
        <v>-32.356855853195633</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-32.182065166147972</v>
      </c>
      <c r="E57" s="11">
        <f>A57-'Mastercurve bestimmen'!$B$2</f>
        <v>-123</v>
      </c>
      <c r="F57" s="11">
        <f t="shared" si="4"/>
        <v>-32.182065166147972</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-31.999334830854753</v>
      </c>
      <c r="E58" s="11">
        <f>A58-'Mastercurve bestimmen'!$B$2</f>
        <v>-122</v>
      </c>
      <c r="F58" s="11">
        <f t="shared" si="4"/>
        <v>-31.999334830854753</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-31.809271833454318</v>
      </c>
      <c r="E59" s="11">
        <f>A59-'Mastercurve bestimmen'!$B$2</f>
        <v>-121</v>
      </c>
      <c r="F59" s="11">
        <f t="shared" si="4"/>
        <v>-31.809271833454318</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-31.612483160084999</v>
      </c>
      <c r="E60" s="11">
        <f>A60-'Mastercurve bestimmen'!$B$2</f>
        <v>-120</v>
      </c>
      <c r="F60" s="11">
        <f t="shared" si="4"/>
        <v>-31.612483160084999</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-31.409575796885132</v>
      </c>
      <c r="E61" s="11">
        <f>A61-'Mastercurve bestimmen'!$B$2</f>
        <v>-119</v>
      </c>
      <c r="F61" s="11">
        <f t="shared" si="4"/>
        <v>-31.409575796885132</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-31.201156729993052</v>
      </c>
      <c r="E62" s="11">
        <f>A62-'Mastercurve bestimmen'!$B$2</f>
        <v>-118</v>
      </c>
      <c r="F62" s="11">
        <f t="shared" si="4"/>
        <v>-31.201156729993052</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-30.987832945547098</v>
      </c>
      <c r="E63" s="11">
        <f>A63-'Mastercurve bestimmen'!$B$2</f>
        <v>-117</v>
      </c>
      <c r="F63" s="11">
        <f t="shared" si="4"/>
        <v>-30.987832945547098</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-30.770211429685602</v>
      </c>
      <c r="E64" s="11">
        <f>A64-'Mastercurve bestimmen'!$B$2</f>
        <v>-116</v>
      </c>
      <c r="F64" s="11">
        <f t="shared" si="4"/>
        <v>-30.770211429685602</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-30.548899168546903</v>
      </c>
      <c r="E65" s="11">
        <f>A65-'Mastercurve bestimmen'!$B$2</f>
        <v>-115</v>
      </c>
      <c r="F65" s="11">
        <f t="shared" si="4"/>
        <v>-30.548899168546903</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-30.324503148269343</v>
      </c>
      <c r="E66" s="11">
        <f>A66-'Mastercurve bestimmen'!$B$2</f>
        <v>-114</v>
      </c>
      <c r="F66" s="11">
        <f t="shared" si="4"/>
        <v>-30.324503148269343</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-30.097630354991246</v>
      </c>
      <c r="E67" s="11">
        <f>A67-'Mastercurve bestimmen'!$B$2</f>
        <v>-113</v>
      </c>
      <c r="F67" s="11">
        <f t="shared" si="4"/>
        <v>-30.097630354991246</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-29.868887774850958</v>
      </c>
      <c r="E68" s="11">
        <f>A68-'Mastercurve bestimmen'!$B$2</f>
        <v>-112</v>
      </c>
      <c r="F68" s="11">
        <f t="shared" si="4"/>
        <v>-29.868887774850958</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-29.638882393986808</v>
      </c>
      <c r="E69" s="11">
        <f>A69-'Mastercurve bestimmen'!$B$2</f>
        <v>-111</v>
      </c>
      <c r="F69" s="11">
        <f t="shared" si="4"/>
        <v>-29.638882393986808</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-29.408221198537134</v>
      </c>
      <c r="E70" s="11">
        <f>A70-'Mastercurve bestimmen'!$B$2</f>
        <v>-110</v>
      </c>
      <c r="F70" s="11">
        <f t="shared" si="4"/>
        <v>-29.408221198537134</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-29.17751117464028</v>
      </c>
      <c r="E71" s="11">
        <f>A71-'Mastercurve bestimmen'!$B$2</f>
        <v>-109</v>
      </c>
      <c r="F71" s="11">
        <f t="shared" si="4"/>
        <v>-29.17751117464028</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-28.947359308434571</v>
      </c>
      <c r="E72" s="11">
        <f>A72-'Mastercurve bestimmen'!$B$2</f>
        <v>-108</v>
      </c>
      <c r="F72" s="11">
        <f t="shared" si="4"/>
        <v>-28.947359308434571</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-28.718372586058344</v>
      </c>
      <c r="E73" s="11">
        <f>A73-'Mastercurve bestimmen'!$B$2</f>
        <v>-107</v>
      </c>
      <c r="F73" s="11">
        <f t="shared" si="4"/>
        <v>-28.718372586058344</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-28.491157993649942</v>
      </c>
      <c r="E74" s="11">
        <f>A74-'Mastercurve bestimmen'!$B$2</f>
        <v>-106</v>
      </c>
      <c r="F74" s="11">
        <f t="shared" si="4"/>
        <v>-28.491157993649942</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-28.266322517347696</v>
      </c>
      <c r="E75" s="11">
        <f>A75-'Mastercurve bestimmen'!$B$2</f>
        <v>-105</v>
      </c>
      <c r="F75" s="11">
        <f t="shared" si="4"/>
        <v>-28.266322517347696</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-28.044473143289949</v>
      </c>
      <c r="E76" s="11">
        <f>A76-'Mastercurve bestimmen'!$B$2</f>
        <v>-104</v>
      </c>
      <c r="F76" s="11">
        <f t="shared" si="4"/>
        <v>-28.044473143289949</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-27.82621685761503</v>
      </c>
      <c r="E77" s="11">
        <f>A77-'Mastercurve bestimmen'!$B$2</f>
        <v>-103</v>
      </c>
      <c r="F77" s="11">
        <f t="shared" si="4"/>
        <v>-27.82621685761503</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-27.612160646461273</v>
      </c>
      <c r="E78" s="11">
        <f>A78-'Mastercurve bestimmen'!$B$2</f>
        <v>-102</v>
      </c>
      <c r="F78" s="11">
        <f t="shared" si="4"/>
        <v>-27.612160646461273</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-27.402911495967022</v>
      </c>
      <c r="E79" s="11">
        <f>A79-'Mastercurve bestimmen'!$B$2</f>
        <v>-101</v>
      </c>
      <c r="F79" s="11">
        <f t="shared" si="4"/>
        <v>-27.402911495967022</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-27.199076392270609</v>
      </c>
      <c r="E80" s="11">
        <f>A80-'Mastercurve bestimmen'!$B$2</f>
        <v>-100</v>
      </c>
      <c r="F80" s="11">
        <f t="shared" ref="F80:F143" si="10">B80</f>
        <v>-27.199076392270609</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-27.001084813807207</v>
      </c>
      <c r="E81" s="11">
        <f>A81-'Mastercurve bestimmen'!$B$2</f>
        <v>-99</v>
      </c>
      <c r="F81" s="11">
        <f t="shared" si="10"/>
        <v>-27.001084813807207</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-26.808656208199356</v>
      </c>
      <c r="E82" s="11">
        <f>A82-'Mastercurve bestimmen'!$B$2</f>
        <v>-98</v>
      </c>
      <c r="F82" s="11">
        <f t="shared" si="10"/>
        <v>-26.808656208199356</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-26.621332515366422</v>
      </c>
      <c r="E83" s="11">
        <f>A83-'Mastercurve bestimmen'!$B$2</f>
        <v>-97</v>
      </c>
      <c r="F83" s="11">
        <f t="shared" si="10"/>
        <v>-26.621332515366422</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-26.438655675227785</v>
      </c>
      <c r="E84" s="11">
        <f>A84-'Mastercurve bestimmen'!$B$2</f>
        <v>-96</v>
      </c>
      <c r="F84" s="11">
        <f t="shared" si="10"/>
        <v>-26.438655675227785</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-26.26016762770281</v>
      </c>
      <c r="E85" s="11">
        <f>A85-'Mastercurve bestimmen'!$B$2</f>
        <v>-95</v>
      </c>
      <c r="F85" s="11">
        <f t="shared" si="10"/>
        <v>-26.26016762770281</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-26.085410312710884</v>
      </c>
      <c r="E86" s="11">
        <f>A86-'Mastercurve bestimmen'!$B$2</f>
        <v>-94</v>
      </c>
      <c r="F86" s="11">
        <f t="shared" si="10"/>
        <v>-26.085410312710884</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-25.913925670171363</v>
      </c>
      <c r="E87" s="11">
        <f>A87-'Mastercurve bestimmen'!$B$2</f>
        <v>-93</v>
      </c>
      <c r="F87" s="11">
        <f t="shared" si="10"/>
        <v>-25.913925670171363</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-25.745255640003634</v>
      </c>
      <c r="E88" s="11">
        <f>A88-'Mastercurve bestimmen'!$B$2</f>
        <v>-92</v>
      </c>
      <c r="F88" s="11">
        <f t="shared" si="10"/>
        <v>-25.745255640003634</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-25.57894216212706</v>
      </c>
      <c r="E89" s="11">
        <f>A89-'Mastercurve bestimmen'!$B$2</f>
        <v>-91</v>
      </c>
      <c r="F89" s="11">
        <f t="shared" si="10"/>
        <v>-25.57894216212706</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-25.414527176461021</v>
      </c>
      <c r="E90" s="11">
        <f>A90-'Mastercurve bestimmen'!$B$2</f>
        <v>-90</v>
      </c>
      <c r="F90" s="11">
        <f t="shared" si="10"/>
        <v>-25.414527176461021</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-25.251552622924887</v>
      </c>
      <c r="E91" s="11">
        <f>A91-'Mastercurve bestimmen'!$B$2</f>
        <v>-89</v>
      </c>
      <c r="F91" s="11">
        <f t="shared" si="10"/>
        <v>-25.251552622924887</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-25.089560441438032</v>
      </c>
      <c r="E92" s="11">
        <f>A92-'Mastercurve bestimmen'!$B$2</f>
        <v>-88</v>
      </c>
      <c r="F92" s="11">
        <f t="shared" si="10"/>
        <v>-25.089560441438032</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-24.928092571919827</v>
      </c>
      <c r="E93" s="11">
        <f>A93-'Mastercurve bestimmen'!$B$2</f>
        <v>-87</v>
      </c>
      <c r="F93" s="11">
        <f t="shared" si="10"/>
        <v>-24.928092571919827</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-24.766690954289651</v>
      </c>
      <c r="E94" s="11">
        <f>A94-'Mastercurve bestimmen'!$B$2</f>
        <v>-86</v>
      </c>
      <c r="F94" s="11">
        <f t="shared" si="10"/>
        <v>-24.766690954289651</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-24.604897528466871</v>
      </c>
      <c r="E95" s="11">
        <f>A95-'Mastercurve bestimmen'!$B$2</f>
        <v>-85</v>
      </c>
      <c r="F95" s="11">
        <f t="shared" si="10"/>
        <v>-24.604897528466871</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-24.442254234370864</v>
      </c>
      <c r="E96" s="11">
        <f>A96-'Mastercurve bestimmen'!$B$2</f>
        <v>-84</v>
      </c>
      <c r="F96" s="11">
        <f t="shared" si="10"/>
        <v>-24.442254234370864</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-24.278303011921004</v>
      </c>
      <c r="E97" s="11">
        <f>A97-'Mastercurve bestimmen'!$B$2</f>
        <v>-83</v>
      </c>
      <c r="F97" s="11">
        <f t="shared" si="10"/>
        <v>-24.278303011921004</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-24.112585801036658</v>
      </c>
      <c r="E98" s="11">
        <f>A98-'Mastercurve bestimmen'!$B$2</f>
        <v>-82</v>
      </c>
      <c r="F98" s="11">
        <f t="shared" si="10"/>
        <v>-24.112585801036658</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-23.944644541637203</v>
      </c>
      <c r="E99" s="11">
        <f>A99-'Mastercurve bestimmen'!$B$2</f>
        <v>-81</v>
      </c>
      <c r="F99" s="11">
        <f t="shared" si="10"/>
        <v>-23.944644541637203</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-23.774021173642016</v>
      </c>
      <c r="E100" s="11">
        <f>A100-'Mastercurve bestimmen'!$B$2</f>
        <v>-80</v>
      </c>
      <c r="F100" s="11">
        <f t="shared" si="10"/>
        <v>-23.774021173642016</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-23.600257636970461</v>
      </c>
      <c r="E101" s="11">
        <f>A101-'Mastercurve bestimmen'!$B$2</f>
        <v>-79</v>
      </c>
      <c r="F101" s="11">
        <f t="shared" si="10"/>
        <v>-23.600257636970461</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-23.422895871541925</v>
      </c>
      <c r="E102" s="11">
        <f>A102-'Mastercurve bestimmen'!$B$2</f>
        <v>-78</v>
      </c>
      <c r="F102" s="11">
        <f t="shared" si="10"/>
        <v>-23.422895871541925</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-23.241477817275765</v>
      </c>
      <c r="E103" s="11">
        <f>A103-'Mastercurve bestimmen'!$B$2</f>
        <v>-77</v>
      </c>
      <c r="F103" s="11">
        <f t="shared" si="10"/>
        <v>-23.241477817275765</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-23.055545414091362</v>
      </c>
      <c r="E104" s="11">
        <f>A104-'Mastercurve bestimmen'!$B$2</f>
        <v>-76</v>
      </c>
      <c r="F104" s="11">
        <f t="shared" si="10"/>
        <v>-23.055545414091362</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-22.864640601908093</v>
      </c>
      <c r="E105" s="11">
        <f>A105-'Mastercurve bestimmen'!$B$2</f>
        <v>-75</v>
      </c>
      <c r="F105" s="11">
        <f t="shared" si="10"/>
        <v>-22.864640601908093</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-22.66840273798682</v>
      </c>
      <c r="E106" s="11">
        <f>A106-'Mastercurve bestimmen'!$B$2</f>
        <v>-74</v>
      </c>
      <c r="F106" s="11">
        <f t="shared" si="10"/>
        <v>-22.66840273798682</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-22.466860848954401</v>
      </c>
      <c r="E107" s="11">
        <f>A107-'Mastercurve bestimmen'!$B$2</f>
        <v>-73</v>
      </c>
      <c r="F107" s="11">
        <f t="shared" si="10"/>
        <v>-22.466860848954401</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-22.260141378779171</v>
      </c>
      <c r="E108" s="11">
        <f>A108-'Mastercurve bestimmen'!$B$2</f>
        <v>-72</v>
      </c>
      <c r="F108" s="11">
        <f t="shared" si="10"/>
        <v>-22.260141378779171</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-22.048370771429489</v>
      </c>
      <c r="E109" s="11">
        <f>A109-'Mastercurve bestimmen'!$B$2</f>
        <v>-71</v>
      </c>
      <c r="F109" s="11">
        <f t="shared" si="10"/>
        <v>-22.048370771429489</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-21.831675470873687</v>
      </c>
      <c r="E110" s="11">
        <f>A110-'Mastercurve bestimmen'!$B$2</f>
        <v>-70</v>
      </c>
      <c r="F110" s="11">
        <f t="shared" si="10"/>
        <v>-21.831675470873687</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-21.610181921080127</v>
      </c>
      <c r="E111" s="11">
        <f>A111-'Mastercurve bestimmen'!$B$2</f>
        <v>-69</v>
      </c>
      <c r="F111" s="11">
        <f t="shared" si="10"/>
        <v>-21.610181921080127</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-21.384016566017142</v>
      </c>
      <c r="E112" s="11">
        <f>A112-'Mastercurve bestimmen'!$B$2</f>
        <v>-68</v>
      </c>
      <c r="F112" s="11">
        <f t="shared" si="10"/>
        <v>-21.384016566017142</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-21.153305849653091</v>
      </c>
      <c r="E113" s="11">
        <f>A113-'Mastercurve bestimmen'!$B$2</f>
        <v>-67</v>
      </c>
      <c r="F113" s="11">
        <f t="shared" si="10"/>
        <v>-21.153305849653091</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-20.918176215956301</v>
      </c>
      <c r="E114" s="11">
        <f>A114-'Mastercurve bestimmen'!$B$2</f>
        <v>-66</v>
      </c>
      <c r="F114" s="11">
        <f t="shared" si="10"/>
        <v>-20.918176215956301</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-20.678754108895138</v>
      </c>
      <c r="E115" s="11">
        <f>A115-'Mastercurve bestimmen'!$B$2</f>
        <v>-65</v>
      </c>
      <c r="F115" s="11">
        <f t="shared" si="10"/>
        <v>-20.678754108895138</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-20.43516597243794</v>
      </c>
      <c r="E116" s="11">
        <f>A116-'Mastercurve bestimmen'!$B$2</f>
        <v>-64</v>
      </c>
      <c r="F116" s="11">
        <f t="shared" si="10"/>
        <v>-20.43516597243794</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-20.18753825055305</v>
      </c>
      <c r="E117" s="11">
        <f>A117-'Mastercurve bestimmen'!$B$2</f>
        <v>-63</v>
      </c>
      <c r="F117" s="11">
        <f t="shared" si="10"/>
        <v>-20.18753825055305</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-19.935997387208822</v>
      </c>
      <c r="E118" s="11">
        <f>A118-'Mastercurve bestimmen'!$B$2</f>
        <v>-62</v>
      </c>
      <c r="F118" s="11">
        <f t="shared" si="10"/>
        <v>-19.935997387208822</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-19.680669826373595</v>
      </c>
      <c r="E119" s="11">
        <f>A119-'Mastercurve bestimmen'!$B$2</f>
        <v>-61</v>
      </c>
      <c r="F119" s="11">
        <f t="shared" si="10"/>
        <v>-19.680669826373595</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-19.421682012015715</v>
      </c>
      <c r="E120" s="11">
        <f>A120-'Mastercurve bestimmen'!$B$2</f>
        <v>-60</v>
      </c>
      <c r="F120" s="11">
        <f t="shared" si="10"/>
        <v>-19.421682012015715</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-19.159160388103537</v>
      </c>
      <c r="E121" s="11">
        <f>A121-'Mastercurve bestimmen'!$B$2</f>
        <v>-59</v>
      </c>
      <c r="F121" s="11">
        <f t="shared" si="10"/>
        <v>-19.159160388103537</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-18.893231398605394</v>
      </c>
      <c r="E122" s="11">
        <f>A122-'Mastercurve bestimmen'!$B$2</f>
        <v>-58</v>
      </c>
      <c r="F122" s="11">
        <f t="shared" si="10"/>
        <v>-18.893231398605394</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-18.624021487489646</v>
      </c>
      <c r="E123" s="11">
        <f>A123-'Mastercurve bestimmen'!$B$2</f>
        <v>-57</v>
      </c>
      <c r="F123" s="11">
        <f t="shared" si="10"/>
        <v>-18.624021487489646</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-18.35165709872463</v>
      </c>
      <c r="E124" s="11">
        <f>A124-'Mastercurve bestimmen'!$B$2</f>
        <v>-56</v>
      </c>
      <c r="F124" s="11">
        <f t="shared" si="10"/>
        <v>-18.35165709872463</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-18.076264676278697</v>
      </c>
      <c r="E125" s="11">
        <f>A125-'Mastercurve bestimmen'!$B$2</f>
        <v>-55</v>
      </c>
      <c r="F125" s="11">
        <f t="shared" si="10"/>
        <v>-18.076264676278697</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-17.797970664120186</v>
      </c>
      <c r="E126" s="11">
        <f>A126-'Mastercurve bestimmen'!$B$2</f>
        <v>-54</v>
      </c>
      <c r="F126" s="11">
        <f t="shared" si="10"/>
        <v>-17.797970664120186</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-17.516901506217451</v>
      </c>
      <c r="E127" s="11">
        <f>A127-'Mastercurve bestimmen'!$B$2</f>
        <v>-53</v>
      </c>
      <c r="F127" s="11">
        <f t="shared" si="10"/>
        <v>-17.516901506217451</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-17.233183646538837</v>
      </c>
      <c r="E128" s="11">
        <f>A128-'Mastercurve bestimmen'!$B$2</f>
        <v>-52</v>
      </c>
      <c r="F128" s="11">
        <f t="shared" si="10"/>
        <v>-17.233183646538837</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-16.946943529052685</v>
      </c>
      <c r="E129" s="11">
        <f>A129-'Mastercurve bestimmen'!$B$2</f>
        <v>-51</v>
      </c>
      <c r="F129" s="11">
        <f t="shared" si="10"/>
        <v>-16.946943529052685</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-16.658307597727347</v>
      </c>
      <c r="E130" s="11">
        <f>A130-'Mastercurve bestimmen'!$B$2</f>
        <v>-50</v>
      </c>
      <c r="F130" s="11">
        <f t="shared" si="10"/>
        <v>-16.658307597727347</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-16.367402296531168</v>
      </c>
      <c r="E131" s="11">
        <f>A131-'Mastercurve bestimmen'!$B$2</f>
        <v>-49</v>
      </c>
      <c r="F131" s="11">
        <f t="shared" si="10"/>
        <v>-16.367402296531168</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-16.074354069432495</v>
      </c>
      <c r="E132" s="11">
        <f>A132-'Mastercurve bestimmen'!$B$2</f>
        <v>-48</v>
      </c>
      <c r="F132" s="11">
        <f t="shared" si="10"/>
        <v>-16.074354069432495</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-15.779289360399668</v>
      </c>
      <c r="E133" s="11">
        <f>A133-'Mastercurve bestimmen'!$B$2</f>
        <v>-47</v>
      </c>
      <c r="F133" s="11">
        <f t="shared" si="10"/>
        <v>-15.779289360399668</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-15.48233461340104</v>
      </c>
      <c r="E134" s="11">
        <f>A134-'Mastercurve bestimmen'!$B$2</f>
        <v>-46</v>
      </c>
      <c r="F134" s="11">
        <f t="shared" si="10"/>
        <v>-15.48233461340104</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-15.183616272404953</v>
      </c>
      <c r="E135" s="11">
        <f>A135-'Mastercurve bestimmen'!$B$2</f>
        <v>-45</v>
      </c>
      <c r="F135" s="11">
        <f t="shared" si="10"/>
        <v>-15.183616272404953</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-14.883239203765635</v>
      </c>
      <c r="E136" s="11">
        <f>A136-'Mastercurve bestimmen'!$B$2</f>
        <v>-44</v>
      </c>
      <c r="F136" s="11">
        <f t="shared" si="10"/>
        <v>-14.883239203765635</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-14.581221963380811</v>
      </c>
      <c r="E137" s="11">
        <f>A137-'Mastercurve bestimmen'!$B$2</f>
        <v>-43</v>
      </c>
      <c r="F137" s="11">
        <f t="shared" si="10"/>
        <v>-14.581221963380811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-14.277561529534097</v>
      </c>
      <c r="E138" s="11">
        <f>A138-'Mastercurve bestimmen'!$B$2</f>
        <v>-42</v>
      </c>
      <c r="F138" s="11">
        <f t="shared" si="10"/>
        <v>-14.277561529534097</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-13.972254880509098</v>
      </c>
      <c r="E139" s="11">
        <f>A139-'Mastercurve bestimmen'!$B$2</f>
        <v>-41</v>
      </c>
      <c r="F139" s="11">
        <f t="shared" si="10"/>
        <v>-13.972254880509098</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-13.665298994589424</v>
      </c>
      <c r="E140" s="11">
        <f>A140-'Mastercurve bestimmen'!$B$2</f>
        <v>-40</v>
      </c>
      <c r="F140" s="11">
        <f t="shared" si="10"/>
        <v>-13.665298994589424</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-13.356690850058682</v>
      </c>
      <c r="E141" s="11">
        <f>A141-'Mastercurve bestimmen'!$B$2</f>
        <v>-39</v>
      </c>
      <c r="F141" s="11">
        <f t="shared" si="10"/>
        <v>-13.356690850058682</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-13.046427425200486</v>
      </c>
      <c r="E142" s="11">
        <f>A142-'Mastercurve bestimmen'!$B$2</f>
        <v>-38</v>
      </c>
      <c r="F142" s="11">
        <f t="shared" si="10"/>
        <v>-13.046427425200486</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-12.73450569829844</v>
      </c>
      <c r="E143" s="11">
        <f>A143-'Mastercurve bestimmen'!$B$2</f>
        <v>-37</v>
      </c>
      <c r="F143" s="11">
        <f t="shared" si="10"/>
        <v>-12.73450569829844</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-12.420922647636155</v>
      </c>
      <c r="E144" s="11">
        <f>A144-'Mastercurve bestimmen'!$B$2</f>
        <v>-36</v>
      </c>
      <c r="F144" s="11">
        <f t="shared" ref="F144:F207" si="15">B144</f>
        <v>-12.420922647636155</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-12.105675251497239</v>
      </c>
      <c r="E145" s="11">
        <f>A145-'Mastercurve bestimmen'!$B$2</f>
        <v>-35</v>
      </c>
      <c r="F145" s="11">
        <f t="shared" si="15"/>
        <v>-12.105675251497239</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-11.788760488165304</v>
      </c>
      <c r="E146" s="11">
        <f>A146-'Mastercurve bestimmen'!$B$2</f>
        <v>-34</v>
      </c>
      <c r="F146" s="11">
        <f t="shared" si="15"/>
        <v>-11.788760488165304</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-11.470175335923955</v>
      </c>
      <c r="E147" s="11">
        <f>A147-'Mastercurve bestimmen'!$B$2</f>
        <v>-33</v>
      </c>
      <c r="F147" s="11">
        <f t="shared" si="15"/>
        <v>-11.470175335923955</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-11.149916773056804</v>
      </c>
      <c r="E148" s="11">
        <f>A148-'Mastercurve bestimmen'!$B$2</f>
        <v>-32</v>
      </c>
      <c r="F148" s="11">
        <f t="shared" si="15"/>
        <v>-11.149916773056804</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-10.827981777847457</v>
      </c>
      <c r="E149" s="11">
        <f>A149-'Mastercurve bestimmen'!$B$2</f>
        <v>-31</v>
      </c>
      <c r="F149" s="11">
        <f t="shared" si="15"/>
        <v>-10.827981777847457</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-10.504367328579526</v>
      </c>
      <c r="E150" s="11">
        <f>A150-'Mastercurve bestimmen'!$B$2</f>
        <v>-30</v>
      </c>
      <c r="F150" s="11">
        <f t="shared" si="15"/>
        <v>-10.504367328579526</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-10.179070403536619</v>
      </c>
      <c r="E151" s="11">
        <f>A151-'Mastercurve bestimmen'!$B$2</f>
        <v>-29</v>
      </c>
      <c r="F151" s="11">
        <f t="shared" si="15"/>
        <v>-10.179070403536619</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-9.8520879810023452</v>
      </c>
      <c r="E152" s="11">
        <f>A152-'Mastercurve bestimmen'!$B$2</f>
        <v>-28</v>
      </c>
      <c r="F152" s="11">
        <f t="shared" si="15"/>
        <v>-9.8520879810023452</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-9.5234170392603108</v>
      </c>
      <c r="E153" s="11">
        <f>A153-'Mastercurve bestimmen'!$B$2</f>
        <v>-27</v>
      </c>
      <c r="F153" s="11">
        <f t="shared" si="15"/>
        <v>-9.5234170392603108</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-9.1930545565941273</v>
      </c>
      <c r="E154" s="11">
        <f>A154-'Mastercurve bestimmen'!$B$2</f>
        <v>-26</v>
      </c>
      <c r="F154" s="11">
        <f t="shared" si="15"/>
        <v>-9.1930545565941273</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-8.8609975112874064</v>
      </c>
      <c r="E155" s="11">
        <f>A155-'Mastercurve bestimmen'!$B$2</f>
        <v>-25</v>
      </c>
      <c r="F155" s="11">
        <f t="shared" si="15"/>
        <v>-8.8609975112874064</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-8.5272428816237493</v>
      </c>
      <c r="E156" s="11">
        <f>A156-'Mastercurve bestimmen'!$B$2</f>
        <v>-24</v>
      </c>
      <c r="F156" s="11">
        <f t="shared" si="15"/>
        <v>-8.5272428816237493</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-8.1917876458867749</v>
      </c>
      <c r="E157" s="11">
        <f>A157-'Mastercurve bestimmen'!$B$2</f>
        <v>-23</v>
      </c>
      <c r="F157" s="11">
        <f t="shared" si="15"/>
        <v>-8.1917876458867749</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-7.8546287823600851</v>
      </c>
      <c r="E158" s="11">
        <f>A158-'Mastercurve bestimmen'!$B$2</f>
        <v>-22</v>
      </c>
      <c r="F158" s="11">
        <f t="shared" si="15"/>
        <v>-7.8546287823600851</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-7.51576326932729</v>
      </c>
      <c r="E159" s="11">
        <f>A159-'Mastercurve bestimmen'!$B$2</f>
        <v>-21</v>
      </c>
      <c r="F159" s="11">
        <f t="shared" si="15"/>
        <v>-7.51576326932729</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-7.1751880850720013</v>
      </c>
      <c r="E160" s="11">
        <f>A160-'Mastercurve bestimmen'!$B$2</f>
        <v>-20</v>
      </c>
      <c r="F160" s="11">
        <f t="shared" si="15"/>
        <v>-7.1751880850720013</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-6.8329002078778247</v>
      </c>
      <c r="E161" s="11">
        <f>A161-'Mastercurve bestimmen'!$B$2</f>
        <v>-19</v>
      </c>
      <c r="F161" s="11">
        <f t="shared" si="15"/>
        <v>-6.8329002078778247</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-6.488896616028371</v>
      </c>
      <c r="E162" s="11">
        <f>A162-'Mastercurve bestimmen'!$B$2</f>
        <v>-18</v>
      </c>
      <c r="F162" s="11">
        <f t="shared" si="15"/>
        <v>-6.488896616028371</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-6.1431742878072484</v>
      </c>
      <c r="E163" s="11">
        <f>A163-'Mastercurve bestimmen'!$B$2</f>
        <v>-17</v>
      </c>
      <c r="F163" s="11">
        <f t="shared" si="15"/>
        <v>-6.1431742878072484</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-5.7957302014980669</v>
      </c>
      <c r="E164" s="11">
        <f>A164-'Mastercurve bestimmen'!$B$2</f>
        <v>-16</v>
      </c>
      <c r="F164" s="11">
        <f t="shared" si="15"/>
        <v>-5.7957302014980669</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-5.4465613353844349</v>
      </c>
      <c r="E165" s="11">
        <f>A165-'Mastercurve bestimmen'!$B$2</f>
        <v>-15</v>
      </c>
      <c r="F165" s="11">
        <f t="shared" si="15"/>
        <v>-5.4465613353844349</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-5.0956646677499613</v>
      </c>
      <c r="E166" s="11">
        <f>A166-'Mastercurve bestimmen'!$B$2</f>
        <v>-14</v>
      </c>
      <c r="F166" s="11">
        <f t="shared" si="15"/>
        <v>-5.0956646677499613</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-4.7430371768782544</v>
      </c>
      <c r="E167" s="11">
        <f>A167-'Mastercurve bestimmen'!$B$2</f>
        <v>-13</v>
      </c>
      <c r="F167" s="11">
        <f t="shared" si="15"/>
        <v>-4.7430371768782544</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-4.3886758410529252</v>
      </c>
      <c r="E168" s="11">
        <f>A168-'Mastercurve bestimmen'!$B$2</f>
        <v>-12</v>
      </c>
      <c r="F168" s="11">
        <f t="shared" si="15"/>
        <v>-4.3886758410529252</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-4.0325776385575809</v>
      </c>
      <c r="E169" s="11">
        <f>A169-'Mastercurve bestimmen'!$B$2</f>
        <v>-11</v>
      </c>
      <c r="F169" s="11">
        <f t="shared" si="15"/>
        <v>-4.0325776385575809</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-3.6747395476758307</v>
      </c>
      <c r="E170" s="11">
        <f>A170-'Mastercurve bestimmen'!$B$2</f>
        <v>-10</v>
      </c>
      <c r="F170" s="11">
        <f t="shared" si="15"/>
        <v>-3.6747395476758307</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-3.3151585466912841</v>
      </c>
      <c r="E171" s="11">
        <f>A171-'Mastercurve bestimmen'!$B$2</f>
        <v>-9</v>
      </c>
      <c r="F171" s="11">
        <f t="shared" si="15"/>
        <v>-3.3151585466912841</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-2.9538316138875498</v>
      </c>
      <c r="E172" s="11">
        <f>A172-'Mastercurve bestimmen'!$B$2</f>
        <v>-8</v>
      </c>
      <c r="F172" s="11">
        <f t="shared" si="15"/>
        <v>-2.9538316138875498</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-2.5907557275482369</v>
      </c>
      <c r="E173" s="11">
        <f>A173-'Mastercurve bestimmen'!$B$2</f>
        <v>-7</v>
      </c>
      <c r="F173" s="11">
        <f t="shared" si="15"/>
        <v>-2.5907557275482369</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-2.2259278659569546</v>
      </c>
      <c r="E174" s="11">
        <f>A174-'Mastercurve bestimmen'!$B$2</f>
        <v>-6</v>
      </c>
      <c r="F174" s="11">
        <f t="shared" si="15"/>
        <v>-2.2259278659569546</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-1.8593450073973115</v>
      </c>
      <c r="E175" s="11">
        <f>A175-'Mastercurve bestimmen'!$B$2</f>
        <v>-5</v>
      </c>
      <c r="F175" s="11">
        <f t="shared" si="15"/>
        <v>-1.8593450073973115</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-1.4910041301529164</v>
      </c>
      <c r="E176" s="11">
        <f>A176-'Mastercurve bestimmen'!$B$2</f>
        <v>-4</v>
      </c>
      <c r="F176" s="11">
        <f t="shared" si="15"/>
        <v>-1.4910041301529164</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-1.1209022125073789</v>
      </c>
      <c r="E177" s="11">
        <f>A177-'Mastercurve bestimmen'!$B$2</f>
        <v>-3</v>
      </c>
      <c r="F177" s="11">
        <f t="shared" si="15"/>
        <v>-1.1209022125073789</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-0.74903623274430764</v>
      </c>
      <c r="E178" s="11">
        <f>A178-'Mastercurve bestimmen'!$B$2</f>
        <v>-2</v>
      </c>
      <c r="F178" s="11">
        <f t="shared" si="15"/>
        <v>-0.74903623274430764</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-0.3754031691473117</v>
      </c>
      <c r="E179" s="11">
        <f>A179-'Mastercurve bestimmen'!$B$2</f>
        <v>-1</v>
      </c>
      <c r="F179" s="11">
        <f t="shared" si="15"/>
        <v>-0.3754031691473117</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0.3771673493314453</v>
      </c>
      <c r="E181" s="11">
        <f>A181-'Mastercurve bestimmen'!$B$2</f>
        <v>1</v>
      </c>
      <c r="F181" s="11">
        <f t="shared" si="15"/>
        <v>0.3771673493314453</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0.75605716515054855</v>
      </c>
      <c r="E182" s="11">
        <f>A182-'Mastercurve bestimmen'!$B$2</f>
        <v>2</v>
      </c>
      <c r="F182" s="11">
        <f t="shared" si="15"/>
        <v>0.75605716515054855</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1.1366187866782611</v>
      </c>
      <c r="E183" s="11">
        <f>A183-'Mastercurve bestimmen'!$B$2</f>
        <v>3</v>
      </c>
      <c r="F183" s="11">
        <f t="shared" si="15"/>
        <v>1.1366187866782611</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1.5188015531355339</v>
      </c>
      <c r="E184" s="11">
        <f>A184-'Mastercurve bestimmen'!$B$2</f>
        <v>4</v>
      </c>
      <c r="F184" s="11">
        <f t="shared" si="15"/>
        <v>1.5188015531355339</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1.9025548037433186</v>
      </c>
      <c r="E185" s="11">
        <f>A185-'Mastercurve bestimmen'!$B$2</f>
        <v>5</v>
      </c>
      <c r="F185" s="11">
        <f t="shared" si="15"/>
        <v>1.9025548037433186</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2.2878278777225662</v>
      </c>
      <c r="E186" s="11">
        <f>A186-'Mastercurve bestimmen'!$B$2</f>
        <v>6</v>
      </c>
      <c r="F186" s="11">
        <f t="shared" si="15"/>
        <v>2.2878278777225662</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2.674570114294228</v>
      </c>
      <c r="E187" s="11">
        <f>A187-'Mastercurve bestimmen'!$B$2</f>
        <v>7</v>
      </c>
      <c r="F187" s="11">
        <f t="shared" si="15"/>
        <v>2.674570114294228</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3.0627308526792554</v>
      </c>
      <c r="E188" s="11">
        <f>A188-'Mastercurve bestimmen'!$B$2</f>
        <v>8</v>
      </c>
      <c r="F188" s="11">
        <f t="shared" si="15"/>
        <v>3.0627308526792554</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3.4522594320985989</v>
      </c>
      <c r="E189" s="11">
        <f>A189-'Mastercurve bestimmen'!$B$2</f>
        <v>9</v>
      </c>
      <c r="F189" s="11">
        <f t="shared" si="15"/>
        <v>3.4522594320985989</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3.8431051917732106</v>
      </c>
      <c r="E190" s="11">
        <f>A190-'Mastercurve bestimmen'!$B$2</f>
        <v>10</v>
      </c>
      <c r="F190" s="11">
        <f t="shared" si="15"/>
        <v>3.8431051917732106</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4.2352174709240415</v>
      </c>
      <c r="E191" s="11">
        <f>A191-'Mastercurve bestimmen'!$B$2</f>
        <v>11</v>
      </c>
      <c r="F191" s="11">
        <f t="shared" si="15"/>
        <v>4.2352174709240415</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4.6285456087720425</v>
      </c>
      <c r="E192" s="11">
        <f>A192-'Mastercurve bestimmen'!$B$2</f>
        <v>12</v>
      </c>
      <c r="F192" s="11">
        <f t="shared" si="15"/>
        <v>4.6285456087720425</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5.0230389445381656</v>
      </c>
      <c r="E193" s="11">
        <f>A193-'Mastercurve bestimmen'!$B$2</f>
        <v>13</v>
      </c>
      <c r="F193" s="11">
        <f t="shared" si="15"/>
        <v>5.0230389445381656</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5.4186468174433609</v>
      </c>
      <c r="E194" s="11">
        <f>A194-'Mastercurve bestimmen'!$B$2</f>
        <v>14</v>
      </c>
      <c r="F194" s="11">
        <f t="shared" si="15"/>
        <v>5.4186468174433609</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5.8153185667085809</v>
      </c>
      <c r="E195" s="11">
        <f>A195-'Mastercurve bestimmen'!$B$2</f>
        <v>15</v>
      </c>
      <c r="F195" s="11">
        <f t="shared" si="15"/>
        <v>5.8153185667085809</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6.2130035315547758</v>
      </c>
      <c r="E196" s="11">
        <f>A196-'Mastercurve bestimmen'!$B$2</f>
        <v>16</v>
      </c>
      <c r="F196" s="11">
        <f t="shared" si="15"/>
        <v>6.2130035315547758</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6.6116510512028972</v>
      </c>
      <c r="E197" s="11">
        <f>A197-'Mastercurve bestimmen'!$B$2</f>
        <v>17</v>
      </c>
      <c r="F197" s="11">
        <f t="shared" si="15"/>
        <v>6.6116510512028972</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7.0112104648738969</v>
      </c>
      <c r="E198" s="11">
        <f>A198-'Mastercurve bestimmen'!$B$2</f>
        <v>18</v>
      </c>
      <c r="F198" s="11">
        <f t="shared" si="15"/>
        <v>7.0112104648738969</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7.4116311117887248</v>
      </c>
      <c r="E199" s="11">
        <f>A199-'Mastercurve bestimmen'!$B$2</f>
        <v>19</v>
      </c>
      <c r="F199" s="11">
        <f t="shared" si="15"/>
        <v>7.4116311117887248</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7.8128623311683336</v>
      </c>
      <c r="E200" s="11">
        <f>A200-'Mastercurve bestimmen'!$B$2</f>
        <v>20</v>
      </c>
      <c r="F200" s="11">
        <f t="shared" si="15"/>
        <v>7.8128623311683336</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8.2148534622336715</v>
      </c>
      <c r="E201" s="11">
        <f>A201-'Mastercurve bestimmen'!$B$2</f>
        <v>21</v>
      </c>
      <c r="F201" s="11">
        <f t="shared" si="15"/>
        <v>8.2148534622336715</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8.6175538442056965</v>
      </c>
      <c r="E202" s="11">
        <f>A202-'Mastercurve bestimmen'!$B$2</f>
        <v>22</v>
      </c>
      <c r="F202" s="11">
        <f t="shared" si="15"/>
        <v>8.6175538442056965</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9.0209128163053531</v>
      </c>
      <c r="E203" s="11">
        <f>A203-'Mastercurve bestimmen'!$B$2</f>
        <v>23</v>
      </c>
      <c r="F203" s="11">
        <f t="shared" si="15"/>
        <v>9.0209128163053531</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9.4248797177535941</v>
      </c>
      <c r="E204" s="11">
        <f>A204-'Mastercurve bestimmen'!$B$2</f>
        <v>24</v>
      </c>
      <c r="F204" s="11">
        <f t="shared" si="15"/>
        <v>9.4248797177535941</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9.8294038877713721</v>
      </c>
      <c r="E205" s="11">
        <f>A205-'Mastercurve bestimmen'!$B$2</f>
        <v>25</v>
      </c>
      <c r="F205" s="11">
        <f t="shared" si="15"/>
        <v>9.8294038877713721</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10.234434665579638</v>
      </c>
      <c r="E206" s="11">
        <f>A206-'Mastercurve bestimmen'!$B$2</f>
        <v>26</v>
      </c>
      <c r="F206" s="11">
        <f t="shared" si="15"/>
        <v>10.234434665579638</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10.639921390399344</v>
      </c>
      <c r="E207" s="11">
        <f>A207-'Mastercurve bestimmen'!$B$2</f>
        <v>27</v>
      </c>
      <c r="F207" s="11">
        <f t="shared" si="15"/>
        <v>10.639921390399344</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11.045813401451438</v>
      </c>
      <c r="E208" s="11">
        <f>A208-'Mastercurve bestimmen'!$B$2</f>
        <v>28</v>
      </c>
      <c r="F208" s="11">
        <f t="shared" ref="F208:F215" si="21">B208</f>
        <v>11.045813401451438</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11.452060037956873</v>
      </c>
      <c r="E209" s="11">
        <f>A209-'Mastercurve bestimmen'!$B$2</f>
        <v>29</v>
      </c>
      <c r="F209" s="11">
        <f t="shared" si="21"/>
        <v>11.452060037956873</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11.858610639136604</v>
      </c>
      <c r="E210" s="11">
        <f>A210-'Mastercurve bestimmen'!$B$2</f>
        <v>30</v>
      </c>
      <c r="F210" s="11">
        <f t="shared" si="21"/>
        <v>11.858610639136604</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12.265414544211577</v>
      </c>
      <c r="E211" s="11">
        <f>A211-'Mastercurve bestimmen'!$B$2</f>
        <v>31</v>
      </c>
      <c r="F211" s="11">
        <f t="shared" si="21"/>
        <v>12.265414544211577</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12.672421092402743</v>
      </c>
      <c r="E212" s="11">
        <f>A212-'Mastercurve bestimmen'!$B$2</f>
        <v>32</v>
      </c>
      <c r="F212" s="11">
        <f t="shared" si="21"/>
        <v>12.672421092402743</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13.079579622931057</v>
      </c>
      <c r="E213" s="11">
        <f>A213-'Mastercurve bestimmen'!$B$2</f>
        <v>33</v>
      </c>
      <c r="F213" s="11">
        <f t="shared" si="21"/>
        <v>13.079579622931057</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13.486839475017469</v>
      </c>
      <c r="E214" s="11">
        <f>A214-'Mastercurve bestimmen'!$B$2</f>
        <v>34</v>
      </c>
      <c r="F214" s="11">
        <f t="shared" si="21"/>
        <v>13.486839475017469</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13.89414998788293</v>
      </c>
      <c r="E215" s="11">
        <f>A215-'Mastercurve bestimmen'!$B$2</f>
        <v>35</v>
      </c>
      <c r="F215" s="11">
        <f t="shared" si="21"/>
        <v>13.89414998788293</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0.36811790140473383</v>
      </c>
      <c r="J217" s="98">
        <v>1.0013170433171759E-3</v>
      </c>
      <c r="K217" s="98">
        <v>1.7390647060256478E-5</v>
      </c>
      <c r="L217" s="98">
        <v>-7.5731375387443209E-8</v>
      </c>
      <c r="M217" s="98">
        <v>-1.219939891810129E-8</v>
      </c>
      <c r="N217" s="98">
        <v>-1.6835439719889624E-10</v>
      </c>
      <c r="O217" s="98">
        <v>-8.6124966554903782E-13</v>
      </c>
      <c r="P217" s="98">
        <v>-1.5262640175208399E-15</v>
      </c>
    </row>
    <row r="218" spans="1:16" x14ac:dyDescent="0.25">
      <c r="G218" s="11"/>
      <c r="H218" s="11">
        <v>0</v>
      </c>
      <c r="I218" s="11">
        <v>1.2738434793822483E-3</v>
      </c>
      <c r="J218" s="11">
        <v>5.1743049181583159E-5</v>
      </c>
      <c r="K218" s="3">
        <v>1.5948161702431461E-6</v>
      </c>
      <c r="L218" s="3">
        <v>4.0982713423554605E-8</v>
      </c>
      <c r="M218" s="3">
        <v>1.1414240010708294E-9</v>
      </c>
      <c r="N218" s="3">
        <v>1.3537928566827522E-11</v>
      </c>
      <c r="O218" s="11">
        <v>7.1131992865595996E-14</v>
      </c>
      <c r="P218" s="11">
        <v>1.388651295193432E-16</v>
      </c>
    </row>
    <row r="219" spans="1:16" x14ac:dyDescent="0.25">
      <c r="G219" s="11"/>
      <c r="H219" s="11">
        <v>0.99998040639610741</v>
      </c>
      <c r="I219" s="11">
        <v>0.10951265666045853</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-43.932170983951664</v>
      </c>
      <c r="G222">
        <f>F15</f>
        <v>-44.148639789513958</v>
      </c>
    </row>
    <row r="223" spans="1:16" x14ac:dyDescent="0.25">
      <c r="E223" s="11">
        <f t="shared" ref="E223:E286" si="25">E16</f>
        <v>-164</v>
      </c>
      <c r="F223" s="11">
        <f t="shared" ref="F223:F286" si="26">$H$217*0+E223*$I$217+E223^2*$J$217+E223^3*$K$217+E223^4*$L$217+E223^5*$M$217+E223^6*$N$217+E223^7*$O$217+E223^8*$P$217</f>
        <v>-43.782855532948815</v>
      </c>
      <c r="G223" s="11">
        <f t="shared" ref="G223:G286" si="27">F16</f>
        <v>-43.918987289151943</v>
      </c>
    </row>
    <row r="224" spans="1:16" x14ac:dyDescent="0.25">
      <c r="E224" s="11">
        <f t="shared" si="25"/>
        <v>-163</v>
      </c>
      <c r="F224" s="11">
        <f t="shared" si="26"/>
        <v>-43.622050488396098</v>
      </c>
      <c r="G224" s="11">
        <f t="shared" si="27"/>
        <v>-43.689105948276868</v>
      </c>
    </row>
    <row r="225" spans="5:7" x14ac:dyDescent="0.25">
      <c r="E225" s="11">
        <f t="shared" si="25"/>
        <v>-162</v>
      </c>
      <c r="F225" s="11">
        <f t="shared" si="26"/>
        <v>-43.449949704013648</v>
      </c>
      <c r="G225" s="11">
        <f t="shared" si="27"/>
        <v>-43.458766926375674</v>
      </c>
    </row>
    <row r="226" spans="5:7" x14ac:dyDescent="0.25">
      <c r="E226" s="11">
        <f t="shared" si="25"/>
        <v>-161</v>
      </c>
      <c r="F226" s="11">
        <f t="shared" si="26"/>
        <v>-43.266797519508941</v>
      </c>
      <c r="G226" s="11">
        <f t="shared" si="27"/>
        <v>-43.227741382935321</v>
      </c>
    </row>
    <row r="227" spans="5:7" x14ac:dyDescent="0.25">
      <c r="E227" s="11">
        <f t="shared" si="25"/>
        <v>-160</v>
      </c>
      <c r="F227" s="11">
        <f t="shared" si="26"/>
        <v>-43.07288382586546</v>
      </c>
      <c r="G227" s="11">
        <f t="shared" si="27"/>
        <v>-42.995800477442749</v>
      </c>
    </row>
    <row r="228" spans="5:7" x14ac:dyDescent="0.25">
      <c r="E228" s="11">
        <f t="shared" si="25"/>
        <v>-159</v>
      </c>
      <c r="F228" s="11">
        <f t="shared" si="26"/>
        <v>-42.868539356184328</v>
      </c>
      <c r="G228" s="11">
        <f t="shared" si="27"/>
        <v>-42.762715369384892</v>
      </c>
    </row>
    <row r="229" spans="5:7" x14ac:dyDescent="0.25">
      <c r="E229" s="11">
        <f t="shared" si="25"/>
        <v>-158</v>
      </c>
      <c r="F229" s="11">
        <f t="shared" si="26"/>
        <v>-42.654131196477579</v>
      </c>
      <c r="G229" s="11">
        <f t="shared" si="27"/>
        <v>-42.528257218248704</v>
      </c>
    </row>
    <row r="230" spans="5:7" x14ac:dyDescent="0.25">
      <c r="E230" s="11">
        <f t="shared" si="25"/>
        <v>-157</v>
      </c>
      <c r="F230" s="11">
        <f t="shared" si="26"/>
        <v>-42.430058510885146</v>
      </c>
      <c r="G230" s="11">
        <f t="shared" si="27"/>
        <v>-42.292197183521125</v>
      </c>
    </row>
    <row r="231" spans="5:7" x14ac:dyDescent="0.25">
      <c r="E231" s="11">
        <f t="shared" si="25"/>
        <v>-156</v>
      </c>
      <c r="F231" s="11">
        <f t="shared" si="26"/>
        <v>-42.196748475828372</v>
      </c>
      <c r="G231" s="11">
        <f t="shared" si="27"/>
        <v>-42.054306424689102</v>
      </c>
    </row>
    <row r="232" spans="5:7" x14ac:dyDescent="0.25">
      <c r="E232" s="11">
        <f t="shared" si="25"/>
        <v>-155</v>
      </c>
      <c r="F232" s="11">
        <f t="shared" si="26"/>
        <v>-41.954652417696252</v>
      </c>
      <c r="G232" s="11">
        <f t="shared" si="27"/>
        <v>-41.814356101239568</v>
      </c>
    </row>
    <row r="233" spans="5:7" x14ac:dyDescent="0.25">
      <c r="E233" s="11">
        <f t="shared" si="25"/>
        <v>-154</v>
      </c>
      <c r="F233" s="11">
        <f t="shared" si="26"/>
        <v>-41.704242148708317</v>
      </c>
      <c r="G233" s="11">
        <f t="shared" si="27"/>
        <v>-41.572117372659491</v>
      </c>
    </row>
    <row r="234" spans="5:7" x14ac:dyDescent="0.25">
      <c r="E234" s="11">
        <f t="shared" si="25"/>
        <v>-153</v>
      </c>
      <c r="F234" s="11">
        <f t="shared" si="26"/>
        <v>-41.446006495666722</v>
      </c>
      <c r="G234" s="11">
        <f t="shared" si="27"/>
        <v>-41.327361398435798</v>
      </c>
    </row>
    <row r="235" spans="5:7" x14ac:dyDescent="0.25">
      <c r="E235" s="11">
        <f t="shared" si="25"/>
        <v>-152</v>
      </c>
      <c r="F235" s="11">
        <f t="shared" si="26"/>
        <v>-41.180448016364323</v>
      </c>
      <c r="G235" s="11">
        <f t="shared" si="27"/>
        <v>-41.079859338055428</v>
      </c>
    </row>
    <row r="236" spans="5:7" x14ac:dyDescent="0.25">
      <c r="E236" s="11">
        <f t="shared" si="25"/>
        <v>-151</v>
      </c>
      <c r="F236" s="11">
        <f t="shared" si="26"/>
        <v>-40.908079898490485</v>
      </c>
      <c r="G236" s="11">
        <f t="shared" si="27"/>
        <v>-40.829382351005343</v>
      </c>
    </row>
    <row r="237" spans="5:7" x14ac:dyDescent="0.25">
      <c r="E237" s="11">
        <f t="shared" si="25"/>
        <v>-150</v>
      </c>
      <c r="F237" s="11">
        <f t="shared" si="26"/>
        <v>-40.629423035916375</v>
      </c>
      <c r="G237" s="11">
        <f t="shared" si="27"/>
        <v>-40.575701596772475</v>
      </c>
    </row>
    <row r="238" spans="5:7" x14ac:dyDescent="0.25">
      <c r="E238" s="11">
        <f t="shared" si="25"/>
        <v>-149</v>
      </c>
      <c r="F238" s="11">
        <f t="shared" si="26"/>
        <v>-40.345003277329056</v>
      </c>
      <c r="G238" s="11">
        <f t="shared" si="27"/>
        <v>-40.318588234843773</v>
      </c>
    </row>
    <row r="239" spans="5:7" x14ac:dyDescent="0.25">
      <c r="E239" s="11">
        <f t="shared" si="25"/>
        <v>-148</v>
      </c>
      <c r="F239" s="11">
        <f t="shared" si="26"/>
        <v>-40.055348842221406</v>
      </c>
      <c r="G239" s="11">
        <f t="shared" si="27"/>
        <v>-40.057813424706175</v>
      </c>
    </row>
    <row r="240" spans="5:7" x14ac:dyDescent="0.25">
      <c r="E240" s="11">
        <f t="shared" si="25"/>
        <v>-147</v>
      </c>
      <c r="F240" s="11">
        <f t="shared" si="26"/>
        <v>-39.760987899323084</v>
      </c>
      <c r="G240" s="11">
        <f t="shared" si="27"/>
        <v>-39.79314832584663</v>
      </c>
    </row>
    <row r="241" spans="5:7" x14ac:dyDescent="0.25">
      <c r="E241" s="11">
        <f t="shared" si="25"/>
        <v>-146</v>
      </c>
      <c r="F241" s="11">
        <f t="shared" si="26"/>
        <v>-39.46244630261134</v>
      </c>
      <c r="G241" s="11">
        <f t="shared" si="27"/>
        <v>-39.524364097752091</v>
      </c>
    </row>
    <row r="242" spans="5:7" x14ac:dyDescent="0.25">
      <c r="E242" s="11">
        <f t="shared" si="25"/>
        <v>-145</v>
      </c>
      <c r="F242" s="11">
        <f t="shared" si="26"/>
        <v>-39.16024548010239</v>
      </c>
      <c r="G242" s="11">
        <f t="shared" si="27"/>
        <v>-39.251231899909484</v>
      </c>
    </row>
    <row r="243" spans="5:7" x14ac:dyDescent="0.25">
      <c r="E243" s="11">
        <f t="shared" si="25"/>
        <v>-144</v>
      </c>
      <c r="F243" s="11">
        <f t="shared" si="26"/>
        <v>-38.854900470691348</v>
      </c>
      <c r="G243" s="11">
        <f t="shared" si="27"/>
        <v>-38.973522891805771</v>
      </c>
    </row>
    <row r="244" spans="5:7" x14ac:dyDescent="0.25">
      <c r="E244" s="11">
        <f t="shared" si="25"/>
        <v>-143</v>
      </c>
      <c r="F244" s="11">
        <f t="shared" si="26"/>
        <v>-38.546918104359122</v>
      </c>
      <c r="G244" s="11">
        <f t="shared" si="27"/>
        <v>-38.691008232927885</v>
      </c>
    </row>
    <row r="245" spans="5:7" x14ac:dyDescent="0.25">
      <c r="E245" s="11">
        <f t="shared" si="25"/>
        <v>-142</v>
      </c>
      <c r="F245" s="11">
        <f t="shared" si="26"/>
        <v>-38.236795321139567</v>
      </c>
      <c r="G245" s="11">
        <f t="shared" si="27"/>
        <v>-38.40345908276278</v>
      </c>
    </row>
    <row r="246" spans="5:7" x14ac:dyDescent="0.25">
      <c r="E246" s="11">
        <f t="shared" si="25"/>
        <v>-141</v>
      </c>
      <c r="F246" s="11">
        <f t="shared" si="26"/>
        <v>-37.925017624292281</v>
      </c>
      <c r="G246" s="11">
        <f t="shared" si="27"/>
        <v>-38.110646600797381</v>
      </c>
    </row>
    <row r="247" spans="5:7" x14ac:dyDescent="0.25">
      <c r="E247" s="11">
        <f t="shared" si="25"/>
        <v>-140</v>
      </c>
      <c r="F247" s="11">
        <f t="shared" si="26"/>
        <v>-37.612057663190882</v>
      </c>
      <c r="G247" s="11">
        <f t="shared" si="27"/>
        <v>-37.812341946518643</v>
      </c>
    </row>
    <row r="248" spans="5:7" x14ac:dyDescent="0.25">
      <c r="E248" s="11">
        <f t="shared" si="25"/>
        <v>-139</v>
      </c>
      <c r="F248" s="11">
        <f t="shared" si="26"/>
        <v>-37.298373941499193</v>
      </c>
      <c r="G248" s="11">
        <f t="shared" si="27"/>
        <v>-37.508316279413528</v>
      </c>
    </row>
    <row r="249" spans="5:7" x14ac:dyDescent="0.25">
      <c r="E249" s="11">
        <f t="shared" si="25"/>
        <v>-138</v>
      </c>
      <c r="F249" s="11">
        <f t="shared" si="26"/>
        <v>-36.984409646265789</v>
      </c>
      <c r="G249" s="11">
        <f t="shared" si="27"/>
        <v>-37.198340758968961</v>
      </c>
    </row>
    <row r="250" spans="5:7" x14ac:dyDescent="0.25">
      <c r="E250" s="11">
        <f t="shared" si="25"/>
        <v>-137</v>
      </c>
      <c r="F250" s="11">
        <f t="shared" si="26"/>
        <v>-36.670591593635521</v>
      </c>
      <c r="G250" s="11">
        <f t="shared" si="27"/>
        <v>-36.882186544671882</v>
      </c>
    </row>
    <row r="251" spans="5:7" x14ac:dyDescent="0.25">
      <c r="E251" s="11">
        <f t="shared" si="25"/>
        <v>-136</v>
      </c>
      <c r="F251" s="11">
        <f t="shared" si="26"/>
        <v>-36.357329286930224</v>
      </c>
      <c r="G251" s="11">
        <f t="shared" si="27"/>
        <v>-36.559624796009246</v>
      </c>
    </row>
    <row r="252" spans="5:7" x14ac:dyDescent="0.25">
      <c r="E252" s="11">
        <f t="shared" si="25"/>
        <v>-135</v>
      </c>
      <c r="F252" s="11">
        <f t="shared" si="26"/>
        <v>-36.045014082917533</v>
      </c>
      <c r="G252" s="11">
        <f t="shared" si="27"/>
        <v>-36.230426672467999</v>
      </c>
    </row>
    <row r="253" spans="5:7" x14ac:dyDescent="0.25">
      <c r="E253" s="11">
        <f t="shared" si="25"/>
        <v>-134</v>
      </c>
      <c r="F253" s="11">
        <f t="shared" si="26"/>
        <v>-35.734018462148583</v>
      </c>
      <c r="G253" s="11">
        <f t="shared" si="27"/>
        <v>-35.894363333535075</v>
      </c>
    </row>
    <row r="254" spans="5:7" x14ac:dyDescent="0.25">
      <c r="E254" s="11">
        <f t="shared" si="25"/>
        <v>-133</v>
      </c>
      <c r="F254" s="11">
        <f t="shared" si="26"/>
        <v>-35.424695399301669</v>
      </c>
      <c r="G254" s="11">
        <f t="shared" si="27"/>
        <v>-35.551205938697429</v>
      </c>
    </row>
    <row r="255" spans="5:7" x14ac:dyDescent="0.25">
      <c r="E255" s="11">
        <f t="shared" si="25"/>
        <v>-132</v>
      </c>
      <c r="F255" s="11">
        <f t="shared" si="26"/>
        <v>-35.117377829537162</v>
      </c>
      <c r="G255" s="11">
        <f t="shared" si="27"/>
        <v>-35.200725647441999</v>
      </c>
    </row>
    <row r="256" spans="5:7" x14ac:dyDescent="0.25">
      <c r="E256" s="11">
        <f t="shared" si="25"/>
        <v>-131</v>
      </c>
      <c r="F256" s="11">
        <f t="shared" si="26"/>
        <v>-34.812378206926155</v>
      </c>
      <c r="G256" s="11">
        <f t="shared" si="27"/>
        <v>-34.842693619255733</v>
      </c>
    </row>
    <row r="257" spans="5:7" x14ac:dyDescent="0.25">
      <c r="E257" s="11">
        <f t="shared" si="25"/>
        <v>-130</v>
      </c>
      <c r="F257" s="11">
        <f t="shared" si="26"/>
        <v>-34.509988151077124</v>
      </c>
      <c r="G257" s="11">
        <f t="shared" si="27"/>
        <v>-34.476881013625572</v>
      </c>
    </row>
    <row r="258" spans="5:7" x14ac:dyDescent="0.25">
      <c r="E258" s="11">
        <f t="shared" si="25"/>
        <v>-129</v>
      </c>
      <c r="F258" s="11">
        <f t="shared" si="26"/>
        <v>-34.210478178150879</v>
      </c>
      <c r="G258" s="11">
        <f t="shared" si="27"/>
        <v>-34.103058990038463</v>
      </c>
    </row>
    <row r="259" spans="5:7" x14ac:dyDescent="0.25">
      <c r="E259" s="11">
        <f t="shared" si="25"/>
        <v>-128</v>
      </c>
      <c r="F259" s="11">
        <f t="shared" si="26"/>
        <v>-33.914097512506117</v>
      </c>
      <c r="G259" s="11">
        <f t="shared" si="27"/>
        <v>-33.720998707981337</v>
      </c>
    </row>
    <row r="260" spans="5:7" x14ac:dyDescent="0.25">
      <c r="E260" s="11">
        <f t="shared" si="25"/>
        <v>-127</v>
      </c>
      <c r="F260" s="11">
        <f t="shared" si="26"/>
        <v>-33.621073975292319</v>
      </c>
      <c r="G260" s="11">
        <f t="shared" si="27"/>
        <v>-33.330471326941165</v>
      </c>
    </row>
    <row r="261" spans="5:7" x14ac:dyDescent="0.25">
      <c r="E261" s="11">
        <f t="shared" si="25"/>
        <v>-126</v>
      </c>
      <c r="F261" s="11">
        <f t="shared" si="26"/>
        <v>-33.331613946356455</v>
      </c>
      <c r="G261" s="11">
        <f t="shared" si="27"/>
        <v>-32.931248006404871</v>
      </c>
    </row>
    <row r="262" spans="5:7" x14ac:dyDescent="0.25">
      <c r="E262" s="11">
        <f t="shared" si="25"/>
        <v>-125</v>
      </c>
      <c r="F262" s="11">
        <f t="shared" si="26"/>
        <v>-33.0459023958975</v>
      </c>
      <c r="G262" s="11">
        <f t="shared" si="27"/>
        <v>-32.523099905859404</v>
      </c>
    </row>
    <row r="263" spans="5:7" x14ac:dyDescent="0.25">
      <c r="E263" s="11">
        <f t="shared" si="25"/>
        <v>-124</v>
      </c>
      <c r="F263" s="11">
        <f t="shared" si="26"/>
        <v>-32.764102982365884</v>
      </c>
      <c r="G263" s="11">
        <f t="shared" si="27"/>
        <v>-32.356855853195633</v>
      </c>
    </row>
    <row r="264" spans="5:7" x14ac:dyDescent="0.25">
      <c r="E264" s="11">
        <f t="shared" si="25"/>
        <v>-123</v>
      </c>
      <c r="F264" s="11">
        <f t="shared" si="26"/>
        <v>-32.48635821315942</v>
      </c>
      <c r="G264" s="11">
        <f t="shared" si="27"/>
        <v>-32.182065166147972</v>
      </c>
    </row>
    <row r="265" spans="5:7" x14ac:dyDescent="0.25">
      <c r="E265" s="11">
        <f t="shared" si="25"/>
        <v>-122</v>
      </c>
      <c r="F265" s="11">
        <f t="shared" si="26"/>
        <v>-32.2127896647375</v>
      </c>
      <c r="G265" s="11">
        <f t="shared" si="27"/>
        <v>-31.999334830854753</v>
      </c>
    </row>
    <row r="266" spans="5:7" x14ac:dyDescent="0.25">
      <c r="E266" s="11">
        <f t="shared" si="25"/>
        <v>-121</v>
      </c>
      <c r="F266" s="11">
        <f t="shared" si="26"/>
        <v>-31.943498258829408</v>
      </c>
      <c r="G266" s="11">
        <f t="shared" si="27"/>
        <v>-31.809271833454318</v>
      </c>
    </row>
    <row r="267" spans="5:7" x14ac:dyDescent="0.25">
      <c r="E267" s="11">
        <f t="shared" si="25"/>
        <v>-120</v>
      </c>
      <c r="F267" s="11">
        <f t="shared" si="26"/>
        <v>-31.678564591480139</v>
      </c>
      <c r="G267" s="11">
        <f t="shared" si="27"/>
        <v>-31.612483160084999</v>
      </c>
    </row>
    <row r="268" spans="5:7" x14ac:dyDescent="0.25">
      <c r="E268" s="11">
        <f t="shared" si="25"/>
        <v>-119</v>
      </c>
      <c r="F268" s="11">
        <f t="shared" si="26"/>
        <v>-31.418049311733576</v>
      </c>
      <c r="G268" s="11">
        <f t="shared" si="27"/>
        <v>-31.409575796885132</v>
      </c>
    </row>
    <row r="269" spans="5:7" x14ac:dyDescent="0.25">
      <c r="E269" s="11">
        <f t="shared" si="25"/>
        <v>-118</v>
      </c>
      <c r="F269" s="11">
        <f t="shared" si="26"/>
        <v>-31.161993546817939</v>
      </c>
      <c r="G269" s="11">
        <f t="shared" si="27"/>
        <v>-31.201156729993052</v>
      </c>
    </row>
    <row r="270" spans="5:7" x14ac:dyDescent="0.25">
      <c r="E270" s="11">
        <f t="shared" si="25"/>
        <v>-117</v>
      </c>
      <c r="F270" s="11">
        <f t="shared" si="26"/>
        <v>-30.910419370758753</v>
      </c>
      <c r="G270" s="11">
        <f t="shared" si="27"/>
        <v>-30.987832945547098</v>
      </c>
    </row>
    <row r="271" spans="5:7" x14ac:dyDescent="0.25">
      <c r="E271" s="11">
        <f t="shared" si="25"/>
        <v>-116</v>
      </c>
      <c r="F271" s="11">
        <f t="shared" si="26"/>
        <v>-30.663330313405666</v>
      </c>
      <c r="G271" s="11">
        <f t="shared" si="27"/>
        <v>-30.770211429685602</v>
      </c>
    </row>
    <row r="272" spans="5:7" x14ac:dyDescent="0.25">
      <c r="E272" s="11">
        <f t="shared" si="25"/>
        <v>-115</v>
      </c>
      <c r="F272" s="11">
        <f t="shared" si="26"/>
        <v>-30.420711906921973</v>
      </c>
      <c r="G272" s="11">
        <f t="shared" si="27"/>
        <v>-30.548899168546903</v>
      </c>
    </row>
    <row r="273" spans="5:7" x14ac:dyDescent="0.25">
      <c r="E273" s="11">
        <f t="shared" si="25"/>
        <v>-114</v>
      </c>
      <c r="F273" s="11">
        <f t="shared" si="26"/>
        <v>-30.182532266846053</v>
      </c>
      <c r="G273" s="11">
        <f t="shared" si="27"/>
        <v>-30.324503148269343</v>
      </c>
    </row>
    <row r="274" spans="5:7" x14ac:dyDescent="0.25">
      <c r="E274" s="11">
        <f t="shared" si="25"/>
        <v>-113</v>
      </c>
      <c r="F274" s="11">
        <f t="shared" si="26"/>
        <v>-29.948742704896887</v>
      </c>
      <c r="G274" s="11">
        <f t="shared" si="27"/>
        <v>-30.097630354991246</v>
      </c>
    </row>
    <row r="275" spans="5:7" x14ac:dyDescent="0.25">
      <c r="E275" s="11">
        <f t="shared" si="25"/>
        <v>-112</v>
      </c>
      <c r="F275" s="11">
        <f t="shared" si="26"/>
        <v>-29.719278370756193</v>
      </c>
      <c r="G275" s="11">
        <f t="shared" si="27"/>
        <v>-29.868887774850958</v>
      </c>
    </row>
    <row r="276" spans="5:7" x14ac:dyDescent="0.25">
      <c r="E276" s="11">
        <f t="shared" si="25"/>
        <v>-111</v>
      </c>
      <c r="F276" s="11">
        <f t="shared" si="26"/>
        <v>-29.494058920120985</v>
      </c>
      <c r="G276" s="11">
        <f t="shared" si="27"/>
        <v>-29.638882393986808</v>
      </c>
    </row>
    <row r="277" spans="5:7" x14ac:dyDescent="0.25">
      <c r="E277" s="11">
        <f t="shared" si="25"/>
        <v>-110</v>
      </c>
      <c r="F277" s="11">
        <f t="shared" si="26"/>
        <v>-29.272989206384665</v>
      </c>
      <c r="G277" s="11">
        <f t="shared" si="27"/>
        <v>-29.408221198537134</v>
      </c>
    </row>
    <row r="278" spans="5:7" x14ac:dyDescent="0.25">
      <c r="E278" s="11">
        <f t="shared" si="25"/>
        <v>-109</v>
      </c>
      <c r="F278" s="11">
        <f t="shared" si="26"/>
        <v>-29.055959993361366</v>
      </c>
      <c r="G278" s="11">
        <f t="shared" si="27"/>
        <v>-29.17751117464028</v>
      </c>
    </row>
    <row r="279" spans="5:7" x14ac:dyDescent="0.25">
      <c r="E279" s="11">
        <f t="shared" si="25"/>
        <v>-108</v>
      </c>
      <c r="F279" s="11">
        <f t="shared" si="26"/>
        <v>-28.842848686535365</v>
      </c>
      <c r="G279" s="11">
        <f t="shared" si="27"/>
        <v>-28.947359308434571</v>
      </c>
    </row>
    <row r="280" spans="5:7" x14ac:dyDescent="0.25">
      <c r="E280" s="11">
        <f t="shared" si="25"/>
        <v>-107</v>
      </c>
      <c r="F280" s="11">
        <f t="shared" si="26"/>
        <v>-28.633520080374087</v>
      </c>
      <c r="G280" s="11">
        <f t="shared" si="27"/>
        <v>-28.718372586058344</v>
      </c>
    </row>
    <row r="281" spans="5:7" x14ac:dyDescent="0.25">
      <c r="E281" s="11">
        <f t="shared" si="25"/>
        <v>-106</v>
      </c>
      <c r="F281" s="11">
        <f t="shared" si="26"/>
        <v>-28.427827119308173</v>
      </c>
      <c r="G281" s="11">
        <f t="shared" si="27"/>
        <v>-28.491157993649942</v>
      </c>
    </row>
    <row r="282" spans="5:7" x14ac:dyDescent="0.25">
      <c r="E282" s="11">
        <f t="shared" si="25"/>
        <v>-105</v>
      </c>
      <c r="F282" s="11">
        <f t="shared" si="26"/>
        <v>-28.225611670042053</v>
      </c>
      <c r="G282" s="11">
        <f t="shared" si="27"/>
        <v>-28.266322517347696</v>
      </c>
    </row>
    <row r="283" spans="5:7" x14ac:dyDescent="0.25">
      <c r="E283" s="11">
        <f t="shared" si="25"/>
        <v>-104</v>
      </c>
      <c r="F283" s="11">
        <f t="shared" si="26"/>
        <v>-28.026705302919655</v>
      </c>
      <c r="G283" s="11">
        <f t="shared" si="27"/>
        <v>-28.044473143289949</v>
      </c>
    </row>
    <row r="284" spans="5:7" x14ac:dyDescent="0.25">
      <c r="E284" s="11">
        <f t="shared" si="25"/>
        <v>-103</v>
      </c>
      <c r="F284" s="11">
        <f t="shared" si="26"/>
        <v>-27.830930080133037</v>
      </c>
      <c r="G284" s="11">
        <f t="shared" si="27"/>
        <v>-27.82621685761503</v>
      </c>
    </row>
    <row r="285" spans="5:7" x14ac:dyDescent="0.25">
      <c r="E285" s="11">
        <f t="shared" si="25"/>
        <v>-102</v>
      </c>
      <c r="F285" s="11">
        <f t="shared" si="26"/>
        <v>-27.638099348621679</v>
      </c>
      <c r="G285" s="11">
        <f t="shared" si="27"/>
        <v>-27.612160646461273</v>
      </c>
    </row>
    <row r="286" spans="5:7" x14ac:dyDescent="0.25">
      <c r="E286" s="11">
        <f t="shared" si="25"/>
        <v>-101</v>
      </c>
      <c r="F286" s="11">
        <f t="shared" si="26"/>
        <v>-27.448018535572192</v>
      </c>
      <c r="G286" s="11">
        <f t="shared" si="27"/>
        <v>-27.402911495967022</v>
      </c>
    </row>
    <row r="287" spans="5:7" x14ac:dyDescent="0.25">
      <c r="E287" s="11">
        <f t="shared" ref="E287:E350" si="28">E80</f>
        <v>-100</v>
      </c>
      <c r="F287" s="11">
        <f t="shared" ref="F287:F350" si="29">$H$217*0+E287*$I$217+E287^2*$J$217+E287^3*$K$217+E287^4*$L$217+E287^5*$M$217+E287^6*$N$217+E287^7*$O$217+E287^8*$P$217</f>
        <v>-27.260485944490377</v>
      </c>
      <c r="G287" s="11">
        <f t="shared" ref="G287:G350" si="30">F80</f>
        <v>-27.199076392270609</v>
      </c>
    </row>
    <row r="288" spans="5:7" x14ac:dyDescent="0.25">
      <c r="E288" s="11">
        <f t="shared" si="28"/>
        <v>-99</v>
      </c>
      <c r="F288" s="11">
        <f t="shared" si="29"/>
        <v>-27.075293549878133</v>
      </c>
      <c r="G288" s="11">
        <f t="shared" si="30"/>
        <v>-27.001084813807207</v>
      </c>
    </row>
    <row r="289" spans="5:7" x14ac:dyDescent="0.25">
      <c r="E289" s="11">
        <f t="shared" si="28"/>
        <v>-98</v>
      </c>
      <c r="F289" s="11">
        <f t="shared" si="29"/>
        <v>-26.89222778860994</v>
      </c>
      <c r="G289" s="11">
        <f t="shared" si="30"/>
        <v>-26.808656208199356</v>
      </c>
    </row>
    <row r="290" spans="5:7" x14ac:dyDescent="0.25">
      <c r="E290" s="11">
        <f t="shared" si="28"/>
        <v>-97</v>
      </c>
      <c r="F290" s="11">
        <f t="shared" si="29"/>
        <v>-26.711070346164888</v>
      </c>
      <c r="G290" s="11">
        <f t="shared" si="30"/>
        <v>-26.621332515366422</v>
      </c>
    </row>
    <row r="291" spans="5:7" x14ac:dyDescent="0.25">
      <c r="E291" s="11">
        <f t="shared" si="28"/>
        <v>-96</v>
      </c>
      <c r="F291" s="11">
        <f t="shared" si="29"/>
        <v>-26.531598935931818</v>
      </c>
      <c r="G291" s="11">
        <f t="shared" si="30"/>
        <v>-26.438655675227785</v>
      </c>
    </row>
    <row r="292" spans="5:7" x14ac:dyDescent="0.25">
      <c r="E292" s="11">
        <f t="shared" si="28"/>
        <v>-95</v>
      </c>
      <c r="F292" s="11">
        <f t="shared" si="29"/>
        <v>-26.353588069866653</v>
      </c>
      <c r="G292" s="11">
        <f t="shared" si="30"/>
        <v>-26.26016762770281</v>
      </c>
    </row>
    <row r="293" spans="5:7" x14ac:dyDescent="0.25">
      <c r="E293" s="11">
        <f t="shared" si="28"/>
        <v>-94</v>
      </c>
      <c r="F293" s="11">
        <f t="shared" si="29"/>
        <v>-26.176809818842706</v>
      </c>
      <c r="G293" s="11">
        <f t="shared" si="30"/>
        <v>-26.085410312710884</v>
      </c>
    </row>
    <row r="294" spans="5:7" x14ac:dyDescent="0.25">
      <c r="E294" s="11">
        <f t="shared" si="28"/>
        <v>-93</v>
      </c>
      <c r="F294" s="11">
        <f t="shared" si="29"/>
        <v>-26.001034561095835</v>
      </c>
      <c r="G294" s="11">
        <f t="shared" si="30"/>
        <v>-25.913925670171363</v>
      </c>
    </row>
    <row r="295" spans="5:7" x14ac:dyDescent="0.25">
      <c r="E295" s="11">
        <f t="shared" si="28"/>
        <v>-92</v>
      </c>
      <c r="F295" s="11">
        <f t="shared" si="29"/>
        <v>-25.826031717228766</v>
      </c>
      <c r="G295" s="11">
        <f t="shared" si="30"/>
        <v>-25.745255640003634</v>
      </c>
    </row>
    <row r="296" spans="5:7" x14ac:dyDescent="0.25">
      <c r="E296" s="11">
        <f t="shared" si="28"/>
        <v>-91</v>
      </c>
      <c r="F296" s="11">
        <f t="shared" si="29"/>
        <v>-25.651570470299028</v>
      </c>
      <c r="G296" s="11">
        <f t="shared" si="30"/>
        <v>-25.57894216212706</v>
      </c>
    </row>
    <row r="297" spans="5:7" x14ac:dyDescent="0.25">
      <c r="E297" s="11">
        <f t="shared" si="28"/>
        <v>-90</v>
      </c>
      <c r="F297" s="11">
        <f t="shared" si="29"/>
        <v>-25.477420469578075</v>
      </c>
      <c r="G297" s="11">
        <f t="shared" si="30"/>
        <v>-25.414527176461021</v>
      </c>
    </row>
    <row r="298" spans="5:7" x14ac:dyDescent="0.25">
      <c r="E298" s="11">
        <f t="shared" si="28"/>
        <v>-89</v>
      </c>
      <c r="F298" s="11">
        <f t="shared" si="29"/>
        <v>-25.303352516629467</v>
      </c>
      <c r="G298" s="11">
        <f t="shared" si="30"/>
        <v>-25.251552622924887</v>
      </c>
    </row>
    <row r="299" spans="5:7" x14ac:dyDescent="0.25">
      <c r="E299" s="11">
        <f t="shared" si="28"/>
        <v>-88</v>
      </c>
      <c r="F299" s="11">
        <f t="shared" si="29"/>
        <v>-25.129139232416218</v>
      </c>
      <c r="G299" s="11">
        <f t="shared" si="30"/>
        <v>-25.089560441438032</v>
      </c>
    </row>
    <row r="300" spans="5:7" x14ac:dyDescent="0.25">
      <c r="E300" s="11">
        <f t="shared" si="28"/>
        <v>-87</v>
      </c>
      <c r="F300" s="11">
        <f t="shared" si="29"/>
        <v>-24.954555704208605</v>
      </c>
      <c r="G300" s="11">
        <f t="shared" si="30"/>
        <v>-24.928092571919827</v>
      </c>
    </row>
    <row r="301" spans="5:7" x14ac:dyDescent="0.25">
      <c r="E301" s="11">
        <f t="shared" si="28"/>
        <v>-86</v>
      </c>
      <c r="F301" s="11">
        <f t="shared" si="29"/>
        <v>-24.779380111125434</v>
      </c>
      <c r="G301" s="11">
        <f t="shared" si="30"/>
        <v>-24.766690954289651</v>
      </c>
    </row>
    <row r="302" spans="5:7" x14ac:dyDescent="0.25">
      <c r="E302" s="11">
        <f t="shared" si="28"/>
        <v>-85</v>
      </c>
      <c r="F302" s="11">
        <f t="shared" si="29"/>
        <v>-24.603394327203304</v>
      </c>
      <c r="G302" s="11">
        <f t="shared" si="30"/>
        <v>-24.604897528466871</v>
      </c>
    </row>
    <row r="303" spans="5:7" x14ac:dyDescent="0.25">
      <c r="E303" s="11">
        <f t="shared" si="28"/>
        <v>-84</v>
      </c>
      <c r="F303" s="11">
        <f t="shared" si="29"/>
        <v>-24.42638450094994</v>
      </c>
      <c r="G303" s="11">
        <f t="shared" si="30"/>
        <v>-24.442254234370864</v>
      </c>
    </row>
    <row r="304" spans="5:7" x14ac:dyDescent="0.25">
      <c r="E304" s="11">
        <f t="shared" si="28"/>
        <v>-83</v>
      </c>
      <c r="F304" s="11">
        <f t="shared" si="29"/>
        <v>-24.248141610399006</v>
      </c>
      <c r="G304" s="11">
        <f t="shared" si="30"/>
        <v>-24.278303011921004</v>
      </c>
    </row>
    <row r="305" spans="5:7" x14ac:dyDescent="0.25">
      <c r="E305" s="11">
        <f t="shared" si="28"/>
        <v>-82</v>
      </c>
      <c r="F305" s="11">
        <f t="shared" si="29"/>
        <v>-24.068461992745696</v>
      </c>
      <c r="G305" s="11">
        <f t="shared" si="30"/>
        <v>-24.112585801036658</v>
      </c>
    </row>
    <row r="306" spans="5:7" x14ac:dyDescent="0.25">
      <c r="E306" s="11">
        <f t="shared" si="28"/>
        <v>-81</v>
      </c>
      <c r="F306" s="11">
        <f t="shared" si="29"/>
        <v>-23.887147847703655</v>
      </c>
      <c r="G306" s="11">
        <f t="shared" si="30"/>
        <v>-23.944644541637203</v>
      </c>
    </row>
    <row r="307" spans="5:7" x14ac:dyDescent="0.25">
      <c r="E307" s="11">
        <f t="shared" si="28"/>
        <v>-80</v>
      </c>
      <c r="F307" s="11">
        <f t="shared" si="29"/>
        <v>-23.704007713785455</v>
      </c>
      <c r="G307" s="11">
        <f t="shared" si="30"/>
        <v>-23.774021173642016</v>
      </c>
    </row>
    <row r="308" spans="5:7" x14ac:dyDescent="0.25">
      <c r="E308" s="11">
        <f t="shared" si="28"/>
        <v>-79</v>
      </c>
      <c r="F308" s="11">
        <f t="shared" si="29"/>
        <v>-23.518856916770446</v>
      </c>
      <c r="G308" s="11">
        <f t="shared" si="30"/>
        <v>-23.600257636970461</v>
      </c>
    </row>
    <row r="309" spans="5:7" x14ac:dyDescent="0.25">
      <c r="E309" s="11">
        <f t="shared" si="28"/>
        <v>-78</v>
      </c>
      <c r="F309" s="11">
        <f t="shared" si="29"/>
        <v>-23.331517989685008</v>
      </c>
      <c r="G309" s="11">
        <f t="shared" si="30"/>
        <v>-23.422895871541925</v>
      </c>
    </row>
    <row r="310" spans="5:7" x14ac:dyDescent="0.25">
      <c r="E310" s="11">
        <f t="shared" si="28"/>
        <v>-77</v>
      </c>
      <c r="F310" s="11">
        <f t="shared" si="29"/>
        <v>-23.141821063682308</v>
      </c>
      <c r="G310" s="11">
        <f t="shared" si="30"/>
        <v>-23.241477817275765</v>
      </c>
    </row>
    <row r="311" spans="5:7" x14ac:dyDescent="0.25">
      <c r="E311" s="11">
        <f t="shared" si="28"/>
        <v>-76</v>
      </c>
      <c r="F311" s="11">
        <f t="shared" si="29"/>
        <v>-22.949604229269745</v>
      </c>
      <c r="G311" s="11">
        <f t="shared" si="30"/>
        <v>-23.055545414091362</v>
      </c>
    </row>
    <row r="312" spans="5:7" x14ac:dyDescent="0.25">
      <c r="E312" s="11">
        <f t="shared" si="28"/>
        <v>-75</v>
      </c>
      <c r="F312" s="11">
        <f t="shared" si="29"/>
        <v>-22.754713867394017</v>
      </c>
      <c r="G312" s="11">
        <f t="shared" si="30"/>
        <v>-22.864640601908093</v>
      </c>
    </row>
    <row r="313" spans="5:7" x14ac:dyDescent="0.25">
      <c r="E313" s="11">
        <f t="shared" si="28"/>
        <v>-74</v>
      </c>
      <c r="F313" s="11">
        <f t="shared" si="29"/>
        <v>-22.557004949955161</v>
      </c>
      <c r="G313" s="11">
        <f t="shared" si="30"/>
        <v>-22.66840273798682</v>
      </c>
    </row>
    <row r="314" spans="5:7" x14ac:dyDescent="0.25">
      <c r="E314" s="11">
        <f t="shared" si="28"/>
        <v>-73</v>
      </c>
      <c r="F314" s="11">
        <f t="shared" si="29"/>
        <v>-22.35634130938271</v>
      </c>
      <c r="G314" s="11">
        <f t="shared" si="30"/>
        <v>-22.466860848954401</v>
      </c>
    </row>
    <row r="315" spans="5:7" x14ac:dyDescent="0.25">
      <c r="E315" s="11">
        <f t="shared" si="28"/>
        <v>-72</v>
      </c>
      <c r="F315" s="11">
        <f t="shared" si="29"/>
        <v>-22.152595876968313</v>
      </c>
      <c r="G315" s="11">
        <f t="shared" si="30"/>
        <v>-22.260141378779171</v>
      </c>
    </row>
    <row r="316" spans="5:7" x14ac:dyDescent="0.25">
      <c r="E316" s="11">
        <f t="shared" si="28"/>
        <v>-71</v>
      </c>
      <c r="F316" s="11">
        <f t="shared" si="29"/>
        <v>-21.945650889710922</v>
      </c>
      <c r="G316" s="11">
        <f t="shared" si="30"/>
        <v>-22.048370771429489</v>
      </c>
    </row>
    <row r="317" spans="5:7" x14ac:dyDescent="0.25">
      <c r="E317" s="11">
        <f t="shared" si="28"/>
        <v>-70</v>
      </c>
      <c r="F317" s="11">
        <f t="shared" si="29"/>
        <v>-21.735398065492095</v>
      </c>
      <c r="G317" s="11">
        <f t="shared" si="30"/>
        <v>-21.831675470873687</v>
      </c>
    </row>
    <row r="318" spans="5:7" x14ac:dyDescent="0.25">
      <c r="E318" s="11">
        <f t="shared" si="28"/>
        <v>-69</v>
      </c>
      <c r="F318" s="11">
        <f t="shared" si="29"/>
        <v>-21.521738746460652</v>
      </c>
      <c r="G318" s="11">
        <f t="shared" si="30"/>
        <v>-21.610181921080127</v>
      </c>
    </row>
    <row r="319" spans="5:7" x14ac:dyDescent="0.25">
      <c r="E319" s="11">
        <f t="shared" si="28"/>
        <v>-68</v>
      </c>
      <c r="F319" s="11">
        <f t="shared" si="29"/>
        <v>-21.304584010567158</v>
      </c>
      <c r="G319" s="11">
        <f t="shared" si="30"/>
        <v>-21.384016566017142</v>
      </c>
    </row>
    <row r="320" spans="5:7" x14ac:dyDescent="0.25">
      <c r="E320" s="11">
        <f t="shared" si="28"/>
        <v>-67</v>
      </c>
      <c r="F320" s="11">
        <f t="shared" si="29"/>
        <v>-21.083854751250616</v>
      </c>
      <c r="G320" s="11">
        <f t="shared" si="30"/>
        <v>-21.153305849653091</v>
      </c>
    </row>
    <row r="321" spans="5:7" x14ac:dyDescent="0.25">
      <c r="E321" s="11">
        <f t="shared" si="28"/>
        <v>-66</v>
      </c>
      <c r="F321" s="11">
        <f t="shared" si="29"/>
        <v>-20.859481725341013</v>
      </c>
      <c r="G321" s="11">
        <f t="shared" si="30"/>
        <v>-20.918176215956301</v>
      </c>
    </row>
    <row r="322" spans="5:7" x14ac:dyDescent="0.25">
      <c r="E322" s="11">
        <f t="shared" si="28"/>
        <v>-65</v>
      </c>
      <c r="F322" s="11">
        <f t="shared" si="29"/>
        <v>-20.631405569303013</v>
      </c>
      <c r="G322" s="11">
        <f t="shared" si="30"/>
        <v>-20.678754108895138</v>
      </c>
    </row>
    <row r="323" spans="5:7" x14ac:dyDescent="0.25">
      <c r="E323" s="11">
        <f t="shared" si="28"/>
        <v>-64</v>
      </c>
      <c r="F323" s="11">
        <f t="shared" si="29"/>
        <v>-20.399576784007611</v>
      </c>
      <c r="G323" s="11">
        <f t="shared" si="30"/>
        <v>-20.43516597243794</v>
      </c>
    </row>
    <row r="324" spans="5:7" x14ac:dyDescent="0.25">
      <c r="E324" s="11">
        <f t="shared" si="28"/>
        <v>-63</v>
      </c>
      <c r="F324" s="11">
        <f t="shared" si="29"/>
        <v>-20.16395568828014</v>
      </c>
      <c r="G324" s="11">
        <f t="shared" si="30"/>
        <v>-20.18753825055305</v>
      </c>
    </row>
    <row r="325" spans="5:7" x14ac:dyDescent="0.25">
      <c r="E325" s="11">
        <f t="shared" si="28"/>
        <v>-62</v>
      </c>
      <c r="F325" s="11">
        <f t="shared" si="29"/>
        <v>-19.924512341534495</v>
      </c>
      <c r="G325" s="11">
        <f t="shared" si="30"/>
        <v>-19.935997387208822</v>
      </c>
    </row>
    <row r="326" spans="5:7" x14ac:dyDescent="0.25">
      <c r="E326" s="11">
        <f t="shared" si="28"/>
        <v>-61</v>
      </c>
      <c r="F326" s="11">
        <f t="shared" si="29"/>
        <v>-19.681226435864986</v>
      </c>
      <c r="G326" s="11">
        <f t="shared" si="30"/>
        <v>-19.680669826373595</v>
      </c>
    </row>
    <row r="327" spans="5:7" x14ac:dyDescent="0.25">
      <c r="E327" s="11">
        <f t="shared" si="28"/>
        <v>-60</v>
      </c>
      <c r="F327" s="11">
        <f t="shared" si="29"/>
        <v>-19.434087158028877</v>
      </c>
      <c r="G327" s="11">
        <f t="shared" si="30"/>
        <v>-19.421682012015715</v>
      </c>
    </row>
    <row r="328" spans="5:7" x14ac:dyDescent="0.25">
      <c r="E328" s="11">
        <f t="shared" si="28"/>
        <v>-59</v>
      </c>
      <c r="F328" s="11">
        <f t="shared" si="29"/>
        <v>-19.183093021814017</v>
      </c>
      <c r="G328" s="11">
        <f t="shared" si="30"/>
        <v>-19.159160388103537</v>
      </c>
    </row>
    <row r="329" spans="5:7" x14ac:dyDescent="0.25">
      <c r="E329" s="11">
        <f t="shared" si="28"/>
        <v>-58</v>
      </c>
      <c r="F329" s="11">
        <f t="shared" si="29"/>
        <v>-18.928251671347727</v>
      </c>
      <c r="G329" s="11">
        <f t="shared" si="30"/>
        <v>-18.893231398605394</v>
      </c>
    </row>
    <row r="330" spans="5:7" x14ac:dyDescent="0.25">
      <c r="E330" s="11">
        <f t="shared" si="28"/>
        <v>-57</v>
      </c>
      <c r="F330" s="11">
        <f t="shared" si="29"/>
        <v>-18.669579655964434</v>
      </c>
      <c r="G330" s="11">
        <f t="shared" si="30"/>
        <v>-18.624021487489646</v>
      </c>
    </row>
    <row r="331" spans="5:7" x14ac:dyDescent="0.25">
      <c r="E331" s="11">
        <f t="shared" si="28"/>
        <v>-56</v>
      </c>
      <c r="F331" s="11">
        <f t="shared" si="29"/>
        <v>-18.407102177311188</v>
      </c>
      <c r="G331" s="11">
        <f t="shared" si="30"/>
        <v>-18.35165709872463</v>
      </c>
    </row>
    <row r="332" spans="5:7" x14ac:dyDescent="0.25">
      <c r="E332" s="11">
        <f t="shared" si="28"/>
        <v>-55</v>
      </c>
      <c r="F332" s="11">
        <f t="shared" si="29"/>
        <v>-18.140852809431912</v>
      </c>
      <c r="G332" s="11">
        <f t="shared" si="30"/>
        <v>-18.076264676278697</v>
      </c>
    </row>
    <row r="333" spans="5:7" x14ac:dyDescent="0.25">
      <c r="E333" s="11">
        <f t="shared" si="28"/>
        <v>-54</v>
      </c>
      <c r="F333" s="11">
        <f t="shared" si="29"/>
        <v>-17.870873192632263</v>
      </c>
      <c r="G333" s="11">
        <f t="shared" si="30"/>
        <v>-17.797970664120186</v>
      </c>
    </row>
    <row r="334" spans="5:7" x14ac:dyDescent="0.25">
      <c r="E334" s="11">
        <f t="shared" si="28"/>
        <v>-53</v>
      </c>
      <c r="F334" s="11">
        <f t="shared" si="29"/>
        <v>-17.597212701989147</v>
      </c>
      <c r="G334" s="11">
        <f t="shared" si="30"/>
        <v>-17.516901506217451</v>
      </c>
    </row>
    <row r="335" spans="5:7" x14ac:dyDescent="0.25">
      <c r="E335" s="11">
        <f t="shared" si="28"/>
        <v>-52</v>
      </c>
      <c r="F335" s="11">
        <f t="shared" si="29"/>
        <v>-17.319928091430068</v>
      </c>
      <c r="G335" s="11">
        <f t="shared" si="30"/>
        <v>-17.233183646538837</v>
      </c>
    </row>
    <row r="336" spans="5:7" x14ac:dyDescent="0.25">
      <c r="E336" s="11">
        <f t="shared" si="28"/>
        <v>-51</v>
      </c>
      <c r="F336" s="11">
        <f t="shared" si="29"/>
        <v>-17.039083114369046</v>
      </c>
      <c r="G336" s="11">
        <f t="shared" si="30"/>
        <v>-16.946943529052685</v>
      </c>
    </row>
    <row r="337" spans="5:7" x14ac:dyDescent="0.25">
      <c r="E337" s="11">
        <f t="shared" si="28"/>
        <v>-50</v>
      </c>
      <c r="F337" s="11">
        <f t="shared" si="29"/>
        <v>-16.754748121947657</v>
      </c>
      <c r="G337" s="11">
        <f t="shared" si="30"/>
        <v>-16.658307597727347</v>
      </c>
    </row>
    <row r="338" spans="5:7" x14ac:dyDescent="0.25">
      <c r="E338" s="11">
        <f t="shared" si="28"/>
        <v>-49</v>
      </c>
      <c r="F338" s="11">
        <f t="shared" si="29"/>
        <v>-16.466999639990913</v>
      </c>
      <c r="G338" s="11">
        <f t="shared" si="30"/>
        <v>-16.367402296531168</v>
      </c>
    </row>
    <row r="339" spans="5:7" x14ac:dyDescent="0.25">
      <c r="E339" s="11">
        <f t="shared" si="28"/>
        <v>-48</v>
      </c>
      <c r="F339" s="11">
        <f t="shared" si="29"/>
        <v>-16.175919925849524</v>
      </c>
      <c r="G339" s="11">
        <f t="shared" si="30"/>
        <v>-16.074354069432495</v>
      </c>
    </row>
    <row r="340" spans="5:7" x14ac:dyDescent="0.25">
      <c r="E340" s="11">
        <f t="shared" si="28"/>
        <v>-47</v>
      </c>
      <c r="F340" s="11">
        <f t="shared" si="29"/>
        <v>-15.88159650636155</v>
      </c>
      <c r="G340" s="11">
        <f t="shared" si="30"/>
        <v>-15.779289360399668</v>
      </c>
    </row>
    <row r="341" spans="5:7" x14ac:dyDescent="0.25">
      <c r="E341" s="11">
        <f t="shared" si="28"/>
        <v>-46</v>
      </c>
      <c r="F341" s="11">
        <f t="shared" si="29"/>
        <v>-15.584121698227797</v>
      </c>
      <c r="G341" s="11">
        <f t="shared" si="30"/>
        <v>-15.48233461340104</v>
      </c>
    </row>
    <row r="342" spans="5:7" x14ac:dyDescent="0.25">
      <c r="E342" s="11">
        <f t="shared" si="28"/>
        <v>-45</v>
      </c>
      <c r="F342" s="11">
        <f t="shared" si="29"/>
        <v>-15.283592112157294</v>
      </c>
      <c r="G342" s="11">
        <f t="shared" si="30"/>
        <v>-15.183616272404953</v>
      </c>
    </row>
    <row r="343" spans="5:7" x14ac:dyDescent="0.25">
      <c r="E343" s="11">
        <f t="shared" si="28"/>
        <v>-44</v>
      </c>
      <c r="F343" s="11">
        <f t="shared" si="29"/>
        <v>-14.980108142200132</v>
      </c>
      <c r="G343" s="11">
        <f t="shared" si="30"/>
        <v>-14.883239203765635</v>
      </c>
    </row>
    <row r="344" spans="5:7" x14ac:dyDescent="0.25">
      <c r="E344" s="11">
        <f t="shared" si="28"/>
        <v>-43</v>
      </c>
      <c r="F344" s="11">
        <f t="shared" si="29"/>
        <v>-14.673773441747063</v>
      </c>
      <c r="G344" s="11">
        <f t="shared" si="30"/>
        <v>-14.581221963380811</v>
      </c>
    </row>
    <row r="345" spans="5:7" x14ac:dyDescent="0.25">
      <c r="E345" s="11">
        <f t="shared" si="28"/>
        <v>-42</v>
      </c>
      <c r="F345" s="11">
        <f t="shared" si="29"/>
        <v>-14.364694387736376</v>
      </c>
      <c r="G345" s="11">
        <f t="shared" si="30"/>
        <v>-14.277561529534097</v>
      </c>
    </row>
    <row r="346" spans="5:7" x14ac:dyDescent="0.25">
      <c r="E346" s="11">
        <f t="shared" si="28"/>
        <v>-41</v>
      </c>
      <c r="F346" s="11">
        <f t="shared" si="29"/>
        <v>-14.052979534670344</v>
      </c>
      <c r="G346" s="11">
        <f t="shared" si="30"/>
        <v>-13.972254880509098</v>
      </c>
    </row>
    <row r="347" spans="5:7" x14ac:dyDescent="0.25">
      <c r="E347" s="11">
        <f t="shared" si="28"/>
        <v>-40</v>
      </c>
      <c r="F347" s="11">
        <f t="shared" si="29"/>
        <v>-13.738739060104917</v>
      </c>
      <c r="G347" s="11">
        <f t="shared" si="30"/>
        <v>-13.665298994589424</v>
      </c>
    </row>
    <row r="348" spans="5:7" x14ac:dyDescent="0.25">
      <c r="E348" s="11">
        <f t="shared" si="28"/>
        <v>-39</v>
      </c>
      <c r="F348" s="11">
        <f t="shared" si="29"/>
        <v>-13.422084203338091</v>
      </c>
      <c r="G348" s="11">
        <f t="shared" si="30"/>
        <v>-13.356690850058682</v>
      </c>
    </row>
    <row r="349" spans="5:7" x14ac:dyDescent="0.25">
      <c r="E349" s="11">
        <f t="shared" si="28"/>
        <v>-38</v>
      </c>
      <c r="F349" s="11">
        <f t="shared" si="29"/>
        <v>-13.103126699083608</v>
      </c>
      <c r="G349" s="11">
        <f t="shared" si="30"/>
        <v>-13.046427425200486</v>
      </c>
    </row>
    <row r="350" spans="5:7" x14ac:dyDescent="0.25">
      <c r="E350" s="11">
        <f t="shared" si="28"/>
        <v>-37</v>
      </c>
      <c r="F350" s="11">
        <f t="shared" si="29"/>
        <v>-12.781978207978497</v>
      </c>
      <c r="G350" s="11">
        <f t="shared" si="30"/>
        <v>-12.73450569829844</v>
      </c>
    </row>
    <row r="351" spans="5:7" x14ac:dyDescent="0.25">
      <c r="E351" s="11">
        <f t="shared" ref="E351:E414" si="31">E144</f>
        <v>-36</v>
      </c>
      <c r="F351" s="11">
        <f t="shared" ref="F351:F414" si="32">$H$217*0+E351*$I$217+E351^2*$J$217+E351^3*$K$217+E351^4*$L$217+E351^5*$M$217+E351^6*$N$217+E351^7*$O$217+E351^8*$P$217</f>
        <v>-12.458749745834316</v>
      </c>
      <c r="G351" s="11">
        <f t="shared" ref="G351:G414" si="33">F144</f>
        <v>-12.420922647636155</v>
      </c>
    </row>
    <row r="352" spans="5:7" x14ac:dyDescent="0.25">
      <c r="E352" s="11">
        <f t="shared" si="31"/>
        <v>-35</v>
      </c>
      <c r="F352" s="11">
        <f t="shared" si="32"/>
        <v>-12.133551113603497</v>
      </c>
      <c r="G352" s="11">
        <f t="shared" si="33"/>
        <v>-12.105675251497239</v>
      </c>
    </row>
    <row r="353" spans="5:7" x14ac:dyDescent="0.25">
      <c r="E353" s="11">
        <f t="shared" si="31"/>
        <v>-34</v>
      </c>
      <c r="F353" s="11">
        <f t="shared" si="32"/>
        <v>-11.806490330093885</v>
      </c>
      <c r="G353" s="11">
        <f t="shared" si="33"/>
        <v>-11.788760488165304</v>
      </c>
    </row>
    <row r="354" spans="5:7" x14ac:dyDescent="0.25">
      <c r="E354" s="11">
        <f t="shared" si="31"/>
        <v>-33</v>
      </c>
      <c r="F354" s="11">
        <f t="shared" si="32"/>
        <v>-11.477673069525899</v>
      </c>
      <c r="G354" s="11">
        <f t="shared" si="33"/>
        <v>-11.470175335923955</v>
      </c>
    </row>
    <row r="355" spans="5:7" x14ac:dyDescent="0.25">
      <c r="E355" s="11">
        <f t="shared" si="31"/>
        <v>-32</v>
      </c>
      <c r="F355" s="11">
        <f t="shared" si="32"/>
        <v>-11.147202106088431</v>
      </c>
      <c r="G355" s="11">
        <f t="shared" si="33"/>
        <v>-11.149916773056804</v>
      </c>
    </row>
    <row r="356" spans="5:7" x14ac:dyDescent="0.25">
      <c r="E356" s="11">
        <f t="shared" si="31"/>
        <v>-31</v>
      </c>
      <c r="F356" s="11">
        <f t="shared" si="32"/>
        <v>-10.81517676771106</v>
      </c>
      <c r="G356" s="11">
        <f t="shared" si="33"/>
        <v>-10.827981777847457</v>
      </c>
    </row>
    <row r="357" spans="5:7" x14ac:dyDescent="0.25">
      <c r="E357" s="11">
        <f t="shared" si="31"/>
        <v>-30</v>
      </c>
      <c r="F357" s="11">
        <f t="shared" si="32"/>
        <v>-10.481692401331783</v>
      </c>
      <c r="G357" s="11">
        <f t="shared" si="33"/>
        <v>-10.504367328579526</v>
      </c>
    </row>
    <row r="358" spans="5:7" x14ac:dyDescent="0.25">
      <c r="E358" s="11">
        <f t="shared" si="31"/>
        <v>-29</v>
      </c>
      <c r="F358" s="11">
        <f t="shared" si="32"/>
        <v>-10.146839852000832</v>
      </c>
      <c r="G358" s="11">
        <f t="shared" si="33"/>
        <v>-10.179070403536619</v>
      </c>
    </row>
    <row r="359" spans="5:7" x14ac:dyDescent="0.25">
      <c r="E359" s="11">
        <f t="shared" si="31"/>
        <v>-28</v>
      </c>
      <c r="F359" s="11">
        <f t="shared" si="32"/>
        <v>-9.8107049582229333</v>
      </c>
      <c r="G359" s="11">
        <f t="shared" si="33"/>
        <v>-9.8520879810023452</v>
      </c>
    </row>
    <row r="360" spans="5:7" x14ac:dyDescent="0.25">
      <c r="E360" s="11">
        <f t="shared" si="31"/>
        <v>-27</v>
      </c>
      <c r="F360" s="11">
        <f t="shared" si="32"/>
        <v>-9.473368066001667</v>
      </c>
      <c r="G360" s="11">
        <f t="shared" si="33"/>
        <v>-9.5234170392603108</v>
      </c>
    </row>
    <row r="361" spans="5:7" x14ac:dyDescent="0.25">
      <c r="E361" s="11">
        <f t="shared" si="31"/>
        <v>-26</v>
      </c>
      <c r="F361" s="11">
        <f t="shared" si="32"/>
        <v>-9.134903564111255</v>
      </c>
      <c r="G361" s="11">
        <f t="shared" si="33"/>
        <v>-9.1930545565941273</v>
      </c>
    </row>
    <row r="362" spans="5:7" x14ac:dyDescent="0.25">
      <c r="E362" s="11">
        <f t="shared" si="31"/>
        <v>-25</v>
      </c>
      <c r="F362" s="11">
        <f t="shared" si="32"/>
        <v>-8.7953794431826591</v>
      </c>
      <c r="G362" s="11">
        <f t="shared" si="33"/>
        <v>-8.8609975112874064</v>
      </c>
    </row>
    <row r="363" spans="5:7" x14ac:dyDescent="0.25">
      <c r="E363" s="11">
        <f t="shared" si="31"/>
        <v>-24</v>
      </c>
      <c r="F363" s="11">
        <f t="shared" si="32"/>
        <v>-8.4548568812522689</v>
      </c>
      <c r="G363" s="11">
        <f t="shared" si="33"/>
        <v>-8.5272428816237493</v>
      </c>
    </row>
    <row r="364" spans="5:7" x14ac:dyDescent="0.25">
      <c r="E364" s="11">
        <f t="shared" si="31"/>
        <v>-23</v>
      </c>
      <c r="F364" s="11">
        <f t="shared" si="32"/>
        <v>-8.1133898584832274</v>
      </c>
      <c r="G364" s="11">
        <f t="shared" si="33"/>
        <v>-8.1917876458867749</v>
      </c>
    </row>
    <row r="365" spans="5:7" x14ac:dyDescent="0.25">
      <c r="E365" s="11">
        <f t="shared" si="31"/>
        <v>-22</v>
      </c>
      <c r="F365" s="11">
        <f t="shared" si="32"/>
        <v>-7.7710248038307084</v>
      </c>
      <c r="G365" s="11">
        <f t="shared" si="33"/>
        <v>-7.8546287823600851</v>
      </c>
    </row>
    <row r="366" spans="5:7" x14ac:dyDescent="0.25">
      <c r="E366" s="11">
        <f t="shared" si="31"/>
        <v>-21</v>
      </c>
      <c r="F366" s="11">
        <f t="shared" si="32"/>
        <v>-7.4278002764842448</v>
      </c>
      <c r="G366" s="11">
        <f t="shared" si="33"/>
        <v>-7.51576326932729</v>
      </c>
    </row>
    <row r="367" spans="5:7" x14ac:dyDescent="0.25">
      <c r="E367" s="11">
        <f t="shared" si="31"/>
        <v>-20</v>
      </c>
      <c r="F367" s="11">
        <f t="shared" si="32"/>
        <v>-7.0837466849816</v>
      </c>
      <c r="G367" s="11">
        <f t="shared" si="33"/>
        <v>-7.1751880850720013</v>
      </c>
    </row>
    <row r="368" spans="5:7" x14ac:dyDescent="0.25">
      <c r="E368" s="11">
        <f t="shared" si="31"/>
        <v>-19</v>
      </c>
      <c r="F368" s="11">
        <f t="shared" si="32"/>
        <v>-6.7388860469502445</v>
      </c>
      <c r="G368" s="11">
        <f t="shared" si="33"/>
        <v>-6.8329002078778247</v>
      </c>
    </row>
    <row r="369" spans="5:7" x14ac:dyDescent="0.25">
      <c r="E369" s="11">
        <f t="shared" si="31"/>
        <v>-18</v>
      </c>
      <c r="F369" s="11">
        <f t="shared" si="32"/>
        <v>-6.3932317924940669</v>
      </c>
      <c r="G369" s="11">
        <f t="shared" si="33"/>
        <v>-6.488896616028371</v>
      </c>
    </row>
    <row r="370" spans="5:7" x14ac:dyDescent="0.25">
      <c r="E370" s="11">
        <f t="shared" si="31"/>
        <v>-17</v>
      </c>
      <c r="F370" s="11">
        <f t="shared" si="32"/>
        <v>-6.0467886143044627</v>
      </c>
      <c r="G370" s="11">
        <f t="shared" si="33"/>
        <v>-6.1431742878072484</v>
      </c>
    </row>
    <row r="371" spans="5:7" x14ac:dyDescent="0.25">
      <c r="E371" s="11">
        <f t="shared" si="31"/>
        <v>-16</v>
      </c>
      <c r="F371" s="11">
        <f t="shared" si="32"/>
        <v>-5.6995523676364943</v>
      </c>
      <c r="G371" s="11">
        <f t="shared" si="33"/>
        <v>-5.7957302014980669</v>
      </c>
    </row>
    <row r="372" spans="5:7" x14ac:dyDescent="0.25">
      <c r="E372" s="11">
        <f t="shared" si="31"/>
        <v>-15</v>
      </c>
      <c r="F372" s="11">
        <f t="shared" si="32"/>
        <v>-5.3515100233523256</v>
      </c>
      <c r="G372" s="11">
        <f t="shared" si="33"/>
        <v>-5.4465613353844349</v>
      </c>
    </row>
    <row r="373" spans="5:7" x14ac:dyDescent="0.25">
      <c r="E373" s="11">
        <f t="shared" si="31"/>
        <v>-14</v>
      </c>
      <c r="F373" s="11">
        <f t="shared" si="32"/>
        <v>-5.0026396772957433</v>
      </c>
      <c r="G373" s="11">
        <f t="shared" si="33"/>
        <v>-5.0956646677499613</v>
      </c>
    </row>
    <row r="374" spans="5:7" x14ac:dyDescent="0.25">
      <c r="E374" s="11">
        <f t="shared" si="31"/>
        <v>-13</v>
      </c>
      <c r="F374" s="11">
        <f t="shared" si="32"/>
        <v>-4.652910619323019</v>
      </c>
      <c r="G374" s="11">
        <f t="shared" si="33"/>
        <v>-4.7430371768782544</v>
      </c>
    </row>
    <row r="375" spans="5:7" x14ac:dyDescent="0.25">
      <c r="E375" s="11">
        <f t="shared" si="31"/>
        <v>-12</v>
      </c>
      <c r="F375" s="11">
        <f t="shared" si="32"/>
        <v>-4.302283465377001</v>
      </c>
      <c r="G375" s="11">
        <f t="shared" si="33"/>
        <v>-4.3886758410529252</v>
      </c>
    </row>
    <row r="376" spans="5:7" x14ac:dyDescent="0.25">
      <c r="E376" s="11">
        <f t="shared" si="31"/>
        <v>-11</v>
      </c>
      <c r="F376" s="11">
        <f t="shared" si="32"/>
        <v>-3.9507103560527805</v>
      </c>
      <c r="G376" s="11">
        <f t="shared" si="33"/>
        <v>-4.0325776385575809</v>
      </c>
    </row>
    <row r="377" spans="5:7" x14ac:dyDescent="0.25">
      <c r="E377" s="11">
        <f t="shared" si="31"/>
        <v>-10</v>
      </c>
      <c r="F377" s="11">
        <f t="shared" si="32"/>
        <v>-3.5981352251648868</v>
      </c>
      <c r="G377" s="11">
        <f t="shared" si="33"/>
        <v>-3.6747395476758307</v>
      </c>
    </row>
    <row r="378" spans="5:7" x14ac:dyDescent="0.25">
      <c r="E378" s="11">
        <f t="shared" si="31"/>
        <v>-9</v>
      </c>
      <c r="F378" s="11">
        <f t="shared" si="32"/>
        <v>-3.2444941418874533</v>
      </c>
      <c r="G378" s="11">
        <f t="shared" si="33"/>
        <v>-3.3151585466912841</v>
      </c>
    </row>
    <row r="379" spans="5:7" x14ac:dyDescent="0.25">
      <c r="E379" s="11">
        <f t="shared" si="31"/>
        <v>-8</v>
      </c>
      <c r="F379" s="11">
        <f t="shared" si="32"/>
        <v>-2.8897157301003631</v>
      </c>
      <c r="G379" s="11">
        <f t="shared" si="33"/>
        <v>-2.9538316138875498</v>
      </c>
    </row>
    <row r="380" spans="5:7" x14ac:dyDescent="0.25">
      <c r="E380" s="11">
        <f t="shared" si="31"/>
        <v>-7</v>
      </c>
      <c r="F380" s="11">
        <f t="shared" si="32"/>
        <v>-2.5337216686359025</v>
      </c>
      <c r="G380" s="11">
        <f t="shared" si="33"/>
        <v>-2.5907557275482369</v>
      </c>
    </row>
    <row r="381" spans="5:7" x14ac:dyDescent="0.25">
      <c r="E381" s="11">
        <f t="shared" si="31"/>
        <v>-6</v>
      </c>
      <c r="F381" s="11">
        <f t="shared" si="32"/>
        <v>-2.176427276182022</v>
      </c>
      <c r="G381" s="11">
        <f t="shared" si="33"/>
        <v>-2.2259278659569546</v>
      </c>
    </row>
    <row r="382" spans="5:7" x14ac:dyDescent="0.25">
      <c r="E382" s="11">
        <f t="shared" si="31"/>
        <v>-5</v>
      </c>
      <c r="F382" s="11">
        <f t="shared" si="32"/>
        <v>-1.8177421846597928</v>
      </c>
      <c r="G382" s="11">
        <f t="shared" si="33"/>
        <v>-1.8593450073973115</v>
      </c>
    </row>
    <row r="383" spans="5:7" x14ac:dyDescent="0.25">
      <c r="E383" s="11">
        <f t="shared" si="31"/>
        <v>-4</v>
      </c>
      <c r="F383" s="11">
        <f t="shared" si="32"/>
        <v>-1.4575711049542457</v>
      </c>
      <c r="G383" s="11">
        <f t="shared" si="33"/>
        <v>-1.4910041301529164</v>
      </c>
    </row>
    <row r="384" spans="5:7" x14ac:dyDescent="0.25">
      <c r="E384" s="11">
        <f t="shared" si="31"/>
        <v>-3</v>
      </c>
      <c r="F384" s="11">
        <f t="shared" si="32"/>
        <v>-1.0958146889392595</v>
      </c>
      <c r="G384" s="11">
        <f t="shared" si="33"/>
        <v>-1.1209022125073789</v>
      </c>
    </row>
    <row r="385" spans="5:7" x14ac:dyDescent="0.25">
      <c r="E385" s="11">
        <f t="shared" si="31"/>
        <v>-2</v>
      </c>
      <c r="F385" s="11">
        <f t="shared" si="32"/>
        <v>-0.73237049179875391</v>
      </c>
      <c r="G385" s="11">
        <f t="shared" si="33"/>
        <v>-0.74903623274430764</v>
      </c>
    </row>
    <row r="386" spans="5:7" x14ac:dyDescent="0.25">
      <c r="E386" s="11">
        <f t="shared" si="31"/>
        <v>-1</v>
      </c>
      <c r="F386" s="11">
        <f t="shared" si="32"/>
        <v>-0.36713403870794797</v>
      </c>
      <c r="G386" s="11">
        <f t="shared" si="33"/>
        <v>-0.3754031691473117</v>
      </c>
    </row>
    <row r="387" spans="5:7" x14ac:dyDescent="0.25">
      <c r="E387" s="11">
        <f t="shared" si="31"/>
        <v>0</v>
      </c>
      <c r="F387" s="11">
        <f t="shared" si="32"/>
        <v>0</v>
      </c>
      <c r="G387" s="11">
        <f t="shared" si="33"/>
        <v>0</v>
      </c>
    </row>
    <row r="388" spans="5:7" x14ac:dyDescent="0.25">
      <c r="E388" s="11">
        <f t="shared" si="31"/>
        <v>1</v>
      </c>
      <c r="F388" s="11">
        <f t="shared" si="32"/>
        <v>0.36913652099511979</v>
      </c>
      <c r="G388" s="11">
        <f t="shared" si="33"/>
        <v>0.3771673493314453</v>
      </c>
    </row>
    <row r="389" spans="5:7" x14ac:dyDescent="0.25">
      <c r="E389" s="11">
        <f t="shared" si="31"/>
        <v>2</v>
      </c>
      <c r="F389" s="11">
        <f t="shared" si="32"/>
        <v>0.74037858319113492</v>
      </c>
      <c r="G389" s="11">
        <f t="shared" si="33"/>
        <v>0.75605716515054855</v>
      </c>
    </row>
    <row r="390" spans="5:7" x14ac:dyDescent="0.25">
      <c r="E390" s="11">
        <f t="shared" si="31"/>
        <v>3</v>
      </c>
      <c r="F390" s="11">
        <f t="shared" si="32"/>
        <v>1.1138258817554172</v>
      </c>
      <c r="G390" s="11">
        <f t="shared" si="33"/>
        <v>1.1366187866782611</v>
      </c>
    </row>
    <row r="391" spans="5:7" x14ac:dyDescent="0.25">
      <c r="E391" s="11">
        <f t="shared" si="31"/>
        <v>4</v>
      </c>
      <c r="F391" s="11">
        <f t="shared" si="32"/>
        <v>1.489573096516924</v>
      </c>
      <c r="G391" s="11">
        <f t="shared" si="33"/>
        <v>1.5188015531355339</v>
      </c>
    </row>
    <row r="392" spans="5:7" x14ac:dyDescent="0.25">
      <c r="E392" s="11">
        <f t="shared" si="31"/>
        <v>5</v>
      </c>
      <c r="F392" s="11">
        <f t="shared" si="32"/>
        <v>1.8677081103391111</v>
      </c>
      <c r="G392" s="11">
        <f t="shared" si="33"/>
        <v>1.9025548037433186</v>
      </c>
    </row>
    <row r="393" spans="5:7" x14ac:dyDescent="0.25">
      <c r="E393" s="11">
        <f t="shared" si="31"/>
        <v>6</v>
      </c>
      <c r="F393" s="11">
        <f t="shared" si="32"/>
        <v>2.2483100929632678</v>
      </c>
      <c r="G393" s="11">
        <f t="shared" si="33"/>
        <v>2.2878278777225662</v>
      </c>
    </row>
    <row r="394" spans="5:7" x14ac:dyDescent="0.25">
      <c r="E394" s="11">
        <f t="shared" si="31"/>
        <v>7</v>
      </c>
      <c r="F394" s="11">
        <f t="shared" si="32"/>
        <v>2.6314474457662071</v>
      </c>
      <c r="G394" s="11">
        <f t="shared" si="33"/>
        <v>2.674570114294228</v>
      </c>
    </row>
    <row r="395" spans="5:7" x14ac:dyDescent="0.25">
      <c r="E395" s="11">
        <f t="shared" si="31"/>
        <v>8</v>
      </c>
      <c r="F395" s="11">
        <f t="shared" si="32"/>
        <v>3.0171756028146675</v>
      </c>
      <c r="G395" s="11">
        <f t="shared" si="33"/>
        <v>3.0627308526792554</v>
      </c>
    </row>
    <row r="396" spans="5:7" x14ac:dyDescent="0.25">
      <c r="E396" s="11">
        <f t="shared" si="31"/>
        <v>9</v>
      </c>
      <c r="F396" s="11">
        <f t="shared" si="32"/>
        <v>3.405534683537276</v>
      </c>
      <c r="G396" s="11">
        <f t="shared" si="33"/>
        <v>3.4522594320985989</v>
      </c>
    </row>
    <row r="397" spans="5:7" x14ac:dyDescent="0.25">
      <c r="E397" s="11">
        <f t="shared" si="31"/>
        <v>10</v>
      </c>
      <c r="F397" s="11">
        <f t="shared" si="32"/>
        <v>3.7965469922733712</v>
      </c>
      <c r="G397" s="11">
        <f t="shared" si="33"/>
        <v>3.8431051917732106</v>
      </c>
    </row>
    <row r="398" spans="5:7" x14ac:dyDescent="0.25">
      <c r="E398" s="11">
        <f t="shared" si="31"/>
        <v>11</v>
      </c>
      <c r="F398" s="11">
        <f t="shared" si="32"/>
        <v>4.1902143598964354</v>
      </c>
      <c r="G398" s="11">
        <f t="shared" si="33"/>
        <v>4.2352174709240415</v>
      </c>
    </row>
    <row r="399" spans="5:7" x14ac:dyDescent="0.25">
      <c r="E399" s="11">
        <f t="shared" si="31"/>
        <v>12</v>
      </c>
      <c r="F399" s="11">
        <f t="shared" si="32"/>
        <v>4.5865153226483679</v>
      </c>
      <c r="G399" s="11">
        <f t="shared" si="33"/>
        <v>4.6285456087720425</v>
      </c>
    </row>
    <row r="400" spans="5:7" x14ac:dyDescent="0.25">
      <c r="E400" s="11">
        <f t="shared" si="31"/>
        <v>13</v>
      </c>
      <c r="F400" s="11">
        <f t="shared" si="32"/>
        <v>4.98540213325927</v>
      </c>
      <c r="G400" s="11">
        <f t="shared" si="33"/>
        <v>5.0230389445381656</v>
      </c>
    </row>
    <row r="401" spans="5:7" x14ac:dyDescent="0.25">
      <c r="E401" s="11">
        <f t="shared" si="31"/>
        <v>14</v>
      </c>
      <c r="F401" s="11">
        <f t="shared" si="32"/>
        <v>5.3867975993659059</v>
      </c>
      <c r="G401" s="11">
        <f t="shared" si="33"/>
        <v>5.4186468174433609</v>
      </c>
    </row>
    <row r="402" spans="5:7" x14ac:dyDescent="0.25">
      <c r="E402" s="11">
        <f t="shared" si="31"/>
        <v>15</v>
      </c>
      <c r="F402" s="11">
        <f t="shared" si="32"/>
        <v>5.7905917441804053</v>
      </c>
      <c r="G402" s="11">
        <f t="shared" si="33"/>
        <v>5.8153185667085809</v>
      </c>
    </row>
    <row r="403" spans="5:7" x14ac:dyDescent="0.25">
      <c r="E403" s="11">
        <f t="shared" si="31"/>
        <v>16</v>
      </c>
      <c r="F403" s="11">
        <f t="shared" si="32"/>
        <v>6.1966382842993131</v>
      </c>
      <c r="G403" s="11">
        <f t="shared" si="33"/>
        <v>6.2130035315547758</v>
      </c>
    </row>
    <row r="404" spans="5:7" x14ac:dyDescent="0.25">
      <c r="E404" s="11">
        <f t="shared" si="31"/>
        <v>17</v>
      </c>
      <c r="F404" s="11">
        <f t="shared" si="32"/>
        <v>6.604750919481484</v>
      </c>
      <c r="G404" s="11">
        <f t="shared" si="33"/>
        <v>6.6116510512028972</v>
      </c>
    </row>
    <row r="405" spans="5:7" x14ac:dyDescent="0.25">
      <c r="E405" s="11">
        <f t="shared" si="31"/>
        <v>18</v>
      </c>
      <c r="F405" s="11">
        <f t="shared" si="32"/>
        <v>7.014699429161821</v>
      </c>
      <c r="G405" s="11">
        <f t="shared" si="33"/>
        <v>7.0112104648738969</v>
      </c>
    </row>
    <row r="406" spans="5:7" x14ac:dyDescent="0.25">
      <c r="E406" s="11">
        <f t="shared" si="31"/>
        <v>19</v>
      </c>
      <c r="F406" s="11">
        <f t="shared" si="32"/>
        <v>7.4262055704063004</v>
      </c>
      <c r="G406" s="11">
        <f t="shared" si="33"/>
        <v>7.4116311117887248</v>
      </c>
    </row>
    <row r="407" spans="5:7" x14ac:dyDescent="0.25">
      <c r="E407" s="11">
        <f t="shared" si="31"/>
        <v>20</v>
      </c>
      <c r="F407" s="11">
        <f t="shared" si="32"/>
        <v>7.8389387719522023</v>
      </c>
      <c r="G407" s="11">
        <f t="shared" si="33"/>
        <v>7.8128623311683336</v>
      </c>
    </row>
    <row r="408" spans="5:7" x14ac:dyDescent="0.25">
      <c r="E408" s="11">
        <f t="shared" si="31"/>
        <v>21</v>
      </c>
      <c r="F408" s="11">
        <f t="shared" si="32"/>
        <v>8.2525116189158929</v>
      </c>
      <c r="G408" s="11">
        <f t="shared" si="33"/>
        <v>8.2148534622336715</v>
      </c>
    </row>
    <row r="409" spans="5:7" x14ac:dyDescent="0.25">
      <c r="E409" s="11">
        <f t="shared" si="31"/>
        <v>22</v>
      </c>
      <c r="F409" s="11">
        <f t="shared" si="32"/>
        <v>8.66647512268902</v>
      </c>
      <c r="G409" s="11">
        <f t="shared" si="33"/>
        <v>8.6175538442056965</v>
      </c>
    </row>
    <row r="410" spans="5:7" x14ac:dyDescent="0.25">
      <c r="E410" s="11">
        <f t="shared" si="31"/>
        <v>23</v>
      </c>
      <c r="F410" s="11">
        <f t="shared" si="32"/>
        <v>9.0803137704823875</v>
      </c>
      <c r="G410" s="11">
        <f t="shared" si="33"/>
        <v>9.0209128163053531</v>
      </c>
    </row>
    <row r="411" spans="5:7" x14ac:dyDescent="0.25">
      <c r="E411" s="11">
        <f t="shared" si="31"/>
        <v>24</v>
      </c>
      <c r="F411" s="11">
        <f t="shared" si="32"/>
        <v>9.4934403489152892</v>
      </c>
      <c r="G411" s="11">
        <f t="shared" si="33"/>
        <v>9.4248797177535941</v>
      </c>
    </row>
    <row r="412" spans="5:7" x14ac:dyDescent="0.25">
      <c r="E412" s="11">
        <f t="shared" si="31"/>
        <v>25</v>
      </c>
      <c r="F412" s="11">
        <f t="shared" si="32"/>
        <v>9.9051905359864723</v>
      </c>
      <c r="G412" s="11">
        <f t="shared" si="33"/>
        <v>9.8294038877713721</v>
      </c>
    </row>
    <row r="413" spans="5:7" x14ac:dyDescent="0.25">
      <c r="E413" s="11">
        <f t="shared" si="31"/>
        <v>26</v>
      </c>
      <c r="F413" s="11">
        <f t="shared" si="32"/>
        <v>10.314817255701463</v>
      </c>
      <c r="G413" s="11">
        <f t="shared" si="33"/>
        <v>10.234434665579638</v>
      </c>
    </row>
    <row r="414" spans="5:7" x14ac:dyDescent="0.25">
      <c r="E414" s="11">
        <f t="shared" si="31"/>
        <v>27</v>
      </c>
      <c r="F414" s="11">
        <f t="shared" si="32"/>
        <v>10.721484789569329</v>
      </c>
      <c r="G414" s="11">
        <f t="shared" si="33"/>
        <v>10.639921390399344</v>
      </c>
    </row>
    <row r="415" spans="5:7" x14ac:dyDescent="0.25">
      <c r="E415" s="11">
        <f t="shared" ref="E415:E422" si="34">E208</f>
        <v>28</v>
      </c>
      <c r="F415" s="11">
        <f t="shared" ref="F415:F422" si="35">$H$217*0+E415*$I$217+E415^2*$J$217+E415^3*$K$217+E415^4*$L$217+E415^5*$M$217+E415^6*$N$217+E415^7*$O$217+E415^8*$P$217</f>
        <v>11.124262639120539</v>
      </c>
      <c r="G415" s="11">
        <f t="shared" ref="G415:G422" si="36">F208</f>
        <v>11.045813401451438</v>
      </c>
    </row>
    <row r="416" spans="5:7" x14ac:dyDescent="0.25">
      <c r="E416" s="11">
        <f t="shared" si="34"/>
        <v>29</v>
      </c>
      <c r="F416" s="11">
        <f t="shared" si="35"/>
        <v>11.522119133535915</v>
      </c>
      <c r="G416" s="11">
        <f t="shared" si="36"/>
        <v>11.452060037956873</v>
      </c>
    </row>
    <row r="417" spans="5:7" x14ac:dyDescent="0.25">
      <c r="E417" s="11">
        <f t="shared" si="34"/>
        <v>30</v>
      </c>
      <c r="F417" s="11">
        <f t="shared" si="35"/>
        <v>11.913914776415259</v>
      </c>
      <c r="G417" s="11">
        <f t="shared" si="36"/>
        <v>11.858610639136604</v>
      </c>
    </row>
    <row r="418" spans="5:7" x14ac:dyDescent="0.25">
      <c r="E418" s="11">
        <f t="shared" si="34"/>
        <v>31</v>
      </c>
      <c r="F418" s="11">
        <f t="shared" si="35"/>
        <v>12.298395325652562</v>
      </c>
      <c r="G418" s="11">
        <f t="shared" si="36"/>
        <v>12.265414544211577</v>
      </c>
    </row>
    <row r="419" spans="5:7" x14ac:dyDescent="0.25">
      <c r="E419" s="11">
        <f t="shared" si="34"/>
        <v>32</v>
      </c>
      <c r="F419" s="11">
        <f t="shared" si="35"/>
        <v>12.674184600323313</v>
      </c>
      <c r="G419" s="11">
        <f t="shared" si="36"/>
        <v>12.672421092402743</v>
      </c>
    </row>
    <row r="420" spans="5:7" x14ac:dyDescent="0.25">
      <c r="E420" s="11">
        <f t="shared" si="34"/>
        <v>33</v>
      </c>
      <c r="F420" s="11">
        <f t="shared" si="35"/>
        <v>13.039777008427745</v>
      </c>
      <c r="G420" s="11">
        <f t="shared" si="36"/>
        <v>13.079579622931057</v>
      </c>
    </row>
    <row r="421" spans="5:7" x14ac:dyDescent="0.25">
      <c r="E421" s="11">
        <f t="shared" si="34"/>
        <v>34</v>
      </c>
      <c r="F421" s="11">
        <f t="shared" si="35"/>
        <v>13.39352978927244</v>
      </c>
      <c r="G421" s="11">
        <f t="shared" si="36"/>
        <v>13.486839475017469</v>
      </c>
    </row>
    <row r="422" spans="5:7" x14ac:dyDescent="0.25">
      <c r="E422" s="11">
        <f t="shared" si="34"/>
        <v>35</v>
      </c>
      <c r="F422" s="11">
        <f t="shared" si="35"/>
        <v>13.733654964211054</v>
      </c>
      <c r="G422" s="11">
        <f t="shared" si="36"/>
        <v>13.89414998788293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2022-01-09T07:54:16Z</dcterms:modified>
</cp:coreProperties>
</file>