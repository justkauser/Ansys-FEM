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I140" i="52" l="1"/>
  <c r="J140" i="52"/>
  <c r="C127" i="52"/>
  <c r="L127" i="52" s="1"/>
  <c r="C134" i="52"/>
  <c r="B97" i="39" s="1"/>
  <c r="K140" i="52"/>
  <c r="C123" i="52"/>
  <c r="L123" i="52" s="1"/>
  <c r="P140" i="52"/>
  <c r="C137" i="52"/>
  <c r="G137" i="52" s="1"/>
  <c r="C112" i="52"/>
  <c r="O112" i="52" s="1"/>
  <c r="C131" i="52"/>
  <c r="O131" i="52" s="1"/>
  <c r="C120" i="52"/>
  <c r="AE120" i="52" s="1"/>
  <c r="C125" i="52"/>
  <c r="K125" i="52" s="1"/>
  <c r="M140" i="52"/>
  <c r="Q140" i="52"/>
  <c r="C121" i="52"/>
  <c r="H121" i="52" s="1"/>
  <c r="C128" i="52"/>
  <c r="G128" i="52" s="1"/>
  <c r="C110" i="52"/>
  <c r="C136" i="52"/>
  <c r="H136" i="52" s="1"/>
  <c r="AI140" i="52"/>
  <c r="C116" i="52"/>
  <c r="M116" i="52" s="1"/>
  <c r="AC140" i="52"/>
  <c r="C135" i="52"/>
  <c r="B98" i="39" s="1"/>
  <c r="AB140" i="52"/>
  <c r="R140" i="52"/>
  <c r="G140" i="52"/>
  <c r="W140" i="52"/>
  <c r="C141" i="52"/>
  <c r="B104" i="39" s="1"/>
  <c r="C119" i="52"/>
  <c r="S119" i="52" s="1"/>
  <c r="Y140" i="52"/>
  <c r="C115" i="52"/>
  <c r="I115" i="52" s="1"/>
  <c r="H140" i="52"/>
  <c r="O140" i="52"/>
  <c r="AE140" i="52"/>
  <c r="AA140" i="52"/>
  <c r="C113" i="52"/>
  <c r="G113" i="52" s="1"/>
  <c r="AF140" i="52"/>
  <c r="C129" i="52"/>
  <c r="M129" i="52" s="1"/>
  <c r="C122" i="52"/>
  <c r="M122" i="52" s="1"/>
  <c r="C130" i="52"/>
  <c r="O130" i="52" s="1"/>
  <c r="C138" i="52"/>
  <c r="I138" i="52" s="1"/>
  <c r="C133" i="52"/>
  <c r="AJ133" i="52" s="1"/>
  <c r="X140" i="52"/>
  <c r="C111" i="52"/>
  <c r="I111" i="52" s="1"/>
  <c r="V140" i="52"/>
  <c r="U140" i="52"/>
  <c r="Z140" i="52"/>
  <c r="C139" i="52"/>
  <c r="T139" i="52" s="1"/>
  <c r="AD140" i="52"/>
  <c r="L140" i="52"/>
  <c r="C126" i="52"/>
  <c r="L126" i="52" s="1"/>
  <c r="T140" i="52"/>
  <c r="AJ140" i="52"/>
  <c r="AG140" i="52"/>
  <c r="C132" i="52"/>
  <c r="B95" i="39" s="1"/>
  <c r="F140" i="52"/>
  <c r="AH140" i="52"/>
  <c r="C124" i="52"/>
  <c r="AJ124" i="52" s="1"/>
  <c r="C117" i="52"/>
  <c r="AD117" i="52" s="1"/>
  <c r="C118" i="52"/>
  <c r="T118" i="52" s="1"/>
  <c r="C114" i="52"/>
  <c r="AH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O116" i="52" l="1"/>
  <c r="H129" i="52"/>
  <c r="AB137" i="52"/>
  <c r="H134" i="52"/>
  <c r="Q137" i="52"/>
  <c r="N137" i="52"/>
  <c r="P129" i="52"/>
  <c r="S129" i="52"/>
  <c r="T129" i="52"/>
  <c r="AH129" i="52"/>
  <c r="AJ121" i="52"/>
  <c r="R129" i="52"/>
  <c r="O129" i="52"/>
  <c r="AG129" i="52"/>
  <c r="U129" i="52"/>
  <c r="I127" i="52"/>
  <c r="K127" i="52"/>
  <c r="X121" i="52"/>
  <c r="J133" i="52"/>
  <c r="S121" i="52"/>
  <c r="AI121" i="52"/>
  <c r="AE112" i="52"/>
  <c r="AC121" i="52"/>
  <c r="AF112" i="52"/>
  <c r="AA127" i="52"/>
  <c r="G135" i="52"/>
  <c r="AH128" i="52"/>
  <c r="AJ134" i="52"/>
  <c r="Z119" i="52"/>
  <c r="N138" i="52"/>
  <c r="R134" i="52"/>
  <c r="W121" i="52"/>
  <c r="T121" i="52"/>
  <c r="R112" i="52"/>
  <c r="X127" i="52"/>
  <c r="P121" i="52"/>
  <c r="J121" i="52"/>
  <c r="M121" i="52"/>
  <c r="AH112" i="52"/>
  <c r="AB127" i="52"/>
  <c r="V134" i="52"/>
  <c r="S131" i="52"/>
  <c r="AG134" i="52"/>
  <c r="Y134" i="52"/>
  <c r="AH134" i="52"/>
  <c r="AD134" i="52"/>
  <c r="H131" i="52"/>
  <c r="AI134" i="52"/>
  <c r="W134" i="52"/>
  <c r="AB134" i="52"/>
  <c r="U134" i="52"/>
  <c r="Z134" i="52"/>
  <c r="Y112" i="52"/>
  <c r="T112" i="52"/>
  <c r="AC127" i="52"/>
  <c r="AF127" i="52"/>
  <c r="X112" i="52"/>
  <c r="AD130" i="52"/>
  <c r="Y127" i="52"/>
  <c r="Z127" i="52"/>
  <c r="B75" i="39"/>
  <c r="Q121" i="52"/>
  <c r="R121" i="52"/>
  <c r="I130" i="52"/>
  <c r="F112" i="52"/>
  <c r="AJ112" i="52"/>
  <c r="AJ127" i="52"/>
  <c r="P127" i="52"/>
  <c r="O127" i="52"/>
  <c r="AG121" i="52"/>
  <c r="AA121" i="52"/>
  <c r="AI112" i="52"/>
  <c r="AC112" i="52"/>
  <c r="AD127" i="52"/>
  <c r="N127" i="52"/>
  <c r="G127" i="52"/>
  <c r="Q138" i="52"/>
  <c r="G141" i="52"/>
  <c r="L121" i="52"/>
  <c r="O141" i="52"/>
  <c r="AH138" i="52"/>
  <c r="AF138" i="52"/>
  <c r="AE131" i="52"/>
  <c r="L128" i="52"/>
  <c r="W138" i="52"/>
  <c r="Z131" i="52"/>
  <c r="H128" i="52"/>
  <c r="F138" i="52"/>
  <c r="AA131" i="52"/>
  <c r="AE128" i="52"/>
  <c r="AB138" i="52"/>
  <c r="AH131" i="52"/>
  <c r="S128" i="52"/>
  <c r="AF121" i="52"/>
  <c r="N121" i="52"/>
  <c r="U121" i="52"/>
  <c r="AE121" i="52"/>
  <c r="K130" i="52"/>
  <c r="AB112" i="52"/>
  <c r="AG112" i="52"/>
  <c r="N112" i="52"/>
  <c r="AE137" i="52"/>
  <c r="R127" i="52"/>
  <c r="Q127" i="52"/>
  <c r="U127" i="52"/>
  <c r="K112" i="52"/>
  <c r="B90" i="39"/>
  <c r="F121" i="52"/>
  <c r="V121" i="52"/>
  <c r="AH121" i="52"/>
  <c r="AC113" i="52"/>
  <c r="U112" i="52"/>
  <c r="W112" i="52"/>
  <c r="M112" i="52"/>
  <c r="F127" i="52"/>
  <c r="W127" i="52"/>
  <c r="M127" i="52"/>
  <c r="AH130" i="52"/>
  <c r="P130" i="52"/>
  <c r="Y130" i="52"/>
  <c r="U130" i="52"/>
  <c r="K128" i="52"/>
  <c r="M141" i="52"/>
  <c r="AE116" i="52"/>
  <c r="W113" i="52"/>
  <c r="Y113" i="52"/>
  <c r="AA113" i="52"/>
  <c r="AF120" i="52"/>
  <c r="AC130" i="52"/>
  <c r="Y128" i="52"/>
  <c r="T135" i="52"/>
  <c r="AF130" i="52"/>
  <c r="W141" i="52"/>
  <c r="J128" i="52"/>
  <c r="AA130" i="52"/>
  <c r="AC131" i="52"/>
  <c r="AG131" i="52"/>
  <c r="AF131" i="52"/>
  <c r="Q129" i="52"/>
  <c r="N129" i="52"/>
  <c r="AI129" i="52"/>
  <c r="AF129" i="52"/>
  <c r="N128" i="52"/>
  <c r="AA128" i="52"/>
  <c r="AF128" i="52"/>
  <c r="O135" i="52"/>
  <c r="U111" i="52"/>
  <c r="M131" i="52"/>
  <c r="J131" i="52"/>
  <c r="AC138" i="52"/>
  <c r="X138" i="52"/>
  <c r="K138" i="52"/>
  <c r="AF134" i="52"/>
  <c r="U131" i="52"/>
  <c r="P131" i="52"/>
  <c r="R131" i="52"/>
  <c r="AE129" i="52"/>
  <c r="AC129" i="52"/>
  <c r="AA129" i="52"/>
  <c r="Z129" i="52"/>
  <c r="W128" i="52"/>
  <c r="Q128" i="52"/>
  <c r="Z128" i="52"/>
  <c r="AG118" i="52"/>
  <c r="G131" i="52"/>
  <c r="I134" i="52"/>
  <c r="AJ138" i="52"/>
  <c r="AG138" i="52"/>
  <c r="N134" i="52"/>
  <c r="S134" i="52"/>
  <c r="X134" i="52"/>
  <c r="L134" i="52"/>
  <c r="G129" i="52"/>
  <c r="AB131" i="52"/>
  <c r="N131" i="52"/>
  <c r="L131" i="52"/>
  <c r="V129" i="52"/>
  <c r="F129" i="52"/>
  <c r="AJ129" i="52"/>
  <c r="AD129" i="52"/>
  <c r="K129" i="52"/>
  <c r="V128" i="52"/>
  <c r="X128" i="52"/>
  <c r="M128" i="52"/>
  <c r="K131" i="52"/>
  <c r="M134" i="52"/>
  <c r="Y138" i="52"/>
  <c r="AA138" i="52"/>
  <c r="Q134" i="52"/>
  <c r="F131" i="52"/>
  <c r="AD131" i="52"/>
  <c r="Y129" i="52"/>
  <c r="X129" i="52"/>
  <c r="AB129" i="52"/>
  <c r="W129" i="52"/>
  <c r="AD128" i="52"/>
  <c r="AB128" i="52"/>
  <c r="AG128" i="52"/>
  <c r="AB119" i="52"/>
  <c r="V135" i="52"/>
  <c r="K134" i="52"/>
  <c r="O134" i="52"/>
  <c r="Z141" i="52"/>
  <c r="R125" i="52"/>
  <c r="AE141" i="52"/>
  <c r="F113" i="52"/>
  <c r="L113" i="52"/>
  <c r="AH113" i="52"/>
  <c r="AG113" i="52"/>
  <c r="J120" i="52"/>
  <c r="X120" i="52"/>
  <c r="AF113" i="52"/>
  <c r="S113" i="52"/>
  <c r="Q113" i="52"/>
  <c r="U113" i="52"/>
  <c r="L120" i="52"/>
  <c r="AI120" i="52"/>
  <c r="P113" i="52"/>
  <c r="AJ113" i="52"/>
  <c r="R120" i="52"/>
  <c r="AI113" i="52"/>
  <c r="V113" i="52"/>
  <c r="AD113" i="52"/>
  <c r="Z113" i="52"/>
  <c r="AB113" i="52"/>
  <c r="V120" i="52"/>
  <c r="N113" i="52"/>
  <c r="X113" i="52"/>
  <c r="AE113" i="52"/>
  <c r="R113" i="52"/>
  <c r="T113" i="52"/>
  <c r="F120" i="52"/>
  <c r="S120" i="52"/>
  <c r="H141" i="52"/>
  <c r="AB141" i="52"/>
  <c r="F135" i="52"/>
  <c r="O137" i="52"/>
  <c r="Y137" i="52"/>
  <c r="AJ137" i="52"/>
  <c r="P137" i="52"/>
  <c r="Z137" i="52"/>
  <c r="V116" i="52"/>
  <c r="K137" i="52"/>
  <c r="B100" i="39"/>
  <c r="S137" i="52"/>
  <c r="L137" i="52"/>
  <c r="X137" i="52"/>
  <c r="AG137" i="52"/>
  <c r="T137" i="52"/>
  <c r="I137" i="52"/>
  <c r="U122" i="52"/>
  <c r="AD137" i="52"/>
  <c r="F137" i="52"/>
  <c r="H137" i="52"/>
  <c r="AA137" i="52"/>
  <c r="M137" i="52"/>
  <c r="AI132" i="52"/>
  <c r="AC137" i="52"/>
  <c r="W137" i="52"/>
  <c r="AH137" i="52"/>
  <c r="U137" i="52"/>
  <c r="AB116" i="52"/>
  <c r="J137" i="52"/>
  <c r="AI137" i="52"/>
  <c r="R137" i="52"/>
  <c r="V137" i="52"/>
  <c r="AF137" i="52"/>
  <c r="R116" i="52"/>
  <c r="AJ120" i="52"/>
  <c r="T141" i="52"/>
  <c r="I121" i="52"/>
  <c r="R138" i="52"/>
  <c r="AI138" i="52"/>
  <c r="U138" i="52"/>
  <c r="AE123" i="52"/>
  <c r="F134" i="52"/>
  <c r="T134" i="52"/>
  <c r="Q131" i="52"/>
  <c r="X131" i="52"/>
  <c r="V131" i="52"/>
  <c r="T131" i="52"/>
  <c r="AA112" i="52"/>
  <c r="Q112" i="52"/>
  <c r="J112" i="52"/>
  <c r="Z112" i="52"/>
  <c r="Q130" i="52"/>
  <c r="AB130" i="52"/>
  <c r="U128" i="52"/>
  <c r="AI128" i="52"/>
  <c r="P128" i="52"/>
  <c r="T128" i="52"/>
  <c r="U119" i="52"/>
  <c r="S127" i="52"/>
  <c r="AH127" i="52"/>
  <c r="AE127" i="52"/>
  <c r="J127" i="52"/>
  <c r="I128" i="52"/>
  <c r="O128" i="52"/>
  <c r="K141" i="52"/>
  <c r="H127" i="52"/>
  <c r="J134" i="52"/>
  <c r="G134" i="52"/>
  <c r="I131" i="52"/>
  <c r="AE138" i="52"/>
  <c r="H138" i="52"/>
  <c r="V138" i="52"/>
  <c r="T138" i="52"/>
  <c r="Z121" i="52"/>
  <c r="AD121" i="52"/>
  <c r="AB121" i="52"/>
  <c r="Y121" i="52"/>
  <c r="AA134" i="52"/>
  <c r="AC134" i="52"/>
  <c r="AE134" i="52"/>
  <c r="P134" i="52"/>
  <c r="I112" i="52"/>
  <c r="AJ131" i="52"/>
  <c r="AI131" i="52"/>
  <c r="W131" i="52"/>
  <c r="Y131" i="52"/>
  <c r="AD112" i="52"/>
  <c r="S112" i="52"/>
  <c r="P112" i="52"/>
  <c r="V112" i="52"/>
  <c r="R130" i="52"/>
  <c r="N130" i="52"/>
  <c r="M130" i="52"/>
  <c r="AC128" i="52"/>
  <c r="AJ128" i="52"/>
  <c r="F128" i="52"/>
  <c r="R128" i="52"/>
  <c r="X119" i="52"/>
  <c r="V127" i="52"/>
  <c r="AG127" i="52"/>
  <c r="AI127" i="52"/>
  <c r="T127" i="52"/>
  <c r="AI135" i="52"/>
  <c r="N141" i="52"/>
  <c r="AG139" i="52"/>
  <c r="AI111" i="52"/>
  <c r="G112" i="52"/>
  <c r="AI115" i="52"/>
  <c r="AI123" i="52"/>
  <c r="F136" i="52"/>
  <c r="N115" i="52"/>
  <c r="AG123" i="52"/>
  <c r="Z136" i="52"/>
  <c r="AF123" i="52"/>
  <c r="AI136" i="52"/>
  <c r="N125" i="52"/>
  <c r="O123" i="52"/>
  <c r="V115" i="52"/>
  <c r="V136" i="52"/>
  <c r="AH125" i="52"/>
  <c r="J115" i="52"/>
  <c r="U125" i="52"/>
  <c r="AH141" i="52"/>
  <c r="K119" i="52"/>
  <c r="Z115" i="52"/>
  <c r="AA115" i="52"/>
  <c r="AF115" i="52"/>
  <c r="AE115" i="52"/>
  <c r="P115" i="52"/>
  <c r="V123" i="52"/>
  <c r="AA123" i="52"/>
  <c r="X123" i="52"/>
  <c r="Z123" i="52"/>
  <c r="S136" i="52"/>
  <c r="M136" i="52"/>
  <c r="AC136" i="52"/>
  <c r="P136" i="52"/>
  <c r="AI125" i="52"/>
  <c r="X125" i="52"/>
  <c r="AJ125" i="52"/>
  <c r="AF125" i="52"/>
  <c r="M125" i="52"/>
  <c r="J125" i="52"/>
  <c r="B88" i="39"/>
  <c r="R115" i="52"/>
  <c r="AJ115" i="52"/>
  <c r="W115" i="52"/>
  <c r="X115" i="52"/>
  <c r="AJ123" i="52"/>
  <c r="R123" i="52"/>
  <c r="N123" i="52"/>
  <c r="T123" i="52"/>
  <c r="L136" i="52"/>
  <c r="AD136" i="52"/>
  <c r="X136" i="52"/>
  <c r="W136" i="52"/>
  <c r="AG136" i="52"/>
  <c r="F125" i="52"/>
  <c r="AD125" i="52"/>
  <c r="AB125" i="52"/>
  <c r="Z125" i="52"/>
  <c r="J123" i="52"/>
  <c r="G125" i="52"/>
  <c r="S115" i="52"/>
  <c r="Q115" i="52"/>
  <c r="F123" i="52"/>
  <c r="H123" i="52"/>
  <c r="AH123" i="52"/>
  <c r="AD123" i="52"/>
  <c r="K123" i="52"/>
  <c r="R136" i="52"/>
  <c r="T136" i="52"/>
  <c r="Q136" i="52"/>
  <c r="AA136" i="52"/>
  <c r="AA125" i="52"/>
  <c r="V125" i="52"/>
  <c r="S125" i="52"/>
  <c r="T125" i="52"/>
  <c r="AC115" i="52"/>
  <c r="M115" i="52"/>
  <c r="T115" i="52"/>
  <c r="AG115" i="52"/>
  <c r="AD115" i="52"/>
  <c r="AH115" i="52"/>
  <c r="S123" i="52"/>
  <c r="AC123" i="52"/>
  <c r="Y123" i="52"/>
  <c r="W123" i="52"/>
  <c r="K136" i="52"/>
  <c r="AF136" i="52"/>
  <c r="Y136" i="52"/>
  <c r="AH136" i="52"/>
  <c r="U136" i="52"/>
  <c r="P125" i="52"/>
  <c r="W125" i="52"/>
  <c r="H125" i="52"/>
  <c r="AG125" i="52"/>
  <c r="L125" i="52"/>
  <c r="O136" i="52"/>
  <c r="I125" i="52"/>
  <c r="F115" i="52"/>
  <c r="Y115" i="52"/>
  <c r="U115" i="52"/>
  <c r="AB115" i="52"/>
  <c r="AB123" i="52"/>
  <c r="U123" i="52"/>
  <c r="Q123" i="52"/>
  <c r="P123" i="52"/>
  <c r="I136" i="52"/>
  <c r="O125" i="52"/>
  <c r="AJ136" i="52"/>
  <c r="AE136" i="52"/>
  <c r="J136" i="52"/>
  <c r="AB136" i="52"/>
  <c r="N136" i="52"/>
  <c r="AE125" i="52"/>
  <c r="Q125" i="52"/>
  <c r="AC125" i="52"/>
  <c r="Y125" i="52"/>
  <c r="I133" i="52"/>
  <c r="G136" i="52"/>
  <c r="X124" i="52"/>
  <c r="G138" i="52"/>
  <c r="R126" i="52"/>
  <c r="AE126" i="52"/>
  <c r="U114" i="52"/>
  <c r="B91" i="39"/>
  <c r="K115" i="52"/>
  <c r="H115" i="52"/>
  <c r="I123" i="52"/>
  <c r="H126" i="52"/>
  <c r="AH124" i="52"/>
  <c r="P114" i="52"/>
  <c r="T126" i="52"/>
  <c r="AH133" i="52"/>
  <c r="G115" i="52"/>
  <c r="O115" i="52"/>
  <c r="B86" i="39"/>
  <c r="L115" i="52"/>
  <c r="U132" i="52"/>
  <c r="G123" i="52"/>
  <c r="M123" i="52"/>
  <c r="K120" i="52"/>
  <c r="T120" i="52"/>
  <c r="Q120" i="52"/>
  <c r="Y120" i="52"/>
  <c r="S124" i="52"/>
  <c r="AF124" i="52"/>
  <c r="G120" i="52"/>
  <c r="J124" i="52"/>
  <c r="AA133" i="52"/>
  <c r="AF133" i="52"/>
  <c r="AI133" i="52"/>
  <c r="U120" i="52"/>
  <c r="AG120" i="52"/>
  <c r="AA120" i="52"/>
  <c r="AC120" i="52"/>
  <c r="H120" i="52"/>
  <c r="I120" i="52"/>
  <c r="AC133" i="52"/>
  <c r="M113" i="52"/>
  <c r="W133" i="52"/>
  <c r="O113" i="52"/>
  <c r="K113" i="52"/>
  <c r="O120" i="52"/>
  <c r="B83" i="39"/>
  <c r="AD120" i="52"/>
  <c r="W120" i="52"/>
  <c r="AH120" i="52"/>
  <c r="N120" i="52"/>
  <c r="Z124" i="52"/>
  <c r="L133" i="52"/>
  <c r="J113" i="52"/>
  <c r="M120" i="52"/>
  <c r="P120" i="52"/>
  <c r="AB120" i="52"/>
  <c r="Z120" i="52"/>
  <c r="Q124" i="52"/>
  <c r="Z133" i="52"/>
  <c r="I113" i="52"/>
  <c r="B76" i="39"/>
  <c r="P124" i="52"/>
  <c r="R133" i="52"/>
  <c r="AJ114" i="52"/>
  <c r="V141" i="52"/>
  <c r="AJ141" i="52"/>
  <c r="X141" i="52"/>
  <c r="AC141" i="52"/>
  <c r="U139" i="52"/>
  <c r="N117" i="52"/>
  <c r="H112" i="52"/>
  <c r="G130" i="52"/>
  <c r="T111" i="52"/>
  <c r="G121" i="52"/>
  <c r="R111" i="52"/>
  <c r="AG130" i="52"/>
  <c r="AJ130" i="52"/>
  <c r="V130" i="52"/>
  <c r="J130" i="52"/>
  <c r="R141" i="52"/>
  <c r="AG141" i="52"/>
  <c r="U141" i="52"/>
  <c r="AA141" i="52"/>
  <c r="Q141" i="52"/>
  <c r="R114" i="52"/>
  <c r="AG111" i="52"/>
  <c r="K117" i="52"/>
  <c r="K121" i="52"/>
  <c r="O121" i="52"/>
  <c r="L112" i="52"/>
  <c r="H130" i="52"/>
  <c r="F130" i="52"/>
  <c r="AE130" i="52"/>
  <c r="S130" i="52"/>
  <c r="Z130" i="52"/>
  <c r="F141" i="52"/>
  <c r="Y141" i="52"/>
  <c r="S141" i="52"/>
  <c r="J141" i="52"/>
  <c r="Z139" i="52"/>
  <c r="L130" i="52"/>
  <c r="J111" i="52"/>
  <c r="B84" i="39"/>
  <c r="N111" i="52"/>
  <c r="I141" i="52"/>
  <c r="X130" i="52"/>
  <c r="W130" i="52"/>
  <c r="AI130" i="52"/>
  <c r="T130" i="52"/>
  <c r="I129" i="52"/>
  <c r="L129" i="52"/>
  <c r="AD141" i="52"/>
  <c r="P141" i="52"/>
  <c r="AF141" i="52"/>
  <c r="AI141" i="52"/>
  <c r="Q139" i="52"/>
  <c r="J129" i="52"/>
  <c r="Y111" i="52"/>
  <c r="B94" i="39"/>
  <c r="AA124" i="52"/>
  <c r="B99" i="39"/>
  <c r="R124" i="52"/>
  <c r="V117" i="52"/>
  <c r="H111" i="52"/>
  <c r="AC111" i="52"/>
  <c r="W111" i="52"/>
  <c r="B102" i="39"/>
  <c r="B74" i="39"/>
  <c r="AA122" i="52"/>
  <c r="T116" i="52"/>
  <c r="AJ116" i="52"/>
  <c r="F116" i="52"/>
  <c r="N116" i="52"/>
  <c r="K132" i="52"/>
  <c r="O132" i="52"/>
  <c r="W132" i="52"/>
  <c r="AE132" i="52"/>
  <c r="G116" i="52"/>
  <c r="B79" i="39"/>
  <c r="W122" i="52"/>
  <c r="U116" i="52"/>
  <c r="AA116" i="52"/>
  <c r="AG116" i="52"/>
  <c r="AI116" i="52"/>
  <c r="AB132" i="52"/>
  <c r="G132" i="52"/>
  <c r="R132" i="52"/>
  <c r="Q132" i="52"/>
  <c r="H132" i="52"/>
  <c r="J116" i="52"/>
  <c r="AF116" i="52"/>
  <c r="S116" i="52"/>
  <c r="Y116" i="52"/>
  <c r="AC116" i="52"/>
  <c r="P132" i="52"/>
  <c r="L132" i="52"/>
  <c r="Z132" i="52"/>
  <c r="J132" i="52"/>
  <c r="AF132" i="52"/>
  <c r="X132" i="52"/>
  <c r="L116" i="52"/>
  <c r="AH116" i="52"/>
  <c r="P116" i="52"/>
  <c r="W116" i="52"/>
  <c r="AH132" i="52"/>
  <c r="AG132" i="52"/>
  <c r="N132" i="52"/>
  <c r="H116" i="52"/>
  <c r="V132" i="52"/>
  <c r="AA132" i="52"/>
  <c r="Y122" i="52"/>
  <c r="X116" i="52"/>
  <c r="Z116" i="52"/>
  <c r="AD116" i="52"/>
  <c r="Q116" i="52"/>
  <c r="T132" i="52"/>
  <c r="AD132" i="52"/>
  <c r="AJ132" i="52"/>
  <c r="V111" i="52"/>
  <c r="B93" i="39"/>
  <c r="P111" i="52"/>
  <c r="V139" i="52"/>
  <c r="B92" i="39"/>
  <c r="K116" i="52"/>
  <c r="T114" i="52"/>
  <c r="X111" i="52"/>
  <c r="AE111" i="52"/>
  <c r="L141" i="52"/>
  <c r="AD111" i="52"/>
  <c r="I132" i="52"/>
  <c r="AC132" i="52"/>
  <c r="M132" i="52"/>
  <c r="F111" i="52"/>
  <c r="B82" i="39"/>
  <c r="AA111" i="52"/>
  <c r="L111" i="52"/>
  <c r="Z126" i="52"/>
  <c r="I116" i="52"/>
  <c r="V119" i="52"/>
  <c r="L119" i="52"/>
  <c r="AH119" i="52"/>
  <c r="AF119" i="52"/>
  <c r="S135" i="52"/>
  <c r="Y135" i="52"/>
  <c r="AB135" i="52"/>
  <c r="H135" i="52"/>
  <c r="AG126" i="52"/>
  <c r="J126" i="52"/>
  <c r="AF126" i="52"/>
  <c r="I126" i="52"/>
  <c r="M119" i="52"/>
  <c r="W126" i="52"/>
  <c r="L138" i="52"/>
  <c r="F126" i="52"/>
  <c r="U126" i="52"/>
  <c r="B89" i="39"/>
  <c r="F119" i="52"/>
  <c r="AC119" i="52"/>
  <c r="P119" i="52"/>
  <c r="Q119" i="52"/>
  <c r="M135" i="52"/>
  <c r="AF135" i="52"/>
  <c r="R135" i="52"/>
  <c r="AC135" i="52"/>
  <c r="N135" i="52"/>
  <c r="K135" i="52"/>
  <c r="M126" i="52"/>
  <c r="S126" i="52"/>
  <c r="K126" i="52"/>
  <c r="I119" i="52"/>
  <c r="AD126" i="52"/>
  <c r="G126" i="52"/>
  <c r="O138" i="52"/>
  <c r="G119" i="52"/>
  <c r="AJ119" i="52"/>
  <c r="AI119" i="52"/>
  <c r="AG119" i="52"/>
  <c r="AE119" i="52"/>
  <c r="AD135" i="52"/>
  <c r="Z135" i="52"/>
  <c r="W135" i="52"/>
  <c r="AG135" i="52"/>
  <c r="AJ126" i="52"/>
  <c r="P126" i="52"/>
  <c r="N126" i="52"/>
  <c r="Q126" i="52"/>
  <c r="X126" i="52"/>
  <c r="AB126" i="52"/>
  <c r="J119" i="52"/>
  <c r="H119" i="52"/>
  <c r="B101" i="39"/>
  <c r="S138" i="52"/>
  <c r="AD138" i="52"/>
  <c r="P138" i="52"/>
  <c r="Z138" i="52"/>
  <c r="T119" i="52"/>
  <c r="AA119" i="52"/>
  <c r="W119" i="52"/>
  <c r="Y119" i="52"/>
  <c r="J135" i="52"/>
  <c r="Q135" i="52"/>
  <c r="X135" i="52"/>
  <c r="P135" i="52"/>
  <c r="AA135" i="52"/>
  <c r="AI126" i="52"/>
  <c r="V126" i="52"/>
  <c r="Y126" i="52"/>
  <c r="O119" i="52"/>
  <c r="M138" i="52"/>
  <c r="L135" i="52"/>
  <c r="AD119" i="52"/>
  <c r="R119" i="52"/>
  <c r="N119" i="52"/>
  <c r="I135" i="52"/>
  <c r="AJ135" i="52"/>
  <c r="AE135" i="52"/>
  <c r="AH135" i="52"/>
  <c r="U135" i="52"/>
  <c r="AC126" i="52"/>
  <c r="AH126" i="52"/>
  <c r="J138" i="52"/>
  <c r="O126" i="52"/>
  <c r="AA126" i="52"/>
  <c r="AF117" i="52"/>
  <c r="U133" i="52"/>
  <c r="I124" i="52"/>
  <c r="M124" i="52"/>
  <c r="AB133" i="52"/>
  <c r="H117" i="52"/>
  <c r="H113" i="52"/>
  <c r="S117" i="52"/>
  <c r="AE118" i="52"/>
  <c r="V124" i="52"/>
  <c r="Q117" i="52"/>
  <c r="L117" i="52"/>
  <c r="S133" i="52"/>
  <c r="B96" i="39"/>
  <c r="H133" i="52"/>
  <c r="Y124" i="52"/>
  <c r="P118" i="52"/>
  <c r="AJ117" i="52"/>
  <c r="F124" i="52"/>
  <c r="X117" i="52"/>
  <c r="G117" i="52"/>
  <c r="AE133" i="52"/>
  <c r="AD133" i="52"/>
  <c r="N133" i="52"/>
  <c r="W117" i="52"/>
  <c r="AI124" i="52"/>
  <c r="V133" i="52"/>
  <c r="AG124" i="52"/>
  <c r="AE124" i="52"/>
  <c r="O117" i="52"/>
  <c r="AA117" i="52"/>
  <c r="N124" i="52"/>
  <c r="G133" i="52"/>
  <c r="AC117" i="52"/>
  <c r="Y133" i="52"/>
  <c r="J117" i="52"/>
  <c r="AB124" i="52"/>
  <c r="X133" i="52"/>
  <c r="AG133" i="52"/>
  <c r="K133" i="52"/>
  <c r="F132" i="52"/>
  <c r="Y132" i="52"/>
  <c r="Q133" i="52"/>
  <c r="T133" i="52"/>
  <c r="R118" i="52"/>
  <c r="B78" i="39"/>
  <c r="F133" i="52"/>
  <c r="O133" i="52"/>
  <c r="H122" i="52"/>
  <c r="AJ122" i="52"/>
  <c r="AB122" i="52"/>
  <c r="N122" i="52"/>
  <c r="R122" i="52"/>
  <c r="F122" i="52"/>
  <c r="C142" i="52"/>
  <c r="G122" i="52"/>
  <c r="AI122" i="52"/>
  <c r="Q122" i="52"/>
  <c r="X122" i="52"/>
  <c r="Z122" i="52"/>
  <c r="B85" i="39"/>
  <c r="AH122" i="52"/>
  <c r="AF122" i="52"/>
  <c r="AD122" i="52"/>
  <c r="S122" i="52"/>
  <c r="P122" i="52"/>
  <c r="V122" i="52"/>
  <c r="T122" i="52"/>
  <c r="K122" i="52"/>
  <c r="J122" i="52"/>
  <c r="AH111" i="52"/>
  <c r="O111" i="52"/>
  <c r="M133" i="52"/>
  <c r="AC122" i="52"/>
  <c r="AE122" i="52"/>
  <c r="AG122" i="52"/>
  <c r="L122" i="52"/>
  <c r="I122" i="52"/>
  <c r="O122" i="52"/>
  <c r="AB117" i="52"/>
  <c r="AF111" i="52"/>
  <c r="AB111" i="52"/>
  <c r="M111" i="52"/>
  <c r="S111" i="52"/>
  <c r="Q111" i="52"/>
  <c r="AJ111" i="52"/>
  <c r="K111" i="52"/>
  <c r="P133" i="52"/>
  <c r="Z111" i="52"/>
  <c r="G111" i="52"/>
  <c r="M139" i="52"/>
  <c r="W139" i="52"/>
  <c r="X139" i="52"/>
  <c r="AF139" i="52"/>
  <c r="AJ139" i="52"/>
  <c r="S132" i="52"/>
  <c r="F139" i="52"/>
  <c r="H139" i="52"/>
  <c r="N139" i="52"/>
  <c r="AB139" i="52"/>
  <c r="AC139" i="52"/>
  <c r="Y139" i="52"/>
  <c r="AD139" i="52"/>
  <c r="K139" i="52"/>
  <c r="AI139" i="52"/>
  <c r="AE139" i="52"/>
  <c r="I139" i="52"/>
  <c r="O139" i="52"/>
  <c r="AH139" i="52"/>
  <c r="J139" i="52"/>
  <c r="P139" i="52"/>
  <c r="AA139" i="52"/>
  <c r="L139" i="52"/>
  <c r="G139" i="52"/>
  <c r="S139" i="52"/>
  <c r="R139" i="52"/>
  <c r="B87" i="39"/>
  <c r="AD124" i="52"/>
  <c r="I117" i="52"/>
  <c r="AC124" i="52"/>
  <c r="K124" i="52"/>
  <c r="G124" i="52"/>
  <c r="U124" i="52"/>
  <c r="L124" i="52"/>
  <c r="O124" i="52"/>
  <c r="H124" i="52"/>
  <c r="W124" i="52"/>
  <c r="B81" i="39"/>
  <c r="B80" i="39"/>
  <c r="T124" i="52"/>
  <c r="S114" i="52"/>
  <c r="Y114" i="52"/>
  <c r="F114" i="52"/>
  <c r="B77" i="39"/>
  <c r="P117" i="52"/>
  <c r="AG117" i="52"/>
  <c r="M117" i="52"/>
  <c r="R117" i="52"/>
  <c r="Z117" i="52"/>
  <c r="Y117" i="52"/>
  <c r="U117" i="52"/>
  <c r="AH117" i="52"/>
  <c r="AI117" i="52"/>
  <c r="T117" i="52"/>
  <c r="AE117" i="52"/>
  <c r="F117" i="52"/>
  <c r="Y118" i="52"/>
  <c r="Z118" i="52"/>
  <c r="N118" i="52"/>
  <c r="AH118" i="52"/>
  <c r="K118" i="52"/>
  <c r="F118" i="52"/>
  <c r="J118" i="52"/>
  <c r="W118" i="52"/>
  <c r="G118" i="52"/>
  <c r="M118" i="52"/>
  <c r="X118" i="52"/>
  <c r="U118" i="52"/>
  <c r="AF118" i="52"/>
  <c r="AI118" i="52"/>
  <c r="AB118" i="52"/>
  <c r="AA118" i="52"/>
  <c r="AD118" i="52"/>
  <c r="AC118" i="52"/>
  <c r="Q118" i="52"/>
  <c r="I118" i="52"/>
  <c r="O118" i="52"/>
  <c r="S118" i="52"/>
  <c r="V118" i="52"/>
  <c r="H118" i="52"/>
  <c r="L118" i="52"/>
  <c r="AJ118" i="52"/>
  <c r="Z114" i="52"/>
  <c r="AE114" i="52"/>
  <c r="X114" i="52"/>
  <c r="M114" i="52"/>
  <c r="O114" i="52"/>
  <c r="AG114" i="52"/>
  <c r="AA114" i="52"/>
  <c r="L114" i="52"/>
  <c r="G114" i="52"/>
  <c r="AC114" i="52"/>
  <c r="Q114" i="52"/>
  <c r="AD114" i="52"/>
  <c r="AI114" i="52"/>
  <c r="J114" i="52"/>
  <c r="V114" i="52"/>
  <c r="H114" i="52"/>
  <c r="N114" i="52"/>
  <c r="K114" i="52"/>
  <c r="I114" i="52"/>
  <c r="AB114" i="52"/>
  <c r="W114" i="52"/>
  <c r="AF114" i="52"/>
  <c r="A136" i="52"/>
  <c r="N122" i="43"/>
  <c r="O33" i="11"/>
  <c r="N33" i="11"/>
  <c r="P33" i="11" s="1"/>
  <c r="O32" i="11"/>
  <c r="N32" i="11"/>
  <c r="O31" i="11"/>
  <c r="N31" i="11"/>
  <c r="O30" i="11"/>
  <c r="N30" i="11"/>
  <c r="O29" i="11"/>
  <c r="N29" i="11"/>
  <c r="P29" i="11" s="1"/>
  <c r="O28" i="11"/>
  <c r="N28" i="11"/>
  <c r="P28" i="11" s="1"/>
  <c r="O27" i="11"/>
  <c r="N27" i="11"/>
  <c r="O26" i="11"/>
  <c r="N26" i="11"/>
  <c r="P26" i="11" s="1"/>
  <c r="O25" i="11"/>
  <c r="N25" i="11"/>
  <c r="P25" i="11" s="1"/>
  <c r="O24" i="11"/>
  <c r="N24" i="11"/>
  <c r="P24" i="11" s="1"/>
  <c r="O23" i="11"/>
  <c r="N23" i="11"/>
  <c r="O22" i="11"/>
  <c r="N22" i="11"/>
  <c r="O21" i="11"/>
  <c r="N21" i="11"/>
  <c r="P21" i="11" s="1"/>
  <c r="O20" i="11"/>
  <c r="N20" i="11"/>
  <c r="O19" i="11"/>
  <c r="N19" i="11"/>
  <c r="P19" i="11" s="1"/>
  <c r="O18" i="11"/>
  <c r="N18" i="11"/>
  <c r="O17" i="11"/>
  <c r="P17" i="11" s="1"/>
  <c r="N17" i="11"/>
  <c r="O16" i="11"/>
  <c r="N16" i="11"/>
  <c r="O15" i="11"/>
  <c r="N15" i="11"/>
  <c r="O14" i="11"/>
  <c r="N14" i="11"/>
  <c r="O13" i="11"/>
  <c r="N13" i="11"/>
  <c r="P13" i="11" s="1"/>
  <c r="O12" i="11"/>
  <c r="N12" i="11"/>
  <c r="O11" i="11"/>
  <c r="N11" i="11"/>
  <c r="O10" i="11"/>
  <c r="N10" i="11"/>
  <c r="O9" i="11"/>
  <c r="N9" i="11"/>
  <c r="O8" i="11"/>
  <c r="N8" i="11"/>
  <c r="P8" i="11" s="1"/>
  <c r="O7" i="11"/>
  <c r="N7" i="11"/>
  <c r="P7" i="11" s="1"/>
  <c r="O6" i="11"/>
  <c r="N6" i="11"/>
  <c r="O5" i="11"/>
  <c r="N5" i="11"/>
  <c r="P5" i="11" s="1"/>
  <c r="O4" i="11"/>
  <c r="N4" i="11"/>
  <c r="P4" i="11" s="1"/>
  <c r="O3" i="11"/>
  <c r="N3" i="11"/>
  <c r="V110" i="52" l="1"/>
  <c r="R110" i="52"/>
  <c r="X110" i="52"/>
  <c r="AG110" i="52"/>
  <c r="Q110" i="52"/>
  <c r="F110" i="52"/>
  <c r="AJ110" i="52"/>
  <c r="P110" i="52"/>
  <c r="AE110" i="52"/>
  <c r="H110" i="52"/>
  <c r="J110" i="52"/>
  <c r="Z110" i="52"/>
  <c r="AC110" i="52"/>
  <c r="I110" i="52"/>
  <c r="AI110" i="52"/>
  <c r="L110" i="52"/>
  <c r="U110" i="52"/>
  <c r="AA110" i="52"/>
  <c r="AB110" i="52"/>
  <c r="AH110" i="52"/>
  <c r="T110" i="52"/>
  <c r="O110" i="52"/>
  <c r="N110" i="52"/>
  <c r="Y110" i="52"/>
  <c r="AF110" i="52"/>
  <c r="W110" i="52"/>
  <c r="G110" i="52"/>
  <c r="M110" i="52"/>
  <c r="S110" i="52"/>
  <c r="K110" i="52"/>
  <c r="AD110" i="52"/>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D76" i="52" l="1"/>
  <c r="D82" i="52"/>
  <c r="D88" i="52"/>
  <c r="D94" i="52"/>
  <c r="D100" i="52"/>
  <c r="D97" i="52"/>
  <c r="D77" i="52"/>
  <c r="D83" i="52"/>
  <c r="D89" i="52"/>
  <c r="D95" i="52"/>
  <c r="D101" i="52"/>
  <c r="D73" i="52"/>
  <c r="D91" i="52"/>
  <c r="D72" i="52"/>
  <c r="D78" i="52"/>
  <c r="D84" i="52"/>
  <c r="D90" i="52"/>
  <c r="D96" i="52"/>
  <c r="D102" i="52"/>
  <c r="D79" i="52"/>
  <c r="D85" i="52"/>
  <c r="D74" i="52"/>
  <c r="D80" i="52"/>
  <c r="D86" i="52"/>
  <c r="D92" i="52"/>
  <c r="D98" i="52"/>
  <c r="D75" i="52"/>
  <c r="D81" i="52"/>
  <c r="D93" i="52"/>
  <c r="D99" i="52"/>
  <c r="D87" i="52"/>
  <c r="H73" i="52"/>
  <c r="H79" i="52"/>
  <c r="H85" i="52"/>
  <c r="H91" i="52"/>
  <c r="H97" i="52"/>
  <c r="H86" i="52"/>
  <c r="H88" i="52"/>
  <c r="H74" i="52"/>
  <c r="H80" i="52"/>
  <c r="H92" i="52"/>
  <c r="H98" i="52"/>
  <c r="H76" i="52"/>
  <c r="H94" i="52"/>
  <c r="H75" i="52"/>
  <c r="H81" i="52"/>
  <c r="H87" i="52"/>
  <c r="H93" i="52"/>
  <c r="H99" i="52"/>
  <c r="H82" i="52"/>
  <c r="H100" i="52"/>
  <c r="H77" i="52"/>
  <c r="H83" i="52"/>
  <c r="H89" i="52"/>
  <c r="H95" i="52"/>
  <c r="H101" i="52"/>
  <c r="H72" i="52"/>
  <c r="H78" i="52"/>
  <c r="H90" i="52"/>
  <c r="H102" i="52"/>
  <c r="H84" i="52"/>
  <c r="H96" i="52"/>
  <c r="F87" i="52"/>
  <c r="F90" i="52"/>
  <c r="F89" i="52"/>
  <c r="F86" i="52"/>
  <c r="F82" i="52"/>
  <c r="F72" i="52"/>
  <c r="F93" i="52"/>
  <c r="F97" i="52"/>
  <c r="F96" i="52"/>
  <c r="F91" i="52"/>
  <c r="F88" i="52"/>
  <c r="F74" i="52"/>
  <c r="F101" i="52"/>
  <c r="F98" i="52"/>
  <c r="F100" i="52"/>
  <c r="F99" i="52"/>
  <c r="F94" i="52"/>
  <c r="F92" i="52"/>
  <c r="F73" i="52"/>
  <c r="F95" i="52"/>
  <c r="F76" i="52"/>
  <c r="F79" i="52"/>
  <c r="F78" i="52"/>
  <c r="F77" i="52"/>
  <c r="F75" i="52"/>
  <c r="F102" i="52"/>
  <c r="F85" i="52"/>
  <c r="F84" i="52"/>
  <c r="F81" i="52"/>
  <c r="F83" i="52"/>
  <c r="F80" i="52"/>
  <c r="B96" i="52"/>
  <c r="B90" i="52"/>
  <c r="B74" i="52"/>
  <c r="B100" i="52"/>
  <c r="B101" i="52"/>
  <c r="B85" i="52"/>
  <c r="B77" i="52"/>
  <c r="B80" i="52"/>
  <c r="B87" i="52"/>
  <c r="B94" i="52"/>
  <c r="B86" i="52"/>
  <c r="B75" i="52"/>
  <c r="B76" i="52"/>
  <c r="B98" i="52"/>
  <c r="B82" i="52"/>
  <c r="B78" i="52"/>
  <c r="B91" i="52"/>
  <c r="B92" i="52"/>
  <c r="B81" i="52"/>
  <c r="B102" i="52"/>
  <c r="B84" i="52"/>
  <c r="B97" i="52"/>
  <c r="B83" i="52"/>
  <c r="B99" i="52"/>
  <c r="B72" i="52"/>
  <c r="B73" i="52"/>
  <c r="B93" i="52"/>
  <c r="B88" i="52"/>
  <c r="B89" i="52"/>
  <c r="B95" i="52"/>
  <c r="B79" i="52"/>
  <c r="G72" i="52"/>
  <c r="G78" i="52"/>
  <c r="G84" i="52"/>
  <c r="G90" i="52"/>
  <c r="G96" i="52"/>
  <c r="G102" i="52"/>
  <c r="G91" i="52"/>
  <c r="G81" i="52"/>
  <c r="G99" i="52"/>
  <c r="G73" i="52"/>
  <c r="G79" i="52"/>
  <c r="G85" i="52"/>
  <c r="G97" i="52"/>
  <c r="G93" i="52"/>
  <c r="G74" i="52"/>
  <c r="G80" i="52"/>
  <c r="G86" i="52"/>
  <c r="G92" i="52"/>
  <c r="G98" i="52"/>
  <c r="G87" i="52"/>
  <c r="G75" i="52"/>
  <c r="G76" i="52"/>
  <c r="G82" i="52"/>
  <c r="G88" i="52"/>
  <c r="G94" i="52"/>
  <c r="G100" i="52"/>
  <c r="G77" i="52"/>
  <c r="G89" i="52"/>
  <c r="G101" i="52"/>
  <c r="G83" i="52"/>
  <c r="G95" i="52"/>
  <c r="C75" i="52"/>
  <c r="C81" i="52"/>
  <c r="C87" i="52"/>
  <c r="C93" i="52"/>
  <c r="C99" i="52"/>
  <c r="C84" i="52"/>
  <c r="C102" i="52"/>
  <c r="C76" i="52"/>
  <c r="C82" i="52"/>
  <c r="C88" i="52"/>
  <c r="C94" i="52"/>
  <c r="C100" i="52"/>
  <c r="C78" i="52"/>
  <c r="C96" i="52"/>
  <c r="C77" i="52"/>
  <c r="C83" i="52"/>
  <c r="C89" i="52"/>
  <c r="C95" i="52"/>
  <c r="C101" i="52"/>
  <c r="C72" i="52"/>
  <c r="C90" i="52"/>
  <c r="C73" i="52"/>
  <c r="C79" i="52"/>
  <c r="C85" i="52"/>
  <c r="C91" i="52"/>
  <c r="C97" i="52"/>
  <c r="C74" i="52"/>
  <c r="C80" i="52"/>
  <c r="C86" i="52"/>
  <c r="C92" i="52"/>
  <c r="C98" i="52"/>
  <c r="E77" i="52"/>
  <c r="E83" i="52"/>
  <c r="E89" i="52"/>
  <c r="E95" i="52"/>
  <c r="E101" i="52"/>
  <c r="E86" i="52"/>
  <c r="E98" i="52"/>
  <c r="E72" i="52"/>
  <c r="E78" i="52"/>
  <c r="E84" i="52"/>
  <c r="E90" i="52"/>
  <c r="E96" i="52"/>
  <c r="E102" i="52"/>
  <c r="E80" i="52"/>
  <c r="E73" i="52"/>
  <c r="E79" i="52"/>
  <c r="E85" i="52"/>
  <c r="E91" i="52"/>
  <c r="E97" i="52"/>
  <c r="E74" i="52"/>
  <c r="E92" i="52"/>
  <c r="E75" i="52"/>
  <c r="E81" i="52"/>
  <c r="E87" i="52"/>
  <c r="E93" i="52"/>
  <c r="E99" i="52"/>
  <c r="E82" i="52"/>
  <c r="E88" i="52"/>
  <c r="E94" i="52"/>
  <c r="E100" i="52"/>
  <c r="E76" i="52"/>
  <c r="H217" i="44" a="1"/>
  <c r="A8" i="43"/>
  <c r="M14" i="43"/>
  <c r="J84" i="52" l="1"/>
  <c r="R109" i="52" s="1"/>
  <c r="R148" i="52" s="1"/>
  <c r="J82" i="52"/>
  <c r="P109" i="52" s="1"/>
  <c r="P144" i="52" s="1"/>
  <c r="J74" i="52"/>
  <c r="H109" i="52" s="1"/>
  <c r="H144" i="52" s="1"/>
  <c r="J87" i="52"/>
  <c r="U109" i="52" s="1"/>
  <c r="J73" i="52"/>
  <c r="G109" i="52" s="1"/>
  <c r="J102" i="52"/>
  <c r="AJ109" i="52" s="1"/>
  <c r="J98" i="52"/>
  <c r="AF109" i="52" s="1"/>
  <c r="J80" i="52"/>
  <c r="N109" i="52" s="1"/>
  <c r="J90" i="52"/>
  <c r="X109" i="52" s="1"/>
  <c r="J93" i="52"/>
  <c r="AA109" i="52" s="1"/>
  <c r="J79" i="52"/>
  <c r="M109" i="52" s="1"/>
  <c r="J72" i="52"/>
  <c r="F109" i="52" s="1"/>
  <c r="J81" i="52"/>
  <c r="O109" i="52" s="1"/>
  <c r="J76" i="52"/>
  <c r="J109" i="52" s="1"/>
  <c r="J77" i="52"/>
  <c r="K109" i="52" s="1"/>
  <c r="J96" i="52"/>
  <c r="AD109" i="52" s="1"/>
  <c r="J95" i="52"/>
  <c r="AC109" i="52" s="1"/>
  <c r="J99" i="52"/>
  <c r="AG109" i="52" s="1"/>
  <c r="J92" i="52"/>
  <c r="Z109" i="52" s="1"/>
  <c r="J75" i="52"/>
  <c r="I109" i="52" s="1"/>
  <c r="J85" i="52"/>
  <c r="S109" i="52" s="1"/>
  <c r="J89" i="52"/>
  <c r="W109" i="52" s="1"/>
  <c r="J83" i="52"/>
  <c r="Q109" i="52" s="1"/>
  <c r="J91" i="52"/>
  <c r="Y109" i="52" s="1"/>
  <c r="J86" i="52"/>
  <c r="T109" i="52" s="1"/>
  <c r="J101" i="52"/>
  <c r="AI109" i="52" s="1"/>
  <c r="J88" i="52"/>
  <c r="V109" i="52" s="1"/>
  <c r="J78" i="52"/>
  <c r="L109" i="52" s="1"/>
  <c r="J94" i="52"/>
  <c r="AB109" i="52" s="1"/>
  <c r="J100" i="52"/>
  <c r="AH109" i="52" s="1"/>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R144" i="52" l="1"/>
  <c r="R142" i="52"/>
  <c r="R143" i="52" s="1"/>
  <c r="J97" i="52"/>
  <c r="AE109" i="52" s="1"/>
  <c r="AE144" i="52" s="1"/>
  <c r="P148" i="52"/>
  <c r="P142" i="52"/>
  <c r="P143" i="52" s="1"/>
  <c r="H142" i="52"/>
  <c r="H143" i="52" s="1"/>
  <c r="H148" i="52"/>
  <c r="L148" i="52"/>
  <c r="L144" i="52"/>
  <c r="L142" i="52"/>
  <c r="L143" i="52" s="1"/>
  <c r="AI148" i="52"/>
  <c r="AI144" i="52"/>
  <c r="AI142" i="52"/>
  <c r="AI143" i="52" s="1"/>
  <c r="AC148" i="52"/>
  <c r="AC144" i="52"/>
  <c r="AC142" i="52"/>
  <c r="AC143" i="52" s="1"/>
  <c r="J148" i="52"/>
  <c r="J144" i="52"/>
  <c r="J142" i="52"/>
  <c r="J143" i="52" s="1"/>
  <c r="N142" i="52"/>
  <c r="N143" i="52" s="1"/>
  <c r="N148" i="52"/>
  <c r="N144" i="52"/>
  <c r="AG148" i="52"/>
  <c r="AG142" i="52"/>
  <c r="AG143" i="52" s="1"/>
  <c r="AG144" i="52"/>
  <c r="T148" i="52"/>
  <c r="T142" i="52"/>
  <c r="T143" i="52" s="1"/>
  <c r="T144" i="52"/>
  <c r="O148" i="52"/>
  <c r="O144" i="52"/>
  <c r="O142" i="52"/>
  <c r="O143" i="52" s="1"/>
  <c r="AF148" i="52"/>
  <c r="AF142" i="52"/>
  <c r="AF143" i="52" s="1"/>
  <c r="AF144" i="52"/>
  <c r="X148" i="52"/>
  <c r="X144" i="52"/>
  <c r="X142" i="52"/>
  <c r="X143" i="52" s="1"/>
  <c r="V148" i="52"/>
  <c r="V142" i="52"/>
  <c r="V143" i="52" s="1"/>
  <c r="V144" i="52"/>
  <c r="Y142" i="52"/>
  <c r="Y143" i="52" s="1"/>
  <c r="Y148" i="52"/>
  <c r="Y144" i="52"/>
  <c r="S142" i="52"/>
  <c r="S143" i="52" s="1"/>
  <c r="S148" i="52"/>
  <c r="S144" i="52"/>
  <c r="F142" i="52"/>
  <c r="F143" i="52" s="1"/>
  <c r="F148" i="52"/>
  <c r="F144" i="52"/>
  <c r="AJ148" i="52"/>
  <c r="AJ144" i="52"/>
  <c r="AJ142" i="52"/>
  <c r="AJ143" i="52" s="1"/>
  <c r="AB148" i="52"/>
  <c r="AB144" i="52"/>
  <c r="AB142" i="52"/>
  <c r="AB143" i="52" s="1"/>
  <c r="I148" i="52"/>
  <c r="I142" i="52"/>
  <c r="I143" i="52" s="1"/>
  <c r="I144" i="52"/>
  <c r="M144" i="52"/>
  <c r="M148" i="52"/>
  <c r="M142" i="52"/>
  <c r="M143" i="52" s="1"/>
  <c r="G144" i="52"/>
  <c r="G148" i="52"/>
  <c r="G142" i="52"/>
  <c r="G143" i="52" s="1"/>
  <c r="K148" i="52"/>
  <c r="K144" i="52"/>
  <c r="K142" i="52"/>
  <c r="K143" i="52" s="1"/>
  <c r="Q148" i="52"/>
  <c r="Q144" i="52"/>
  <c r="Q142" i="52"/>
  <c r="Q143" i="52" s="1"/>
  <c r="AH148" i="52"/>
  <c r="AH142" i="52"/>
  <c r="AH143" i="52" s="1"/>
  <c r="AH144" i="52"/>
  <c r="W148" i="52"/>
  <c r="W144" i="52"/>
  <c r="W142" i="52"/>
  <c r="W143" i="52" s="1"/>
  <c r="Z144" i="52"/>
  <c r="Z148" i="52"/>
  <c r="Z142" i="52"/>
  <c r="Z143" i="52" s="1"/>
  <c r="AD148" i="52"/>
  <c r="AD144" i="52"/>
  <c r="AD142" i="52"/>
  <c r="AD143" i="52" s="1"/>
  <c r="AA148" i="52"/>
  <c r="AA142" i="52"/>
  <c r="AA143" i="52" s="1"/>
  <c r="AA144" i="52"/>
  <c r="U148" i="52"/>
  <c r="U142" i="52"/>
  <c r="U143" i="52" s="1"/>
  <c r="U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E142" i="52" l="1"/>
  <c r="AE143" i="52" s="1"/>
  <c r="AE148" i="52"/>
  <c r="F149" i="52" s="1"/>
  <c r="F150" i="52"/>
  <c r="G146" i="52"/>
  <c r="I146" i="52" s="1"/>
  <c r="K146" i="52"/>
  <c r="A12" i="43"/>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<sst xmlns="http://schemas.openxmlformats.org/spreadsheetml/2006/main" count="326" uniqueCount="166">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</sst>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61309032"/>
        <c:axId val="4613094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61309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9424"/>
        <c:crossesAt val="-8.0000000000000019E-3"/>
        <c:crossBetween val="midCat"/>
      </c:valAx>
      <c:valAx>
        <c:axId val="46130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90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61300800"/>
        <c:axId val="4612988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613008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8840"/>
        <c:crosses val="autoZero"/>
        <c:crossBetween val="midCat"/>
      </c:valAx>
      <c:valAx>
        <c:axId val="46129884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08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61308640"/>
        <c:axId val="4613109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613086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10992"/>
        <c:crosses val="autoZero"/>
        <c:crossBetween val="midCat"/>
        <c:majorUnit val="10000"/>
      </c:valAx>
      <c:valAx>
        <c:axId val="46131099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8640"/>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61310600"/>
        <c:axId val="4613082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61310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61308248"/>
        <c:crosses val="autoZero"/>
        <c:crossBetween val="midCat"/>
        <c:majorUnit val="10000"/>
      </c:valAx>
      <c:valAx>
        <c:axId val="46130824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61310600"/>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61301976"/>
        <c:axId val="4612976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613019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7664"/>
        <c:crosses val="autoZero"/>
        <c:crossBetween val="midCat"/>
        <c:majorUnit val="10000"/>
      </c:valAx>
      <c:valAx>
        <c:axId val="46129766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197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1.0299029432589007E-2</c:v>
                </c:pt>
                <c:pt idx="1">
                  <c:v>1.378455525103232E-2</c:v>
                </c:pt>
                <c:pt idx="2">
                  <c:v>3.7236616886329576E-3</c:v>
                </c:pt>
                <c:pt idx="3">
                  <c:v>6.2068157425039527E-4</c:v>
                </c:pt>
                <c:pt idx="4">
                  <c:v>8.851732283335382E-5</c:v>
                </c:pt>
                <c:pt idx="5">
                  <c:v>1.1671202624020571E-5</c:v>
                </c:pt>
                <c:pt idx="6">
                  <c:v>3.8167201694835466E-6</c:v>
                </c:pt>
                <c:pt idx="7">
                  <c:v>8.3422633581546259E-6</c:v>
                </c:pt>
                <c:pt idx="8">
                  <c:v>2.0074515271507799E-5</c:v>
                </c:pt>
                <c:pt idx="9">
                  <c:v>4.096875663876515E-5</c:v>
                </c:pt>
                <c:pt idx="10">
                  <c:v>7.2461939663987147E-5</c:v>
                </c:pt>
                <c:pt idx="11">
                  <c:v>1.0978479787442933E-4</c:v>
                </c:pt>
                <c:pt idx="12">
                  <c:v>1.4105823581798092E-4</c:v>
                </c:pt>
                <c:pt idx="13">
                  <c:v>1.5428351591959599E-4</c:v>
                </c:pt>
                <c:pt idx="14">
                  <c:v>1.4423009948253337E-4</c:v>
                </c:pt>
                <c:pt idx="15">
                  <c:v>1.150940084147582E-4</c:v>
                </c:pt>
                <c:pt idx="16">
                  <c:v>7.9895701081004238E-5</c:v>
                </c:pt>
                <c:pt idx="17">
                  <c:v>5.0366355737977817E-5</c:v>
                </c:pt>
                <c:pt idx="18">
                  <c:v>2.7442134909802008E-5</c:v>
                </c:pt>
                <c:pt idx="19">
                  <c:v>1.1182969586207775E-5</c:v>
                </c:pt>
                <c:pt idx="20">
                  <c:v>3.2918699009883175E-6</c:v>
                </c:pt>
                <c:pt idx="21">
                  <c:v>6.2042688328178447E-6</c:v>
                </c:pt>
                <c:pt idx="22">
                  <c:v>1.339534974887795E-5</c:v>
                </c:pt>
                <c:pt idx="23">
                  <c:v>1.2859615497002048E-5</c:v>
                </c:pt>
                <c:pt idx="24">
                  <c:v>7.7583543793238994E-6</c:v>
                </c:pt>
                <c:pt idx="25">
                  <c:v>1.3080690785857078E-5</c:v>
                </c:pt>
                <c:pt idx="26">
                  <c:v>3.1660505875862018E-5</c:v>
                </c:pt>
                <c:pt idx="27">
                  <c:v>4.4708142474749995E-5</c:v>
                </c:pt>
                <c:pt idx="28">
                  <c:v>4.3970080888129156E-5</c:v>
                </c:pt>
                <c:pt idx="29">
                  <c:v>2.9140283652318572E-5</c:v>
                </c:pt>
                <c:pt idx="30">
                  <c:v>7.1678661878456945E-6</c:v>
                </c:pt>
              </c:numCache>
            </c:numRef>
          </c:yVal>
          <c:smooth val="1"/>
        </c:ser>
        <c:dLbls>
          <c:showLegendKey val="0"/>
          <c:showVal val="0"/>
          <c:showCatName val="0"/>
          <c:showSerName val="0"/>
          <c:showPercent val="0"/>
          <c:showBubbleSize val="0"/>
        </c:dLbls>
        <c:axId val="461300016"/>
        <c:axId val="461299624"/>
      </c:scatterChart>
      <c:valAx>
        <c:axId val="4613000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9624"/>
        <c:crossesAt val="-1.5000000000000005E-3"/>
        <c:crossBetween val="midCat"/>
      </c:valAx>
      <c:valAx>
        <c:axId val="46129962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001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6025.0286553382048</c:v>
                </c:pt>
                <c:pt idx="1">
                  <c:v>5964.2997049372507</c:v>
                </c:pt>
                <c:pt idx="2">
                  <c:v>5745.1392000517189</c:v>
                </c:pt>
                <c:pt idx="3">
                  <c:v>5655.7508998231042</c:v>
                </c:pt>
                <c:pt idx="4">
                  <c:v>5525.2026507515166</c:v>
                </c:pt>
                <c:pt idx="5">
                  <c:v>5390.3754085436167</c:v>
                </c:pt>
                <c:pt idx="6">
                  <c:v>5238.3236548988771</c:v>
                </c:pt>
                <c:pt idx="7">
                  <c:v>5074.6956312436678</c:v>
                </c:pt>
                <c:pt idx="8">
                  <c:v>4908.4585506665462</c:v>
                </c:pt>
                <c:pt idx="9">
                  <c:v>4748.1794810054089</c:v>
                </c:pt>
                <c:pt idx="10">
                  <c:v>4570.2909757468369</c:v>
                </c:pt>
                <c:pt idx="11">
                  <c:v>4356.0903701329062</c:v>
                </c:pt>
                <c:pt idx="12">
                  <c:v>4127.8185668468986</c:v>
                </c:pt>
                <c:pt idx="13">
                  <c:v>3931.7018153076156</c:v>
                </c:pt>
                <c:pt idx="14">
                  <c:v>3755.5081072101652</c:v>
                </c:pt>
                <c:pt idx="15">
                  <c:v>3573.3204346166917</c:v>
                </c:pt>
                <c:pt idx="16">
                  <c:v>3355.926305877249</c:v>
                </c:pt>
                <c:pt idx="17">
                  <c:v>3066.4202249674377</c:v>
                </c:pt>
                <c:pt idx="18">
                  <c:v>2758.8480201678076</c:v>
                </c:pt>
                <c:pt idx="19">
                  <c:v>2465.2954314272652</c:v>
                </c:pt>
                <c:pt idx="20">
                  <c:v>2197.1406634016544</c:v>
                </c:pt>
                <c:pt idx="21">
                  <c:v>1937.2037895084809</c:v>
                </c:pt>
                <c:pt idx="22">
                  <c:v>1672.2620106719644</c:v>
                </c:pt>
                <c:pt idx="23">
                  <c:v>1384.5707792635358</c:v>
                </c:pt>
                <c:pt idx="24">
                  <c:v>1075.4175882763752</c:v>
                </c:pt>
                <c:pt idx="25">
                  <c:v>780.59991539695579</c:v>
                </c:pt>
                <c:pt idx="26">
                  <c:v>548.71161760324526</c:v>
                </c:pt>
                <c:pt idx="27">
                  <c:v>398.75224817844003</c:v>
                </c:pt>
                <c:pt idx="28">
                  <c:v>320.6760155639243</c:v>
                </c:pt>
                <c:pt idx="29">
                  <c:v>281.73094626970948</c:v>
                </c:pt>
                <c:pt idx="30">
                  <c:v>262.31940678127074</c:v>
                </c:pt>
              </c:numCache>
            </c:numRef>
          </c:yVal>
          <c:smooth val="1"/>
        </c:ser>
        <c:dLbls>
          <c:showLegendKey val="0"/>
          <c:showVal val="0"/>
          <c:showCatName val="0"/>
          <c:showSerName val="0"/>
          <c:showPercent val="0"/>
          <c:showBubbleSize val="0"/>
        </c:dLbls>
        <c:axId val="461305504"/>
        <c:axId val="461303152"/>
      </c:scatterChart>
      <c:valAx>
        <c:axId val="461305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3152"/>
        <c:crosses val="autoZero"/>
        <c:crossBetween val="midCat"/>
      </c:valAx>
      <c:valAx>
        <c:axId val="461303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55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7.3363587354038709E-3</c:v>
                </c:pt>
                <c:pt idx="1">
                  <c:v>7.3444726955473865E-3</c:v>
                </c:pt>
                <c:pt idx="2">
                  <c:v>7.3399684749573136E-3</c:v>
                </c:pt>
                <c:pt idx="3">
                  <c:v>7.3436431604083875E-3</c:v>
                </c:pt>
                <c:pt idx="4">
                  <c:v>7.3946600619487872E-3</c:v>
                </c:pt>
                <c:pt idx="5">
                  <c:v>7.903913064696606E-3</c:v>
                </c:pt>
                <c:pt idx="6">
                  <c:v>1.246698543598812E-2</c:v>
                </c:pt>
                <c:pt idx="7">
                  <c:v>3.0063362558541997E-2</c:v>
                </c:pt>
                <c:pt idx="8">
                  <c:v>3.2717449174968889E-2</c:v>
                </c:pt>
                <c:pt idx="9">
                  <c:v>3.2719743378157647E-2</c:v>
                </c:pt>
                <c:pt idx="10">
                  <c:v>3.2742719733775329E-2</c:v>
                </c:pt>
                <c:pt idx="11">
                  <c:v>3.2972001400490503E-2</c:v>
                </c:pt>
                <c:pt idx="12">
                  <c:v>3.5197775505892953E-2</c:v>
                </c:pt>
                <c:pt idx="13">
                  <c:v>5.1837924871855547E-2</c:v>
                </c:pt>
                <c:pt idx="14">
                  <c:v>6.8192123975334112E-2</c:v>
                </c:pt>
                <c:pt idx="15">
                  <c:v>5.6826243567404233E-2</c:v>
                </c:pt>
                <c:pt idx="16">
                  <c:v>6.180219840430165E-2</c:v>
                </c:pt>
                <c:pt idx="17">
                  <c:v>6.6901520184551574E-2</c:v>
                </c:pt>
                <c:pt idx="18">
                  <c:v>7.3683981127808426E-2</c:v>
                </c:pt>
                <c:pt idx="19">
                  <c:v>7.9626557159509656E-2</c:v>
                </c:pt>
                <c:pt idx="20">
                  <c:v>7.4563874052071488E-2</c:v>
                </c:pt>
                <c:pt idx="21">
                  <c:v>4.1745402200693948E-2</c:v>
                </c:pt>
                <c:pt idx="22">
                  <c:v>2.869560967106494E-3</c:v>
                </c:pt>
                <c:pt idx="23">
                  <c:v>3.4828361812550133E-2</c:v>
                </c:pt>
                <c:pt idx="24">
                  <c:v>5.9003937236690132E-2</c:v>
                </c:pt>
                <c:pt idx="25">
                  <c:v>9.2358220435058064E-2</c:v>
                </c:pt>
                <c:pt idx="26">
                  <c:v>0.11935376227219048</c:v>
                </c:pt>
                <c:pt idx="27">
                  <c:v>0.13172502885773776</c:v>
                </c:pt>
                <c:pt idx="28">
                  <c:v>0.10868367417088648</c:v>
                </c:pt>
                <c:pt idx="29">
                  <c:v>6.2397296865067051E-2</c:v>
                </c:pt>
                <c:pt idx="30">
                  <c:v>2.3088878424002823E-3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2.2651511309796528E-2</c:v>
                </c:pt>
                <c:pt idx="1">
                  <c:v>2.2513740081528621E-2</c:v>
                </c:pt>
                <c:pt idx="2">
                  <c:v>2.1114913636644594E-2</c:v>
                </c:pt>
                <c:pt idx="3">
                  <c:v>1.0764688090071924E-2</c:v>
                </c:pt>
                <c:pt idx="4">
                  <c:v>2.7174952872400602E-3</c:v>
                </c:pt>
                <c:pt idx="5">
                  <c:v>1.5150937808218065E-2</c:v>
                </c:pt>
                <c:pt idx="6">
                  <c:v>1.1265203269431047E-2</c:v>
                </c:pt>
                <c:pt idx="7">
                  <c:v>1.3577290995092981E-2</c:v>
                </c:pt>
                <c:pt idx="8">
                  <c:v>1.4750210170154231E-2</c:v>
                </c:pt>
                <c:pt idx="9">
                  <c:v>1.6596360699757461E-2</c:v>
                </c:pt>
                <c:pt idx="10">
                  <c:v>1.7867899678925325E-2</c:v>
                </c:pt>
                <c:pt idx="11">
                  <c:v>1.8351749576574303E-2</c:v>
                </c:pt>
                <c:pt idx="12">
                  <c:v>1.9304494477546015E-2</c:v>
                </c:pt>
                <c:pt idx="13">
                  <c:v>2.377156903737895E-2</c:v>
                </c:pt>
                <c:pt idx="14">
                  <c:v>2.8220841178774114E-2</c:v>
                </c:pt>
                <c:pt idx="15">
                  <c:v>2.7920447208201742E-2</c:v>
                </c:pt>
                <c:pt idx="16">
                  <c:v>1.9606199696721751E-2</c:v>
                </c:pt>
                <c:pt idx="17">
                  <c:v>2.5520109380099709E-3</c:v>
                </c:pt>
                <c:pt idx="18">
                  <c:v>3.9757039415350547E-2</c:v>
                </c:pt>
                <c:pt idx="19">
                  <c:v>6.2165032650520362E-2</c:v>
                </c:pt>
                <c:pt idx="20">
                  <c:v>5.8472154097740904E-2</c:v>
                </c:pt>
                <c:pt idx="21">
                  <c:v>3.6584931173226337E-2</c:v>
                </c:pt>
                <c:pt idx="22">
                  <c:v>1.8349172221703805E-2</c:v>
                </c:pt>
                <c:pt idx="23">
                  <c:v>8.8458494991756863E-3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1.0313180795352976E-2</c:v>
                </c:pt>
                <c:pt idx="1">
                  <c:v>1.3667818651747134E-2</c:v>
                </c:pt>
                <c:pt idx="2">
                  <c:v>3.8648167078859747E-3</c:v>
                </c:pt>
                <c:pt idx="3">
                  <c:v>5.3862144245585427E-4</c:v>
                </c:pt>
                <c:pt idx="4">
                  <c:v>2.1650629577299409E-4</c:v>
                </c:pt>
                <c:pt idx="5">
                  <c:v>1.2485019788322884E-4</c:v>
                </c:pt>
                <c:pt idx="6">
                  <c:v>1.6825986475309886E-4</c:v>
                </c:pt>
                <c:pt idx="7">
                  <c:v>1.7312681580397926E-4</c:v>
                </c:pt>
                <c:pt idx="8">
                  <c:v>2.0858726636986617E-4</c:v>
                </c:pt>
                <c:pt idx="9">
                  <c:v>1.4871127219303305E-4</c:v>
                </c:pt>
                <c:pt idx="10">
                  <c:v>3.0767632928648751E-4</c:v>
                </c:pt>
                <c:pt idx="11">
                  <c:v>1.8150793475735656E-4</c:v>
                </c:pt>
                <c:pt idx="12">
                  <c:v>4.3142885904039516E-4</c:v>
                </c:pt>
                <c:pt idx="13">
                  <c:v>7.0174596361748947E-5</c:v>
                </c:pt>
                <c:pt idx="14">
                  <c:v>3.9395524017735183E-4</c:v>
                </c:pt>
                <c:pt idx="15">
                  <c:v>1.3193981445003739E-4</c:v>
                </c:pt>
                <c:pt idx="16">
                  <c:v>4.6942525256316969E-4</c:v>
                </c:pt>
                <c:pt idx="17">
                  <c:v>4.0242013876163501E-4</c:v>
                </c:pt>
                <c:pt idx="18">
                  <c:v>5.1581942295980427E-4</c:v>
                </c:pt>
                <c:pt idx="19">
                  <c:v>4.4812427629563204E-4</c:v>
                </c:pt>
                <c:pt idx="20">
                  <c:v>5.6038073191627886E-4</c:v>
                </c:pt>
                <c:pt idx="21">
                  <c:v>3.8534864792386016E-4</c:v>
                </c:pt>
                <c:pt idx="22">
                  <c:v>1.2651957441726933E-3</c:v>
                </c:pt>
                <c:pt idx="23">
                  <c:v>7.9881159299631749E-4</c:v>
                </c:pt>
                <c:pt idx="24">
                  <c:v>1.9169993348784088E-3</c:v>
                </c:pt>
                <c:pt idx="25">
                  <c:v>1.4820502696373675E-3</c:v>
                </c:pt>
                <c:pt idx="26">
                  <c:v>2.2959619897882514E-3</c:v>
                </c:pt>
                <c:pt idx="27">
                  <c:v>9.9336047001418468E-4</c:v>
                </c:pt>
                <c:pt idx="28">
                  <c:v>1.2745372781143437E-3</c:v>
                </c:pt>
                <c:pt idx="29">
                  <c:v>1.4865637406457293E-4</c:v>
                </c:pt>
                <c:pt idx="30">
                  <c:v>6.4718322785899129E-4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3.4851923029803999E-2</c:v>
                </c:pt>
                <c:pt idx="1">
                  <c:v>5.0840748352636606E-2</c:v>
                </c:pt>
                <c:pt idx="2">
                  <c:v>4.9160759415214438E-2</c:v>
                </c:pt>
                <c:pt idx="3">
                  <c:v>4.5727041040570945E-2</c:v>
                </c:pt>
                <c:pt idx="4">
                  <c:v>1.5376538891882365E-2</c:v>
                </c:pt>
                <c:pt idx="5">
                  <c:v>1.9524618181013545E-2</c:v>
                </c:pt>
                <c:pt idx="6">
                  <c:v>5.3141976719229524E-2</c:v>
                </c:pt>
                <c:pt idx="7">
                  <c:v>6.7794878920375765E-2</c:v>
                </c:pt>
                <c:pt idx="8">
                  <c:v>7.8185987679933233E-2</c:v>
                </c:pt>
                <c:pt idx="9">
                  <c:v>3.0511277440696649E-2</c:v>
                </c:pt>
                <c:pt idx="10">
                  <c:v>3.0261577546786055E-2</c:v>
                </c:pt>
                <c:pt idx="11">
                  <c:v>8.5132682517276639E-2</c:v>
                </c:pt>
                <c:pt idx="12">
                  <c:v>9.163274986804161E-2</c:v>
                </c:pt>
                <c:pt idx="13">
                  <c:v>0.15142288762342851</c:v>
                </c:pt>
                <c:pt idx="14">
                  <c:v>2.6371547505809213E-2</c:v>
                </c:pt>
                <c:pt idx="15">
                  <c:v>1.6936593563047578E-3</c:v>
                </c:pt>
                <c:pt idx="16">
                  <c:v>9.0077582355797214E-2</c:v>
                </c:pt>
                <c:pt idx="17">
                  <c:v>5.9345504974864856E-2</c:v>
                </c:pt>
                <c:pt idx="18">
                  <c:v>0.13088034394322867</c:v>
                </c:pt>
                <c:pt idx="19">
                  <c:v>0.29858895435315008</c:v>
                </c:pt>
                <c:pt idx="20">
                  <c:v>0.2498512903423373</c:v>
                </c:pt>
                <c:pt idx="21">
                  <c:v>0.22155717738473704</c:v>
                </c:pt>
                <c:pt idx="22">
                  <c:v>0.21056992239227193</c:v>
                </c:pt>
                <c:pt idx="23">
                  <c:v>0.20371107125684307</c:v>
                </c:pt>
                <c:pt idx="24">
                  <c:v>0.19858909782572762</c:v>
                </c:pt>
                <c:pt idx="25">
                  <c:v>0.19691583504590526</c:v>
                </c:pt>
                <c:pt idx="26">
                  <c:v>0.19232423760504949</c:v>
                </c:pt>
                <c:pt idx="27">
                  <c:v>0.19186062005960708</c:v>
                </c:pt>
                <c:pt idx="28">
                  <c:v>0.18757371659876718</c:v>
                </c:pt>
                <c:pt idx="29">
                  <c:v>0.18743900020795584</c:v>
                </c:pt>
                <c:pt idx="30">
                  <c:v>0.18633394940810605</c:v>
                </c:pt>
              </c:numCache>
            </c:numRef>
          </c:yVal>
          <c:smooth val="1"/>
        </c:ser>
        <c:dLbls>
          <c:showLegendKey val="0"/>
          <c:showVal val="0"/>
          <c:showCatName val="0"/>
          <c:showSerName val="0"/>
          <c:showPercent val="0"/>
          <c:showBubbleSize val="0"/>
        </c:dLbls>
        <c:axId val="461305896"/>
        <c:axId val="461305112"/>
      </c:scatterChart>
      <c:valAx>
        <c:axId val="4613058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5112"/>
        <c:crossesAt val="1.0000000000000005E-9"/>
        <c:crossBetween val="midCat"/>
      </c:valAx>
      <c:valAx>
        <c:axId val="461305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58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-26.816562794657003</c:v>
                </c:pt>
                <c:pt idx="1">
                  <c:v>-16.655792727489398</c:v>
                </c:pt>
                <c:pt idx="2">
                  <c:v>-11.048243415199147</c:v>
                </c:pt>
                <c:pt idx="3">
                  <c:v>-6.0345093617338197</c:v>
                </c:pt>
                <c:pt idx="4">
                  <c:v>0</c:v>
                </c:pt>
                <c:pt idx="5">
                  <c:v>15.131919610791874</c:v>
                </c:pt>
                <c:pt idx="6">
                  <c:v>28.985939818874979</c:v>
                </c:pt>
              </c:numCache>
            </c:numRef>
          </c:yVal>
          <c:smooth val="0"/>
        </c:ser>
        <c:dLbls>
          <c:showLegendKey val="0"/>
          <c:showVal val="0"/>
          <c:showCatName val="0"/>
          <c:showSerName val="0"/>
          <c:showPercent val="0"/>
          <c:showBubbleSize val="0"/>
        </c:dLbls>
        <c:axId val="461300408"/>
        <c:axId val="461306288"/>
      </c:scatterChart>
      <c:valAx>
        <c:axId val="461300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6288"/>
        <c:crossesAt val="-100"/>
        <c:crossBetween val="midCat"/>
      </c:valAx>
      <c:valAx>
        <c:axId val="46130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040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61299232"/>
        <c:axId val="461295704"/>
      </c:scatterChart>
      <c:valAx>
        <c:axId val="4612992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5704"/>
        <c:crosses val="autoZero"/>
        <c:crossBetween val="midCat"/>
      </c:valAx>
      <c:valAx>
        <c:axId val="4612957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923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2.2579522563232808E-27</c:v>
                </c:pt>
                <c:pt idx="1">
                  <c:v>2.2579522563232806E-26</c:v>
                </c:pt>
                <c:pt idx="2">
                  <c:v>2.2579522563232808E-25</c:v>
                </c:pt>
                <c:pt idx="3">
                  <c:v>2.2579522563232807E-24</c:v>
                </c:pt>
                <c:pt idx="4">
                  <c:v>2.2579522563232807E-23</c:v>
                </c:pt>
                <c:pt idx="5">
                  <c:v>2.2579522563232808E-22</c:v>
                </c:pt>
                <c:pt idx="6">
                  <c:v>2.257952256323281E-21</c:v>
                </c:pt>
                <c:pt idx="7">
                  <c:v>2.2579522563232808E-20</c:v>
                </c:pt>
                <c:pt idx="8">
                  <c:v>2.2579522563232805E-19</c:v>
                </c:pt>
                <c:pt idx="9">
                  <c:v>2.2579522563232806E-18</c:v>
                </c:pt>
                <c:pt idx="10">
                  <c:v>2.2579522563232808E-17</c:v>
                </c:pt>
                <c:pt idx="11">
                  <c:v>2.2579522563232809E-16</c:v>
                </c:pt>
                <c:pt idx="12">
                  <c:v>2.257952256323281E-15</c:v>
                </c:pt>
                <c:pt idx="13">
                  <c:v>2.2579522563232806E-14</c:v>
                </c:pt>
                <c:pt idx="14">
                  <c:v>2.2579522563232808E-13</c:v>
                </c:pt>
                <c:pt idx="15">
                  <c:v>2.2579522563232806E-12</c:v>
                </c:pt>
                <c:pt idx="16">
                  <c:v>2.2579522563232807E-11</c:v>
                </c:pt>
                <c:pt idx="17">
                  <c:v>2.2579522563232807E-10</c:v>
                </c:pt>
                <c:pt idx="18">
                  <c:v>2.2579522563232808E-9</c:v>
                </c:pt>
                <c:pt idx="19">
                  <c:v>2.2579522563232809E-8</c:v>
                </c:pt>
                <c:pt idx="20">
                  <c:v>2.2579522563232808E-7</c:v>
                </c:pt>
                <c:pt idx="21">
                  <c:v>2.2579522563232806E-6</c:v>
                </c:pt>
                <c:pt idx="22">
                  <c:v>2.2579522563232806E-5</c:v>
                </c:pt>
                <c:pt idx="23">
                  <c:v>2.2579522563232808E-4</c:v>
                </c:pt>
                <c:pt idx="24">
                  <c:v>2.2579522563232809E-3</c:v>
                </c:pt>
                <c:pt idx="25">
                  <c:v>2.2579522563232809E-2</c:v>
                </c:pt>
                <c:pt idx="26">
                  <c:v>0.22579522563232807</c:v>
                </c:pt>
                <c:pt idx="27">
                  <c:v>2.2579522563232808</c:v>
                </c:pt>
                <c:pt idx="28">
                  <c:v>22.579522563232807</c:v>
                </c:pt>
                <c:pt idx="29">
                  <c:v>225.79522563232808</c:v>
                </c:pt>
                <c:pt idx="30">
                  <c:v>2257.9522563232808</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5.8409182347777073E-23</c:v>
                </c:pt>
                <c:pt idx="1">
                  <c:v>5.8409182347777069E-22</c:v>
                </c:pt>
                <c:pt idx="2">
                  <c:v>5.8409182347777069E-21</c:v>
                </c:pt>
                <c:pt idx="3">
                  <c:v>5.8409182347777063E-20</c:v>
                </c:pt>
                <c:pt idx="4">
                  <c:v>5.8409182347777063E-19</c:v>
                </c:pt>
                <c:pt idx="5">
                  <c:v>5.8409182347777072E-18</c:v>
                </c:pt>
                <c:pt idx="6">
                  <c:v>5.8409182347777069E-17</c:v>
                </c:pt>
                <c:pt idx="7">
                  <c:v>5.8409182347777067E-16</c:v>
                </c:pt>
                <c:pt idx="8">
                  <c:v>5.8409182347777067E-15</c:v>
                </c:pt>
                <c:pt idx="9">
                  <c:v>5.8409182347777064E-14</c:v>
                </c:pt>
                <c:pt idx="10">
                  <c:v>5.8409182347777071E-13</c:v>
                </c:pt>
                <c:pt idx="11">
                  <c:v>5.8409182347777073E-12</c:v>
                </c:pt>
                <c:pt idx="12">
                  <c:v>5.8409182347777065E-11</c:v>
                </c:pt>
                <c:pt idx="13">
                  <c:v>5.840918234777707E-10</c:v>
                </c:pt>
                <c:pt idx="14">
                  <c:v>5.8409182347777074E-9</c:v>
                </c:pt>
                <c:pt idx="15">
                  <c:v>5.8409182347777066E-8</c:v>
                </c:pt>
                <c:pt idx="16">
                  <c:v>5.8409182347777066E-7</c:v>
                </c:pt>
                <c:pt idx="17">
                  <c:v>5.8409182347777068E-6</c:v>
                </c:pt>
                <c:pt idx="18">
                  <c:v>5.8409182347777072E-5</c:v>
                </c:pt>
                <c:pt idx="19">
                  <c:v>5.8409182347777069E-4</c:v>
                </c:pt>
                <c:pt idx="20">
                  <c:v>5.8409182347777073E-3</c:v>
                </c:pt>
                <c:pt idx="21">
                  <c:v>5.8409182347777068E-2</c:v>
                </c:pt>
                <c:pt idx="22">
                  <c:v>0.58409182347777067</c:v>
                </c:pt>
                <c:pt idx="23">
                  <c:v>5.8409182347777069</c:v>
                </c:pt>
                <c:pt idx="24">
                  <c:v>58.409182347777069</c:v>
                </c:pt>
                <c:pt idx="25">
                  <c:v>584.09182347777073</c:v>
                </c:pt>
                <c:pt idx="26">
                  <c:v>5840.9182347777069</c:v>
                </c:pt>
                <c:pt idx="27">
                  <c:v>58409.182347777067</c:v>
                </c:pt>
                <c:pt idx="28">
                  <c:v>584091.82347777067</c:v>
                </c:pt>
                <c:pt idx="29">
                  <c:v>5840918.2347777067</c:v>
                </c:pt>
                <c:pt idx="30">
                  <c:v>58409182.347777069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1.5915080880730009E-20</c:v>
                </c:pt>
                <c:pt idx="1">
                  <c:v>1.5915080880730009E-19</c:v>
                </c:pt>
                <c:pt idx="2">
                  <c:v>1.591508088073001E-18</c:v>
                </c:pt>
                <c:pt idx="3">
                  <c:v>1.591508088073001E-17</c:v>
                </c:pt>
                <c:pt idx="4">
                  <c:v>1.5915080880730008E-16</c:v>
                </c:pt>
                <c:pt idx="5">
                  <c:v>1.591508088073001E-15</c:v>
                </c:pt>
                <c:pt idx="6">
                  <c:v>1.5915080880730011E-14</c:v>
                </c:pt>
                <c:pt idx="7">
                  <c:v>1.591508088073001E-13</c:v>
                </c:pt>
                <c:pt idx="8">
                  <c:v>1.5915080880730008E-12</c:v>
                </c:pt>
                <c:pt idx="9">
                  <c:v>1.5915080880730009E-11</c:v>
                </c:pt>
                <c:pt idx="10">
                  <c:v>1.5915080880730009E-10</c:v>
                </c:pt>
                <c:pt idx="11">
                  <c:v>1.5915080880730011E-9</c:v>
                </c:pt>
                <c:pt idx="12">
                  <c:v>1.5915080880730009E-8</c:v>
                </c:pt>
                <c:pt idx="13">
                  <c:v>1.591508088073001E-7</c:v>
                </c:pt>
                <c:pt idx="14">
                  <c:v>1.5915080880730009E-6</c:v>
                </c:pt>
                <c:pt idx="15">
                  <c:v>1.591508088073001E-5</c:v>
                </c:pt>
                <c:pt idx="16">
                  <c:v>1.591508088073001E-4</c:v>
                </c:pt>
                <c:pt idx="17">
                  <c:v>1.5915080880730009E-3</c:v>
                </c:pt>
                <c:pt idx="18">
                  <c:v>1.5915080880730008E-2</c:v>
                </c:pt>
                <c:pt idx="19">
                  <c:v>0.15915080880730009</c:v>
                </c:pt>
                <c:pt idx="20">
                  <c:v>1.5915080880730008</c:v>
                </c:pt>
                <c:pt idx="21">
                  <c:v>15.915080880730009</c:v>
                </c:pt>
                <c:pt idx="22">
                  <c:v>159.15080880730008</c:v>
                </c:pt>
                <c:pt idx="23">
                  <c:v>1591.5080880730009</c:v>
                </c:pt>
                <c:pt idx="24">
                  <c:v>15915.080880730009</c:v>
                </c:pt>
                <c:pt idx="25">
                  <c:v>159150.80880730008</c:v>
                </c:pt>
                <c:pt idx="26">
                  <c:v>1591508.088073001</c:v>
                </c:pt>
                <c:pt idx="27">
                  <c:v>15915080.880730009</c:v>
                </c:pt>
                <c:pt idx="28">
                  <c:v>159150808.80730009</c:v>
                </c:pt>
                <c:pt idx="29">
                  <c:v>1591508088.0730009</c:v>
                </c:pt>
                <c:pt idx="30">
                  <c:v>15915080880.730009</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2.3946711564709896E-18</c:v>
                </c:pt>
                <c:pt idx="1">
                  <c:v>2.3946711564709892E-17</c:v>
                </c:pt>
                <c:pt idx="2">
                  <c:v>2.3946711564709895E-16</c:v>
                </c:pt>
                <c:pt idx="3">
                  <c:v>2.3946711564709894E-15</c:v>
                </c:pt>
                <c:pt idx="4">
                  <c:v>2.3946711564709891E-14</c:v>
                </c:pt>
                <c:pt idx="5">
                  <c:v>2.3946711564709895E-13</c:v>
                </c:pt>
                <c:pt idx="6">
                  <c:v>2.3946711564709897E-12</c:v>
                </c:pt>
                <c:pt idx="7">
                  <c:v>2.3946711564709894E-11</c:v>
                </c:pt>
                <c:pt idx="8">
                  <c:v>2.3946711564709892E-10</c:v>
                </c:pt>
                <c:pt idx="9">
                  <c:v>2.3946711564709892E-9</c:v>
                </c:pt>
                <c:pt idx="10">
                  <c:v>2.3946711564709894E-8</c:v>
                </c:pt>
                <c:pt idx="11">
                  <c:v>2.3946711564709895E-7</c:v>
                </c:pt>
                <c:pt idx="12">
                  <c:v>2.3946711564709894E-6</c:v>
                </c:pt>
                <c:pt idx="13">
                  <c:v>2.3946711564709896E-5</c:v>
                </c:pt>
                <c:pt idx="14">
                  <c:v>2.3946711564709896E-4</c:v>
                </c:pt>
                <c:pt idx="15">
                  <c:v>2.3946711564709895E-3</c:v>
                </c:pt>
                <c:pt idx="16">
                  <c:v>2.3946711564709892E-2</c:v>
                </c:pt>
                <c:pt idx="17">
                  <c:v>0.23946711564709894</c:v>
                </c:pt>
                <c:pt idx="18">
                  <c:v>2.3946711564709893</c:v>
                </c:pt>
                <c:pt idx="19">
                  <c:v>23.946711564709894</c:v>
                </c:pt>
                <c:pt idx="20">
                  <c:v>239.46711564709895</c:v>
                </c:pt>
                <c:pt idx="21">
                  <c:v>2394.6711564709894</c:v>
                </c:pt>
                <c:pt idx="22">
                  <c:v>23946.711564709894</c:v>
                </c:pt>
                <c:pt idx="23">
                  <c:v>239467.11564709892</c:v>
                </c:pt>
                <c:pt idx="24">
                  <c:v>2394671.1564709893</c:v>
                </c:pt>
                <c:pt idx="25">
                  <c:v>23946711.564709894</c:v>
                </c:pt>
                <c:pt idx="26">
                  <c:v>239467115.64709893</c:v>
                </c:pt>
                <c:pt idx="27">
                  <c:v>2394671156.4709892</c:v>
                </c:pt>
                <c:pt idx="28">
                  <c:v>23946711564.709892</c:v>
                </c:pt>
                <c:pt idx="29">
                  <c:v>239467115647.09894</c:v>
                </c:pt>
                <c:pt idx="30">
                  <c:v>2394671156470.9893</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3.7300030555123476E-9</c:v>
                </c:pt>
                <c:pt idx="1">
                  <c:v>3.7300030555123476E-8</c:v>
                </c:pt>
                <c:pt idx="2">
                  <c:v>3.7300030555123476E-7</c:v>
                </c:pt>
                <c:pt idx="3">
                  <c:v>3.7300030555123474E-6</c:v>
                </c:pt>
                <c:pt idx="4">
                  <c:v>3.7300030555123473E-5</c:v>
                </c:pt>
                <c:pt idx="5">
                  <c:v>3.7300030555123477E-4</c:v>
                </c:pt>
                <c:pt idx="6">
                  <c:v>3.7300030555123477E-3</c:v>
                </c:pt>
                <c:pt idx="7">
                  <c:v>3.730003055512348E-2</c:v>
                </c:pt>
                <c:pt idx="8">
                  <c:v>0.37300030555123476</c:v>
                </c:pt>
                <c:pt idx="9">
                  <c:v>3.7300030555123476</c:v>
                </c:pt>
                <c:pt idx="10">
                  <c:v>37.300030555123477</c:v>
                </c:pt>
                <c:pt idx="11">
                  <c:v>373.00030555123476</c:v>
                </c:pt>
                <c:pt idx="12">
                  <c:v>3730.0030555123476</c:v>
                </c:pt>
                <c:pt idx="13">
                  <c:v>37300.030555123478</c:v>
                </c:pt>
                <c:pt idx="14">
                  <c:v>373000.30555123475</c:v>
                </c:pt>
                <c:pt idx="15">
                  <c:v>3730003.0555123477</c:v>
                </c:pt>
                <c:pt idx="16">
                  <c:v>37300030.555123478</c:v>
                </c:pt>
                <c:pt idx="17">
                  <c:v>373000305.55123478</c:v>
                </c:pt>
                <c:pt idx="18">
                  <c:v>3730003055.5123477</c:v>
                </c:pt>
                <c:pt idx="19">
                  <c:v>37300030555.123474</c:v>
                </c:pt>
                <c:pt idx="20">
                  <c:v>373000305551.23474</c:v>
                </c:pt>
                <c:pt idx="21">
                  <c:v>3730003055512.3477</c:v>
                </c:pt>
                <c:pt idx="22">
                  <c:v>37300030555123.477</c:v>
                </c:pt>
                <c:pt idx="23">
                  <c:v>373000305551234.75</c:v>
                </c:pt>
                <c:pt idx="24">
                  <c:v>3730003055512347.5</c:v>
                </c:pt>
                <c:pt idx="25">
                  <c:v>3.7300030555123472E+16</c:v>
                </c:pt>
                <c:pt idx="26">
                  <c:v>3.7300030555123475E+17</c:v>
                </c:pt>
                <c:pt idx="27">
                  <c:v>3.7300030555123476E+18</c:v>
                </c:pt>
                <c:pt idx="28">
                  <c:v>3.7300030555123474E+19</c:v>
                </c:pt>
                <c:pt idx="29">
                  <c:v>3.7300030555123476E+20</c:v>
                </c:pt>
                <c:pt idx="30">
                  <c:v>3.7300030555123477E+21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3.8764458002008297E-3</c:v>
                </c:pt>
                <c:pt idx="1">
                  <c:v>3.8764458002008298E-2</c:v>
                </c:pt>
                <c:pt idx="2">
                  <c:v>0.38764458002008295</c:v>
                </c:pt>
                <c:pt idx="3">
                  <c:v>3.8764458002008295</c:v>
                </c:pt>
                <c:pt idx="4">
                  <c:v>38.76445800200829</c:v>
                </c:pt>
                <c:pt idx="5">
                  <c:v>387.64458002008297</c:v>
                </c:pt>
                <c:pt idx="6">
                  <c:v>3876.4458002008296</c:v>
                </c:pt>
                <c:pt idx="7">
                  <c:v>38764.458002008294</c:v>
                </c:pt>
                <c:pt idx="8">
                  <c:v>387644.58002008294</c:v>
                </c:pt>
                <c:pt idx="9">
                  <c:v>3876445.8002008293</c:v>
                </c:pt>
                <c:pt idx="10">
                  <c:v>38764458.002008297</c:v>
                </c:pt>
                <c:pt idx="11">
                  <c:v>387644580.02008295</c:v>
                </c:pt>
                <c:pt idx="12">
                  <c:v>3876445800.2008295</c:v>
                </c:pt>
                <c:pt idx="13">
                  <c:v>38764458002.008293</c:v>
                </c:pt>
                <c:pt idx="14">
                  <c:v>387644580020.08295</c:v>
                </c:pt>
                <c:pt idx="15">
                  <c:v>3876445800200.8296</c:v>
                </c:pt>
                <c:pt idx="16">
                  <c:v>38764458002008.297</c:v>
                </c:pt>
                <c:pt idx="17">
                  <c:v>387644580020082.94</c:v>
                </c:pt>
                <c:pt idx="18">
                  <c:v>3876445800200829.5</c:v>
                </c:pt>
                <c:pt idx="19">
                  <c:v>3.8764458002008296E+16</c:v>
                </c:pt>
                <c:pt idx="20">
                  <c:v>3.8764458002008294E+17</c:v>
                </c:pt>
                <c:pt idx="21">
                  <c:v>3.8764458002008294E+18</c:v>
                </c:pt>
                <c:pt idx="22">
                  <c:v>3.8764458002008293E+19</c:v>
                </c:pt>
                <c:pt idx="23">
                  <c:v>3.8764458002008297E+20</c:v>
                </c:pt>
                <c:pt idx="24">
                  <c:v>3.8764458002008297E+21</c:v>
                </c:pt>
                <c:pt idx="25">
                  <c:v>3.8764458002008295E+22</c:v>
                </c:pt>
                <c:pt idx="26">
                  <c:v>3.8764458002008298E+23</c:v>
                </c:pt>
                <c:pt idx="27">
                  <c:v>3.8764458002008297E+24</c:v>
                </c:pt>
                <c:pt idx="28">
                  <c:v>3.8764458002008293E+25</c:v>
                </c:pt>
                <c:pt idx="29">
                  <c:v>3.8764458002008297E+26</c:v>
                </c:pt>
                <c:pt idx="30">
                  <c:v>3.8764458002008294E+27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61303544"/>
        <c:axId val="461306680"/>
      </c:scatterChart>
      <c:valAx>
        <c:axId val="4613035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6680"/>
        <c:crosses val="autoZero"/>
        <c:crossBetween val="midCat"/>
      </c:valAx>
      <c:valAx>
        <c:axId val="461306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354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2.2579522563232808E-27</c:v>
                </c:pt>
                <c:pt idx="1">
                  <c:v>2.2579522563232806E-26</c:v>
                </c:pt>
                <c:pt idx="2">
                  <c:v>2.2579522563232808E-25</c:v>
                </c:pt>
                <c:pt idx="3">
                  <c:v>2.2579522563232807E-24</c:v>
                </c:pt>
                <c:pt idx="4">
                  <c:v>2.2579522563232807E-23</c:v>
                </c:pt>
                <c:pt idx="5">
                  <c:v>2.2579522563232808E-22</c:v>
                </c:pt>
                <c:pt idx="6">
                  <c:v>2.257952256323281E-21</c:v>
                </c:pt>
                <c:pt idx="7">
                  <c:v>2.2579522563232808E-20</c:v>
                </c:pt>
                <c:pt idx="8">
                  <c:v>2.2579522563232805E-19</c:v>
                </c:pt>
                <c:pt idx="9">
                  <c:v>2.2579522563232806E-18</c:v>
                </c:pt>
                <c:pt idx="10">
                  <c:v>2.2579522563232808E-17</c:v>
                </c:pt>
                <c:pt idx="11">
                  <c:v>2.2579522563232809E-16</c:v>
                </c:pt>
                <c:pt idx="12">
                  <c:v>2.257952256323281E-15</c:v>
                </c:pt>
                <c:pt idx="13">
                  <c:v>2.2579522563232806E-14</c:v>
                </c:pt>
                <c:pt idx="14">
                  <c:v>2.2579522563232808E-13</c:v>
                </c:pt>
                <c:pt idx="15">
                  <c:v>2.2579522563232806E-12</c:v>
                </c:pt>
                <c:pt idx="16">
                  <c:v>2.2579522563232807E-11</c:v>
                </c:pt>
                <c:pt idx="17">
                  <c:v>2.2579522563232807E-10</c:v>
                </c:pt>
                <c:pt idx="18">
                  <c:v>2.2579522563232808E-9</c:v>
                </c:pt>
                <c:pt idx="19">
                  <c:v>2.2579522563232809E-8</c:v>
                </c:pt>
                <c:pt idx="20">
                  <c:v>2.2579522563232808E-7</c:v>
                </c:pt>
                <c:pt idx="21">
                  <c:v>2.2579522563232806E-6</c:v>
                </c:pt>
                <c:pt idx="22">
                  <c:v>2.2579522563232806E-5</c:v>
                </c:pt>
                <c:pt idx="23">
                  <c:v>2.2579522563232808E-4</c:v>
                </c:pt>
                <c:pt idx="24">
                  <c:v>2.2579522563232809E-3</c:v>
                </c:pt>
                <c:pt idx="25">
                  <c:v>2.2579522563232809E-2</c:v>
                </c:pt>
                <c:pt idx="26">
                  <c:v>0.22579522563232807</c:v>
                </c:pt>
                <c:pt idx="27">
                  <c:v>2.2579522563232808</c:v>
                </c:pt>
                <c:pt idx="28">
                  <c:v>22.579522563232807</c:v>
                </c:pt>
                <c:pt idx="29">
                  <c:v>225.79522563232808</c:v>
                </c:pt>
                <c:pt idx="30">
                  <c:v>2257.9522563232808</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5.8409182347777073E-23</c:v>
                </c:pt>
                <c:pt idx="1">
                  <c:v>5.8409182347777069E-22</c:v>
                </c:pt>
                <c:pt idx="2">
                  <c:v>5.8409182347777069E-21</c:v>
                </c:pt>
                <c:pt idx="3">
                  <c:v>5.8409182347777063E-20</c:v>
                </c:pt>
                <c:pt idx="4">
                  <c:v>5.8409182347777063E-19</c:v>
                </c:pt>
                <c:pt idx="5">
                  <c:v>5.8409182347777072E-18</c:v>
                </c:pt>
                <c:pt idx="6">
                  <c:v>5.8409182347777069E-17</c:v>
                </c:pt>
                <c:pt idx="7">
                  <c:v>5.8409182347777067E-16</c:v>
                </c:pt>
                <c:pt idx="8">
                  <c:v>5.8409182347777067E-15</c:v>
                </c:pt>
                <c:pt idx="9">
                  <c:v>5.8409182347777064E-14</c:v>
                </c:pt>
                <c:pt idx="10">
                  <c:v>5.8409182347777071E-13</c:v>
                </c:pt>
                <c:pt idx="11">
                  <c:v>5.8409182347777073E-12</c:v>
                </c:pt>
                <c:pt idx="12">
                  <c:v>5.8409182347777065E-11</c:v>
                </c:pt>
                <c:pt idx="13">
                  <c:v>5.840918234777707E-10</c:v>
                </c:pt>
                <c:pt idx="14">
                  <c:v>5.8409182347777074E-9</c:v>
                </c:pt>
                <c:pt idx="15">
                  <c:v>5.8409182347777066E-8</c:v>
                </c:pt>
                <c:pt idx="16">
                  <c:v>5.8409182347777066E-7</c:v>
                </c:pt>
                <c:pt idx="17">
                  <c:v>5.8409182347777068E-6</c:v>
                </c:pt>
                <c:pt idx="18">
                  <c:v>5.8409182347777072E-5</c:v>
                </c:pt>
                <c:pt idx="19">
                  <c:v>5.8409182347777069E-4</c:v>
                </c:pt>
                <c:pt idx="20">
                  <c:v>5.8409182347777073E-3</c:v>
                </c:pt>
                <c:pt idx="21">
                  <c:v>5.8409182347777068E-2</c:v>
                </c:pt>
                <c:pt idx="22">
                  <c:v>0.58409182347777067</c:v>
                </c:pt>
                <c:pt idx="23">
                  <c:v>5.8409182347777069</c:v>
                </c:pt>
                <c:pt idx="24">
                  <c:v>58.409182347777069</c:v>
                </c:pt>
                <c:pt idx="25">
                  <c:v>584.09182347777073</c:v>
                </c:pt>
                <c:pt idx="26">
                  <c:v>5840.9182347777069</c:v>
                </c:pt>
                <c:pt idx="27">
                  <c:v>58409.182347777067</c:v>
                </c:pt>
                <c:pt idx="28">
                  <c:v>584091.82347777067</c:v>
                </c:pt>
                <c:pt idx="29">
                  <c:v>5840918.2347777067</c:v>
                </c:pt>
                <c:pt idx="30">
                  <c:v>58409182.347777069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1.5915080880730009E-20</c:v>
                </c:pt>
                <c:pt idx="1">
                  <c:v>1.5915080880730009E-19</c:v>
                </c:pt>
                <c:pt idx="2">
                  <c:v>1.591508088073001E-18</c:v>
                </c:pt>
                <c:pt idx="3">
                  <c:v>1.591508088073001E-17</c:v>
                </c:pt>
                <c:pt idx="4">
                  <c:v>1.5915080880730008E-16</c:v>
                </c:pt>
                <c:pt idx="5">
                  <c:v>1.591508088073001E-15</c:v>
                </c:pt>
                <c:pt idx="6">
                  <c:v>1.5915080880730011E-14</c:v>
                </c:pt>
                <c:pt idx="7">
                  <c:v>1.591508088073001E-13</c:v>
                </c:pt>
                <c:pt idx="8">
                  <c:v>1.5915080880730008E-12</c:v>
                </c:pt>
                <c:pt idx="9">
                  <c:v>1.5915080880730009E-11</c:v>
                </c:pt>
                <c:pt idx="10">
                  <c:v>1.5915080880730009E-10</c:v>
                </c:pt>
                <c:pt idx="11">
                  <c:v>1.5915080880730011E-9</c:v>
                </c:pt>
                <c:pt idx="12">
                  <c:v>1.5915080880730009E-8</c:v>
                </c:pt>
                <c:pt idx="13">
                  <c:v>1.591508088073001E-7</c:v>
                </c:pt>
                <c:pt idx="14">
                  <c:v>1.5915080880730009E-6</c:v>
                </c:pt>
                <c:pt idx="15">
                  <c:v>1.591508088073001E-5</c:v>
                </c:pt>
                <c:pt idx="16">
                  <c:v>1.591508088073001E-4</c:v>
                </c:pt>
                <c:pt idx="17">
                  <c:v>1.5915080880730009E-3</c:v>
                </c:pt>
                <c:pt idx="18">
                  <c:v>1.5915080880730008E-2</c:v>
                </c:pt>
                <c:pt idx="19">
                  <c:v>0.15915080880730009</c:v>
                </c:pt>
                <c:pt idx="20">
                  <c:v>1.5915080880730008</c:v>
                </c:pt>
                <c:pt idx="21">
                  <c:v>15.915080880730009</c:v>
                </c:pt>
                <c:pt idx="22">
                  <c:v>159.15080880730008</c:v>
                </c:pt>
                <c:pt idx="23">
                  <c:v>1591.5080880730009</c:v>
                </c:pt>
                <c:pt idx="24">
                  <c:v>15915.080880730009</c:v>
                </c:pt>
                <c:pt idx="25">
                  <c:v>159150.80880730008</c:v>
                </c:pt>
                <c:pt idx="26">
                  <c:v>1591508.088073001</c:v>
                </c:pt>
                <c:pt idx="27">
                  <c:v>15915080.880730009</c:v>
                </c:pt>
                <c:pt idx="28">
                  <c:v>159150808.80730009</c:v>
                </c:pt>
                <c:pt idx="29">
                  <c:v>1591508088.0730009</c:v>
                </c:pt>
                <c:pt idx="30">
                  <c:v>15915080880.730009</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2.3946711564709896E-18</c:v>
                </c:pt>
                <c:pt idx="1">
                  <c:v>2.3946711564709892E-17</c:v>
                </c:pt>
                <c:pt idx="2">
                  <c:v>2.3946711564709895E-16</c:v>
                </c:pt>
                <c:pt idx="3">
                  <c:v>2.3946711564709894E-15</c:v>
                </c:pt>
                <c:pt idx="4">
                  <c:v>2.3946711564709891E-14</c:v>
                </c:pt>
                <c:pt idx="5">
                  <c:v>2.3946711564709895E-13</c:v>
                </c:pt>
                <c:pt idx="6">
                  <c:v>2.3946711564709897E-12</c:v>
                </c:pt>
                <c:pt idx="7">
                  <c:v>2.3946711564709894E-11</c:v>
                </c:pt>
                <c:pt idx="8">
                  <c:v>2.3946711564709892E-10</c:v>
                </c:pt>
                <c:pt idx="9">
                  <c:v>2.3946711564709892E-9</c:v>
                </c:pt>
                <c:pt idx="10">
                  <c:v>2.3946711564709894E-8</c:v>
                </c:pt>
                <c:pt idx="11">
                  <c:v>2.3946711564709895E-7</c:v>
                </c:pt>
                <c:pt idx="12">
                  <c:v>2.3946711564709894E-6</c:v>
                </c:pt>
                <c:pt idx="13">
                  <c:v>2.3946711564709896E-5</c:v>
                </c:pt>
                <c:pt idx="14">
                  <c:v>2.3946711564709896E-4</c:v>
                </c:pt>
                <c:pt idx="15">
                  <c:v>2.3946711564709895E-3</c:v>
                </c:pt>
                <c:pt idx="16">
                  <c:v>2.3946711564709892E-2</c:v>
                </c:pt>
                <c:pt idx="17">
                  <c:v>0.23946711564709894</c:v>
                </c:pt>
                <c:pt idx="18">
                  <c:v>2.3946711564709893</c:v>
                </c:pt>
                <c:pt idx="19">
                  <c:v>23.946711564709894</c:v>
                </c:pt>
                <c:pt idx="20">
                  <c:v>239.46711564709895</c:v>
                </c:pt>
                <c:pt idx="21">
                  <c:v>2394.6711564709894</c:v>
                </c:pt>
                <c:pt idx="22">
                  <c:v>23946.711564709894</c:v>
                </c:pt>
                <c:pt idx="23">
                  <c:v>239467.11564709892</c:v>
                </c:pt>
                <c:pt idx="24">
                  <c:v>2394671.1564709893</c:v>
                </c:pt>
                <c:pt idx="25">
                  <c:v>23946711.564709894</c:v>
                </c:pt>
                <c:pt idx="26">
                  <c:v>239467115.64709893</c:v>
                </c:pt>
                <c:pt idx="27">
                  <c:v>2394671156.4709892</c:v>
                </c:pt>
                <c:pt idx="28">
                  <c:v>23946711564.709892</c:v>
                </c:pt>
                <c:pt idx="29">
                  <c:v>239467115647.09894</c:v>
                </c:pt>
                <c:pt idx="30">
                  <c:v>2394671156470.9893</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3.7300030555123476E-9</c:v>
                </c:pt>
                <c:pt idx="1">
                  <c:v>3.7300030555123476E-8</c:v>
                </c:pt>
                <c:pt idx="2">
                  <c:v>3.7300030555123476E-7</c:v>
                </c:pt>
                <c:pt idx="3">
                  <c:v>3.7300030555123474E-6</c:v>
                </c:pt>
                <c:pt idx="4">
                  <c:v>3.7300030555123473E-5</c:v>
                </c:pt>
                <c:pt idx="5">
                  <c:v>3.7300030555123477E-4</c:v>
                </c:pt>
                <c:pt idx="6">
                  <c:v>3.7300030555123477E-3</c:v>
                </c:pt>
                <c:pt idx="7">
                  <c:v>3.730003055512348E-2</c:v>
                </c:pt>
                <c:pt idx="8">
                  <c:v>0.37300030555123476</c:v>
                </c:pt>
                <c:pt idx="9">
                  <c:v>3.7300030555123476</c:v>
                </c:pt>
                <c:pt idx="10">
                  <c:v>37.300030555123477</c:v>
                </c:pt>
                <c:pt idx="11">
                  <c:v>373.00030555123476</c:v>
                </c:pt>
                <c:pt idx="12">
                  <c:v>3730.0030555123476</c:v>
                </c:pt>
                <c:pt idx="13">
                  <c:v>37300.030555123478</c:v>
                </c:pt>
                <c:pt idx="14">
                  <c:v>373000.30555123475</c:v>
                </c:pt>
                <c:pt idx="15">
                  <c:v>3730003.0555123477</c:v>
                </c:pt>
                <c:pt idx="16">
                  <c:v>37300030.555123478</c:v>
                </c:pt>
                <c:pt idx="17">
                  <c:v>373000305.55123478</c:v>
                </c:pt>
                <c:pt idx="18">
                  <c:v>3730003055.5123477</c:v>
                </c:pt>
                <c:pt idx="19">
                  <c:v>37300030555.123474</c:v>
                </c:pt>
                <c:pt idx="20">
                  <c:v>373000305551.23474</c:v>
                </c:pt>
                <c:pt idx="21">
                  <c:v>3730003055512.3477</c:v>
                </c:pt>
                <c:pt idx="22">
                  <c:v>37300030555123.477</c:v>
                </c:pt>
                <c:pt idx="23">
                  <c:v>373000305551234.75</c:v>
                </c:pt>
                <c:pt idx="24">
                  <c:v>3730003055512347.5</c:v>
                </c:pt>
                <c:pt idx="25">
                  <c:v>3.7300030555123472E+16</c:v>
                </c:pt>
                <c:pt idx="26">
                  <c:v>3.7300030555123475E+17</c:v>
                </c:pt>
                <c:pt idx="27">
                  <c:v>3.7300030555123476E+18</c:v>
                </c:pt>
                <c:pt idx="28">
                  <c:v>3.7300030555123474E+19</c:v>
                </c:pt>
                <c:pt idx="29">
                  <c:v>3.7300030555123476E+20</c:v>
                </c:pt>
                <c:pt idx="30">
                  <c:v>3.7300030555123477E+21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3.8764458002008297E-3</c:v>
                </c:pt>
                <c:pt idx="1">
                  <c:v>3.8764458002008298E-2</c:v>
                </c:pt>
                <c:pt idx="2">
                  <c:v>0.38764458002008295</c:v>
                </c:pt>
                <c:pt idx="3">
                  <c:v>3.8764458002008295</c:v>
                </c:pt>
                <c:pt idx="4">
                  <c:v>38.76445800200829</c:v>
                </c:pt>
                <c:pt idx="5">
                  <c:v>387.64458002008297</c:v>
                </c:pt>
                <c:pt idx="6">
                  <c:v>3876.4458002008296</c:v>
                </c:pt>
                <c:pt idx="7">
                  <c:v>38764.458002008294</c:v>
                </c:pt>
                <c:pt idx="8">
                  <c:v>387644.58002008294</c:v>
                </c:pt>
                <c:pt idx="9">
                  <c:v>3876445.8002008293</c:v>
                </c:pt>
                <c:pt idx="10">
                  <c:v>38764458.002008297</c:v>
                </c:pt>
                <c:pt idx="11">
                  <c:v>387644580.02008295</c:v>
                </c:pt>
                <c:pt idx="12">
                  <c:v>3876445800.2008295</c:v>
                </c:pt>
                <c:pt idx="13">
                  <c:v>38764458002.008293</c:v>
                </c:pt>
                <c:pt idx="14">
                  <c:v>387644580020.08295</c:v>
                </c:pt>
                <c:pt idx="15">
                  <c:v>3876445800200.8296</c:v>
                </c:pt>
                <c:pt idx="16">
                  <c:v>38764458002008.297</c:v>
                </c:pt>
                <c:pt idx="17">
                  <c:v>387644580020082.94</c:v>
                </c:pt>
                <c:pt idx="18">
                  <c:v>3876445800200829.5</c:v>
                </c:pt>
                <c:pt idx="19">
                  <c:v>3.8764458002008296E+16</c:v>
                </c:pt>
                <c:pt idx="20">
                  <c:v>3.8764458002008294E+17</c:v>
                </c:pt>
                <c:pt idx="21">
                  <c:v>3.8764458002008294E+18</c:v>
                </c:pt>
                <c:pt idx="22">
                  <c:v>3.8764458002008293E+19</c:v>
                </c:pt>
                <c:pt idx="23">
                  <c:v>3.8764458002008297E+20</c:v>
                </c:pt>
                <c:pt idx="24">
                  <c:v>3.8764458002008297E+21</c:v>
                </c:pt>
                <c:pt idx="25">
                  <c:v>3.8764458002008295E+22</c:v>
                </c:pt>
                <c:pt idx="26">
                  <c:v>3.8764458002008298E+23</c:v>
                </c:pt>
                <c:pt idx="27">
                  <c:v>3.8764458002008297E+24</c:v>
                </c:pt>
                <c:pt idx="28">
                  <c:v>3.8764458002008293E+25</c:v>
                </c:pt>
                <c:pt idx="29">
                  <c:v>3.8764458002008297E+26</c:v>
                </c:pt>
                <c:pt idx="30">
                  <c:v>3.8764458002008294E+27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61296096"/>
        <c:axId val="461302368"/>
      </c:scatterChart>
      <c:valAx>
        <c:axId val="4612960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302368"/>
        <c:crosses val="autoZero"/>
        <c:crossBetween val="midCat"/>
      </c:valAx>
      <c:valAx>
        <c:axId val="461302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609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2.2579522563232808E-27</c:v>
                </c:pt>
                <c:pt idx="1">
                  <c:v>2.2579522563232806E-26</c:v>
                </c:pt>
                <c:pt idx="2">
                  <c:v>2.2579522563232808E-25</c:v>
                </c:pt>
                <c:pt idx="3">
                  <c:v>2.2579522563232807E-24</c:v>
                </c:pt>
                <c:pt idx="4">
                  <c:v>2.2579522563232807E-23</c:v>
                </c:pt>
                <c:pt idx="5">
                  <c:v>2.2579522563232808E-22</c:v>
                </c:pt>
                <c:pt idx="6">
                  <c:v>2.257952256323281E-21</c:v>
                </c:pt>
                <c:pt idx="7">
                  <c:v>2.2579522563232808E-20</c:v>
                </c:pt>
                <c:pt idx="8">
                  <c:v>2.2579522563232805E-19</c:v>
                </c:pt>
                <c:pt idx="9">
                  <c:v>2.2579522563232806E-18</c:v>
                </c:pt>
                <c:pt idx="10">
                  <c:v>2.2579522563232808E-17</c:v>
                </c:pt>
                <c:pt idx="11">
                  <c:v>2.2579522563232809E-16</c:v>
                </c:pt>
                <c:pt idx="12">
                  <c:v>2.257952256323281E-15</c:v>
                </c:pt>
                <c:pt idx="13">
                  <c:v>2.2579522563232806E-14</c:v>
                </c:pt>
                <c:pt idx="14">
                  <c:v>2.2579522563232808E-13</c:v>
                </c:pt>
                <c:pt idx="15">
                  <c:v>2.2579522563232806E-12</c:v>
                </c:pt>
                <c:pt idx="16">
                  <c:v>2.2579522563232807E-11</c:v>
                </c:pt>
                <c:pt idx="17">
                  <c:v>2.2579522563232807E-10</c:v>
                </c:pt>
                <c:pt idx="18">
                  <c:v>2.2579522563232808E-9</c:v>
                </c:pt>
                <c:pt idx="19">
                  <c:v>2.2579522563232809E-8</c:v>
                </c:pt>
                <c:pt idx="20">
                  <c:v>2.2579522563232808E-7</c:v>
                </c:pt>
                <c:pt idx="21">
                  <c:v>2.2579522563232806E-6</c:v>
                </c:pt>
                <c:pt idx="22">
                  <c:v>2.2579522563232806E-5</c:v>
                </c:pt>
                <c:pt idx="23">
                  <c:v>2.2579522563232808E-4</c:v>
                </c:pt>
                <c:pt idx="24">
                  <c:v>2.2579522563232809E-3</c:v>
                </c:pt>
                <c:pt idx="25">
                  <c:v>2.2579522563232809E-2</c:v>
                </c:pt>
                <c:pt idx="26">
                  <c:v>0.22579522563232807</c:v>
                </c:pt>
                <c:pt idx="27">
                  <c:v>2.2579522563232808</c:v>
                </c:pt>
                <c:pt idx="28">
                  <c:v>22.579522563232807</c:v>
                </c:pt>
                <c:pt idx="29">
                  <c:v>225.79522563232808</c:v>
                </c:pt>
                <c:pt idx="30">
                  <c:v>2257.9522563232808</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5.8409182347777073E-23</c:v>
                </c:pt>
                <c:pt idx="1">
                  <c:v>5.8409182347777069E-22</c:v>
                </c:pt>
                <c:pt idx="2">
                  <c:v>5.8409182347777069E-21</c:v>
                </c:pt>
                <c:pt idx="3">
                  <c:v>5.8409182347777063E-20</c:v>
                </c:pt>
                <c:pt idx="4">
                  <c:v>5.8409182347777063E-19</c:v>
                </c:pt>
                <c:pt idx="5">
                  <c:v>5.8409182347777072E-18</c:v>
                </c:pt>
                <c:pt idx="6">
                  <c:v>5.8409182347777069E-17</c:v>
                </c:pt>
                <c:pt idx="7">
                  <c:v>5.8409182347777067E-16</c:v>
                </c:pt>
                <c:pt idx="8">
                  <c:v>5.8409182347777067E-15</c:v>
                </c:pt>
                <c:pt idx="9">
                  <c:v>5.8409182347777064E-14</c:v>
                </c:pt>
                <c:pt idx="10">
                  <c:v>5.8409182347777071E-13</c:v>
                </c:pt>
                <c:pt idx="11">
                  <c:v>5.8409182347777073E-12</c:v>
                </c:pt>
                <c:pt idx="12">
                  <c:v>5.8409182347777065E-11</c:v>
                </c:pt>
                <c:pt idx="13">
                  <c:v>5.840918234777707E-10</c:v>
                </c:pt>
                <c:pt idx="14">
                  <c:v>5.8409182347777074E-9</c:v>
                </c:pt>
                <c:pt idx="15">
                  <c:v>5.8409182347777066E-8</c:v>
                </c:pt>
                <c:pt idx="16">
                  <c:v>5.8409182347777066E-7</c:v>
                </c:pt>
                <c:pt idx="17">
                  <c:v>5.8409182347777068E-6</c:v>
                </c:pt>
                <c:pt idx="18">
                  <c:v>5.8409182347777072E-5</c:v>
                </c:pt>
                <c:pt idx="19">
                  <c:v>5.8409182347777069E-4</c:v>
                </c:pt>
                <c:pt idx="20">
                  <c:v>5.8409182347777073E-3</c:v>
                </c:pt>
                <c:pt idx="21">
                  <c:v>5.8409182347777068E-2</c:v>
                </c:pt>
                <c:pt idx="22">
                  <c:v>0.58409182347777067</c:v>
                </c:pt>
                <c:pt idx="23">
                  <c:v>5.8409182347777069</c:v>
                </c:pt>
                <c:pt idx="24">
                  <c:v>58.409182347777069</c:v>
                </c:pt>
                <c:pt idx="25">
                  <c:v>584.09182347777073</c:v>
                </c:pt>
                <c:pt idx="26">
                  <c:v>5840.9182347777069</c:v>
                </c:pt>
                <c:pt idx="27">
                  <c:v>58409.182347777067</c:v>
                </c:pt>
                <c:pt idx="28">
                  <c:v>584091.82347777067</c:v>
                </c:pt>
                <c:pt idx="29">
                  <c:v>5840918.2347777067</c:v>
                </c:pt>
                <c:pt idx="30">
                  <c:v>58409182.347777069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1.5915080880730009E-20</c:v>
                </c:pt>
                <c:pt idx="1">
                  <c:v>1.5915080880730009E-19</c:v>
                </c:pt>
                <c:pt idx="2">
                  <c:v>1.591508088073001E-18</c:v>
                </c:pt>
                <c:pt idx="3">
                  <c:v>1.591508088073001E-17</c:v>
                </c:pt>
                <c:pt idx="4">
                  <c:v>1.5915080880730008E-16</c:v>
                </c:pt>
                <c:pt idx="5">
                  <c:v>1.591508088073001E-15</c:v>
                </c:pt>
                <c:pt idx="6">
                  <c:v>1.5915080880730011E-14</c:v>
                </c:pt>
                <c:pt idx="7">
                  <c:v>1.591508088073001E-13</c:v>
                </c:pt>
                <c:pt idx="8">
                  <c:v>1.5915080880730008E-12</c:v>
                </c:pt>
                <c:pt idx="9">
                  <c:v>1.5915080880730009E-11</c:v>
                </c:pt>
                <c:pt idx="10">
                  <c:v>1.5915080880730009E-10</c:v>
                </c:pt>
                <c:pt idx="11">
                  <c:v>1.5915080880730011E-9</c:v>
                </c:pt>
                <c:pt idx="12">
                  <c:v>1.5915080880730009E-8</c:v>
                </c:pt>
                <c:pt idx="13">
                  <c:v>1.591508088073001E-7</c:v>
                </c:pt>
                <c:pt idx="14">
                  <c:v>1.5915080880730009E-6</c:v>
                </c:pt>
                <c:pt idx="15">
                  <c:v>1.591508088073001E-5</c:v>
                </c:pt>
                <c:pt idx="16">
                  <c:v>1.591508088073001E-4</c:v>
                </c:pt>
                <c:pt idx="17">
                  <c:v>1.5915080880730009E-3</c:v>
                </c:pt>
                <c:pt idx="18">
                  <c:v>1.5915080880730008E-2</c:v>
                </c:pt>
                <c:pt idx="19">
                  <c:v>0.15915080880730009</c:v>
                </c:pt>
                <c:pt idx="20">
                  <c:v>1.5915080880730008</c:v>
                </c:pt>
                <c:pt idx="21">
                  <c:v>15.915080880730009</c:v>
                </c:pt>
                <c:pt idx="22">
                  <c:v>159.15080880730008</c:v>
                </c:pt>
                <c:pt idx="23">
                  <c:v>1591.5080880730009</c:v>
                </c:pt>
                <c:pt idx="24">
                  <c:v>15915.080880730009</c:v>
                </c:pt>
                <c:pt idx="25">
                  <c:v>159150.80880730008</c:v>
                </c:pt>
                <c:pt idx="26">
                  <c:v>1591508.088073001</c:v>
                </c:pt>
                <c:pt idx="27">
                  <c:v>15915080.880730009</c:v>
                </c:pt>
                <c:pt idx="28">
                  <c:v>159150808.80730009</c:v>
                </c:pt>
                <c:pt idx="29">
                  <c:v>1591508088.0730009</c:v>
                </c:pt>
                <c:pt idx="30">
                  <c:v>15915080880.730009</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2.3946711564709896E-18</c:v>
                </c:pt>
                <c:pt idx="1">
                  <c:v>2.3946711564709892E-17</c:v>
                </c:pt>
                <c:pt idx="2">
                  <c:v>2.3946711564709895E-16</c:v>
                </c:pt>
                <c:pt idx="3">
                  <c:v>2.3946711564709894E-15</c:v>
                </c:pt>
                <c:pt idx="4">
                  <c:v>2.3946711564709891E-14</c:v>
                </c:pt>
                <c:pt idx="5">
                  <c:v>2.3946711564709895E-13</c:v>
                </c:pt>
                <c:pt idx="6">
                  <c:v>2.3946711564709897E-12</c:v>
                </c:pt>
                <c:pt idx="7">
                  <c:v>2.3946711564709894E-11</c:v>
                </c:pt>
                <c:pt idx="8">
                  <c:v>2.3946711564709892E-10</c:v>
                </c:pt>
                <c:pt idx="9">
                  <c:v>2.3946711564709892E-9</c:v>
                </c:pt>
                <c:pt idx="10">
                  <c:v>2.3946711564709894E-8</c:v>
                </c:pt>
                <c:pt idx="11">
                  <c:v>2.3946711564709895E-7</c:v>
                </c:pt>
                <c:pt idx="12">
                  <c:v>2.3946711564709894E-6</c:v>
                </c:pt>
                <c:pt idx="13">
                  <c:v>2.3946711564709896E-5</c:v>
                </c:pt>
                <c:pt idx="14">
                  <c:v>2.3946711564709896E-4</c:v>
                </c:pt>
                <c:pt idx="15">
                  <c:v>2.3946711564709895E-3</c:v>
                </c:pt>
                <c:pt idx="16">
                  <c:v>2.3946711564709892E-2</c:v>
                </c:pt>
                <c:pt idx="17">
                  <c:v>0.23946711564709894</c:v>
                </c:pt>
                <c:pt idx="18">
                  <c:v>2.3946711564709893</c:v>
                </c:pt>
                <c:pt idx="19">
                  <c:v>23.946711564709894</c:v>
                </c:pt>
                <c:pt idx="20">
                  <c:v>239.46711564709895</c:v>
                </c:pt>
                <c:pt idx="21">
                  <c:v>2394.6711564709894</c:v>
                </c:pt>
                <c:pt idx="22">
                  <c:v>23946.711564709894</c:v>
                </c:pt>
                <c:pt idx="23">
                  <c:v>239467.11564709892</c:v>
                </c:pt>
                <c:pt idx="24">
                  <c:v>2394671.1564709893</c:v>
                </c:pt>
                <c:pt idx="25">
                  <c:v>23946711.564709894</c:v>
                </c:pt>
                <c:pt idx="26">
                  <c:v>239467115.64709893</c:v>
                </c:pt>
                <c:pt idx="27">
                  <c:v>2394671156.4709892</c:v>
                </c:pt>
                <c:pt idx="28">
                  <c:v>23946711564.709892</c:v>
                </c:pt>
                <c:pt idx="29">
                  <c:v>239467115647.09894</c:v>
                </c:pt>
                <c:pt idx="30">
                  <c:v>2394671156470.9893</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3.7300030555123476E-9</c:v>
                </c:pt>
                <c:pt idx="1">
                  <c:v>3.7300030555123476E-8</c:v>
                </c:pt>
                <c:pt idx="2">
                  <c:v>3.7300030555123476E-7</c:v>
                </c:pt>
                <c:pt idx="3">
                  <c:v>3.7300030555123474E-6</c:v>
                </c:pt>
                <c:pt idx="4">
                  <c:v>3.7300030555123473E-5</c:v>
                </c:pt>
                <c:pt idx="5">
                  <c:v>3.7300030555123477E-4</c:v>
                </c:pt>
                <c:pt idx="6">
                  <c:v>3.7300030555123477E-3</c:v>
                </c:pt>
                <c:pt idx="7">
                  <c:v>3.730003055512348E-2</c:v>
                </c:pt>
                <c:pt idx="8">
                  <c:v>0.37300030555123476</c:v>
                </c:pt>
                <c:pt idx="9">
                  <c:v>3.7300030555123476</c:v>
                </c:pt>
                <c:pt idx="10">
                  <c:v>37.300030555123477</c:v>
                </c:pt>
                <c:pt idx="11">
                  <c:v>373.00030555123476</c:v>
                </c:pt>
                <c:pt idx="12">
                  <c:v>3730.0030555123476</c:v>
                </c:pt>
                <c:pt idx="13">
                  <c:v>37300.030555123478</c:v>
                </c:pt>
                <c:pt idx="14">
                  <c:v>373000.30555123475</c:v>
                </c:pt>
                <c:pt idx="15">
                  <c:v>3730003.0555123477</c:v>
                </c:pt>
                <c:pt idx="16">
                  <c:v>37300030.555123478</c:v>
                </c:pt>
                <c:pt idx="17">
                  <c:v>373000305.55123478</c:v>
                </c:pt>
                <c:pt idx="18">
                  <c:v>3730003055.5123477</c:v>
                </c:pt>
                <c:pt idx="19">
                  <c:v>37300030555.123474</c:v>
                </c:pt>
                <c:pt idx="20">
                  <c:v>373000305551.23474</c:v>
                </c:pt>
                <c:pt idx="21">
                  <c:v>3730003055512.3477</c:v>
                </c:pt>
                <c:pt idx="22">
                  <c:v>37300030555123.477</c:v>
                </c:pt>
                <c:pt idx="23">
                  <c:v>373000305551234.75</c:v>
                </c:pt>
                <c:pt idx="24">
                  <c:v>3730003055512347.5</c:v>
                </c:pt>
                <c:pt idx="25">
                  <c:v>3.7300030555123472E+16</c:v>
                </c:pt>
                <c:pt idx="26">
                  <c:v>3.7300030555123475E+17</c:v>
                </c:pt>
                <c:pt idx="27">
                  <c:v>3.7300030555123476E+18</c:v>
                </c:pt>
                <c:pt idx="28">
                  <c:v>3.7300030555123474E+19</c:v>
                </c:pt>
                <c:pt idx="29">
                  <c:v>3.7300030555123476E+20</c:v>
                </c:pt>
                <c:pt idx="30">
                  <c:v>3.7300030555123477E+21</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3.8764458002008297E-3</c:v>
                </c:pt>
                <c:pt idx="1">
                  <c:v>3.8764458002008298E-2</c:v>
                </c:pt>
                <c:pt idx="2">
                  <c:v>0.38764458002008295</c:v>
                </c:pt>
                <c:pt idx="3">
                  <c:v>3.8764458002008295</c:v>
                </c:pt>
                <c:pt idx="4">
                  <c:v>38.76445800200829</c:v>
                </c:pt>
                <c:pt idx="5">
                  <c:v>387.64458002008297</c:v>
                </c:pt>
                <c:pt idx="6">
                  <c:v>3876.4458002008296</c:v>
                </c:pt>
                <c:pt idx="7">
                  <c:v>38764.458002008294</c:v>
                </c:pt>
                <c:pt idx="8">
                  <c:v>387644.58002008294</c:v>
                </c:pt>
                <c:pt idx="9">
                  <c:v>3876445.8002008293</c:v>
                </c:pt>
                <c:pt idx="10">
                  <c:v>38764458.002008297</c:v>
                </c:pt>
                <c:pt idx="11">
                  <c:v>387644580.02008295</c:v>
                </c:pt>
                <c:pt idx="12">
                  <c:v>3876445800.2008295</c:v>
                </c:pt>
                <c:pt idx="13">
                  <c:v>38764458002.008293</c:v>
                </c:pt>
                <c:pt idx="14">
                  <c:v>387644580020.08295</c:v>
                </c:pt>
                <c:pt idx="15">
                  <c:v>3876445800200.8296</c:v>
                </c:pt>
                <c:pt idx="16">
                  <c:v>38764458002008.297</c:v>
                </c:pt>
                <c:pt idx="17">
                  <c:v>387644580020082.94</c:v>
                </c:pt>
                <c:pt idx="18">
                  <c:v>3876445800200829.5</c:v>
                </c:pt>
                <c:pt idx="19">
                  <c:v>3.8764458002008296E+16</c:v>
                </c:pt>
                <c:pt idx="20">
                  <c:v>3.8764458002008294E+17</c:v>
                </c:pt>
                <c:pt idx="21">
                  <c:v>3.8764458002008294E+18</c:v>
                </c:pt>
                <c:pt idx="22">
                  <c:v>3.8764458002008293E+19</c:v>
                </c:pt>
                <c:pt idx="23">
                  <c:v>3.8764458002008297E+20</c:v>
                </c:pt>
                <c:pt idx="24">
                  <c:v>3.8764458002008297E+21</c:v>
                </c:pt>
                <c:pt idx="25">
                  <c:v>3.8764458002008295E+22</c:v>
                </c:pt>
                <c:pt idx="26">
                  <c:v>3.8764458002008298E+23</c:v>
                </c:pt>
                <c:pt idx="27">
                  <c:v>3.8764458002008297E+24</c:v>
                </c:pt>
                <c:pt idx="28">
                  <c:v>3.8764458002008293E+25</c:v>
                </c:pt>
                <c:pt idx="29">
                  <c:v>3.8764458002008297E+26</c:v>
                </c:pt>
                <c:pt idx="30">
                  <c:v>3.8764458002008294E+27</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6235.4458980658719</c:v>
                </c:pt>
                <c:pt idx="1">
                  <c:v>6232.3398976903536</c:v>
                </c:pt>
                <c:pt idx="2">
                  <c:v>6171.6283665983447</c:v>
                </c:pt>
                <c:pt idx="3">
                  <c:v>5914.7848990079729</c:v>
                </c:pt>
                <c:pt idx="4">
                  <c:v>5788.4967492334526</c:v>
                </c:pt>
                <c:pt idx="5">
                  <c:v>5663.07931931844</c:v>
                </c:pt>
                <c:pt idx="6">
                  <c:v>5475.473731133975</c:v>
                </c:pt>
                <c:pt idx="7">
                  <c:v>5322.7703209443198</c:v>
                </c:pt>
                <c:pt idx="8">
                  <c:v>5113.516022734224</c:v>
                </c:pt>
                <c:pt idx="9">
                  <c:v>4878.2065137147829</c:v>
                </c:pt>
                <c:pt idx="10">
                  <c:v>4672.7044341429992</c:v>
                </c:pt>
                <c:pt idx="11">
                  <c:v>4460.5071233459075</c:v>
                </c:pt>
                <c:pt idx="12">
                  <c:v>4190.8889614277969</c:v>
                </c:pt>
                <c:pt idx="13">
                  <c:v>3962.8129165878595</c:v>
                </c:pt>
                <c:pt idx="14">
                  <c:v>3713.8399519437285</c:v>
                </c:pt>
                <c:pt idx="15">
                  <c:v>3442.203243299537</c:v>
                </c:pt>
                <c:pt idx="16">
                  <c:v>3260.1786009115922</c:v>
                </c:pt>
                <c:pt idx="17">
                  <c:v>3024.5953717084158</c:v>
                </c:pt>
                <c:pt idx="18">
                  <c:v>2841.9268586712005</c:v>
                </c:pt>
                <c:pt idx="19">
                  <c:v>2574.0495784951854</c:v>
                </c:pt>
                <c:pt idx="20">
                  <c:v>2318.2883445480857</c:v>
                </c:pt>
                <c:pt idx="21">
                  <c:v>2144.0397073610739</c:v>
                </c:pt>
                <c:pt idx="22">
                  <c:v>1780.2381399028682</c:v>
                </c:pt>
                <c:pt idx="23">
                  <c:v>1381.863483129006</c:v>
                </c:pt>
                <c:pt idx="24">
                  <c:v>1002.7806142279908</c:v>
                </c:pt>
                <c:pt idx="25">
                  <c:v>678.50722464271166</c:v>
                </c:pt>
                <c:pt idx="26">
                  <c:v>486.24431837877182</c:v>
                </c:pt>
                <c:pt idx="27">
                  <c:v>386.12111827132946</c:v>
                </c:pt>
                <c:pt idx="28">
                  <c:v>333.59088746314814</c:v>
                </c:pt>
                <c:pt idx="29">
                  <c:v>304.24505617208177</c:v>
                </c:pt>
                <c:pt idx="30">
                  <c:v>282.17229066083371</c:v>
                </c:pt>
              </c:numCache>
            </c:numRef>
          </c:yVal>
          <c:smooth val="1"/>
        </c:ser>
        <c:dLbls>
          <c:showLegendKey val="0"/>
          <c:showVal val="0"/>
          <c:showCatName val="0"/>
          <c:showSerName val="0"/>
          <c:showPercent val="0"/>
          <c:showBubbleSize val="0"/>
        </c:dLbls>
        <c:axId val="461296488"/>
        <c:axId val="461296880"/>
      </c:scatterChart>
      <c:valAx>
        <c:axId val="4612964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6880"/>
        <c:crosses val="autoZero"/>
        <c:crossBetween val="midCat"/>
      </c:valAx>
      <c:valAx>
        <c:axId val="461296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1296488"/>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6235.4458980658719</c:v>
                </c:pt>
                <c:pt idx="1">
                  <c:v>6232.3398976903536</c:v>
                </c:pt>
                <c:pt idx="2">
                  <c:v>6171.6283665983447</c:v>
                </c:pt>
                <c:pt idx="3">
                  <c:v>5914.7848990079729</c:v>
                </c:pt>
                <c:pt idx="4">
                  <c:v>5788.4967492334526</c:v>
                </c:pt>
                <c:pt idx="5">
                  <c:v>5663.07931931844</c:v>
                </c:pt>
                <c:pt idx="6">
                  <c:v>5475.473731133975</c:v>
                </c:pt>
                <c:pt idx="7">
                  <c:v>5322.7703209443198</c:v>
                </c:pt>
                <c:pt idx="8">
                  <c:v>5113.516022734224</c:v>
                </c:pt>
                <c:pt idx="9">
                  <c:v>4878.2065137147829</c:v>
                </c:pt>
                <c:pt idx="10">
                  <c:v>4672.7044341429992</c:v>
                </c:pt>
                <c:pt idx="11">
                  <c:v>4460.5071233459075</c:v>
                </c:pt>
                <c:pt idx="12">
                  <c:v>4190.8889614277969</c:v>
                </c:pt>
                <c:pt idx="13">
                  <c:v>3962.8129165878595</c:v>
                </c:pt>
                <c:pt idx="14">
                  <c:v>3713.8399519437285</c:v>
                </c:pt>
                <c:pt idx="15">
                  <c:v>3442.203243299537</c:v>
                </c:pt>
                <c:pt idx="16">
                  <c:v>3260.1786009115922</c:v>
                </c:pt>
                <c:pt idx="17">
                  <c:v>3024.5953717084158</c:v>
                </c:pt>
                <c:pt idx="18">
                  <c:v>2841.9268586712005</c:v>
                </c:pt>
                <c:pt idx="19">
                  <c:v>2574.0495784951854</c:v>
                </c:pt>
                <c:pt idx="20">
                  <c:v>2318.2883445480857</c:v>
                </c:pt>
                <c:pt idx="21">
                  <c:v>2144.0397073610739</c:v>
                </c:pt>
                <c:pt idx="22">
                  <c:v>1780.2381399028682</c:v>
                </c:pt>
                <c:pt idx="23">
                  <c:v>1381.863483129006</c:v>
                </c:pt>
                <c:pt idx="24">
                  <c:v>1002.7806142279908</c:v>
                </c:pt>
                <c:pt idx="25">
                  <c:v>678.50722464271166</c:v>
                </c:pt>
                <c:pt idx="26">
                  <c:v>486.24431837877182</c:v>
                </c:pt>
                <c:pt idx="27">
                  <c:v>386.12111827132946</c:v>
                </c:pt>
                <c:pt idx="28">
                  <c:v>333.59088746314814</c:v>
                </c:pt>
                <c:pt idx="29">
                  <c:v>304.24505617208177</c:v>
                </c:pt>
                <c:pt idx="30">
                  <c:v>282.17229066083371</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6025.0286553382048</c:v>
                </c:pt>
                <c:pt idx="1">
                  <c:v>5964.2997049372507</c:v>
                </c:pt>
                <c:pt idx="2">
                  <c:v>5745.1392000517189</c:v>
                </c:pt>
                <c:pt idx="3">
                  <c:v>5655.7508998231042</c:v>
                </c:pt>
                <c:pt idx="4">
                  <c:v>5525.2026507515166</c:v>
                </c:pt>
                <c:pt idx="5">
                  <c:v>5390.3754085436167</c:v>
                </c:pt>
                <c:pt idx="6">
                  <c:v>5238.3236548988771</c:v>
                </c:pt>
                <c:pt idx="7">
                  <c:v>5074.6956312436678</c:v>
                </c:pt>
                <c:pt idx="8">
                  <c:v>4908.4585506665462</c:v>
                </c:pt>
                <c:pt idx="9">
                  <c:v>4748.1794810054089</c:v>
                </c:pt>
                <c:pt idx="10">
                  <c:v>4570.2909757468369</c:v>
                </c:pt>
                <c:pt idx="11">
                  <c:v>4356.0903701329062</c:v>
                </c:pt>
                <c:pt idx="12">
                  <c:v>4127.8185668468986</c:v>
                </c:pt>
                <c:pt idx="13">
                  <c:v>3931.7018153076156</c:v>
                </c:pt>
                <c:pt idx="14">
                  <c:v>3755.5081072101652</c:v>
                </c:pt>
                <c:pt idx="15">
                  <c:v>3573.3204346166917</c:v>
                </c:pt>
                <c:pt idx="16">
                  <c:v>3355.926305877249</c:v>
                </c:pt>
                <c:pt idx="17">
                  <c:v>3066.4202249674377</c:v>
                </c:pt>
                <c:pt idx="18">
                  <c:v>2758.8480201678076</c:v>
                </c:pt>
                <c:pt idx="19">
                  <c:v>2465.2954314272652</c:v>
                </c:pt>
                <c:pt idx="20">
                  <c:v>2197.1406634016544</c:v>
                </c:pt>
                <c:pt idx="21">
                  <c:v>1937.2037895084809</c:v>
                </c:pt>
                <c:pt idx="22">
                  <c:v>1672.2620106719644</c:v>
                </c:pt>
                <c:pt idx="23">
                  <c:v>1384.5707792635358</c:v>
                </c:pt>
                <c:pt idx="24">
                  <c:v>1075.4175882763752</c:v>
                </c:pt>
                <c:pt idx="25">
                  <c:v>780.59991539695579</c:v>
                </c:pt>
                <c:pt idx="26">
                  <c:v>548.71161760324526</c:v>
                </c:pt>
                <c:pt idx="27">
                  <c:v>398.75224817844003</c:v>
                </c:pt>
                <c:pt idx="28">
                  <c:v>320.6760155639243</c:v>
                </c:pt>
                <c:pt idx="29">
                  <c:v>281.73094626970948</c:v>
                </c:pt>
                <c:pt idx="30">
                  <c:v>262.31940678127074</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6190.3123716909004</c:v>
                </c:pt>
                <c:pt idx="1">
                  <c:v>6184.6455211885805</c:v>
                </c:pt>
                <c:pt idx="2">
                  <c:v>6133.7429928484107</c:v>
                </c:pt>
                <c:pt idx="3">
                  <c:v>5926.4755896979204</c:v>
                </c:pt>
                <c:pt idx="4">
                  <c:v>5786.7810782724118</c:v>
                </c:pt>
                <c:pt idx="5">
                  <c:v>5663.2974924050604</c:v>
                </c:pt>
                <c:pt idx="6">
                  <c:v>5475.4100366447583</c:v>
                </c:pt>
                <c:pt idx="7">
                  <c:v>5322.8933969957152</c:v>
                </c:pt>
                <c:pt idx="8">
                  <c:v>5113.2252501084931</c:v>
                </c:pt>
                <c:pt idx="9">
                  <c:v>4878.8022262693858</c:v>
                </c:pt>
                <c:pt idx="10">
                  <c:v>4671.6897385918719</c:v>
                </c:pt>
                <c:pt idx="11">
                  <c:v>4461.9763354585966</c:v>
                </c:pt>
                <c:pt idx="12">
                  <c:v>4189.0820478778696</c:v>
                </c:pt>
                <c:pt idx="13">
                  <c:v>3964.7087033255302</c:v>
                </c:pt>
                <c:pt idx="14">
                  <c:v>3712.1319006294261</c:v>
                </c:pt>
                <c:pt idx="15">
                  <c:v>3443.5205381663854</c:v>
                </c:pt>
                <c:pt idx="16">
                  <c:v>3259.2985944799475</c:v>
                </c:pt>
                <c:pt idx="17">
                  <c:v>3025.1011304650465</c:v>
                </c:pt>
                <c:pt idx="18">
                  <c:v>2841.6775894345942</c:v>
                </c:pt>
                <c:pt idx="19">
                  <c:v>2574.1602314168222</c:v>
                </c:pt>
                <c:pt idx="20">
                  <c:v>2318.2493889923799</c:v>
                </c:pt>
                <c:pt idx="21">
                  <c:v>2144.0505476272788</c:v>
                </c:pt>
                <c:pt idx="22">
                  <c:v>1780.2357285805385</c:v>
                </c:pt>
                <c:pt idx="23">
                  <c:v>1381.8633061907374</c:v>
                </c:pt>
                <c:pt idx="24">
                  <c:v>1002.7824716763835</c:v>
                </c:pt>
                <c:pt idx="25">
                  <c:v>678.50929678281625</c:v>
                </c:pt>
                <c:pt idx="26">
                  <c:v>486.24606151954828</c:v>
                </c:pt>
                <c:pt idx="27">
                  <c:v>386.11966471834864</c:v>
                </c:pt>
                <c:pt idx="28">
                  <c:v>333.58925380244926</c:v>
                </c:pt>
                <c:pt idx="29">
                  <c:v>304.24031689680851</c:v>
                </c:pt>
                <c:pt idx="30">
                  <c:v>282.16716208801512</c:v>
                </c:pt>
              </c:numCache>
            </c:numRef>
          </c:yVal>
          <c:smooth val="1"/>
        </c:ser>
        <c:dLbls>
          <c:showLegendKey val="0"/>
          <c:showVal val="0"/>
          <c:showCatName val="0"/>
          <c:showSerName val="0"/>
          <c:showPercent val="0"/>
          <c:showBubbleSize val="0"/>
        </c:dLbls>
        <c:axId val="11794208"/>
        <c:axId val="552912128"/>
      </c:scatterChart>
      <c:valAx>
        <c:axId val="117942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912128"/>
        <c:crosses val="autoZero"/>
        <c:crossBetween val="midCat"/>
      </c:valAx>
      <c:valAx>
        <c:axId val="552912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7942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7.2382195456095928E-3</c:v>
                </c:pt>
                <c:pt idx="1">
                  <c:v>7.6527239022133944E-3</c:v>
                </c:pt>
                <c:pt idx="2">
                  <c:v>6.1386349759772483E-3</c:v>
                </c:pt>
                <c:pt idx="3">
                  <c:v>1.9765200069927053E-3</c:v>
                </c:pt>
                <c:pt idx="4">
                  <c:v>2.9639318036552644E-4</c:v>
                </c:pt>
                <c:pt idx="5">
                  <c:v>3.8525521949909591E-5</c:v>
                </c:pt>
                <c:pt idx="6">
                  <c:v>1.1632690127707992E-5</c:v>
                </c:pt>
                <c:pt idx="7">
                  <c:v>2.3122555356393044E-5</c:v>
                </c:pt>
                <c:pt idx="8">
                  <c:v>5.6863540553716E-5</c:v>
                </c:pt>
                <c:pt idx="9">
                  <c:v>1.2211712499830816E-4</c:v>
                </c:pt>
                <c:pt idx="10">
                  <c:v>2.1715380577315755E-4</c:v>
                </c:pt>
                <c:pt idx="11">
                  <c:v>3.2938230386391799E-4</c:v>
                </c:pt>
                <c:pt idx="12">
                  <c:v>4.3115280947735539E-4</c:v>
                </c:pt>
                <c:pt idx="13">
                  <c:v>4.783942057257351E-4</c:v>
                </c:pt>
                <c:pt idx="14">
                  <c:v>4.5991516500553233E-4</c:v>
                </c:pt>
                <c:pt idx="15">
                  <c:v>3.8268945025620983E-4</c:v>
                </c:pt>
                <c:pt idx="16">
                  <c:v>2.6992583516701374E-4</c:v>
                </c:pt>
                <c:pt idx="17">
                  <c:v>1.6721534436027344E-4</c:v>
                </c:pt>
                <c:pt idx="18">
                  <c:v>8.7711348321917981E-5</c:v>
                </c:pt>
                <c:pt idx="19">
                  <c:v>4.2987875043745275E-5</c:v>
                </c:pt>
                <c:pt idx="20">
                  <c:v>1.6803585195693693E-5</c:v>
                </c:pt>
                <c:pt idx="21">
                  <c:v>5.0560006737306961E-6</c:v>
                </c:pt>
                <c:pt idx="22">
                  <c:v>1.3544942530929781E-6</c:v>
                </c:pt>
                <c:pt idx="23">
                  <c:v>1.2804323349132043E-7</c:v>
                </c:pt>
                <c:pt idx="24">
                  <c:v>1.852297866880965E-6</c:v>
                </c:pt>
                <c:pt idx="25">
                  <c:v>3.0539691094353613E-6</c:v>
                </c:pt>
                <c:pt idx="26">
                  <c:v>3.584907238128187E-6</c:v>
                </c:pt>
                <c:pt idx="27">
                  <c:v>3.76450008051238E-6</c:v>
                </c:pt>
                <c:pt idx="28">
                  <c:v>4.8971982157398692E-6</c:v>
                </c:pt>
                <c:pt idx="29">
                  <c:v>1.5577164450572646E-5</c:v>
                </c:pt>
                <c:pt idx="30">
                  <c:v>1.8175324042558629E-5</c:v>
                </c:pt>
              </c:numCache>
            </c:numRef>
          </c:yVal>
          <c:smooth val="1"/>
        </c:ser>
        <c:dLbls>
          <c:showLegendKey val="0"/>
          <c:showVal val="0"/>
          <c:showCatName val="0"/>
          <c:showSerName val="0"/>
          <c:showPercent val="0"/>
          <c:showBubbleSize val="0"/>
        </c:dLbls>
        <c:axId val="552914872"/>
        <c:axId val="552907816"/>
      </c:scatterChart>
      <c:valAx>
        <c:axId val="552914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907816"/>
        <c:crossesAt val="-1.5000000000000005E-3"/>
        <c:crossBetween val="midCat"/>
      </c:valAx>
      <c:valAx>
        <c:axId val="5529078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91487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-26.816562794657003</c:v>
                </c:pt>
                <c:pt idx="1">
                  <c:v>-26.616597367554924</c:v>
                </c:pt>
                <c:pt idx="2">
                  <c:v>-26.416429111842792</c:v>
                </c:pt>
                <c:pt idx="3">
                  <c:v>-26.215855198910571</c:v>
                </c:pt>
                <c:pt idx="4">
                  <c:v>-26.014672800148215</c:v>
                </c:pt>
                <c:pt idx="5">
                  <c:v>-25.812679086945682</c:v>
                </c:pt>
                <c:pt idx="6">
                  <c:v>-25.609671230692914</c:v>
                </c:pt>
                <c:pt idx="7">
                  <c:v>-25.40544640277988</c:v>
                </c:pt>
                <c:pt idx="8">
                  <c:v>-25.199801774596526</c:v>
                </c:pt>
                <c:pt idx="9">
                  <c:v>-24.99253451753281</c:v>
                </c:pt>
                <c:pt idx="10">
                  <c:v>-24.783441802978682</c:v>
                </c:pt>
                <c:pt idx="11">
                  <c:v>-24.5723208023241</c:v>
                </c:pt>
                <c:pt idx="12">
                  <c:v>-24.358968686959024</c:v>
                </c:pt>
                <c:pt idx="13">
                  <c:v>-24.143182628273394</c:v>
                </c:pt>
                <c:pt idx="14">
                  <c:v>-23.924759797657174</c:v>
                </c:pt>
                <c:pt idx="15">
                  <c:v>-23.703497366500322</c:v>
                </c:pt>
                <c:pt idx="16">
                  <c:v>-23.479192506192788</c:v>
                </c:pt>
                <c:pt idx="17">
                  <c:v>-23.251642388124527</c:v>
                </c:pt>
                <c:pt idx="18">
                  <c:v>-23.020644183685494</c:v>
                </c:pt>
                <c:pt idx="19">
                  <c:v>-22.785995064265641</c:v>
                </c:pt>
                <c:pt idx="20">
                  <c:v>-22.547492201254929</c:v>
                </c:pt>
                <c:pt idx="21">
                  <c:v>-22.304932766043308</c:v>
                </c:pt>
                <c:pt idx="22">
                  <c:v>-22.058113930020728</c:v>
                </c:pt>
                <c:pt idx="23">
                  <c:v>-21.806832864577149</c:v>
                </c:pt>
                <c:pt idx="24">
                  <c:v>-21.550886741102531</c:v>
                </c:pt>
                <c:pt idx="25">
                  <c:v>-21.290072730986818</c:v>
                </c:pt>
                <c:pt idx="26">
                  <c:v>-21.024188005619969</c:v>
                </c:pt>
                <c:pt idx="27">
                  <c:v>-20.753029736391941</c:v>
                </c:pt>
                <c:pt idx="28">
                  <c:v>-20.476395094692684</c:v>
                </c:pt>
                <c:pt idx="29">
                  <c:v>-20.194081251912156</c:v>
                </c:pt>
                <c:pt idx="30">
                  <c:v>-19.905885379440313</c:v>
                </c:pt>
                <c:pt idx="31">
                  <c:v>-19.611604648667104</c:v>
                </c:pt>
                <c:pt idx="32">
                  <c:v>-19.311036230982488</c:v>
                </c:pt>
                <c:pt idx="33">
                  <c:v>-19.003977297776416</c:v>
                </c:pt>
                <c:pt idx="34">
                  <c:v>-18.690225020438845</c:v>
                </c:pt>
                <c:pt idx="35">
                  <c:v>-18.369576570359733</c:v>
                </c:pt>
                <c:pt idx="36">
                  <c:v>-18.041829118929027</c:v>
                </c:pt>
                <c:pt idx="37">
                  <c:v>-17.706779837536686</c:v>
                </c:pt>
                <c:pt idx="38">
                  <c:v>-17.364225897572663</c:v>
                </c:pt>
                <c:pt idx="39">
                  <c:v>-17.013964470426917</c:v>
                </c:pt>
                <c:pt idx="40">
                  <c:v>-16.655792727489398</c:v>
                </c:pt>
                <c:pt idx="41">
                  <c:v>-16.481428919082905</c:v>
                </c:pt>
                <c:pt idx="42">
                  <c:v>-16.299407923666291</c:v>
                </c:pt>
                <c:pt idx="43">
                  <c:v>-16.110185698631255</c:v>
                </c:pt>
                <c:pt idx="44">
                  <c:v>-15.914218201369502</c:v>
                </c:pt>
                <c:pt idx="45">
                  <c:v>-15.711961389272727</c:v>
                </c:pt>
                <c:pt idx="46">
                  <c:v>-15.503871219732629</c:v>
                </c:pt>
                <c:pt idx="47">
                  <c:v>-15.290403650140908</c:v>
                </c:pt>
                <c:pt idx="48">
                  <c:v>-15.072014637889261</c:v>
                </c:pt>
                <c:pt idx="49">
                  <c:v>-14.849160140369392</c:v>
                </c:pt>
                <c:pt idx="50">
                  <c:v>-14.622296114972993</c:v>
                </c:pt>
                <c:pt idx="51">
                  <c:v>-14.391878519091767</c:v>
                </c:pt>
                <c:pt idx="52">
                  <c:v>-14.158363310117416</c:v>
                </c:pt>
                <c:pt idx="53">
                  <c:v>-13.922206445441631</c:v>
                </c:pt>
                <c:pt idx="54">
                  <c:v>-13.683863882456116</c:v>
                </c:pt>
                <c:pt idx="55">
                  <c:v>-13.44379157855257</c:v>
                </c:pt>
                <c:pt idx="56">
                  <c:v>-13.202445491122692</c:v>
                </c:pt>
                <c:pt idx="57">
                  <c:v>-12.960281577558181</c:v>
                </c:pt>
                <c:pt idx="58">
                  <c:v>-12.717755795250733</c:v>
                </c:pt>
                <c:pt idx="59">
                  <c:v>-12.475324101592051</c:v>
                </c:pt>
                <c:pt idx="60">
                  <c:v>-12.233442453973833</c:v>
                </c:pt>
                <c:pt idx="61">
                  <c:v>-11.992566809787775</c:v>
                </c:pt>
                <c:pt idx="62">
                  <c:v>-11.753153126425579</c:v>
                </c:pt>
                <c:pt idx="63">
                  <c:v>-11.515657361278942</c:v>
                </c:pt>
                <c:pt idx="64">
                  <c:v>-11.280535471739567</c:v>
                </c:pt>
                <c:pt idx="65">
                  <c:v>-11.048243415199147</c:v>
                </c:pt>
                <c:pt idx="66">
                  <c:v>-10.819143721610326</c:v>
                </c:pt>
                <c:pt idx="67">
                  <c:v>-10.593225211169488</c:v>
                </c:pt>
                <c:pt idx="68">
                  <c:v>-10.370383276633969</c:v>
                </c:pt>
                <c:pt idx="69">
                  <c:v>-10.150513310761101</c:v>
                </c:pt>
                <c:pt idx="70">
                  <c:v>-9.9335107063082067</c:v>
                </c:pt>
                <c:pt idx="71">
                  <c:v>-9.7192708560326189</c:v>
                </c:pt>
                <c:pt idx="72">
                  <c:v>-9.50768915269167</c:v>
                </c:pt>
                <c:pt idx="73">
                  <c:v>-9.2986609890426877</c:v>
                </c:pt>
                <c:pt idx="74">
                  <c:v>-9.0920817578430029</c:v>
                </c:pt>
                <c:pt idx="75">
                  <c:v>-8.8878468518499449</c:v>
                </c:pt>
                <c:pt idx="76">
                  <c:v>-8.6858516638208449</c:v>
                </c:pt>
                <c:pt idx="77">
                  <c:v>-8.485991586513034</c:v>
                </c:pt>
                <c:pt idx="78">
                  <c:v>-8.2881620126838396</c:v>
                </c:pt>
                <c:pt idx="79">
                  <c:v>-8.0922583350905928</c:v>
                </c:pt>
                <c:pt idx="80">
                  <c:v>-7.8981759464906229</c:v>
                </c:pt>
                <c:pt idx="81">
                  <c:v>-7.7058102396412629</c:v>
                </c:pt>
                <c:pt idx="82">
                  <c:v>-7.5150566072998384</c:v>
                </c:pt>
                <c:pt idx="83">
                  <c:v>-7.325810442223684</c:v>
                </c:pt>
                <c:pt idx="84">
                  <c:v>-7.1379671371701257</c:v>
                </c:pt>
                <c:pt idx="85">
                  <c:v>-6.951422084896496</c:v>
                </c:pt>
                <c:pt idx="86">
                  <c:v>-6.7660706781601254</c:v>
                </c:pt>
                <c:pt idx="87">
                  <c:v>-6.5818083097183413</c:v>
                </c:pt>
                <c:pt idx="88">
                  <c:v>-6.3985303723284757</c:v>
                </c:pt>
                <c:pt idx="89">
                  <c:v>-6.2161322587478587</c:v>
                </c:pt>
                <c:pt idx="90">
                  <c:v>-6.0345093617338197</c:v>
                </c:pt>
                <c:pt idx="91">
                  <c:v>-5.8535412427017954</c:v>
                </c:pt>
                <c:pt idx="92">
                  <c:v>-5.6730441376996472</c:v>
                </c:pt>
                <c:pt idx="93">
                  <c:v>-5.4928184514333438</c:v>
                </c:pt>
                <c:pt idx="94">
                  <c:v>-5.312664588608853</c:v>
                </c:pt>
                <c:pt idx="95">
                  <c:v>-5.1323829539321428</c:v>
                </c:pt>
                <c:pt idx="96">
                  <c:v>-4.9517739521091819</c:v>
                </c:pt>
                <c:pt idx="97">
                  <c:v>-4.7706379878459382</c:v>
                </c:pt>
                <c:pt idx="98">
                  <c:v>-4.5887754658483795</c:v>
                </c:pt>
                <c:pt idx="99">
                  <c:v>-4.4059867908224737</c:v>
                </c:pt>
                <c:pt idx="100">
                  <c:v>-4.2220723674741905</c:v>
                </c:pt>
                <c:pt idx="101">
                  <c:v>-4.0368326005094968</c:v>
                </c:pt>
                <c:pt idx="102">
                  <c:v>-3.8500678946343605</c:v>
                </c:pt>
                <c:pt idx="103">
                  <c:v>-3.6615786545547504</c:v>
                </c:pt>
                <c:pt idx="104">
                  <c:v>-3.4711652849766348</c:v>
                </c:pt>
                <c:pt idx="105">
                  <c:v>-3.2786281906059815</c:v>
                </c:pt>
                <c:pt idx="106">
                  <c:v>-3.0837677761487585</c:v>
                </c:pt>
                <c:pt idx="107">
                  <c:v>-2.8863844463109336</c:v>
                </c:pt>
                <c:pt idx="108">
                  <c:v>-2.6862786057984764</c:v>
                </c:pt>
                <c:pt idx="109">
                  <c:v>-2.4832506593173536</c:v>
                </c:pt>
                <c:pt idx="110">
                  <c:v>-2.2771010115735342</c:v>
                </c:pt>
                <c:pt idx="111">
                  <c:v>-2.0676300672729857</c:v>
                </c:pt>
                <c:pt idx="112">
                  <c:v>-1.8546382311216769</c:v>
                </c:pt>
                <c:pt idx="113">
                  <c:v>-1.6379259078255752</c:v>
                </c:pt>
                <c:pt idx="114">
                  <c:v>-1.4172935020906494</c:v>
                </c:pt>
                <c:pt idx="115">
                  <c:v>-1.1925414186228673</c:v>
                </c:pt>
                <c:pt idx="116">
                  <c:v>-0.96347006212819741</c:v>
                </c:pt>
                <c:pt idx="117">
                  <c:v>-0.72987983731260753</c:v>
                </c:pt>
                <c:pt idx="118">
                  <c:v>-0.49157114888206593</c:v>
                </c:pt>
                <c:pt idx="119">
                  <c:v>-0.24834440154254067</c:v>
                </c:pt>
                <c:pt idx="120">
                  <c:v>-1.1102230246251565E-16</c:v>
                </c:pt>
                <c:pt idx="121">
                  <c:v>0.25361142565411204</c:v>
                </c:pt>
                <c:pt idx="122">
                  <c:v>0.51243834378644959</c:v>
                </c:pt>
                <c:pt idx="123">
                  <c:v>0.77637899737819005</c:v>
                </c:pt>
                <c:pt idx="124">
                  <c:v>1.0453316294105113</c:v>
                </c:pt>
                <c:pt idx="125">
                  <c:v>1.3191944828645912</c:v>
                </c:pt>
                <c:pt idx="126">
                  <c:v>1.597865800721608</c:v>
                </c:pt>
                <c:pt idx="127">
                  <c:v>1.8812438259627391</c:v>
                </c:pt>
                <c:pt idx="128">
                  <c:v>2.1692268015691627</c:v>
                </c:pt>
                <c:pt idx="129">
                  <c:v>2.4617129705220564</c:v>
                </c:pt>
                <c:pt idx="130">
                  <c:v>2.758600575802598</c:v>
                </c:pt>
                <c:pt idx="131">
                  <c:v>3.0597878603919662</c:v>
                </c:pt>
                <c:pt idx="132">
                  <c:v>3.3651730672713378</c:v>
                </c:pt>
                <c:pt idx="133">
                  <c:v>3.6746544394218912</c:v>
                </c:pt>
                <c:pt idx="134">
                  <c:v>3.9881302198248032</c:v>
                </c:pt>
                <c:pt idx="135">
                  <c:v>4.3054986514612539</c:v>
                </c:pt>
                <c:pt idx="136">
                  <c:v>4.6266579773124192</c:v>
                </c:pt>
                <c:pt idx="137">
                  <c:v>4.951506440359478</c:v>
                </c:pt>
                <c:pt idx="138">
                  <c:v>5.2799422835836083</c:v>
                </c:pt>
                <c:pt idx="139">
                  <c:v>5.6118637499659858</c:v>
                </c:pt>
                <c:pt idx="140">
                  <c:v>5.9471690824877914</c:v>
                </c:pt>
                <c:pt idx="141">
                  <c:v>6.2857565241302016</c:v>
                </c:pt>
                <c:pt idx="142">
                  <c:v>6.6275243178743937</c:v>
                </c:pt>
                <c:pt idx="143">
                  <c:v>6.9723707067015468</c:v>
                </c:pt>
                <c:pt idx="144">
                  <c:v>7.3201939335928383</c:v>
                </c:pt>
                <c:pt idx="145">
                  <c:v>7.6708922415294447</c:v>
                </c:pt>
                <c:pt idx="146">
                  <c:v>8.0243638734925469</c:v>
                </c:pt>
                <c:pt idx="147">
                  <c:v>8.3805070724633168</c:v>
                </c:pt>
                <c:pt idx="148">
                  <c:v>8.739220081422939</c:v>
                </c:pt>
                <c:pt idx="149">
                  <c:v>9.10040114335259</c:v>
                </c:pt>
                <c:pt idx="150">
                  <c:v>9.4639485012334461</c:v>
                </c:pt>
                <c:pt idx="151">
                  <c:v>9.8297603980466839</c:v>
                </c:pt>
                <c:pt idx="152">
                  <c:v>10.197735076773483</c:v>
                </c:pt>
                <c:pt idx="153">
                  <c:v>10.567770780395023</c:v>
                </c:pt>
                <c:pt idx="154">
                  <c:v>10.939765751892478</c:v>
                </c:pt>
                <c:pt idx="155">
                  <c:v>11.313618234247029</c:v>
                </c:pt>
                <c:pt idx="156">
                  <c:v>11.689226470439852</c:v>
                </c:pt>
                <c:pt idx="157">
                  <c:v>12.066488703452126</c:v>
                </c:pt>
                <c:pt idx="158">
                  <c:v>12.445303176265027</c:v>
                </c:pt>
                <c:pt idx="159">
                  <c:v>12.825568131859734</c:v>
                </c:pt>
                <c:pt idx="160">
                  <c:v>13.207181813217426</c:v>
                </c:pt>
                <c:pt idx="161">
                  <c:v>13.59004246331928</c:v>
                </c:pt>
                <c:pt idx="162">
                  <c:v>13.974048325146475</c:v>
                </c:pt>
                <c:pt idx="163">
                  <c:v>14.359097641680187</c:v>
                </c:pt>
                <c:pt idx="164">
                  <c:v>14.745088655901593</c:v>
                </c:pt>
                <c:pt idx="165">
                  <c:v>15.131919610791874</c:v>
                </c:pt>
                <c:pt idx="166">
                  <c:v>15.519502193675104</c:v>
                </c:pt>
                <c:pt idx="167">
                  <c:v>15.907801869246956</c:v>
                </c:pt>
                <c:pt idx="168">
                  <c:v>16.296797546545999</c:v>
                </c:pt>
                <c:pt idx="169">
                  <c:v>16.686468134610799</c:v>
                </c:pt>
                <c:pt idx="170">
                  <c:v>17.076792542479936</c:v>
                </c:pt>
                <c:pt idx="171">
                  <c:v>17.467749679191972</c:v>
                </c:pt>
                <c:pt idx="172">
                  <c:v>17.85931845378548</c:v>
                </c:pt>
                <c:pt idx="173">
                  <c:v>18.25147777529903</c:v>
                </c:pt>
                <c:pt idx="174">
                  <c:v>18.644206552771188</c:v>
                </c:pt>
                <c:pt idx="175">
                  <c:v>19.037483695240528</c:v>
                </c:pt>
                <c:pt idx="176">
                  <c:v>19.431288111745616</c:v>
                </c:pt>
                <c:pt idx="177">
                  <c:v>19.825598711325028</c:v>
                </c:pt>
                <c:pt idx="178">
                  <c:v>20.22039440301733</c:v>
                </c:pt>
                <c:pt idx="179">
                  <c:v>20.615654095861096</c:v>
                </c:pt>
                <c:pt idx="180">
                  <c:v>21.01135669889489</c:v>
                </c:pt>
                <c:pt idx="181">
                  <c:v>21.407481121157286</c:v>
                </c:pt>
                <c:pt idx="182">
                  <c:v>21.804006271686852</c:v>
                </c:pt>
                <c:pt idx="183">
                  <c:v>22.200911059522156</c:v>
                </c:pt>
                <c:pt idx="184">
                  <c:v>22.598174393701772</c:v>
                </c:pt>
                <c:pt idx="185">
                  <c:v>22.995775183264271</c:v>
                </c:pt>
                <c:pt idx="186">
                  <c:v>23.393692337248218</c:v>
                </c:pt>
                <c:pt idx="187">
                  <c:v>23.791904764692188</c:v>
                </c:pt>
                <c:pt idx="188">
                  <c:v>24.190391374634746</c:v>
                </c:pt>
                <c:pt idx="189">
                  <c:v>24.589131076114466</c:v>
                </c:pt>
                <c:pt idx="190">
                  <c:v>24.988102778169917</c:v>
                </c:pt>
                <c:pt idx="191">
                  <c:v>25.387285389839668</c:v>
                </c:pt>
                <c:pt idx="192">
                  <c:v>25.786657820162286</c:v>
                </c:pt>
                <c:pt idx="193">
                  <c:v>26.186198978176346</c:v>
                </c:pt>
                <c:pt idx="194">
                  <c:v>26.585887772920415</c:v>
                </c:pt>
                <c:pt idx="195">
                  <c:v>26.985703113433068</c:v>
                </c:pt>
                <c:pt idx="196">
                  <c:v>27.385623908752869</c:v>
                </c:pt>
                <c:pt idx="197">
                  <c:v>27.785629067918393</c:v>
                </c:pt>
                <c:pt idx="198">
                  <c:v>28.185697499968203</c:v>
                </c:pt>
                <c:pt idx="199">
                  <c:v>28.585808113940878</c:v>
                </c:pt>
                <c:pt idx="200">
                  <c:v>28.985939818874979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-26.816562794657003</c:v>
                </c:pt>
                <c:pt idx="1">
                  <c:v>-16.655792727489398</c:v>
                </c:pt>
                <c:pt idx="2">
                  <c:v>-11.048243415199147</c:v>
                </c:pt>
                <c:pt idx="3">
                  <c:v>-6.0345093617338197</c:v>
                </c:pt>
                <c:pt idx="4">
                  <c:v>0</c:v>
                </c:pt>
                <c:pt idx="5">
                  <c:v>15.131919610791874</c:v>
                </c:pt>
                <c:pt idx="6">
                  <c:v>28.985939818874979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-26.740501067205791</c:v>
                </c:pt>
                <c:pt idx="1">
                  <c:v>-26.576672689701955</c:v>
                </c:pt>
                <c:pt idx="2">
                  <c:v>-26.406404334239255</c:v>
                </c:pt>
                <c:pt idx="3">
                  <c:v>-26.229882508975983</c:v>
                </c:pt>
                <c:pt idx="4">
                  <c:v>-26.047296169098608</c:v>
                </c:pt>
                <c:pt idx="5">
                  <c:v>-25.858836603416449</c:v>
                </c:pt>
                <c:pt idx="6">
                  <c:v>-25.664697307977033</c:v>
                </c:pt>
                <c:pt idx="7">
                  <c:v>-25.46507384748449</c:v>
                </c:pt>
                <c:pt idx="8">
                  <c:v>-25.260163705290374</c:v>
                </c:pt>
                <c:pt idx="9">
                  <c:v>-25.050166122712668</c:v>
                </c:pt>
                <c:pt idx="10">
                  <c:v>-24.835281928426049</c:v>
                </c:pt>
                <c:pt idx="11">
                  <c:v>-24.615713358652858</c:v>
                </c:pt>
                <c:pt idx="12">
                  <c:v>-24.391663868871184</c:v>
                </c:pt>
                <c:pt idx="13">
                  <c:v>-24.163337937743243</c:v>
                </c:pt>
                <c:pt idx="14">
                  <c:v>-23.930940863953921</c:v>
                </c:pt>
                <c:pt idx="15">
                  <c:v>-23.694678556636397</c:v>
                </c:pt>
                <c:pt idx="16">
                  <c:v>-23.454757320048184</c:v>
                </c:pt>
                <c:pt idx="17">
                  <c:v>-23.211383633147957</c:v>
                </c:pt>
                <c:pt idx="18">
                  <c:v>-22.964763924710343</c:v>
                </c:pt>
                <c:pt idx="19">
                  <c:v>-22.71510434460248</c:v>
                </c:pt>
                <c:pt idx="20">
                  <c:v>-22.462610531832954</c:v>
                </c:pt>
                <c:pt idx="21">
                  <c:v>-22.207487379970754</c:v>
                </c:pt>
                <c:pt idx="22">
                  <c:v>-21.949938800518321</c:v>
                </c:pt>
                <c:pt idx="23">
                  <c:v>-21.690167484809766</c:v>
                </c:pt>
                <c:pt idx="24">
                  <c:v>-21.428374664992131</c:v>
                </c:pt>
                <c:pt idx="25">
                  <c:v>-21.164759874634168</c:v>
                </c:pt>
                <c:pt idx="26">
                  <c:v>-20.899520709494233</c:v>
                </c:pt>
                <c:pt idx="27">
                  <c:v>-20.632852588965243</c:v>
                </c:pt>
                <c:pt idx="28">
                  <c:v>-20.364948518701684</c:v>
                </c:pt>
                <c:pt idx="29">
                  <c:v>-20.095998854920769</c:v>
                </c:pt>
                <c:pt idx="30">
                  <c:v>-19.826191070855604</c:v>
                </c:pt>
                <c:pt idx="31">
                  <c:v>-19.555709525826469</c:v>
                </c:pt>
                <c:pt idx="32">
                  <c:v>-19.284735237381646</c:v>
                </c:pt>
                <c:pt idx="33">
                  <c:v>-19.01344565694712</c:v>
                </c:pt>
                <c:pt idx="34">
                  <c:v>-18.742014449410615</c:v>
                </c:pt>
                <c:pt idx="35">
                  <c:v>-18.470611277052573</c:v>
                </c:pt>
                <c:pt idx="36">
                  <c:v>-18.199401588223161</c:v>
                </c:pt>
                <c:pt idx="37">
                  <c:v>-17.928546411151551</c:v>
                </c:pt>
                <c:pt idx="38">
                  <c:v>-17.658202153260081</c:v>
                </c:pt>
                <c:pt idx="39">
                  <c:v>-17.388520406343101</c:v>
                </c:pt>
                <c:pt idx="40">
                  <c:v>-17.119647757956773</c:v>
                </c:pt>
                <c:pt idx="41">
                  <c:v>-16.851725609353068</c:v>
                </c:pt>
                <c:pt idx="42">
                  <c:v>-16.584890000277927</c:v>
                </c:pt>
                <c:pt idx="43">
                  <c:v>-16.319271440940319</c:v>
                </c:pt>
                <c:pt idx="44">
                  <c:v>-16.054994751445772</c:v>
                </c:pt>
                <c:pt idx="45">
                  <c:v>-15.792178908974668</c:v>
                </c:pt>
                <c:pt idx="46">
                  <c:v>-15.53093690297249</c:v>
                </c:pt>
                <c:pt idx="47">
                  <c:v>-15.271375598605838</c:v>
                </c:pt>
                <c:pt idx="48">
                  <c:v>-15.013595608724936</c:v>
                </c:pt>
                <c:pt idx="49">
                  <c:v>-14.757691174560156</c:v>
                </c:pt>
                <c:pt idx="50">
                  <c:v>-14.503750055366748</c:v>
                </c:pt>
                <c:pt idx="51">
                  <c:v>-14.251853427218879</c:v>
                </c:pt>
                <c:pt idx="52">
                  <c:v>-14.002075791140761</c:v>
                </c:pt>
                <c:pt idx="53">
                  <c:v>-13.754484890749572</c:v>
                </c:pt>
                <c:pt idx="54">
                  <c:v>-13.509141639571485</c:v>
                </c:pt>
                <c:pt idx="55">
                  <c:v>-13.26610005817909</c:v>
                </c:pt>
                <c:pt idx="56">
                  <c:v>-13.025407221285095</c:v>
                </c:pt>
                <c:pt idx="57">
                  <c:v>-12.787103214914179</c:v>
                </c:pt>
                <c:pt idx="58">
                  <c:v>-12.551221103761455</c:v>
                </c:pt>
                <c:pt idx="59">
                  <c:v>-12.317786908832957</c:v>
                </c:pt>
                <c:pt idx="60">
                  <c:v>-12.086819595450232</c:v>
                </c:pt>
                <c:pt idx="61">
                  <c:v>-11.858331071687958</c:v>
                </c:pt>
                <c:pt idx="62">
                  <c:v>-11.632326197300319</c:v>
                </c:pt>
                <c:pt idx="63">
                  <c:v>-11.40880280317859</c:v>
                </c:pt>
                <c:pt idx="64">
                  <c:v>-11.187751721369214</c:v>
                </c:pt>
                <c:pt idx="65">
                  <c:v>-10.969156825668424</c:v>
                </c:pt>
                <c:pt idx="66">
                  <c:v>-10.752995082796284</c:v>
                </c:pt>
                <c:pt idx="67">
                  <c:v>-10.53923661413975</c:v>
                </c:pt>
                <c:pt idx="68">
                  <c:v>-10.327844768041194</c:v>
                </c:pt>
                <c:pt idx="69">
                  <c:v>-10.11877620259553</c:v>
                </c:pt>
                <c:pt idx="70">
                  <c:v>-9.9119809789060866</c:v>
                </c:pt>
                <c:pt idx="71">
                  <c:v>-9.7074026647358025</c:v>
                </c:pt>
                <c:pt idx="72">
                  <c:v>-9.5049784484774733</c:v>
                </c:pt>
                <c:pt idx="73">
                  <c:v>-9.3046392633533213</c:v>
                </c:pt>
                <c:pt idx="74">
                  <c:v>-9.106309921741035</c:v>
                </c:pt>
                <c:pt idx="75">
                  <c:v>-8.9099092595102185</c:v>
                </c:pt>
                <c:pt idx="76">
                  <c:v>-8.7153502902399573</c:v>
                </c:pt>
                <c:pt idx="77">
                  <c:v>-8.5225403691749673</c:v>
                </c:pt>
                <c:pt idx="78">
                  <c:v>-8.3313813667646865</c:v>
                </c:pt>
                <c:pt idx="79">
                  <c:v>-8.1417698516162602</c:v>
                </c:pt>
                <c:pt idx="80">
                  <c:v>-7.9535972826793921</c:v>
                </c:pt>
                <c:pt idx="81">
                  <c:v>-7.7667502104676416</c:v>
                </c:pt>
                <c:pt idx="82">
                  <c:v>-7.5811104871076074</c:v>
                </c:pt>
                <c:pt idx="83">
                  <c:v>-7.3965554849941952</c:v>
                </c:pt>
                <c:pt idx="84">
                  <c:v>-7.2129583238170412</c:v>
                </c:pt>
                <c:pt idx="85">
                  <c:v>-7.0301881057097599</c:v>
                </c:pt>
                <c:pt idx="86">
                  <c:v>-6.8481101582607211</c:v>
                </c:pt>
                <c:pt idx="87">
                  <c:v>-6.6665862851106201</c:v>
                </c:pt>
                <c:pt idx="88">
                  <c:v>-6.4854750238490304</c:v>
                </c:pt>
                <c:pt idx="89">
                  <c:v>-6.3046319109088804</c:v>
                </c:pt>
                <c:pt idx="90">
                  <c:v>-6.1239097531445301</c:v>
                </c:pt>
                <c:pt idx="91">
                  <c:v>-5.943158905766027</c:v>
                </c:pt>
                <c:pt idx="92">
                  <c:v>-5.7622275562887486</c:v>
                </c:pt>
                <c:pt idx="93">
                  <c:v>-5.5809620141445846</c:v>
                </c:pt>
                <c:pt idx="94">
                  <c:v>-5.3992070055874857</c:v>
                </c:pt>
                <c:pt idx="95">
                  <c:v>-5.2168059735130354</c:v>
                </c:pt>
                <c:pt idx="96">
                  <c:v>-5.0336013817984959</c:v>
                </c:pt>
                <c:pt idx="97">
                  <c:v>-4.849435023756544</c:v>
                </c:pt>
                <c:pt idx="98">
                  <c:v>-4.6641483342827126</c:v>
                </c:pt>
                <c:pt idx="99">
                  <c:v>-4.4775827052633339</c:v>
                </c:pt>
                <c:pt idx="100">
                  <c:v>-4.2895798037975643</c:v>
                </c:pt>
                <c:pt idx="101">
                  <c:v>-4.0999818927738856</c:v>
                </c:pt>
                <c:pt idx="102">
                  <c:v>-3.9086321533281949</c:v>
                </c:pt>
                <c:pt idx="103">
                  <c:v>-3.7153750086974822</c:v>
                </c:pt>
                <c:pt idx="104">
                  <c:v>-3.5200564489697803</c:v>
                </c:pt>
                <c:pt idx="105">
                  <c:v>-3.3225243562179254</c:v>
                </c:pt>
                <c:pt idx="106">
                  <c:v>-3.1226288294914339</c:v>
                </c:pt>
                <c:pt idx="107">
                  <c:v>-2.9202225091275755</c:v>
                </c:pt>
                <c:pt idx="108">
                  <c:v>-2.7151608998295225</c:v>
                </c:pt>
                <c:pt idx="109">
                  <c:v>-2.50730269194624</c:v>
                </c:pt>
                <c:pt idx="110">
                  <c:v>-2.2965100803755596</c:v>
                </c:pt>
                <c:pt idx="111">
                  <c:v>-2.0826490804986855</c:v>
                </c:pt>
                <c:pt idx="112">
                  <c:v>-1.86558984054114</c:v>
                </c:pt>
                <c:pt idx="113">
                  <c:v>-1.6452069497419597</c:v>
                </c:pt>
                <c:pt idx="114">
                  <c:v>-1.4213797416997509</c:v>
                </c:pt>
                <c:pt idx="115">
                  <c:v>-1.1939925922509655</c:v>
                </c:pt>
                <c:pt idx="116">
                  <c:v>-0.96293521122257741</c:v>
                </c:pt>
                <c:pt idx="117">
                  <c:v>-0.72810292738811344</c:v>
                </c:pt>
                <c:pt idx="118">
                  <c:v>-0.48939696594277338</c:v>
                </c:pt>
                <c:pt idx="119">
                  <c:v>-0.24672471780016925</c:v>
                </c:pt>
                <c:pt idx="120">
                  <c:v>0</c:v>
                </c:pt>
                <c:pt idx="121">
                  <c:v>0.2508566934972441</c:v>
                </c:pt>
                <c:pt idx="122">
                  <c:v>0.50591795136565643</c:v>
                </c:pt>
                <c:pt idx="123">
                  <c:v>0.76524921556969838</c:v>
                </c:pt>
                <c:pt idx="124">
                  <c:v>1.028908563883933</c:v>
                </c:pt>
                <c:pt idx="125">
                  <c:v>1.2969465050534603</c:v>
                </c:pt>
                <c:pt idx="126">
                  <c:v>1.5694057873850276</c:v>
                </c:pt>
                <c:pt idx="127">
                  <c:v>1.8463212215719911</c:v>
                </c:pt>
                <c:pt idx="128">
                  <c:v>2.1277195185695246</c:v>
                </c:pt>
                <c:pt idx="129">
                  <c:v>2.4136191433496843</c:v>
                </c:pt>
                <c:pt idx="130">
                  <c:v>2.7040301853791635</c:v>
                </c:pt>
                <c:pt idx="131">
                  <c:v>2.9989542466757388</c:v>
                </c:pt>
                <c:pt idx="132">
                  <c:v>3.2983843483127102</c:v>
                </c:pt>
                <c:pt idx="133">
                  <c:v>3.6023048562537419</c:v>
                </c:pt>
                <c:pt idx="134">
                  <c:v>3.9106914274138229</c:v>
                </c:pt>
                <c:pt idx="135">
                  <c:v>4.2235109768552173</c:v>
                </c:pt>
                <c:pt idx="136">
                  <c:v>4.5407216670405015</c:v>
                </c:pt>
                <c:pt idx="137">
                  <c:v>4.8622729200780439</c:v>
                </c:pt>
                <c:pt idx="138">
                  <c:v>5.1881054539083884</c:v>
                </c:pt>
                <c:pt idx="139">
                  <c:v>5.5181513433933658</c:v>
                </c:pt>
                <c:pt idx="140">
                  <c:v>5.8523341072828243</c:v>
                </c:pt>
                <c:pt idx="141">
                  <c:v>6.1905688220472026</c:v>
                </c:pt>
                <c:pt idx="142">
                  <c:v>6.532762263577288</c:v>
                </c:pt>
                <c:pt idx="143">
                  <c:v>6.8788130777657779</c:v>
                </c:pt>
                <c:pt idx="144">
                  <c:v>7.228611980998469</c:v>
                </c:pt>
                <c:pt idx="145">
                  <c:v>7.5820419915960757</c:v>
                </c:pt>
                <c:pt idx="146">
                  <c:v>7.9389786932609265</c:v>
                </c:pt>
                <c:pt idx="147">
                  <c:v>8.2992905315960002</c:v>
                </c:pt>
                <c:pt idx="148">
                  <c:v>8.6628391447769566</c:v>
                </c:pt>
                <c:pt idx="149">
                  <c:v>9.0294797294710349</c:v>
                </c:pt>
                <c:pt idx="150">
                  <c:v>9.3990614431099431</c:v>
                </c:pt>
                <c:pt idx="151">
                  <c:v>9.7714278436370137</c:v>
                </c:pt>
                <c:pt idx="152">
                  <c:v>10.146417367862163</c:v>
                </c:pt>
                <c:pt idx="153">
                  <c:v>10.523863849571374</c:v>
                </c:pt>
                <c:pt idx="154">
                  <c:v>10.903597078550684</c:v>
                </c:pt>
                <c:pt idx="155">
                  <c:v>11.285443401697783</c:v>
                </c:pt>
                <c:pt idx="156">
                  <c:v>11.669226367407651</c:v>
                </c:pt>
                <c:pt idx="157">
                  <c:v>12.054767414431804</c:v>
                </c:pt>
                <c:pt idx="158">
                  <c:v>12.441886606423932</c:v>
                </c:pt>
                <c:pt idx="159">
                  <c:v>12.83040341339796</c:v>
                </c:pt>
                <c:pt idx="160">
                  <c:v>13.220137541337783</c:v>
                </c:pt>
                <c:pt idx="161">
                  <c:v>13.610909811211084</c:v>
                </c:pt>
                <c:pt idx="162">
                  <c:v>14.002543088652876</c:v>
                </c:pt>
                <c:pt idx="163">
                  <c:v>14.394863265597733</c:v>
                </c:pt>
                <c:pt idx="164">
                  <c:v>14.787700295152632</c:v>
                </c:pt>
                <c:pt idx="165">
                  <c:v>15.180889281015888</c:v>
                </c:pt>
                <c:pt idx="166">
                  <c:v>15.57427162276055</c:v>
                </c:pt>
                <c:pt idx="167">
                  <c:v>15.967696218314032</c:v>
                </c:pt>
                <c:pt idx="168">
                  <c:v>16.361020724978932</c:v>
                </c:pt>
                <c:pt idx="169">
                  <c:v>16.75411288035318</c:v>
                </c:pt>
                <c:pt idx="170">
                  <c:v>17.146851884520867</c:v>
                </c:pt>
                <c:pt idx="171">
                  <c:v>17.53912984489833</c:v>
                </c:pt>
                <c:pt idx="172">
                  <c:v>17.930853285133331</c:v>
                </c:pt>
                <c:pt idx="173">
                  <c:v>18.321944719468256</c:v>
                </c:pt>
                <c:pt idx="174">
                  <c:v>18.712344293991631</c:v>
                </c:pt>
                <c:pt idx="175">
                  <c:v>19.102011496215354</c:v>
                </c:pt>
                <c:pt idx="176">
                  <c:v>19.490926934428256</c:v>
                </c:pt>
                <c:pt idx="177">
                  <c:v>19.879094188289947</c:v>
                </c:pt>
                <c:pt idx="178">
                  <c:v>20.266541732141871</c:v>
                </c:pt>
                <c:pt idx="179">
                  <c:v>20.653324932526047</c:v>
                </c:pt>
                <c:pt idx="180">
                  <c:v>21.039528121414794</c:v>
                </c:pt>
                <c:pt idx="181">
                  <c:v>21.425266746668299</c:v>
                </c:pt>
                <c:pt idx="182">
                  <c:v>21.810689601249933</c:v>
                </c:pt>
                <c:pt idx="183">
                  <c:v>22.195981132742411</c:v>
                </c:pt>
                <c:pt idx="184">
                  <c:v>22.581363834721117</c:v>
                </c:pt>
                <c:pt idx="185">
                  <c:v>22.967100721554317</c:v>
                </c:pt>
                <c:pt idx="186">
                  <c:v>23.353497888212875</c:v>
                </c:pt>
                <c:pt idx="187">
                  <c:v>23.740907156685545</c:v>
                </c:pt>
                <c:pt idx="188">
                  <c:v>24.129728810609059</c:v>
                </c:pt>
                <c:pt idx="189">
                  <c:v>24.520414419735378</c:v>
                </c:pt>
                <c:pt idx="190">
                  <c:v>24.913469755871798</c:v>
                </c:pt>
                <c:pt idx="191">
                  <c:v>25.309457801942756</c:v>
                </c:pt>
                <c:pt idx="192">
                  <c:v>25.709001855835346</c:v>
                </c:pt>
                <c:pt idx="193">
                  <c:v>26.112788730703826</c:v>
                </c:pt>
                <c:pt idx="194">
                  <c:v>26.521572053421778</c:v>
                </c:pt>
                <c:pt idx="195">
                  <c:v>26.936175662883286</c:v>
                </c:pt>
                <c:pt idx="196">
                  <c:v>27.357497109868394</c:v>
                </c:pt>
                <c:pt idx="197">
                  <c:v>27.786511260200818</c:v>
                </c:pt>
                <c:pt idx="198">
                  <c:v>28.224274002939175</c:v>
                </c:pt>
                <c:pt idx="199">
                  <c:v>28.671926065356434</c:v>
                </c:pt>
                <c:pt idx="200">
                  <c:v>29.130696936475374</c:v>
                </c:pt>
              </c:numCache>
            </c:numRef>
          </c:yVal>
          <c:smooth val="1"/>
        </c:ser>
        <c:dLbls>
          <c:showLegendKey val="0"/>
          <c:showVal val="0"/>
          <c:showCatName val="0"/>
          <c:showSerName val="0"/>
          <c:showPercent val="0"/>
          <c:showBubbleSize val="0"/>
        </c:dLbls>
        <c:axId val="552907424"/>
        <c:axId val="552909384"/>
      </c:scatterChart>
      <c:valAx>
        <c:axId val="55290742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909384"/>
        <c:crossesAt val="-1000"/>
        <c:crossBetween val="midCat"/>
      </c:valAx>
      <c:valAx>
        <c:axId val="55290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290742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0.24877802325401904</v>
      </c>
      <c r="D59" s="55">
        <v>1</v>
      </c>
    </row>
    <row r="60" spans="1:4" s="11" customFormat="1" x14ac:dyDescent="0.25">
      <c r="A60" s="54">
        <v>2</v>
      </c>
      <c r="B60" s="56">
        <f>'Shiftfunktion bestimmen'!N2</f>
        <v>2.0662761337535379E-3</v>
      </c>
      <c r="D60" s="55">
        <v>2</v>
      </c>
    </row>
    <row r="61" spans="1:4" s="11" customFormat="1" x14ac:dyDescent="0.25">
      <c r="A61" s="54">
        <v>3</v>
      </c>
      <c r="B61" s="56">
        <f>'Shiftfunktion bestimmen'!N3</f>
        <v>1.2684354093517295E-5</v>
      </c>
      <c r="D61" s="55">
        <v>3</v>
      </c>
    </row>
    <row r="62" spans="1:4" s="11" customFormat="1" x14ac:dyDescent="0.25">
      <c r="A62" s="54">
        <v>4</v>
      </c>
      <c r="B62" s="56">
        <f>'Shiftfunktion bestimmen'!N4</f>
        <v>-2.8830062911579725E-7</v>
      </c>
      <c r="D62" s="55">
        <v>4</v>
      </c>
    </row>
    <row r="63" spans="1:4" s="11" customFormat="1" x14ac:dyDescent="0.25">
      <c r="A63" s="54">
        <v>5</v>
      </c>
      <c r="B63" s="56">
        <f>'Shiftfunktion bestimmen'!N5</f>
        <v>-1.9595560962509799E-9</v>
      </c>
      <c r="D63" s="55">
        <v>5</v>
      </c>
    </row>
    <row r="64" spans="1:4" s="11" customFormat="1" x14ac:dyDescent="0.25">
      <c r="A64" s="54">
        <v>6</v>
      </c>
      <c r="B64" s="56">
        <f>'Shiftfunktion bestimmen'!N6</f>
        <v>1.5412645871905667E-11</v>
      </c>
      <c r="D64" s="55">
        <v>6</v>
      </c>
    </row>
    <row r="65" spans="1:5" s="11" customFormat="1" x14ac:dyDescent="0.25">
      <c r="A65" s="54">
        <v>7</v>
      </c>
      <c r="B65" s="56">
        <f>'Shiftfunktion bestimmen'!N7</f>
        <v>1.5018532787365457E-13</v>
      </c>
      <c r="D65" s="55">
        <v>7</v>
      </c>
    </row>
    <row r="66" spans="1:5" x14ac:dyDescent="0.25">
      <c r="A66" s="54">
        <v>8</v>
      </c>
      <c r="B66" s="56">
        <f>'Shiftfunktion bestimmen'!N8</f>
        <v>3.277173414080583E-16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4.239754864540396E-2</v>
      </c>
      <c r="D76" s="51">
        <v>3</v>
      </c>
      <c r="E76" s="56">
        <f>'Universal Mastercurve'!A113</f>
        <v>4.3276437088188502E-13</v>
      </c>
    </row>
    <row r="77" spans="1:5" x14ac:dyDescent="0.25">
      <c r="A77" s="50">
        <f t="shared" si="0"/>
        <v>4</v>
      </c>
      <c r="B77" s="56">
        <f>'Universal Mastercurve'!C114</f>
        <v>2.199356505994161E-2</v>
      </c>
      <c r="D77" s="51">
        <v>4</v>
      </c>
      <c r="E77" s="56">
        <f>'Universal Mastercurve'!A114</f>
        <v>4.7973886968128502E-12</v>
      </c>
    </row>
    <row r="78" spans="1:5" x14ac:dyDescent="0.25">
      <c r="A78" s="50">
        <f t="shared" si="0"/>
        <v>5</v>
      </c>
      <c r="B78" s="56">
        <f>'Universal Mastercurve'!C115</f>
        <v>1.7289566960990318E-2</v>
      </c>
      <c r="D78" s="51">
        <v>5</v>
      </c>
      <c r="E78" s="56">
        <f>'Universal Mastercurve'!A115</f>
        <v>5.31812225239524E-11</v>
      </c>
    </row>
    <row r="79" spans="1:5" x14ac:dyDescent="0.25">
      <c r="A79" s="50">
        <f t="shared" si="0"/>
        <v>6</v>
      </c>
      <c r="B79" s="56">
        <f>'Universal Mastercurve'!C116</f>
        <v>3.7338536557615279E-2</v>
      </c>
      <c r="D79" s="51">
        <v>6</v>
      </c>
      <c r="E79" s="56">
        <f>'Universal Mastercurve'!A116</f>
        <v>5.8953789402578301E-10</v>
      </c>
    </row>
    <row r="80" spans="1:5" x14ac:dyDescent="0.25">
      <c r="A80" s="50">
        <f t="shared" si="0"/>
        <v>7</v>
      </c>
      <c r="B80" s="56">
        <f>'Universal Mastercurve'!C117</f>
        <v>1.9725697768780606E-2</v>
      </c>
      <c r="D80" s="51">
        <v>7</v>
      </c>
      <c r="E80" s="56">
        <f>'Universal Mastercurve'!A117</f>
        <v>6.5352940755699598E-9</v>
      </c>
    </row>
    <row r="81" spans="1:5" x14ac:dyDescent="0.25">
      <c r="A81" s="50">
        <f t="shared" si="0"/>
        <v>8</v>
      </c>
      <c r="B81" s="56">
        <f>'Universal Mastercurve'!C118</f>
        <v>4.0281566569334348E-2</v>
      </c>
      <c r="D81" s="51">
        <v>8</v>
      </c>
      <c r="E81" s="56">
        <f>'Universal Mastercurve'!A118</f>
        <v>7.2446689325643296E-8</v>
      </c>
    </row>
    <row r="82" spans="1:5" x14ac:dyDescent="0.25">
      <c r="A82" s="50">
        <f t="shared" si="0"/>
        <v>9</v>
      </c>
      <c r="B82" s="56">
        <f>'Universal Mastercurve'!C119</f>
        <v>4.0884063640827022E-2</v>
      </c>
      <c r="D82" s="51">
        <f>A82</f>
        <v>9</v>
      </c>
      <c r="E82" s="56">
        <f>'Universal Mastercurve'!A119</f>
        <v>8.03104303120212E-7</v>
      </c>
    </row>
    <row r="83" spans="1:5" x14ac:dyDescent="0.25">
      <c r="A83" s="50">
        <f t="shared" si="0"/>
        <v>10</v>
      </c>
      <c r="B83" s="56">
        <f>'Universal Mastercurve'!C120</f>
        <v>3.2012874082203616E-2</v>
      </c>
      <c r="C83" s="11"/>
      <c r="D83" s="51">
        <f t="shared" ref="D83:D104" si="1">A83</f>
        <v>10</v>
      </c>
      <c r="E83" s="56">
        <f>'Universal Mastercurve'!A120</f>
        <v>8.9027742702096099E-6</v>
      </c>
    </row>
    <row r="84" spans="1:5" x14ac:dyDescent="0.25">
      <c r="A84" s="50">
        <f t="shared" si="0"/>
        <v>11</v>
      </c>
      <c r="B84" s="56">
        <f>'Universal Mastercurve'!C121</f>
        <v>3.4647167452599825E-2</v>
      </c>
      <c r="C84" s="11"/>
      <c r="D84" s="51">
        <f t="shared" si="1"/>
        <v>11</v>
      </c>
      <c r="E84" s="56">
        <f>'Universal Mastercurve'!A121</f>
        <v>9.86912775817142E-5</v>
      </c>
    </row>
    <row r="85" spans="1:5" x14ac:dyDescent="0.25">
      <c r="A85" s="50">
        <f t="shared" si="0"/>
        <v>12</v>
      </c>
      <c r="B85" s="56">
        <f>'Universal Mastercurve'!C122</f>
        <v>5.8250281759296411E-2</v>
      </c>
      <c r="C85" s="11"/>
      <c r="D85" s="51">
        <f t="shared" si="1"/>
        <v>12</v>
      </c>
      <c r="E85" s="56">
        <f>'Universal Mastercurve'!A122</f>
        <v>1.0940374286813801E-3</v>
      </c>
    </row>
    <row r="86" spans="1:5" x14ac:dyDescent="0.25">
      <c r="A86" s="50">
        <f t="shared" si="0"/>
        <v>13</v>
      </c>
      <c r="B86" s="56">
        <f>'Universal Mastercurve'!C123</f>
        <v>1.7027977881711703E-2</v>
      </c>
      <c r="C86" s="11"/>
      <c r="D86" s="51">
        <f t="shared" si="1"/>
        <v>13</v>
      </c>
      <c r="E86" s="56">
        <f>'Universal Mastercurve'!A123</f>
        <v>1.2127899493091E-2</v>
      </c>
    </row>
    <row r="87" spans="1:5" x14ac:dyDescent="0.25">
      <c r="A87" s="50">
        <f t="shared" si="0"/>
        <v>14</v>
      </c>
      <c r="B87" s="56">
        <f>'Universal Mastercurve'!C124</f>
        <v>7.0828769066940953E-2</v>
      </c>
      <c r="C87" s="11"/>
      <c r="D87" s="51">
        <f t="shared" si="1"/>
        <v>14</v>
      </c>
      <c r="E87" s="56">
        <f>'Universal Mastercurve'!A124</f>
        <v>0.13444324870292301</v>
      </c>
    </row>
    <row r="88" spans="1:5" x14ac:dyDescent="0.25">
      <c r="A88" s="50">
        <f t="shared" si="0"/>
        <v>15</v>
      </c>
      <c r="B88" s="56">
        <f>'Universal Mastercurve'!C125</f>
        <v>1.6403758078091107E-2</v>
      </c>
      <c r="C88" s="11"/>
      <c r="D88" s="51">
        <f t="shared" si="1"/>
        <v>15</v>
      </c>
      <c r="E88" s="56">
        <f>'Universal Mastercurve'!A125</f>
        <v>1.49036419143257</v>
      </c>
    </row>
    <row r="89" spans="1:5" x14ac:dyDescent="0.25">
      <c r="A89" s="50">
        <f t="shared" si="0"/>
        <v>16</v>
      </c>
      <c r="B89" s="56">
        <f>'Universal Mastercurve'!C126</f>
        <v>5.0800357821287806E-2</v>
      </c>
      <c r="C89" s="11"/>
      <c r="D89" s="51">
        <f t="shared" si="1"/>
        <v>16</v>
      </c>
      <c r="E89" s="56">
        <f>'Universal Mastercurve'!A126</f>
        <v>16.521360830937301</v>
      </c>
    </row>
    <row r="90" spans="1:5" x14ac:dyDescent="0.25">
      <c r="A90" s="50">
        <f t="shared" si="0"/>
        <v>17</v>
      </c>
      <c r="B90" s="56">
        <f>'Universal Mastercurve'!C127</f>
        <v>2.2085145768816476E-2</v>
      </c>
      <c r="C90" s="11"/>
      <c r="D90" s="51">
        <f t="shared" si="1"/>
        <v>17</v>
      </c>
      <c r="E90" s="56">
        <f>'Universal Mastercurve'!A127</f>
        <v>183.146753843879</v>
      </c>
    </row>
    <row r="91" spans="1:5" x14ac:dyDescent="0.25">
      <c r="A91" s="50">
        <f t="shared" si="0"/>
        <v>18</v>
      </c>
      <c r="B91" s="56">
        <f>'Universal Mastercurve'!C128</f>
        <v>4.3197576933342564E-2</v>
      </c>
      <c r="C91" s="11"/>
      <c r="D91" s="51">
        <f t="shared" si="1"/>
        <v>18</v>
      </c>
      <c r="E91" s="56">
        <f>'Universal Mastercurve'!A128</f>
        <v>2030.26456396616</v>
      </c>
    </row>
    <row r="92" spans="1:5" x14ac:dyDescent="0.25">
      <c r="A92" s="50">
        <f t="shared" si="0"/>
        <v>19</v>
      </c>
      <c r="B92" s="56">
        <f>'Universal Mastercurve'!C129</f>
        <v>5.0551664386170848E-2</v>
      </c>
      <c r="C92" s="11"/>
      <c r="D92" s="51">
        <f t="shared" si="1"/>
        <v>19</v>
      </c>
      <c r="E92" s="56">
        <f>'Universal Mastercurve'!A129</f>
        <v>22506.400540467101</v>
      </c>
    </row>
    <row r="93" spans="1:5" x14ac:dyDescent="0.25">
      <c r="A93" s="50">
        <f t="shared" si="0"/>
        <v>20</v>
      </c>
      <c r="B93" s="56">
        <f>'Universal Mastercurve'!C130</f>
        <v>2.8352379093535652E-2</v>
      </c>
      <c r="C93" s="11"/>
      <c r="D93" s="51">
        <f t="shared" si="1"/>
        <v>20</v>
      </c>
      <c r="E93" s="56">
        <f>'Universal Mastercurve'!A130</f>
        <v>249493.62476110301</v>
      </c>
    </row>
    <row r="94" spans="1:5" x14ac:dyDescent="0.25">
      <c r="A94" s="50">
        <f t="shared" si="0"/>
        <v>21</v>
      </c>
      <c r="B94" s="56">
        <f>'Universal Mastercurve'!C131</f>
        <v>2.3923635264869221E-4</v>
      </c>
      <c r="C94" s="11"/>
      <c r="D94" s="51">
        <f t="shared" si="1"/>
        <v>21</v>
      </c>
      <c r="E94" s="56">
        <f>'Universal Mastercurve'!A131</f>
        <v>2765749.6224023802</v>
      </c>
    </row>
    <row r="95" spans="1:5" x14ac:dyDescent="0.25">
      <c r="A95" s="50">
        <f t="shared" si="0"/>
        <v>22</v>
      </c>
      <c r="B95" s="56">
        <f>'Universal Mastercurve'!C132</f>
        <v>0.10087470280107474</v>
      </c>
      <c r="C95" s="11"/>
      <c r="D95" s="51">
        <f t="shared" si="1"/>
        <v>22</v>
      </c>
      <c r="E95" s="56">
        <f>'Universal Mastercurve'!A132</f>
        <v>10000000</v>
      </c>
    </row>
    <row r="96" spans="1:5" x14ac:dyDescent="0.25">
      <c r="A96" s="50">
        <f t="shared" si="0"/>
        <v>23</v>
      </c>
      <c r="B96" s="56">
        <f>'Universal Mastercurve'!C133</f>
        <v>3.6985254706043108E-2</v>
      </c>
      <c r="C96" s="11"/>
      <c r="D96" s="51">
        <f t="shared" si="1"/>
        <v>23</v>
      </c>
      <c r="E96" s="56">
        <f>'Universal Mastercurve'!A133</f>
        <v>100000000</v>
      </c>
    </row>
    <row r="97" spans="1:5" x14ac:dyDescent="0.25">
      <c r="A97" s="50">
        <f t="shared" si="0"/>
        <v>24</v>
      </c>
      <c r="B97" s="56">
        <f>'Universal Mastercurve'!C134</f>
        <v>8.2453693952461632E-2</v>
      </c>
      <c r="C97" s="11"/>
      <c r="D97" s="51">
        <f t="shared" si="1"/>
        <v>24</v>
      </c>
      <c r="E97" s="56">
        <f>'Universal Mastercurve'!A134</f>
        <v>1000000000</v>
      </c>
    </row>
    <row r="98" spans="1:5" x14ac:dyDescent="0.25">
      <c r="A98" s="50">
        <f t="shared" si="0"/>
        <v>25</v>
      </c>
      <c r="B98" s="56">
        <f>'Universal Mastercurve'!C135</f>
        <v>3.584477894761888E-2</v>
      </c>
      <c r="C98" s="11"/>
      <c r="D98" s="51">
        <f t="shared" si="1"/>
        <v>25</v>
      </c>
      <c r="E98" s="56">
        <f>'Universal Mastercurve'!A135</f>
        <v>10000000000</v>
      </c>
    </row>
    <row r="99" spans="1:5" x14ac:dyDescent="0.25">
      <c r="A99" s="50">
        <f t="shared" si="0"/>
        <v>26</v>
      </c>
      <c r="B99" s="56">
        <f>'Universal Mastercurve'!C136</f>
        <v>3.2079603472889587E-2</v>
      </c>
      <c r="C99" s="11"/>
      <c r="D99" s="51">
        <f t="shared" si="1"/>
        <v>26</v>
      </c>
      <c r="E99" s="56">
        <f>'Universal Mastercurve'!A136</f>
        <v>100000000000</v>
      </c>
    </row>
    <row r="100" spans="1:5" x14ac:dyDescent="0.25">
      <c r="A100" s="50">
        <f t="shared" si="0"/>
        <v>27</v>
      </c>
      <c r="B100" s="56">
        <f>'Universal Mastercurve'!C137</f>
        <v>6.3282193020559414E-3</v>
      </c>
      <c r="C100" s="11"/>
      <c r="D100" s="51">
        <f t="shared" si="1"/>
        <v>27</v>
      </c>
      <c r="E100" s="56">
        <f>'Universal Mastercurve'!A137</f>
        <v>1000000000000</v>
      </c>
    </row>
    <row r="101" spans="1:5" x14ac:dyDescent="0.25">
      <c r="A101" s="50">
        <f t="shared" si="0"/>
        <v>28</v>
      </c>
      <c r="B101" s="56">
        <f>'Universal Mastercurve'!C138</f>
        <v>1.1353599735082716E-2</v>
      </c>
      <c r="C101" s="11"/>
      <c r="D101" s="51">
        <f t="shared" si="1"/>
        <v>28</v>
      </c>
      <c r="E101" s="56">
        <f>'Universal Mastercurve'!A138</f>
        <v>10000000000000</v>
      </c>
    </row>
    <row r="102" spans="1:5" x14ac:dyDescent="0.25">
      <c r="A102" s="50">
        <f t="shared" si="0"/>
        <v>29</v>
      </c>
      <c r="B102" s="56">
        <f>'Universal Mastercurve'!C139</f>
        <v>8.1234835257352708E-6</v>
      </c>
      <c r="C102" s="11"/>
      <c r="D102" s="51">
        <f t="shared" si="1"/>
        <v>29</v>
      </c>
      <c r="E102" s="56">
        <f>'Universal Mastercurve'!A139</f>
        <v>100000000000000</v>
      </c>
    </row>
    <row r="103" spans="1:5" x14ac:dyDescent="0.25">
      <c r="A103" s="50">
        <f t="shared" si="0"/>
        <v>30</v>
      </c>
      <c r="B103" s="56">
        <f>'Universal Mastercurve'!C140</f>
        <v>6.4417711233462271E-3</v>
      </c>
      <c r="C103" s="11"/>
      <c r="D103" s="51">
        <f t="shared" si="1"/>
        <v>30</v>
      </c>
      <c r="E103" s="56">
        <f>'Universal Mastercurve'!A140</f>
        <v>1000000000000000</v>
      </c>
    </row>
    <row r="104" spans="1:5" x14ac:dyDescent="0.25">
      <c r="A104" s="50">
        <f t="shared" si="0"/>
        <v>31</v>
      </c>
      <c r="B104" s="56">
        <f>'Universal Mastercurve'!C141</f>
        <v>1.2078899351023055E-3</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25">
        <f>STUTT!D8</f>
        <v>6190.9489999999996</v>
      </c>
      <c r="D113" s="125"/>
    </row>
    <row r="114" spans="1:4" s="11" customFormat="1" x14ac:dyDescent="0.25">
      <c r="A114" s="61" t="str">
        <f>STUTT!B9</f>
        <v>MP,GXY,</v>
      </c>
      <c r="B114" s="52" t="str">
        <f>STUTT!C9</f>
        <v>MatID,</v>
      </c>
      <c r="C114" s="125">
        <f>STUTT!D9</f>
        <v>7910.6138000000001</v>
      </c>
      <c r="D114" s="125"/>
    </row>
    <row r="115" spans="1:4" x14ac:dyDescent="0.25">
      <c r="A115" s="61" t="str">
        <f>STUTT!B10</f>
        <v>MP,GYZ,</v>
      </c>
      <c r="B115" s="52" t="str">
        <f>STUTT!C10</f>
        <v>MatID,</v>
      </c>
      <c r="C115" s="125">
        <f>STUTT!D10</f>
        <v>7910.6138000000001</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90" zoomScaleNormal="9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6087.7263279674889</v>
      </c>
      <c r="G16" s="26">
        <f>INDEX(Comparison!$AM$3:$AS$33,G14,$B$3)</f>
        <v>5883.2023767223172</v>
      </c>
      <c r="H16" s="26">
        <f>INDEX(Comparison!$AM$3:$AS$33,H14,$B$3)</f>
        <v>5766.612112648796</v>
      </c>
      <c r="I16" s="26">
        <f>INDEX(Comparison!$AM$3:$AS$33,I14,$B$3)</f>
        <v>5652.2426569527415</v>
      </c>
      <c r="J16" s="26">
        <f>INDEX(Comparison!$AM$3:$AS$33,J14,$B$3)</f>
        <v>5525.6917701938164</v>
      </c>
      <c r="K16" s="26">
        <f>INDEX(Comparison!$AM$3:$AS$33,K14,$B$3)</f>
        <v>5390.3124971142561</v>
      </c>
      <c r="L16" s="26">
        <f>INDEX(Comparison!$AM$3:$AS$33,L14,$B$3)</f>
        <v>5238.3436481907338</v>
      </c>
      <c r="M16" s="26">
        <f>INDEX(Comparison!$AM$3:$AS$33,M14,$B$3)</f>
        <v>5074.6532971494116</v>
      </c>
      <c r="N16" s="26">
        <f>INDEX(Comparison!$AM$3:$AS$33,N14,$B$3)</f>
        <v>4908.5570875707617</v>
      </c>
      <c r="O16" s="26">
        <f>INDEX(Comparison!$AM$3:$AS$33,O14,$B$3)</f>
        <v>4747.9849619649776</v>
      </c>
      <c r="P16" s="26">
        <f>INDEX(Comparison!$AM$3:$AS$33,P14,$B$3)</f>
        <v>4570.6221718948836</v>
      </c>
      <c r="Q16" s="26">
        <f>INDEX(Comparison!$AM$3:$AS$33,Q14,$B$3)</f>
        <v>4355.6121901289935</v>
      </c>
      <c r="R16" s="26">
        <f>INDEX(Comparison!$AM$3:$AS$33,R14,$B$3)</f>
        <v>4128.400911796266</v>
      </c>
      <c r="S16" s="26">
        <f>INDEX(Comparison!$AM$3:$AS$33,S14,$B$3)</f>
        <v>3931.0953121014495</v>
      </c>
      <c r="T16" s="26">
        <f>INDEX(Comparison!$AM$3:$AS$33,T14,$B$3)</f>
        <v>3756.0498426526324</v>
      </c>
      <c r="U16" s="26">
        <f>INDEX(Comparison!$AM$3:$AS$33,U14,$B$3)</f>
        <v>3572.9092141735305</v>
      </c>
      <c r="V16" s="26">
        <f>INDEX(Comparison!$AM$3:$AS$33,V14,$B$3)</f>
        <v>3356.1944513859066</v>
      </c>
      <c r="W16" s="26">
        <f>INDEX(Comparison!$AM$3:$AS$33,W14,$B$3)</f>
        <v>3066.2657883339552</v>
      </c>
      <c r="X16" s="26">
        <f>INDEX(Comparison!$AM$3:$AS$33,X14,$B$3)</f>
        <v>2758.9237309250375</v>
      </c>
      <c r="Y16" s="26">
        <f>INDEX(Comparison!$AM$3:$AS$33,Y14,$B$3)</f>
        <v>2465.267862411738</v>
      </c>
      <c r="Z16" s="26">
        <f>INDEX(Comparison!$AM$3:$AS$33,Z14,$B$3)</f>
        <v>2197.1478961266816</v>
      </c>
      <c r="AA16" s="26">
        <f>INDEX(Comparison!$AM$3:$AS$33,AA14,$B$3)</f>
        <v>1937.1917706499551</v>
      </c>
      <c r="AB16" s="26">
        <f>INDEX(Comparison!$AM$3:$AS$33,AB14,$B$3)</f>
        <v>1672.2844115065361</v>
      </c>
      <c r="AC16" s="26">
        <f>INDEX(Comparison!$AM$3:$AS$33,AC14,$B$3)</f>
        <v>1384.5529744446492</v>
      </c>
      <c r="AD16" s="26">
        <f>INDEX(Comparison!$AM$3:$AS$33,AD14,$B$3)</f>
        <v>1075.4259318118629</v>
      </c>
      <c r="AE16" s="26">
        <f>INDEX(Comparison!$AM$3:$AS$33,AE14,$B$3)</f>
        <v>780.58970474439741</v>
      </c>
      <c r="AF16" s="26">
        <f>INDEX(Comparison!$AM$3:$AS$33,AF14,$B$3)</f>
        <v>548.72899064067769</v>
      </c>
      <c r="AG16" s="26">
        <f>INDEX(Comparison!$AM$3:$AS$33,AG14,$B$3)</f>
        <v>398.73442150311388</v>
      </c>
      <c r="AH16" s="26">
        <f>INDEX(Comparison!$AM$3:$AS$33,AH14,$B$3)</f>
        <v>320.69011633427954</v>
      </c>
      <c r="AI16" s="26">
        <f>INDEX(Comparison!$AM$3:$AS$33,AI14,$B$3)</f>
        <v>281.72273678924813</v>
      </c>
      <c r="AJ16" s="26">
        <f>INDEX(Comparison!$AM$3:$AS$33,AJ14,$B$3)</f>
        <v>262.32128706515465</v>
      </c>
    </row>
    <row r="17" spans="1:36" x14ac:dyDescent="0.25">
      <c r="A17" s="14" t="s">
        <v>20</v>
      </c>
      <c r="B17" s="105">
        <v>5.6373136628490979E-2</v>
      </c>
      <c r="C17" s="18">
        <f t="shared" ref="C17:C48" si="3">ABS(B17/$B$49)</f>
        <v>2.9229643030594273E-2</v>
      </c>
      <c r="D17" s="66"/>
      <c r="E17" s="65" t="s">
        <v>22</v>
      </c>
      <c r="F17" s="27">
        <f>($C$17+SUM(F18:F48))*$B$51</f>
        <v>6025.0286553382048</v>
      </c>
      <c r="G17" s="27">
        <f t="shared" ref="G17:M17" si="4">($C$17+SUM(G18:G48))*$B$51</f>
        <v>5964.2997049372507</v>
      </c>
      <c r="H17" s="27">
        <f t="shared" si="4"/>
        <v>5745.1392000517189</v>
      </c>
      <c r="I17" s="27">
        <f t="shared" si="4"/>
        <v>5655.7508998231042</v>
      </c>
      <c r="J17" s="27">
        <f t="shared" si="4"/>
        <v>5525.2026507515166</v>
      </c>
      <c r="K17" s="27">
        <f t="shared" si="4"/>
        <v>5390.3754085436167</v>
      </c>
      <c r="L17" s="27">
        <f t="shared" si="4"/>
        <v>5238.3236548988771</v>
      </c>
      <c r="M17" s="27">
        <f t="shared" si="4"/>
        <v>5074.6956312436678</v>
      </c>
      <c r="N17" s="27">
        <f t="shared" ref="N17" si="5">($C$17+SUM(N18:N48))*$B$51</f>
        <v>4908.4585506665462</v>
      </c>
      <c r="O17" s="27">
        <f t="shared" ref="O17" si="6">($C$17+SUM(O18:O48))*$B$51</f>
        <v>4748.1794810054089</v>
      </c>
      <c r="P17" s="27">
        <f t="shared" ref="P17" si="7">($C$17+SUM(P18:P48))*$B$51</f>
        <v>4570.2909757468369</v>
      </c>
      <c r="Q17" s="27">
        <f t="shared" ref="Q17" si="8">($C$17+SUM(Q18:Q48))*$B$51</f>
        <v>4356.0903701329062</v>
      </c>
      <c r="R17" s="27">
        <f t="shared" ref="R17" si="9">($C$17+SUM(R18:R48))*$B$51</f>
        <v>4127.8185668468986</v>
      </c>
      <c r="S17" s="27">
        <f t="shared" ref="S17:T17" si="10">($C$17+SUM(S18:S48))*$B$51</f>
        <v>3931.7018153076156</v>
      </c>
      <c r="T17" s="27">
        <f t="shared" si="10"/>
        <v>3755.5081072101652</v>
      </c>
      <c r="U17" s="27">
        <f t="shared" ref="U17" si="11">($C$17+SUM(U18:U48))*$B$51</f>
        <v>3573.3204346166917</v>
      </c>
      <c r="V17" s="27">
        <f t="shared" ref="V17" si="12">($C$17+SUM(V18:V48))*$B$51</f>
        <v>3355.926305877249</v>
      </c>
      <c r="W17" s="27">
        <f t="shared" ref="W17" si="13">($C$17+SUM(W18:W48))*$B$51</f>
        <v>3066.4202249674377</v>
      </c>
      <c r="X17" s="27">
        <f t="shared" ref="X17" si="14">($C$17+SUM(X18:X48))*$B$51</f>
        <v>2758.8480201678076</v>
      </c>
      <c r="Y17" s="27">
        <f t="shared" ref="Y17" si="15">($C$17+SUM(Y18:Y48))*$B$51</f>
        <v>2465.2954314272652</v>
      </c>
      <c r="Z17" s="27">
        <f t="shared" ref="Z17:AA17" si="16">($C$17+SUM(Z18:Z48))*$B$51</f>
        <v>2197.1406634016544</v>
      </c>
      <c r="AA17" s="27">
        <f t="shared" si="16"/>
        <v>1937.2037895084809</v>
      </c>
      <c r="AB17" s="27">
        <f t="shared" ref="AB17" si="17">($C$17+SUM(AB18:AB48))*$B$51</f>
        <v>1672.2620106719644</v>
      </c>
      <c r="AC17" s="27">
        <f t="shared" ref="AC17" si="18">($C$17+SUM(AC18:AC48))*$B$51</f>
        <v>1384.5707792635358</v>
      </c>
      <c r="AD17" s="27">
        <f t="shared" ref="AD17" si="19">($C$17+SUM(AD18:AD48))*$B$51</f>
        <v>1075.4175882763752</v>
      </c>
      <c r="AE17" s="27">
        <f t="shared" ref="AE17" si="20">($C$17+SUM(AE18:AE48))*$B$51</f>
        <v>780.59991539695579</v>
      </c>
      <c r="AF17" s="27">
        <f t="shared" ref="AF17" si="21">($C$17+SUM(AF18:AF48))*$B$51</f>
        <v>548.71161760324526</v>
      </c>
      <c r="AG17" s="27">
        <f t="shared" ref="AG17:AH17" si="22">($C$17+SUM(AG18:AG48))*$B$51</f>
        <v>398.75224817844003</v>
      </c>
      <c r="AH17" s="27">
        <f t="shared" si="22"/>
        <v>320.6760155639243</v>
      </c>
      <c r="AI17" s="27">
        <f t="shared" ref="AI17" si="23">($C$17+SUM(AI18:AI48))*$B$51</f>
        <v>281.73094626970948</v>
      </c>
      <c r="AJ17" s="27">
        <f t="shared" ref="AJ17" si="24">($C$17+SUM(AJ18:AJ48))*$B$51</f>
        <v>262.31940678127074</v>
      </c>
    </row>
    <row r="18" spans="1:36" x14ac:dyDescent="0.25">
      <c r="A18" s="3">
        <f>0.000000000000001/10^5</f>
        <v>1.0000000000000001E-20</v>
      </c>
      <c r="B18" s="106">
        <v>4.9310420779286102E-2</v>
      </c>
      <c r="C18" s="18">
        <f t="shared" si="3"/>
        <v>2.5567603352737427E-2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9.1995128769937026E-2</v>
      </c>
      <c r="C19" s="18">
        <f t="shared" si="3"/>
        <v>4.769975444544982E-2</v>
      </c>
      <c r="D19" s="17"/>
      <c r="F19" s="3">
        <f t="shared" si="25"/>
        <v>4.6493420346472678E-2</v>
      </c>
      <c r="G19" s="3">
        <f t="shared" si="25"/>
        <v>3.6920678855953785E-2</v>
      </c>
      <c r="H19" s="3">
        <f t="shared" si="25"/>
        <v>3.6817261949611138E-3</v>
      </c>
      <c r="I19" s="3">
        <f t="shared" si="25"/>
        <v>3.579889196488366E-13</v>
      </c>
      <c r="J19" s="3">
        <f t="shared" si="25"/>
        <v>2.7042731561876893E-113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1.7630101004687256E-2</v>
      </c>
      <c r="C20" s="18">
        <f t="shared" si="3"/>
        <v>9.141261064758396E-3</v>
      </c>
      <c r="D20" s="17"/>
      <c r="F20" s="3">
        <f t="shared" si="25"/>
        <v>9.1201624985795034E-3</v>
      </c>
      <c r="G20" s="3">
        <f t="shared" si="25"/>
        <v>8.932453322624356E-3</v>
      </c>
      <c r="H20" s="3">
        <f t="shared" si="25"/>
        <v>7.2552527309214243E-3</v>
      </c>
      <c r="I20" s="3">
        <f t="shared" si="25"/>
        <v>9.0671425665242672E-4</v>
      </c>
      <c r="J20" s="3">
        <f t="shared" si="25"/>
        <v>8.4265428738987653E-13</v>
      </c>
      <c r="K20" s="3">
        <f t="shared" si="25"/>
        <v>4.0498537398323965E-103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4.6035936255128557E-2</v>
      </c>
      <c r="C21" s="18">
        <f t="shared" si="3"/>
        <v>2.386977315426737E-2</v>
      </c>
      <c r="D21" s="17"/>
      <c r="F21" s="3">
        <f t="shared" si="25"/>
        <v>2.3864798096575077E-2</v>
      </c>
      <c r="G21" s="3">
        <f t="shared" si="25"/>
        <v>2.3820069213109387E-2</v>
      </c>
      <c r="H21" s="3">
        <f t="shared" si="25"/>
        <v>2.3377365400041705E-2</v>
      </c>
      <c r="I21" s="3">
        <f t="shared" si="25"/>
        <v>1.9378538757039331E-2</v>
      </c>
      <c r="J21" s="3">
        <f t="shared" si="25"/>
        <v>2.9687637149208848E-3</v>
      </c>
      <c r="K21" s="3">
        <f t="shared" si="25"/>
        <v>2.1140814111227732E-11</v>
      </c>
      <c r="L21" s="3">
        <f t="shared" si="25"/>
        <v>7.0889587596584341E-93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4.2060491006463523E-2</v>
      </c>
      <c r="C22" s="18">
        <f t="shared" si="3"/>
        <v>2.1808492685310404E-2</v>
      </c>
      <c r="D22" s="17"/>
      <c r="F22" s="3">
        <f t="shared" si="25"/>
        <v>2.1808082610351383E-2</v>
      </c>
      <c r="G22" s="3">
        <f t="shared" si="25"/>
        <v>2.1804392282689926E-2</v>
      </c>
      <c r="H22" s="3">
        <f t="shared" si="25"/>
        <v>2.176752333455817E-2</v>
      </c>
      <c r="I22" s="3">
        <f t="shared" si="25"/>
        <v>2.1402245303328196E-2</v>
      </c>
      <c r="J22" s="3">
        <f t="shared" si="25"/>
        <v>1.8070181928430962E-2</v>
      </c>
      <c r="K22" s="3">
        <f t="shared" si="25"/>
        <v>3.3265526432273334E-3</v>
      </c>
      <c r="L22" s="3">
        <f t="shared" si="25"/>
        <v>1.4870074922110838E-10</v>
      </c>
      <c r="M22" s="3">
        <f t="shared" si="25"/>
        <v>4.7369709078995387E-84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5.0482906020501338E-2</v>
      </c>
      <c r="C23" s="18">
        <f t="shared" si="3"/>
        <v>2.6175540521201471E-2</v>
      </c>
      <c r="D23" s="17"/>
      <c r="F23" s="3">
        <f t="shared" si="25"/>
        <v>2.6175496121140701E-2</v>
      </c>
      <c r="G23" s="3">
        <f t="shared" si="25"/>
        <v>2.6175096523982849E-2</v>
      </c>
      <c r="H23" s="3">
        <f t="shared" si="25"/>
        <v>2.617110088790444E-2</v>
      </c>
      <c r="I23" s="3">
        <f t="shared" si="25"/>
        <v>2.6131178058187762E-2</v>
      </c>
      <c r="J23" s="3">
        <f t="shared" si="25"/>
        <v>2.5735284004862514E-2</v>
      </c>
      <c r="K23" s="3">
        <f t="shared" si="25"/>
        <v>2.2091679102401913E-2</v>
      </c>
      <c r="L23" s="3">
        <f t="shared" si="25"/>
        <v>4.7998352901247902E-3</v>
      </c>
      <c r="M23" s="3">
        <f t="shared" si="25"/>
        <v>1.1251292570243596E-9</v>
      </c>
      <c r="N23" s="3">
        <f t="shared" si="25"/>
        <v>5.635899653748657E-76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5.4143647432491331E-2</v>
      </c>
      <c r="C24" s="18">
        <f t="shared" si="3"/>
        <v>2.8073646092387699E-2</v>
      </c>
      <c r="D24" s="17"/>
      <c r="F24" s="3">
        <f t="shared" si="25"/>
        <v>2.8073641796690578E-2</v>
      </c>
      <c r="G24" s="3">
        <f t="shared" si="25"/>
        <v>2.807360313544607E-2</v>
      </c>
      <c r="H24" s="3">
        <f t="shared" si="25"/>
        <v>2.8073216525929267E-2</v>
      </c>
      <c r="I24" s="3">
        <f t="shared" si="25"/>
        <v>2.8069350723575123E-2</v>
      </c>
      <c r="J24" s="3">
        <f t="shared" si="25"/>
        <v>2.8030721966507979E-2</v>
      </c>
      <c r="K24" s="3">
        <f t="shared" si="25"/>
        <v>2.7647346185570919E-2</v>
      </c>
      <c r="L24" s="3">
        <f t="shared" si="25"/>
        <v>2.4090461464015639E-2</v>
      </c>
      <c r="M24" s="3">
        <f t="shared" si="25"/>
        <v>6.0780155301829886E-3</v>
      </c>
      <c r="N24" s="3">
        <f t="shared" si="25"/>
        <v>6.3522658829927472E-9</v>
      </c>
      <c r="O24" s="3">
        <f t="shared" si="25"/>
        <v>9.8763686343356387E-69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5.5158569169905108E-2</v>
      </c>
      <c r="C25" s="18">
        <f t="shared" si="3"/>
        <v>2.8599886104258926E-2</v>
      </c>
      <c r="D25" s="17"/>
      <c r="F25" s="3">
        <f t="shared" si="25"/>
        <v>2.8599885709487457E-2</v>
      </c>
      <c r="G25" s="3">
        <f t="shared" si="25"/>
        <v>2.8599882156544489E-2</v>
      </c>
      <c r="H25" s="3">
        <f t="shared" si="25"/>
        <v>2.8599846627139085E-2</v>
      </c>
      <c r="I25" s="3">
        <f t="shared" si="25"/>
        <v>2.8599491335512615E-2</v>
      </c>
      <c r="J25" s="3">
        <f t="shared" si="25"/>
        <v>2.8595938661994287E-2</v>
      </c>
      <c r="K25" s="3">
        <f t="shared" si="25"/>
        <v>2.8560436190293911E-2</v>
      </c>
      <c r="L25" s="3">
        <f t="shared" si="25"/>
        <v>2.8207826705875232E-2</v>
      </c>
      <c r="M25" s="3">
        <f t="shared" si="25"/>
        <v>2.4912512889597536E-2</v>
      </c>
      <c r="N25" s="3">
        <f t="shared" si="25"/>
        <v>7.1927775916104083E-3</v>
      </c>
      <c r="O25" s="3">
        <f t="shared" si="25"/>
        <v>2.8952600921717466E-8</v>
      </c>
      <c r="P25" s="3">
        <f t="shared" si="25"/>
        <v>3.2329360118324731E-62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4.981225012975786E-2</v>
      </c>
      <c r="C26" s="18">
        <f t="shared" si="3"/>
        <v>2.5827803399316902E-2</v>
      </c>
      <c r="D26" s="17"/>
      <c r="F26" s="3">
        <f t="shared" si="25"/>
        <v>2.582780336715694E-2</v>
      </c>
      <c r="G26" s="3">
        <f t="shared" si="25"/>
        <v>2.5827803077717291E-2</v>
      </c>
      <c r="H26" s="3">
        <f t="shared" si="25"/>
        <v>2.5827800183320961E-2</v>
      </c>
      <c r="I26" s="3">
        <f t="shared" si="25"/>
        <v>2.5827771239375512E-2</v>
      </c>
      <c r="J26" s="3">
        <f t="shared" si="25"/>
        <v>2.5827481801704986E-2</v>
      </c>
      <c r="K26" s="3">
        <f t="shared" si="25"/>
        <v>2.5824587603390067E-2</v>
      </c>
      <c r="L26" s="3">
        <f t="shared" si="25"/>
        <v>2.5795663451877518E-2</v>
      </c>
      <c r="M26" s="3">
        <f t="shared" si="25"/>
        <v>2.5508197728801984E-2</v>
      </c>
      <c r="N26" s="3">
        <f t="shared" si="25"/>
        <v>2.2803972090558868E-2</v>
      </c>
      <c r="O26" s="3">
        <f t="shared" si="25"/>
        <v>7.4356298277210575E-3</v>
      </c>
      <c r="P26" s="3">
        <f t="shared" si="25"/>
        <v>1.0101604522184841E-7</v>
      </c>
      <c r="Q26" s="3">
        <f t="shared" si="25"/>
        <v>2.1632981139596287E-56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5.958601810721012E-2</v>
      </c>
      <c r="C27" s="18">
        <f t="shared" si="3"/>
        <v>3.0895531862387703E-2</v>
      </c>
      <c r="D27" s="17"/>
      <c r="F27" s="3">
        <f t="shared" si="25"/>
        <v>3.0895531858917379E-2</v>
      </c>
      <c r="G27" s="3">
        <f t="shared" si="25"/>
        <v>3.0895531827684439E-2</v>
      </c>
      <c r="H27" s="3">
        <f t="shared" si="25"/>
        <v>3.0895531515355075E-2</v>
      </c>
      <c r="I27" s="3">
        <f t="shared" si="25"/>
        <v>3.089552839206158E-2</v>
      </c>
      <c r="J27" s="3">
        <f t="shared" si="25"/>
        <v>3.0895497159144001E-2</v>
      </c>
      <c r="K27" s="3">
        <f t="shared" si="25"/>
        <v>3.0895184831704808E-2</v>
      </c>
      <c r="L27" s="3">
        <f t="shared" si="25"/>
        <v>3.0892061730962764E-2</v>
      </c>
      <c r="M27" s="3">
        <f t="shared" si="25"/>
        <v>3.0860848082041831E-2</v>
      </c>
      <c r="N27" s="3">
        <f t="shared" si="25"/>
        <v>3.0550440967515649E-2</v>
      </c>
      <c r="O27" s="3">
        <f t="shared" si="25"/>
        <v>2.7613009939799545E-2</v>
      </c>
      <c r="P27" s="3">
        <f t="shared" si="25"/>
        <v>1.0047925559261964E-2</v>
      </c>
      <c r="Q27" s="3">
        <f t="shared" si="25"/>
        <v>4.089808805343292E-7</v>
      </c>
      <c r="R27" s="3">
        <f t="shared" si="25"/>
        <v>5.1046852947682422E-51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7.5625910396624849E-2</v>
      </c>
      <c r="C28" s="18">
        <f t="shared" si="3"/>
        <v>3.9212264865174394E-2</v>
      </c>
      <c r="D28" s="17"/>
      <c r="F28" s="3">
        <f t="shared" si="25"/>
        <v>3.9212264864777073E-2</v>
      </c>
      <c r="G28" s="3">
        <f t="shared" si="25"/>
        <v>3.921226486120117E-2</v>
      </c>
      <c r="H28" s="3">
        <f t="shared" si="25"/>
        <v>3.9212264825442142E-2</v>
      </c>
      <c r="I28" s="3">
        <f t="shared" si="25"/>
        <v>3.92122644678519E-2</v>
      </c>
      <c r="J28" s="3">
        <f t="shared" si="25"/>
        <v>3.9212260891949624E-2</v>
      </c>
      <c r="K28" s="3">
        <f t="shared" si="25"/>
        <v>3.9212225132944797E-2</v>
      </c>
      <c r="L28" s="3">
        <f t="shared" si="25"/>
        <v>3.9211867544690096E-2</v>
      </c>
      <c r="M28" s="3">
        <f t="shared" si="25"/>
        <v>3.9208291841490786E-2</v>
      </c>
      <c r="N28" s="3">
        <f t="shared" si="25"/>
        <v>3.9172552738217667E-2</v>
      </c>
      <c r="O28" s="3">
        <f t="shared" si="25"/>
        <v>3.8816948542782288E-2</v>
      </c>
      <c r="P28" s="3">
        <f t="shared" si="25"/>
        <v>3.5433705502478749E-2</v>
      </c>
      <c r="Q28" s="3">
        <f t="shared" si="25"/>
        <v>1.4235357096280508E-2</v>
      </c>
      <c r="R28" s="3">
        <f t="shared" si="25"/>
        <v>1.5591443035713329E-6</v>
      </c>
      <c r="S28" s="3">
        <f t="shared" si="25"/>
        <v>3.8731630136845857E-46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7.6994272869981353E-2</v>
      </c>
      <c r="C29" s="18">
        <f t="shared" si="3"/>
        <v>3.9921764975062855E-2</v>
      </c>
      <c r="D29" s="17"/>
      <c r="F29" s="3">
        <f t="shared" si="25"/>
        <v>3.9921764975026364E-2</v>
      </c>
      <c r="G29" s="3">
        <f t="shared" si="25"/>
        <v>3.9921764974697953E-2</v>
      </c>
      <c r="H29" s="3">
        <f t="shared" si="25"/>
        <v>3.9921764971413823E-2</v>
      </c>
      <c r="I29" s="3">
        <f t="shared" si="25"/>
        <v>3.9921764938572545E-2</v>
      </c>
      <c r="J29" s="3">
        <f t="shared" si="25"/>
        <v>3.9921764610159755E-2</v>
      </c>
      <c r="K29" s="3">
        <f t="shared" si="25"/>
        <v>3.9921761326032021E-2</v>
      </c>
      <c r="L29" s="3">
        <f t="shared" si="25"/>
        <v>3.9921728484769485E-2</v>
      </c>
      <c r="M29" s="3">
        <f t="shared" si="25"/>
        <v>3.9921400073630077E-2</v>
      </c>
      <c r="N29" s="3">
        <f t="shared" si="25"/>
        <v>3.991811611082214E-2</v>
      </c>
      <c r="O29" s="3">
        <f t="shared" si="25"/>
        <v>3.9885291336838401E-2</v>
      </c>
      <c r="P29" s="3">
        <f t="shared" si="25"/>
        <v>3.9558524495242213E-2</v>
      </c>
      <c r="Q29" s="3">
        <f t="shared" si="25"/>
        <v>3.6434535861000358E-2</v>
      </c>
      <c r="R29" s="3">
        <f t="shared" si="25"/>
        <v>1.6004599549522373E-2</v>
      </c>
      <c r="S29" s="3">
        <f t="shared" si="25"/>
        <v>4.2811507372405981E-6</v>
      </c>
      <c r="T29" s="3">
        <f t="shared" si="25"/>
        <v>8.0300378418705203E-42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5.3749675163587626E-2</v>
      </c>
      <c r="C30" s="18">
        <f t="shared" si="3"/>
        <v>2.7869370271088295E-2</v>
      </c>
      <c r="D30" s="17"/>
      <c r="F30" s="3">
        <f t="shared" si="25"/>
        <v>2.7869370271085995E-2</v>
      </c>
      <c r="G30" s="3">
        <f t="shared" si="25"/>
        <v>2.7869370271065314E-2</v>
      </c>
      <c r="H30" s="3">
        <f t="shared" si="25"/>
        <v>2.78693702708585E-2</v>
      </c>
      <c r="I30" s="3">
        <f t="shared" si="25"/>
        <v>2.7869370268790342E-2</v>
      </c>
      <c r="J30" s="3">
        <f t="shared" si="25"/>
        <v>2.7869370248108743E-2</v>
      </c>
      <c r="K30" s="3">
        <f t="shared" si="25"/>
        <v>2.7869370041292772E-2</v>
      </c>
      <c r="L30" s="3">
        <f t="shared" si="25"/>
        <v>2.7869367973133143E-2</v>
      </c>
      <c r="M30" s="3">
        <f t="shared" si="25"/>
        <v>2.7869347291545301E-2</v>
      </c>
      <c r="N30" s="3">
        <f t="shared" si="25"/>
        <v>2.7869140476511008E-2</v>
      </c>
      <c r="O30" s="3">
        <f t="shared" si="25"/>
        <v>2.7867072410577419E-2</v>
      </c>
      <c r="P30" s="3">
        <f t="shared" si="25"/>
        <v>2.7846400189856981E-2</v>
      </c>
      <c r="Q30" s="3">
        <f t="shared" si="25"/>
        <v>2.7640519531771966E-2</v>
      </c>
      <c r="R30" s="3">
        <f t="shared" si="25"/>
        <v>2.566360234342983E-2</v>
      </c>
      <c r="S30" s="3">
        <f t="shared" si="25"/>
        <v>1.2218890481000113E-2</v>
      </c>
      <c r="T30" s="3">
        <f t="shared" si="25"/>
        <v>7.3143093008823329E-6</v>
      </c>
      <c r="U30" s="3">
        <f t="shared" si="25"/>
        <v>4.3210452456216781E-38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6.1157828884651669E-2</v>
      </c>
      <c r="C31" s="18">
        <f t="shared" si="3"/>
        <v>3.1710520537561716E-2</v>
      </c>
      <c r="D31" s="17"/>
      <c r="F31" s="3">
        <f t="shared" si="25"/>
        <v>3.171052053756148E-2</v>
      </c>
      <c r="G31" s="3">
        <f t="shared" si="25"/>
        <v>3.1710520537559357E-2</v>
      </c>
      <c r="H31" s="3">
        <f t="shared" si="25"/>
        <v>3.1710520537538131E-2</v>
      </c>
      <c r="I31" s="3">
        <f t="shared" si="25"/>
        <v>3.1710520537325849E-2</v>
      </c>
      <c r="J31" s="3">
        <f t="shared" si="25"/>
        <v>3.1710520535203061E-2</v>
      </c>
      <c r="K31" s="3">
        <f t="shared" si="25"/>
        <v>3.1710520513975167E-2</v>
      </c>
      <c r="L31" s="3">
        <f t="shared" si="25"/>
        <v>3.1710520301696243E-2</v>
      </c>
      <c r="M31" s="3">
        <f t="shared" si="25"/>
        <v>3.171051817890707E-2</v>
      </c>
      <c r="N31" s="3">
        <f t="shared" si="25"/>
        <v>3.1710496951023119E-2</v>
      </c>
      <c r="O31" s="3">
        <f t="shared" si="25"/>
        <v>3.1710284672965237E-2</v>
      </c>
      <c r="P31" s="3">
        <f t="shared" si="25"/>
        <v>3.1708161970542145E-2</v>
      </c>
      <c r="Q31" s="3">
        <f t="shared" si="25"/>
        <v>3.1686942759954338E-2</v>
      </c>
      <c r="R31" s="3">
        <f t="shared" si="25"/>
        <v>3.1475530086494598E-2</v>
      </c>
      <c r="S31" s="3">
        <f t="shared" si="25"/>
        <v>2.9437450114533307E-2</v>
      </c>
      <c r="T31" s="3">
        <f t="shared" si="25"/>
        <v>1.5072022877261082E-2</v>
      </c>
      <c r="U31" s="3">
        <f t="shared" si="25"/>
        <v>1.865885999686119E-5</v>
      </c>
      <c r="V31" s="3">
        <f t="shared" si="26"/>
        <v>1.5776865395320751E-34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5.2957204844006789E-2</v>
      </c>
      <c r="C32" s="18">
        <f t="shared" si="3"/>
        <v>2.7458471996856346E-2</v>
      </c>
      <c r="D32" s="17"/>
      <c r="F32" s="3">
        <f t="shared" si="25"/>
        <v>2.7458471996856328E-2</v>
      </c>
      <c r="G32" s="3">
        <f t="shared" si="25"/>
        <v>2.7458471996856162E-2</v>
      </c>
      <c r="H32" s="3">
        <f t="shared" si="25"/>
        <v>2.7458471996854503E-2</v>
      </c>
      <c r="I32" s="3">
        <f t="shared" si="25"/>
        <v>2.7458471996837919E-2</v>
      </c>
      <c r="J32" s="3">
        <f t="shared" si="25"/>
        <v>2.7458471996672108E-2</v>
      </c>
      <c r="K32" s="3">
        <f t="shared" si="25"/>
        <v>2.7458471995013948E-2</v>
      </c>
      <c r="L32" s="3">
        <f t="shared" si="25"/>
        <v>2.7458471978432344E-2</v>
      </c>
      <c r="M32" s="3">
        <f t="shared" si="25"/>
        <v>2.7458471812616334E-2</v>
      </c>
      <c r="N32" s="3">
        <f t="shared" si="25"/>
        <v>2.7458470154456266E-2</v>
      </c>
      <c r="O32" s="3">
        <f t="shared" si="25"/>
        <v>2.7458453572861096E-2</v>
      </c>
      <c r="P32" s="3">
        <f t="shared" si="25"/>
        <v>2.7458287757460131E-2</v>
      </c>
      <c r="Q32" s="3">
        <f t="shared" si="25"/>
        <v>2.7456629658522184E-2</v>
      </c>
      <c r="R32" s="3">
        <f t="shared" si="25"/>
        <v>2.7440054175082357E-2</v>
      </c>
      <c r="S32" s="3">
        <f t="shared" si="25"/>
        <v>2.7274848706411402E-2</v>
      </c>
      <c r="T32" s="3">
        <f t="shared" si="25"/>
        <v>2.5676522690775829E-2</v>
      </c>
      <c r="U32" s="3">
        <f t="shared" si="25"/>
        <v>1.4037015674748521E-2</v>
      </c>
      <c r="V32" s="3">
        <f t="shared" si="26"/>
        <v>3.3470373161876619E-5</v>
      </c>
      <c r="W32" s="3">
        <f t="shared" si="26"/>
        <v>1.9884663637658754E-31</v>
      </c>
      <c r="X32" s="3">
        <f t="shared" si="26"/>
        <v>1.0891688086065921E-293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8.9643224666247689E-2</v>
      </c>
      <c r="C33" s="18">
        <f t="shared" si="3"/>
        <v>4.6480285004782129E-2</v>
      </c>
      <c r="D33" s="17"/>
      <c r="F33" s="3">
        <f t="shared" si="25"/>
        <v>4.6480285004782122E-2</v>
      </c>
      <c r="G33" s="3">
        <f t="shared" si="25"/>
        <v>4.6480285004782101E-2</v>
      </c>
      <c r="H33" s="3">
        <f t="shared" si="25"/>
        <v>4.6480285004781845E-2</v>
      </c>
      <c r="I33" s="3">
        <f t="shared" si="25"/>
        <v>4.6480285004779319E-2</v>
      </c>
      <c r="J33" s="3">
        <f t="shared" si="25"/>
        <v>4.6480285004753992E-2</v>
      </c>
      <c r="K33" s="3">
        <f t="shared" si="25"/>
        <v>4.6480285004500792E-2</v>
      </c>
      <c r="L33" s="3">
        <f t="shared" si="25"/>
        <v>4.6480285001968782E-2</v>
      </c>
      <c r="M33" s="3">
        <f t="shared" si="25"/>
        <v>4.6480284976648682E-2</v>
      </c>
      <c r="N33" s="3">
        <f t="shared" si="25"/>
        <v>4.6480284723447646E-2</v>
      </c>
      <c r="O33" s="3">
        <f t="shared" si="25"/>
        <v>4.6480282191437391E-2</v>
      </c>
      <c r="P33" s="3">
        <f t="shared" si="25"/>
        <v>4.6480256871342392E-2</v>
      </c>
      <c r="Q33" s="3">
        <f t="shared" si="25"/>
        <v>4.6480003671150995E-2</v>
      </c>
      <c r="R33" s="3">
        <f t="shared" si="25"/>
        <v>4.6477471745097504E-2</v>
      </c>
      <c r="S33" s="3">
        <f t="shared" si="25"/>
        <v>4.6452160069073864E-2</v>
      </c>
      <c r="T33" s="3">
        <f t="shared" si="25"/>
        <v>4.6199800233475523E-2</v>
      </c>
      <c r="U33" s="3">
        <f t="shared" ref="P33:AE48" si="27">$C33*EXP(-U$15/$A33)</f>
        <v>4.375039068035716E-2</v>
      </c>
      <c r="V33" s="3">
        <f t="shared" si="27"/>
        <v>2.5374664797637513E-2</v>
      </c>
      <c r="W33" s="3">
        <f t="shared" si="27"/>
        <v>1.0929092393193189E-4</v>
      </c>
      <c r="X33" s="3">
        <f t="shared" si="27"/>
        <v>2.4011646064841943E-28</v>
      </c>
      <c r="Y33" s="3">
        <f t="shared" si="27"/>
        <v>6.2921677195430208E-265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9.9659749132057315E-2</v>
      </c>
      <c r="C34" s="18">
        <f t="shared" si="3"/>
        <v>5.1673883446399775E-2</v>
      </c>
      <c r="D34" s="17"/>
      <c r="F34" s="3">
        <f t="shared" ref="F34:O48" si="28">$C34*EXP(-F$15/$A34)</f>
        <v>5.1673883446399775E-2</v>
      </c>
      <c r="G34" s="3">
        <f t="shared" si="28"/>
        <v>5.1673883446399775E-2</v>
      </c>
      <c r="H34" s="3">
        <f t="shared" si="28"/>
        <v>5.1673883446399747E-2</v>
      </c>
      <c r="I34" s="3">
        <f t="shared" si="28"/>
        <v>5.1673883446399491E-2</v>
      </c>
      <c r="J34" s="3">
        <f t="shared" si="28"/>
        <v>5.1673883446396951E-2</v>
      </c>
      <c r="K34" s="3">
        <f t="shared" si="28"/>
        <v>5.1673883446371562E-2</v>
      </c>
      <c r="L34" s="3">
        <f t="shared" si="28"/>
        <v>5.1673883446117633E-2</v>
      </c>
      <c r="M34" s="3">
        <f t="shared" si="28"/>
        <v>5.1673883443578331E-2</v>
      </c>
      <c r="N34" s="3">
        <f t="shared" si="28"/>
        <v>5.1673883418185303E-2</v>
      </c>
      <c r="O34" s="3">
        <f t="shared" si="28"/>
        <v>5.1673883164255086E-2</v>
      </c>
      <c r="P34" s="3">
        <f t="shared" si="27"/>
        <v>5.1673880624952991E-2</v>
      </c>
      <c r="Q34" s="3">
        <f t="shared" si="27"/>
        <v>5.1673855231938827E-2</v>
      </c>
      <c r="R34" s="3">
        <f t="shared" si="27"/>
        <v>5.1673601302483545E-2</v>
      </c>
      <c r="S34" s="3">
        <f t="shared" si="27"/>
        <v>5.1671062076560331E-2</v>
      </c>
      <c r="T34" s="3">
        <f t="shared" si="27"/>
        <v>5.1645676679042421E-2</v>
      </c>
      <c r="U34" s="3">
        <f t="shared" si="27"/>
        <v>5.1392507629313466E-2</v>
      </c>
      <c r="V34" s="3">
        <f t="shared" si="27"/>
        <v>4.8928080535931708E-2</v>
      </c>
      <c r="W34" s="3">
        <f t="shared" si="27"/>
        <v>2.9932423013514991E-2</v>
      </c>
      <c r="X34" s="3">
        <f t="shared" si="27"/>
        <v>2.197752739117782E-4</v>
      </c>
      <c r="Y34" s="3">
        <f t="shared" si="27"/>
        <v>1.0008025155963876E-25</v>
      </c>
      <c r="Z34" s="3">
        <f t="shared" si="27"/>
        <v>3.8374609712091824E-239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0.101890908218752</v>
      </c>
      <c r="C35" s="18">
        <f t="shared" si="3"/>
        <v>5.2830746228017506E-2</v>
      </c>
      <c r="D35" s="17"/>
      <c r="F35" s="3">
        <f t="shared" si="28"/>
        <v>5.2830746228017506E-2</v>
      </c>
      <c r="G35" s="3">
        <f t="shared" si="28"/>
        <v>5.2830746228017506E-2</v>
      </c>
      <c r="H35" s="3">
        <f t="shared" si="28"/>
        <v>5.2830746228017506E-2</v>
      </c>
      <c r="I35" s="3">
        <f t="shared" si="28"/>
        <v>5.2830746228017485E-2</v>
      </c>
      <c r="J35" s="3">
        <f t="shared" si="28"/>
        <v>5.2830746228017249E-2</v>
      </c>
      <c r="K35" s="3">
        <f t="shared" si="28"/>
        <v>5.2830746228014903E-2</v>
      </c>
      <c r="L35" s="3">
        <f t="shared" si="28"/>
        <v>5.2830746227991485E-2</v>
      </c>
      <c r="M35" s="3">
        <f t="shared" si="28"/>
        <v>5.283074622775729E-2</v>
      </c>
      <c r="N35" s="3">
        <f t="shared" si="28"/>
        <v>5.2830746225415344E-2</v>
      </c>
      <c r="O35" s="3">
        <f t="shared" si="28"/>
        <v>5.2830746201995897E-2</v>
      </c>
      <c r="P35" s="3">
        <f t="shared" si="27"/>
        <v>5.2830745967801435E-2</v>
      </c>
      <c r="Q35" s="3">
        <f t="shared" si="27"/>
        <v>5.2830743625856887E-2</v>
      </c>
      <c r="R35" s="3">
        <f t="shared" si="27"/>
        <v>5.2830720206417089E-2</v>
      </c>
      <c r="S35" s="3">
        <f t="shared" si="27"/>
        <v>5.2830486012590126E-2</v>
      </c>
      <c r="T35" s="3">
        <f t="shared" si="27"/>
        <v>5.2828144131418536E-2</v>
      </c>
      <c r="U35" s="3">
        <f t="shared" si="27"/>
        <v>5.2804731028571132E-2</v>
      </c>
      <c r="V35" s="3">
        <f t="shared" si="27"/>
        <v>5.2571169951699956E-2</v>
      </c>
      <c r="W35" s="3">
        <f t="shared" si="27"/>
        <v>5.0291630500949869E-2</v>
      </c>
      <c r="X35" s="3">
        <f t="shared" si="27"/>
        <v>3.2283190954412393E-2</v>
      </c>
      <c r="Y35" s="3">
        <f t="shared" si="27"/>
        <v>3.8351631504799223E-4</v>
      </c>
      <c r="Z35" s="3">
        <f t="shared" si="27"/>
        <v>2.1471269982734326E-23</v>
      </c>
      <c r="AA35" s="3">
        <f t="shared" si="27"/>
        <v>6.4952612333161725E-216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8.1560100756195228E-2</v>
      </c>
      <c r="C36" s="18">
        <f t="shared" si="3"/>
        <v>4.2289160639644607E-2</v>
      </c>
      <c r="D36" s="17"/>
      <c r="F36" s="3">
        <f t="shared" si="28"/>
        <v>4.2289160639644607E-2</v>
      </c>
      <c r="G36" s="3">
        <f t="shared" si="28"/>
        <v>4.2289160639644607E-2</v>
      </c>
      <c r="H36" s="3">
        <f t="shared" si="28"/>
        <v>4.2289160639644607E-2</v>
      </c>
      <c r="I36" s="3">
        <f t="shared" si="28"/>
        <v>4.2289160639644607E-2</v>
      </c>
      <c r="J36" s="3">
        <f t="shared" si="28"/>
        <v>4.2289160639644587E-2</v>
      </c>
      <c r="K36" s="3">
        <f t="shared" si="28"/>
        <v>4.228916063964442E-2</v>
      </c>
      <c r="L36" s="3">
        <f t="shared" si="28"/>
        <v>4.2289160639642727E-2</v>
      </c>
      <c r="M36" s="3">
        <f t="shared" si="28"/>
        <v>4.2289160639625817E-2</v>
      </c>
      <c r="N36" s="3">
        <f t="shared" si="28"/>
        <v>4.2289160639456709E-2</v>
      </c>
      <c r="O36" s="3">
        <f t="shared" si="28"/>
        <v>4.2289160637765624E-2</v>
      </c>
      <c r="P36" s="3">
        <f t="shared" si="27"/>
        <v>4.228916062085477E-2</v>
      </c>
      <c r="Q36" s="3">
        <f t="shared" si="27"/>
        <v>4.2289160451746237E-2</v>
      </c>
      <c r="R36" s="3">
        <f t="shared" si="27"/>
        <v>4.228915876066091E-2</v>
      </c>
      <c r="S36" s="3">
        <f t="shared" si="27"/>
        <v>4.228914184981139E-2</v>
      </c>
      <c r="T36" s="3">
        <f t="shared" si="27"/>
        <v>4.2288972741688136E-2</v>
      </c>
      <c r="U36" s="3">
        <f t="shared" si="27"/>
        <v>4.2287281697648275E-2</v>
      </c>
      <c r="V36" s="3">
        <f t="shared" si="27"/>
        <v>4.2270374975968077E-2</v>
      </c>
      <c r="W36" s="3">
        <f t="shared" si="27"/>
        <v>4.2101679081379441E-2</v>
      </c>
      <c r="X36" s="3">
        <f t="shared" si="27"/>
        <v>4.0451308783322128E-2</v>
      </c>
      <c r="Y36" s="3">
        <f t="shared" si="27"/>
        <v>2.7118407845585536E-2</v>
      </c>
      <c r="Z36" s="3">
        <f t="shared" si="27"/>
        <v>4.9725629776178914E-4</v>
      </c>
      <c r="AA36" s="3">
        <f t="shared" si="27"/>
        <v>2.1366890977644357E-21</v>
      </c>
      <c r="AB36" s="3">
        <f t="shared" si="27"/>
        <v>4.5851310503547835E-195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0.10360993738277846</v>
      </c>
      <c r="C37" s="18">
        <f t="shared" si="3"/>
        <v>5.3722068085000706E-2</v>
      </c>
      <c r="D37" s="17"/>
      <c r="F37" s="3">
        <f t="shared" si="28"/>
        <v>5.3722068085000706E-2</v>
      </c>
      <c r="G37" s="3">
        <f t="shared" si="28"/>
        <v>5.3722068085000706E-2</v>
      </c>
      <c r="H37" s="3">
        <f t="shared" si="28"/>
        <v>5.3722068085000706E-2</v>
      </c>
      <c r="I37" s="3">
        <f t="shared" si="28"/>
        <v>5.3722068085000706E-2</v>
      </c>
      <c r="J37" s="3">
        <f t="shared" si="28"/>
        <v>5.3722068085000706E-2</v>
      </c>
      <c r="K37" s="3">
        <f t="shared" si="28"/>
        <v>5.3722068085000685E-2</v>
      </c>
      <c r="L37" s="3">
        <f t="shared" si="28"/>
        <v>5.3722068085000491E-2</v>
      </c>
      <c r="M37" s="3">
        <f t="shared" si="28"/>
        <v>5.3722068084998555E-2</v>
      </c>
      <c r="N37" s="3">
        <f t="shared" si="28"/>
        <v>5.3722068084979174E-2</v>
      </c>
      <c r="O37" s="3">
        <f t="shared" si="28"/>
        <v>5.3722068084785378E-2</v>
      </c>
      <c r="P37" s="3">
        <f t="shared" si="27"/>
        <v>5.3722068082847463E-2</v>
      </c>
      <c r="Q37" s="3">
        <f t="shared" si="27"/>
        <v>5.3722068063468263E-2</v>
      </c>
      <c r="R37" s="3">
        <f t="shared" si="27"/>
        <v>5.3722067869676295E-2</v>
      </c>
      <c r="S37" s="3">
        <f t="shared" si="27"/>
        <v>5.3722065931756623E-2</v>
      </c>
      <c r="T37" s="3">
        <f t="shared" si="27"/>
        <v>5.372204655256381E-2</v>
      </c>
      <c r="U37" s="3">
        <f t="shared" si="27"/>
        <v>5.3721852761020088E-2</v>
      </c>
      <c r="V37" s="3">
        <f t="shared" si="27"/>
        <v>5.3719914884030995E-2</v>
      </c>
      <c r="W37" s="3">
        <f t="shared" si="27"/>
        <v>5.3700539958438716E-2</v>
      </c>
      <c r="X37" s="3">
        <f t="shared" si="27"/>
        <v>5.3507174619778067E-2</v>
      </c>
      <c r="Y37" s="3">
        <f t="shared" si="27"/>
        <v>5.1611405450420367E-2</v>
      </c>
      <c r="Z37" s="3">
        <f t="shared" si="27"/>
        <v>3.5981755690676888E-2</v>
      </c>
      <c r="AA37" s="3">
        <f t="shared" si="27"/>
        <v>9.759981585083957E-4</v>
      </c>
      <c r="AB37" s="3">
        <f t="shared" si="27"/>
        <v>2.1043378958026613E-19</v>
      </c>
      <c r="AC37" s="3">
        <f t="shared" si="27"/>
        <v>4.5685697081322518E-176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0</v>
      </c>
      <c r="C38" s="18">
        <f t="shared" si="3"/>
        <v>0</v>
      </c>
      <c r="D38" s="17"/>
      <c r="F38" s="3">
        <f t="shared" si="28"/>
        <v>0</v>
      </c>
      <c r="G38" s="3">
        <f t="shared" si="28"/>
        <v>0</v>
      </c>
      <c r="H38" s="3">
        <f t="shared" si="28"/>
        <v>0</v>
      </c>
      <c r="I38" s="3">
        <f t="shared" si="28"/>
        <v>0</v>
      </c>
      <c r="J38" s="3">
        <f t="shared" si="28"/>
        <v>0</v>
      </c>
      <c r="K38" s="3">
        <f t="shared" si="28"/>
        <v>0</v>
      </c>
      <c r="L38" s="3">
        <f t="shared" si="28"/>
        <v>0</v>
      </c>
      <c r="M38" s="3">
        <f t="shared" si="28"/>
        <v>0</v>
      </c>
      <c r="N38" s="3">
        <f t="shared" si="28"/>
        <v>0</v>
      </c>
      <c r="O38" s="3">
        <f t="shared" si="28"/>
        <v>0</v>
      </c>
      <c r="P38" s="3">
        <f t="shared" si="27"/>
        <v>0</v>
      </c>
      <c r="Q38" s="3">
        <f t="shared" si="27"/>
        <v>0</v>
      </c>
      <c r="R38" s="3">
        <f t="shared" si="27"/>
        <v>0</v>
      </c>
      <c r="S38" s="3">
        <f t="shared" si="27"/>
        <v>0</v>
      </c>
      <c r="T38" s="3">
        <f t="shared" si="27"/>
        <v>0</v>
      </c>
      <c r="U38" s="3">
        <f t="shared" si="27"/>
        <v>0</v>
      </c>
      <c r="V38" s="3">
        <f t="shared" si="27"/>
        <v>0</v>
      </c>
      <c r="W38" s="3">
        <f t="shared" si="27"/>
        <v>0</v>
      </c>
      <c r="X38" s="3">
        <f t="shared" si="27"/>
        <v>0</v>
      </c>
      <c r="Y38" s="3">
        <f t="shared" si="27"/>
        <v>0</v>
      </c>
      <c r="Z38" s="3">
        <f t="shared" si="27"/>
        <v>0</v>
      </c>
      <c r="AA38" s="3">
        <f t="shared" si="27"/>
        <v>0</v>
      </c>
      <c r="AB38" s="3">
        <f t="shared" si="27"/>
        <v>0</v>
      </c>
      <c r="AC38" s="3">
        <f t="shared" si="27"/>
        <v>0</v>
      </c>
      <c r="AD38" s="3">
        <f t="shared" si="27"/>
        <v>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0.14017174580230787</v>
      </c>
      <c r="C39" s="18">
        <f t="shared" si="3"/>
        <v>7.2679477102325196E-2</v>
      </c>
      <c r="D39" s="17"/>
      <c r="F39" s="3">
        <f t="shared" si="28"/>
        <v>7.2679477102325196E-2</v>
      </c>
      <c r="G39" s="3">
        <f t="shared" si="28"/>
        <v>7.2679477102325196E-2</v>
      </c>
      <c r="H39" s="3">
        <f t="shared" si="28"/>
        <v>7.2679477102325196E-2</v>
      </c>
      <c r="I39" s="3">
        <f t="shared" si="28"/>
        <v>7.2679477102325196E-2</v>
      </c>
      <c r="J39" s="3">
        <f t="shared" si="28"/>
        <v>7.2679477102325196E-2</v>
      </c>
      <c r="K39" s="3">
        <f t="shared" si="28"/>
        <v>7.2679477102325196E-2</v>
      </c>
      <c r="L39" s="3">
        <f t="shared" si="28"/>
        <v>7.2679477102325182E-2</v>
      </c>
      <c r="M39" s="3">
        <f t="shared" si="28"/>
        <v>7.2679477102325127E-2</v>
      </c>
      <c r="N39" s="3">
        <f t="shared" si="28"/>
        <v>7.2679477102324475E-2</v>
      </c>
      <c r="O39" s="3">
        <f t="shared" si="28"/>
        <v>7.2679477102317924E-2</v>
      </c>
      <c r="P39" s="3">
        <f t="shared" si="27"/>
        <v>7.2679477102252518E-2</v>
      </c>
      <c r="Q39" s="3">
        <f t="shared" si="27"/>
        <v>7.2679477101598403E-2</v>
      </c>
      <c r="R39" s="3">
        <f t="shared" si="27"/>
        <v>7.2679477095057246E-2</v>
      </c>
      <c r="S39" s="3">
        <f t="shared" si="27"/>
        <v>7.2679477029645723E-2</v>
      </c>
      <c r="T39" s="3">
        <f t="shared" si="27"/>
        <v>7.2679476375530433E-2</v>
      </c>
      <c r="U39" s="3">
        <f t="shared" si="27"/>
        <v>7.2679469834377855E-2</v>
      </c>
      <c r="V39" s="3">
        <f t="shared" si="27"/>
        <v>7.2679404422884439E-2</v>
      </c>
      <c r="W39" s="3">
        <f t="shared" si="27"/>
        <v>7.2678750311188131E-2</v>
      </c>
      <c r="X39" s="3">
        <f t="shared" si="27"/>
        <v>7.2672209518000241E-2</v>
      </c>
      <c r="Y39" s="3">
        <f t="shared" si="27"/>
        <v>7.260683395285121E-2</v>
      </c>
      <c r="Z39" s="3">
        <f t="shared" si="27"/>
        <v>7.1956304222133532E-2</v>
      </c>
      <c r="AA39" s="3">
        <f t="shared" si="27"/>
        <v>6.5763110405471573E-2</v>
      </c>
      <c r="AB39" s="3">
        <f t="shared" si="27"/>
        <v>2.6737285421036032E-2</v>
      </c>
      <c r="AC39" s="3">
        <f t="shared" si="27"/>
        <v>3.2996431556196902E-6</v>
      </c>
      <c r="AD39" s="3">
        <f t="shared" si="27"/>
        <v>2.7037317671811641E-45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4.8314768487406894E-2</v>
      </c>
      <c r="C40" s="18">
        <f t="shared" si="3"/>
        <v>2.5051354607062454E-2</v>
      </c>
      <c r="D40" s="17"/>
      <c r="F40" s="3">
        <f t="shared" si="28"/>
        <v>2.5051354607062454E-2</v>
      </c>
      <c r="G40" s="3">
        <f t="shared" si="28"/>
        <v>2.5051354607062454E-2</v>
      </c>
      <c r="H40" s="3">
        <f t="shared" si="28"/>
        <v>2.5051354607062454E-2</v>
      </c>
      <c r="I40" s="3">
        <f t="shared" si="28"/>
        <v>2.5051354607062454E-2</v>
      </c>
      <c r="J40" s="3">
        <f t="shared" si="28"/>
        <v>2.5051354607062454E-2</v>
      </c>
      <c r="K40" s="3">
        <f t="shared" si="28"/>
        <v>2.5051354607062454E-2</v>
      </c>
      <c r="L40" s="3">
        <f t="shared" si="28"/>
        <v>2.5051354607062454E-2</v>
      </c>
      <c r="M40" s="3">
        <f t="shared" si="28"/>
        <v>2.505135460706245E-2</v>
      </c>
      <c r="N40" s="3">
        <f t="shared" si="28"/>
        <v>2.5051354607062429E-2</v>
      </c>
      <c r="O40" s="3">
        <f t="shared" si="28"/>
        <v>2.5051354607062204E-2</v>
      </c>
      <c r="P40" s="3">
        <f t="shared" si="27"/>
        <v>2.5051354607059949E-2</v>
      </c>
      <c r="Q40" s="3">
        <f t="shared" si="27"/>
        <v>2.5051354607037404E-2</v>
      </c>
      <c r="R40" s="3">
        <f t="shared" si="27"/>
        <v>2.5051354606811939E-2</v>
      </c>
      <c r="S40" s="3">
        <f t="shared" si="27"/>
        <v>2.5051354604557319E-2</v>
      </c>
      <c r="T40" s="3">
        <f t="shared" si="27"/>
        <v>2.50513545820111E-2</v>
      </c>
      <c r="U40" s="3">
        <f t="shared" si="27"/>
        <v>2.505135435654891E-2</v>
      </c>
      <c r="V40" s="3">
        <f t="shared" si="27"/>
        <v>2.5051352101927118E-2</v>
      </c>
      <c r="W40" s="3">
        <f t="shared" si="27"/>
        <v>2.5051329555720373E-2</v>
      </c>
      <c r="X40" s="3">
        <f t="shared" si="27"/>
        <v>2.5051104094768947E-2</v>
      </c>
      <c r="Y40" s="3">
        <f t="shared" si="27"/>
        <v>2.5048849596854345E-2</v>
      </c>
      <c r="Z40" s="3">
        <f t="shared" si="27"/>
        <v>2.5026315773958512E-2</v>
      </c>
      <c r="AA40" s="3">
        <f t="shared" si="27"/>
        <v>2.480208946391364E-2</v>
      </c>
      <c r="AB40" s="3">
        <f t="shared" si="27"/>
        <v>2.2667403020957631E-2</v>
      </c>
      <c r="AC40" s="3">
        <f t="shared" si="27"/>
        <v>9.2158783334337722E-3</v>
      </c>
      <c r="AD40" s="3">
        <f t="shared" si="27"/>
        <v>1.1373297396157367E-6</v>
      </c>
      <c r="AE40" s="3">
        <f t="shared" si="27"/>
        <v>9.3192942440511934E-46</v>
      </c>
      <c r="AF40" s="3">
        <f t="shared" si="29"/>
        <v>0</v>
      </c>
      <c r="AG40" s="3">
        <f t="shared" si="29"/>
        <v>0</v>
      </c>
      <c r="AH40" s="3">
        <f t="shared" si="29"/>
        <v>0</v>
      </c>
      <c r="AI40" s="3">
        <f t="shared" si="29"/>
        <v>0</v>
      </c>
      <c r="AJ40" s="3">
        <f t="shared" si="29"/>
        <v>0</v>
      </c>
    </row>
    <row r="41" spans="1:36" x14ac:dyDescent="0.25">
      <c r="A41" s="3">
        <f t="shared" si="30"/>
        <v>1000000000</v>
      </c>
      <c r="B41" s="106">
        <v>0.13448464788584527</v>
      </c>
      <c r="C41" s="18">
        <f t="shared" si="3"/>
        <v>6.9730699512145403E-2</v>
      </c>
      <c r="D41" s="17"/>
      <c r="F41" s="3">
        <f t="shared" si="28"/>
        <v>6.9730699512145403E-2</v>
      </c>
      <c r="G41" s="3">
        <f t="shared" si="28"/>
        <v>6.9730699512145403E-2</v>
      </c>
      <c r="H41" s="3">
        <f t="shared" si="28"/>
        <v>6.9730699512145403E-2</v>
      </c>
      <c r="I41" s="3">
        <f t="shared" si="28"/>
        <v>6.9730699512145403E-2</v>
      </c>
      <c r="J41" s="3">
        <f t="shared" si="28"/>
        <v>6.9730699512145403E-2</v>
      </c>
      <c r="K41" s="3">
        <f t="shared" si="28"/>
        <v>6.9730699512145403E-2</v>
      </c>
      <c r="L41" s="3">
        <f t="shared" si="28"/>
        <v>6.9730699512145403E-2</v>
      </c>
      <c r="M41" s="3">
        <f t="shared" si="28"/>
        <v>6.9730699512145403E-2</v>
      </c>
      <c r="N41" s="3">
        <f t="shared" si="28"/>
        <v>6.9730699512145389E-2</v>
      </c>
      <c r="O41" s="3">
        <f t="shared" si="28"/>
        <v>6.9730699512145333E-2</v>
      </c>
      <c r="P41" s="3">
        <f t="shared" si="27"/>
        <v>6.9730699512144709E-2</v>
      </c>
      <c r="Q41" s="3">
        <f t="shared" si="27"/>
        <v>6.9730699512138422E-2</v>
      </c>
      <c r="R41" s="3">
        <f t="shared" si="27"/>
        <v>6.9730699512075667E-2</v>
      </c>
      <c r="S41" s="3">
        <f t="shared" si="27"/>
        <v>6.9730699511448099E-2</v>
      </c>
      <c r="T41" s="3">
        <f t="shared" si="27"/>
        <v>6.9730699505172328E-2</v>
      </c>
      <c r="U41" s="3">
        <f t="shared" si="27"/>
        <v>6.9730699442414709E-2</v>
      </c>
      <c r="V41" s="3">
        <f t="shared" si="27"/>
        <v>6.9730698814838413E-2</v>
      </c>
      <c r="W41" s="3">
        <f t="shared" si="27"/>
        <v>6.9730692539075809E-2</v>
      </c>
      <c r="X41" s="3">
        <f t="shared" si="27"/>
        <v>6.9730629781480757E-2</v>
      </c>
      <c r="Y41" s="3">
        <f t="shared" si="27"/>
        <v>6.9730002208636802E-2</v>
      </c>
      <c r="Z41" s="3">
        <f t="shared" si="27"/>
        <v>6.9723726790836063E-2</v>
      </c>
      <c r="AA41" s="3">
        <f t="shared" si="27"/>
        <v>6.9661003666364144E-2</v>
      </c>
      <c r="AB41" s="3">
        <f t="shared" si="27"/>
        <v>6.9036867459212753E-2</v>
      </c>
      <c r="AC41" s="3">
        <f t="shared" si="27"/>
        <v>6.3094946104410993E-2</v>
      </c>
      <c r="AD41" s="3">
        <f t="shared" si="27"/>
        <v>2.5652490769021818E-2</v>
      </c>
      <c r="AE41" s="3">
        <f t="shared" si="27"/>
        <v>3.1657688601403381E-6</v>
      </c>
      <c r="AF41" s="3">
        <f t="shared" si="29"/>
        <v>2.5940350004625995E-45</v>
      </c>
      <c r="AG41" s="3">
        <f t="shared" si="29"/>
        <v>0</v>
      </c>
      <c r="AH41" s="3">
        <f t="shared" si="29"/>
        <v>0</v>
      </c>
      <c r="AI41" s="3">
        <f t="shared" si="29"/>
        <v>0</v>
      </c>
      <c r="AJ41" s="3">
        <f t="shared" si="29"/>
        <v>0</v>
      </c>
    </row>
    <row r="42" spans="1:36" x14ac:dyDescent="0.25">
      <c r="A42" s="3">
        <f t="shared" si="30"/>
        <v>10000000000</v>
      </c>
      <c r="B42" s="106">
        <v>6.4842091063258875E-2</v>
      </c>
      <c r="C42" s="18">
        <f t="shared" si="3"/>
        <v>3.3620821697873268E-2</v>
      </c>
      <c r="D42" s="17"/>
      <c r="F42" s="3">
        <f t="shared" si="28"/>
        <v>3.3620821697873268E-2</v>
      </c>
      <c r="G42" s="3">
        <f t="shared" si="28"/>
        <v>3.3620821697873268E-2</v>
      </c>
      <c r="H42" s="3">
        <f t="shared" si="28"/>
        <v>3.3620821697873268E-2</v>
      </c>
      <c r="I42" s="3">
        <f t="shared" si="28"/>
        <v>3.3620821697873268E-2</v>
      </c>
      <c r="J42" s="3">
        <f t="shared" si="28"/>
        <v>3.3620821697873268E-2</v>
      </c>
      <c r="K42" s="3">
        <f t="shared" si="28"/>
        <v>3.3620821697873268E-2</v>
      </c>
      <c r="L42" s="3">
        <f t="shared" si="28"/>
        <v>3.3620821697873268E-2</v>
      </c>
      <c r="M42" s="3">
        <f t="shared" si="28"/>
        <v>3.3620821697873268E-2</v>
      </c>
      <c r="N42" s="3">
        <f t="shared" si="28"/>
        <v>3.3620821697873268E-2</v>
      </c>
      <c r="O42" s="3">
        <f t="shared" si="28"/>
        <v>3.3620821697873261E-2</v>
      </c>
      <c r="P42" s="3">
        <f t="shared" si="27"/>
        <v>3.3620821697873234E-2</v>
      </c>
      <c r="Q42" s="3">
        <f t="shared" si="27"/>
        <v>3.3620821697872935E-2</v>
      </c>
      <c r="R42" s="3">
        <f t="shared" si="27"/>
        <v>3.3620821697869903E-2</v>
      </c>
      <c r="S42" s="3">
        <f t="shared" si="27"/>
        <v>3.3620821697839649E-2</v>
      </c>
      <c r="T42" s="3">
        <f t="shared" si="27"/>
        <v>3.3620821697537058E-2</v>
      </c>
      <c r="U42" s="3">
        <f t="shared" si="27"/>
        <v>3.3620821694511187E-2</v>
      </c>
      <c r="V42" s="3">
        <f t="shared" si="27"/>
        <v>3.3620821664252447E-2</v>
      </c>
      <c r="W42" s="3">
        <f t="shared" si="27"/>
        <v>3.3620821361665054E-2</v>
      </c>
      <c r="X42" s="3">
        <f t="shared" si="27"/>
        <v>3.3620818335791267E-2</v>
      </c>
      <c r="Y42" s="3">
        <f t="shared" si="27"/>
        <v>3.3620788077068378E-2</v>
      </c>
      <c r="Z42" s="3">
        <f t="shared" si="27"/>
        <v>3.3620485491337324E-2</v>
      </c>
      <c r="AA42" s="3">
        <f t="shared" si="27"/>
        <v>3.3617459783801984E-2</v>
      </c>
      <c r="AB42" s="3">
        <f t="shared" si="27"/>
        <v>3.3587217680984174E-2</v>
      </c>
      <c r="AC42" s="3">
        <f t="shared" si="27"/>
        <v>3.3286288932489853E-2</v>
      </c>
      <c r="AD42" s="3">
        <f t="shared" si="27"/>
        <v>3.0421377497351014E-2</v>
      </c>
      <c r="AE42" s="3">
        <f t="shared" si="27"/>
        <v>1.2368409097938321E-2</v>
      </c>
      <c r="AF42" s="3">
        <f t="shared" si="29"/>
        <v>1.5263829436404731E-6</v>
      </c>
      <c r="AG42" s="3">
        <f t="shared" si="29"/>
        <v>1.250720110923384E-45</v>
      </c>
      <c r="AH42" s="3">
        <f t="shared" si="29"/>
        <v>0</v>
      </c>
      <c r="AI42" s="3">
        <f t="shared" si="29"/>
        <v>0</v>
      </c>
      <c r="AJ42" s="3">
        <f t="shared" si="29"/>
        <v>0</v>
      </c>
    </row>
    <row r="43" spans="1:36" x14ac:dyDescent="0.25">
      <c r="A43" s="3">
        <f t="shared" si="30"/>
        <v>100000000000</v>
      </c>
      <c r="B43" s="106">
        <v>8.5880718821489385E-2</v>
      </c>
      <c r="C43" s="18">
        <f t="shared" si="3"/>
        <v>4.4529414265274125E-2</v>
      </c>
      <c r="D43" s="17"/>
      <c r="F43" s="3">
        <f t="shared" si="28"/>
        <v>4.4529414265274125E-2</v>
      </c>
      <c r="G43" s="3">
        <f t="shared" si="28"/>
        <v>4.4529414265274125E-2</v>
      </c>
      <c r="H43" s="3">
        <f t="shared" si="28"/>
        <v>4.4529414265274125E-2</v>
      </c>
      <c r="I43" s="3">
        <f t="shared" si="28"/>
        <v>4.4529414265274125E-2</v>
      </c>
      <c r="J43" s="3">
        <f t="shared" si="28"/>
        <v>4.4529414265274125E-2</v>
      </c>
      <c r="K43" s="3">
        <f t="shared" si="28"/>
        <v>4.4529414265274125E-2</v>
      </c>
      <c r="L43" s="3">
        <f t="shared" si="28"/>
        <v>4.4529414265274125E-2</v>
      </c>
      <c r="M43" s="3">
        <f t="shared" si="28"/>
        <v>4.4529414265274125E-2</v>
      </c>
      <c r="N43" s="3">
        <f t="shared" si="28"/>
        <v>4.4529414265274125E-2</v>
      </c>
      <c r="O43" s="3">
        <f t="shared" si="28"/>
        <v>4.4529414265274125E-2</v>
      </c>
      <c r="P43" s="3">
        <f t="shared" si="27"/>
        <v>4.4529414265274118E-2</v>
      </c>
      <c r="Q43" s="3">
        <f t="shared" si="27"/>
        <v>4.4529414265274084E-2</v>
      </c>
      <c r="R43" s="3">
        <f t="shared" si="27"/>
        <v>4.4529414265273681E-2</v>
      </c>
      <c r="S43" s="3">
        <f t="shared" si="27"/>
        <v>4.4529414265269671E-2</v>
      </c>
      <c r="T43" s="3">
        <f t="shared" si="27"/>
        <v>4.4529414265229599E-2</v>
      </c>
      <c r="U43" s="3">
        <f t="shared" si="27"/>
        <v>4.4529414264828829E-2</v>
      </c>
      <c r="V43" s="3">
        <f t="shared" si="27"/>
        <v>4.452941426082118E-2</v>
      </c>
      <c r="W43" s="3">
        <f t="shared" si="27"/>
        <v>4.4529414220744711E-2</v>
      </c>
      <c r="X43" s="3">
        <f t="shared" si="27"/>
        <v>4.4529413819979984E-2</v>
      </c>
      <c r="Y43" s="3">
        <f t="shared" si="27"/>
        <v>4.4529409812332922E-2</v>
      </c>
      <c r="Z43" s="3">
        <f t="shared" si="27"/>
        <v>4.4529369735882125E-2</v>
      </c>
      <c r="AA43" s="3">
        <f t="shared" si="27"/>
        <v>4.4528968973357938E-2</v>
      </c>
      <c r="AB43" s="3">
        <f t="shared" si="27"/>
        <v>4.4524961546487246E-2</v>
      </c>
      <c r="AC43" s="3">
        <f t="shared" si="27"/>
        <v>4.4484907108296272E-2</v>
      </c>
      <c r="AD43" s="3">
        <f t="shared" si="27"/>
        <v>4.4086339190282479E-2</v>
      </c>
      <c r="AE43" s="3">
        <f t="shared" si="27"/>
        <v>4.0291880230444263E-2</v>
      </c>
      <c r="AF43" s="3">
        <f t="shared" si="29"/>
        <v>1.6381456035600699E-2</v>
      </c>
      <c r="AG43" s="3">
        <f t="shared" si="29"/>
        <v>2.0216322800080363E-6</v>
      </c>
      <c r="AH43" s="3">
        <f t="shared" si="29"/>
        <v>1.6565280423452579E-45</v>
      </c>
      <c r="AI43" s="3">
        <f t="shared" si="29"/>
        <v>0</v>
      </c>
      <c r="AJ43" s="3">
        <f t="shared" si="29"/>
        <v>0</v>
      </c>
    </row>
    <row r="44" spans="1:36" x14ac:dyDescent="0.25">
      <c r="A44" s="3">
        <f t="shared" si="30"/>
        <v>1000000000000</v>
      </c>
      <c r="B44" s="106">
        <v>2.3559479592719347E-2</v>
      </c>
      <c r="C44" s="18">
        <f t="shared" si="3"/>
        <v>1.2215661921031389E-2</v>
      </c>
      <c r="D44" s="17"/>
      <c r="F44" s="3">
        <f t="shared" si="28"/>
        <v>1.2215661921031389E-2</v>
      </c>
      <c r="G44" s="3">
        <f t="shared" si="28"/>
        <v>1.2215661921031389E-2</v>
      </c>
      <c r="H44" s="3">
        <f t="shared" si="28"/>
        <v>1.2215661921031389E-2</v>
      </c>
      <c r="I44" s="3">
        <f t="shared" si="28"/>
        <v>1.2215661921031389E-2</v>
      </c>
      <c r="J44" s="3">
        <f t="shared" si="28"/>
        <v>1.2215661921031389E-2</v>
      </c>
      <c r="K44" s="3">
        <f t="shared" si="28"/>
        <v>1.2215661921031389E-2</v>
      </c>
      <c r="L44" s="3">
        <f t="shared" si="28"/>
        <v>1.2215661921031389E-2</v>
      </c>
      <c r="M44" s="3">
        <f t="shared" si="28"/>
        <v>1.2215661921031389E-2</v>
      </c>
      <c r="N44" s="3">
        <f t="shared" si="28"/>
        <v>1.2215661921031389E-2</v>
      </c>
      <c r="O44" s="3">
        <f t="shared" si="28"/>
        <v>1.2215661921031389E-2</v>
      </c>
      <c r="P44" s="3">
        <f t="shared" si="27"/>
        <v>1.2215661921031389E-2</v>
      </c>
      <c r="Q44" s="3">
        <f t="shared" si="27"/>
        <v>1.2215661921031387E-2</v>
      </c>
      <c r="R44" s="3">
        <f t="shared" si="27"/>
        <v>1.2215661921031377E-2</v>
      </c>
      <c r="S44" s="3">
        <f t="shared" si="27"/>
        <v>1.2215661921031268E-2</v>
      </c>
      <c r="T44" s="3">
        <f t="shared" si="27"/>
        <v>1.2215661921030168E-2</v>
      </c>
      <c r="U44" s="3">
        <f t="shared" si="27"/>
        <v>1.2215661921019173E-2</v>
      </c>
      <c r="V44" s="3">
        <f t="shared" si="27"/>
        <v>1.2215661920909232E-2</v>
      </c>
      <c r="W44" s="3">
        <f t="shared" si="27"/>
        <v>1.2215661919809823E-2</v>
      </c>
      <c r="X44" s="3">
        <f t="shared" si="27"/>
        <v>1.2215661908815728E-2</v>
      </c>
      <c r="Y44" s="3">
        <f t="shared" si="27"/>
        <v>1.2215661798874771E-2</v>
      </c>
      <c r="Z44" s="3">
        <f t="shared" si="27"/>
        <v>1.2215660699465258E-2</v>
      </c>
      <c r="AA44" s="3">
        <f t="shared" si="27"/>
        <v>1.2215649705375576E-2</v>
      </c>
      <c r="AB44" s="3">
        <f t="shared" si="27"/>
        <v>1.2215539765022959E-2</v>
      </c>
      <c r="AC44" s="3">
        <f t="shared" si="27"/>
        <v>1.2214440415915559E-2</v>
      </c>
      <c r="AD44" s="3">
        <f t="shared" si="27"/>
        <v>1.2203452364905883E-2</v>
      </c>
      <c r="AE44" s="3">
        <f t="shared" si="27"/>
        <v>1.2094114054053171E-2</v>
      </c>
      <c r="AF44" s="3">
        <f t="shared" si="29"/>
        <v>1.1053187992226231E-2</v>
      </c>
      <c r="AG44" s="3">
        <f t="shared" si="29"/>
        <v>4.4938908810482955E-3</v>
      </c>
      <c r="AH44" s="3">
        <f t="shared" si="29"/>
        <v>5.5459019321708592E-7</v>
      </c>
      <c r="AI44" s="3">
        <f t="shared" si="29"/>
        <v>4.544319044362141E-46</v>
      </c>
      <c r="AJ44" s="3">
        <f t="shared" si="29"/>
        <v>0</v>
      </c>
    </row>
    <row r="45" spans="1:36" x14ac:dyDescent="0.25">
      <c r="A45" s="3">
        <f t="shared" si="30"/>
        <v>10000000000000</v>
      </c>
      <c r="B45" s="106">
        <v>2.8770709733490735E-2</v>
      </c>
      <c r="C45" s="18">
        <f t="shared" si="3"/>
        <v>1.4917700620223399E-2</v>
      </c>
      <c r="D45" s="17"/>
      <c r="F45" s="3">
        <f t="shared" si="28"/>
        <v>1.4917700620223399E-2</v>
      </c>
      <c r="G45" s="3">
        <f t="shared" si="28"/>
        <v>1.4917700620223399E-2</v>
      </c>
      <c r="H45" s="3">
        <f t="shared" si="28"/>
        <v>1.4917700620223399E-2</v>
      </c>
      <c r="I45" s="3">
        <f t="shared" si="28"/>
        <v>1.4917700620223399E-2</v>
      </c>
      <c r="J45" s="3">
        <f t="shared" si="28"/>
        <v>1.4917700620223399E-2</v>
      </c>
      <c r="K45" s="3">
        <f t="shared" si="28"/>
        <v>1.4917700620223399E-2</v>
      </c>
      <c r="L45" s="3">
        <f t="shared" si="28"/>
        <v>1.4917700620223399E-2</v>
      </c>
      <c r="M45" s="3">
        <f t="shared" si="28"/>
        <v>1.4917700620223399E-2</v>
      </c>
      <c r="N45" s="3">
        <f t="shared" si="28"/>
        <v>1.4917700620223399E-2</v>
      </c>
      <c r="O45" s="3">
        <f t="shared" si="28"/>
        <v>1.4917700620223399E-2</v>
      </c>
      <c r="P45" s="3">
        <f t="shared" si="27"/>
        <v>1.4917700620223399E-2</v>
      </c>
      <c r="Q45" s="3">
        <f t="shared" si="27"/>
        <v>1.4917700620223399E-2</v>
      </c>
      <c r="R45" s="3">
        <f t="shared" si="27"/>
        <v>1.4917700620223398E-2</v>
      </c>
      <c r="S45" s="3">
        <f t="shared" si="27"/>
        <v>1.4917700620223384E-2</v>
      </c>
      <c r="T45" s="3">
        <f t="shared" si="27"/>
        <v>1.491770062022325E-2</v>
      </c>
      <c r="U45" s="3">
        <f t="shared" si="27"/>
        <v>1.4917700620221908E-2</v>
      </c>
      <c r="V45" s="3">
        <f t="shared" si="27"/>
        <v>1.4917700620208483E-2</v>
      </c>
      <c r="W45" s="3">
        <f t="shared" si="27"/>
        <v>1.4917700620074222E-2</v>
      </c>
      <c r="X45" s="3">
        <f t="shared" si="27"/>
        <v>1.4917700618731629E-2</v>
      </c>
      <c r="Y45" s="3">
        <f t="shared" si="27"/>
        <v>1.4917700605305699E-2</v>
      </c>
      <c r="Z45" s="3">
        <f t="shared" si="27"/>
        <v>1.4917700471046394E-2</v>
      </c>
      <c r="AA45" s="3">
        <f t="shared" si="27"/>
        <v>1.4917699128453412E-2</v>
      </c>
      <c r="AB45" s="3">
        <f t="shared" si="27"/>
        <v>1.4917685702530239E-2</v>
      </c>
      <c r="AC45" s="3">
        <f t="shared" si="27"/>
        <v>1.4917551443963079E-2</v>
      </c>
      <c r="AD45" s="3">
        <f t="shared" si="27"/>
        <v>1.4916208924747393E-2</v>
      </c>
      <c r="AE45" s="3">
        <f t="shared" si="27"/>
        <v>1.4902790375967825E-2</v>
      </c>
      <c r="AF45" s="3">
        <f t="shared" si="29"/>
        <v>1.4769267018972038E-2</v>
      </c>
      <c r="AG45" s="3">
        <f t="shared" si="29"/>
        <v>1.3498093712236373E-2</v>
      </c>
      <c r="AH45" s="3">
        <f t="shared" si="29"/>
        <v>5.4879153677306631E-3</v>
      </c>
      <c r="AI45" s="3">
        <f t="shared" si="29"/>
        <v>6.7726256037591903E-7</v>
      </c>
      <c r="AJ45" s="3">
        <f t="shared" si="29"/>
        <v>5.5494979694764193E-46</v>
      </c>
    </row>
    <row r="46" spans="1:36" x14ac:dyDescent="0.25">
      <c r="A46" s="3">
        <f t="shared" si="30"/>
        <v>100000000000000</v>
      </c>
      <c r="B46" s="106">
        <v>1.4741325868096284E-3</v>
      </c>
      <c r="C46" s="18">
        <f t="shared" si="3"/>
        <v>7.6434223584492019E-4</v>
      </c>
      <c r="D46" s="17"/>
      <c r="F46" s="3">
        <f t="shared" si="28"/>
        <v>7.6434223584492019E-4</v>
      </c>
      <c r="G46" s="3">
        <f t="shared" si="28"/>
        <v>7.6434223584492019E-4</v>
      </c>
      <c r="H46" s="3">
        <f t="shared" si="28"/>
        <v>7.6434223584492019E-4</v>
      </c>
      <c r="I46" s="3">
        <f t="shared" si="28"/>
        <v>7.6434223584492019E-4</v>
      </c>
      <c r="J46" s="3">
        <f t="shared" si="28"/>
        <v>7.6434223584492019E-4</v>
      </c>
      <c r="K46" s="3">
        <f t="shared" si="28"/>
        <v>7.6434223584492019E-4</v>
      </c>
      <c r="L46" s="3">
        <f t="shared" si="28"/>
        <v>7.6434223584492019E-4</v>
      </c>
      <c r="M46" s="3">
        <f t="shared" si="28"/>
        <v>7.6434223584492019E-4</v>
      </c>
      <c r="N46" s="3">
        <f t="shared" si="28"/>
        <v>7.6434223584492019E-4</v>
      </c>
      <c r="O46" s="3">
        <f t="shared" si="28"/>
        <v>7.6434223584492019E-4</v>
      </c>
      <c r="P46" s="3">
        <f t="shared" si="27"/>
        <v>7.6434223584492019E-4</v>
      </c>
      <c r="Q46" s="3">
        <f t="shared" si="27"/>
        <v>7.6434223584492019E-4</v>
      </c>
      <c r="R46" s="3">
        <f t="shared" si="27"/>
        <v>7.6434223584492019E-4</v>
      </c>
      <c r="S46" s="3">
        <f t="shared" si="27"/>
        <v>7.6434223584492009E-4</v>
      </c>
      <c r="T46" s="3">
        <f t="shared" si="27"/>
        <v>7.6434223584491943E-4</v>
      </c>
      <c r="U46" s="3">
        <f t="shared" si="27"/>
        <v>7.643422358449126E-4</v>
      </c>
      <c r="V46" s="3">
        <f t="shared" si="27"/>
        <v>7.6434223584484376E-4</v>
      </c>
      <c r="W46" s="3">
        <f t="shared" si="27"/>
        <v>7.6434223584415583E-4</v>
      </c>
      <c r="X46" s="3">
        <f t="shared" si="27"/>
        <v>7.6434223583727679E-4</v>
      </c>
      <c r="Y46" s="3">
        <f t="shared" si="27"/>
        <v>7.64342235768486E-4</v>
      </c>
      <c r="Z46" s="3">
        <f t="shared" si="27"/>
        <v>7.6434223508057794E-4</v>
      </c>
      <c r="AA46" s="3">
        <f t="shared" si="27"/>
        <v>7.6434222820149784E-4</v>
      </c>
      <c r="AB46" s="3">
        <f t="shared" si="27"/>
        <v>7.6434215941070045E-4</v>
      </c>
      <c r="AC46" s="3">
        <f t="shared" si="27"/>
        <v>7.643414715030665E-4</v>
      </c>
      <c r="AD46" s="3">
        <f t="shared" si="27"/>
        <v>7.6433459246077876E-4</v>
      </c>
      <c r="AE46" s="3">
        <f t="shared" si="27"/>
        <v>7.6426580544291947E-4</v>
      </c>
      <c r="AF46" s="3">
        <f t="shared" si="29"/>
        <v>7.6357827565283465E-4</v>
      </c>
      <c r="AG46" s="3">
        <f t="shared" si="29"/>
        <v>7.5673690352573073E-4</v>
      </c>
      <c r="AH46" s="3">
        <f t="shared" si="29"/>
        <v>6.9160545517775007E-4</v>
      </c>
      <c r="AI46" s="3">
        <f t="shared" si="29"/>
        <v>2.8118579458636002E-4</v>
      </c>
      <c r="AJ46" s="3">
        <f t="shared" si="29"/>
        <v>3.4701083821860012E-8</v>
      </c>
    </row>
    <row r="47" spans="1:36" x14ac:dyDescent="0.25">
      <c r="A47" s="3">
        <f t="shared" si="30"/>
        <v>1000000000000000</v>
      </c>
      <c r="B47" s="106">
        <v>6.2047260220983412E-3</v>
      </c>
      <c r="C47" s="18">
        <f t="shared" si="3"/>
        <v>3.2171693394281238E-3</v>
      </c>
      <c r="D47" s="17"/>
      <c r="F47" s="3">
        <f t="shared" si="28"/>
        <v>3.2171693394281238E-3</v>
      </c>
      <c r="G47" s="3">
        <f t="shared" si="28"/>
        <v>3.2171693394281238E-3</v>
      </c>
      <c r="H47" s="3">
        <f t="shared" si="28"/>
        <v>3.2171693394281238E-3</v>
      </c>
      <c r="I47" s="3">
        <f t="shared" si="28"/>
        <v>3.2171693394281238E-3</v>
      </c>
      <c r="J47" s="3">
        <f t="shared" si="28"/>
        <v>3.2171693394281238E-3</v>
      </c>
      <c r="K47" s="3">
        <f t="shared" si="28"/>
        <v>3.2171693394281238E-3</v>
      </c>
      <c r="L47" s="3">
        <f t="shared" si="28"/>
        <v>3.2171693394281238E-3</v>
      </c>
      <c r="M47" s="3">
        <f t="shared" si="28"/>
        <v>3.2171693394281238E-3</v>
      </c>
      <c r="N47" s="3">
        <f t="shared" si="28"/>
        <v>3.2171693394281238E-3</v>
      </c>
      <c r="O47" s="3">
        <f t="shared" si="28"/>
        <v>3.2171693394281238E-3</v>
      </c>
      <c r="P47" s="3">
        <f t="shared" si="27"/>
        <v>3.2171693394281238E-3</v>
      </c>
      <c r="Q47" s="3">
        <f t="shared" si="27"/>
        <v>3.2171693394281238E-3</v>
      </c>
      <c r="R47" s="3">
        <f t="shared" si="27"/>
        <v>3.2171693394281238E-3</v>
      </c>
      <c r="S47" s="3">
        <f t="shared" si="27"/>
        <v>3.2171693394281238E-3</v>
      </c>
      <c r="T47" s="3">
        <f t="shared" si="27"/>
        <v>3.2171693394281234E-3</v>
      </c>
      <c r="U47" s="3">
        <f t="shared" si="27"/>
        <v>3.2171693394281208E-3</v>
      </c>
      <c r="V47" s="3">
        <f t="shared" si="27"/>
        <v>3.2171693394280917E-3</v>
      </c>
      <c r="W47" s="3">
        <f t="shared" si="27"/>
        <v>3.217169339427802E-3</v>
      </c>
      <c r="X47" s="3">
        <f t="shared" si="27"/>
        <v>3.2171693394249068E-3</v>
      </c>
      <c r="Y47" s="3">
        <f t="shared" si="27"/>
        <v>3.2171693393959521E-3</v>
      </c>
      <c r="Z47" s="3">
        <f t="shared" si="27"/>
        <v>3.2171693391064068E-3</v>
      </c>
      <c r="AA47" s="3">
        <f t="shared" si="27"/>
        <v>3.2171693362109547E-3</v>
      </c>
      <c r="AB47" s="3">
        <f t="shared" si="27"/>
        <v>3.2171693072564306E-3</v>
      </c>
      <c r="AC47" s="3">
        <f t="shared" si="27"/>
        <v>3.217169017711206E-3</v>
      </c>
      <c r="AD47" s="3">
        <f t="shared" si="27"/>
        <v>3.2171661222603928E-3</v>
      </c>
      <c r="AE47" s="3">
        <f t="shared" si="27"/>
        <v>3.2171371678955873E-3</v>
      </c>
      <c r="AF47" s="3">
        <f t="shared" si="29"/>
        <v>3.2168476385794915E-3</v>
      </c>
      <c r="AG47" s="3">
        <f t="shared" si="29"/>
        <v>3.2139537781373045E-3</v>
      </c>
      <c r="AH47" s="3">
        <f t="shared" si="29"/>
        <v>3.1851579696437348E-3</v>
      </c>
      <c r="AI47" s="3">
        <f t="shared" si="29"/>
        <v>2.9110151984725972E-3</v>
      </c>
      <c r="AJ47" s="3">
        <f t="shared" si="29"/>
        <v>1.1835304587427165E-3</v>
      </c>
    </row>
    <row r="48" spans="1:36" x14ac:dyDescent="0.25">
      <c r="A48" s="3">
        <f t="shared" si="30"/>
        <v>1E+16</v>
      </c>
      <c r="B48" s="106">
        <v>2.5488542544295063E-2</v>
      </c>
      <c r="C48" s="18">
        <f t="shared" si="3"/>
        <v>1.3215886936532927E-2</v>
      </c>
      <c r="D48" s="17"/>
      <c r="F48" s="3">
        <f t="shared" si="28"/>
        <v>1.3215886936532927E-2</v>
      </c>
      <c r="G48" s="3">
        <f t="shared" si="28"/>
        <v>1.3215886936532927E-2</v>
      </c>
      <c r="H48" s="3">
        <f t="shared" si="28"/>
        <v>1.3215886936532927E-2</v>
      </c>
      <c r="I48" s="3">
        <f t="shared" si="28"/>
        <v>1.3215886936532927E-2</v>
      </c>
      <c r="J48" s="3">
        <f t="shared" si="28"/>
        <v>1.3215886936532927E-2</v>
      </c>
      <c r="K48" s="3">
        <f t="shared" si="28"/>
        <v>1.3215886936532927E-2</v>
      </c>
      <c r="L48" s="3">
        <f t="shared" si="28"/>
        <v>1.3215886936532927E-2</v>
      </c>
      <c r="M48" s="3">
        <f t="shared" si="28"/>
        <v>1.3215886936532927E-2</v>
      </c>
      <c r="N48" s="3">
        <f t="shared" si="28"/>
        <v>1.3215886936532927E-2</v>
      </c>
      <c r="O48" s="3">
        <f t="shared" si="28"/>
        <v>1.3215886936532927E-2</v>
      </c>
      <c r="P48" s="3">
        <f t="shared" si="27"/>
        <v>1.3215886936532927E-2</v>
      </c>
      <c r="Q48" s="3">
        <f t="shared" si="27"/>
        <v>1.3215886936532927E-2</v>
      </c>
      <c r="R48" s="3">
        <f t="shared" si="27"/>
        <v>1.3215886936532927E-2</v>
      </c>
      <c r="S48" s="3">
        <f t="shared" si="27"/>
        <v>1.3215886936532927E-2</v>
      </c>
      <c r="T48" s="3">
        <f t="shared" si="27"/>
        <v>1.3215886936532927E-2</v>
      </c>
      <c r="U48" s="3">
        <f t="shared" si="27"/>
        <v>1.3215886936532925E-2</v>
      </c>
      <c r="V48" s="3">
        <f t="shared" si="27"/>
        <v>1.3215886936532913E-2</v>
      </c>
      <c r="W48" s="3">
        <f t="shared" si="27"/>
        <v>1.3215886936532795E-2</v>
      </c>
      <c r="X48" s="3">
        <f t="shared" si="27"/>
        <v>1.3215886936531605E-2</v>
      </c>
      <c r="Y48" s="3">
        <f t="shared" si="27"/>
        <v>1.3215886936519712E-2</v>
      </c>
      <c r="Z48" s="3">
        <f t="shared" si="27"/>
        <v>1.3215886936400769E-2</v>
      </c>
      <c r="AA48" s="3">
        <f t="shared" si="27"/>
        <v>1.3215886935211339E-2</v>
      </c>
      <c r="AB48" s="3">
        <f t="shared" si="27"/>
        <v>1.321588692331704E-2</v>
      </c>
      <c r="AC48" s="3">
        <f t="shared" si="27"/>
        <v>1.3215886804374058E-2</v>
      </c>
      <c r="AD48" s="3">
        <f t="shared" si="27"/>
        <v>1.32158856149443E-2</v>
      </c>
      <c r="AE48" s="3">
        <f t="shared" si="27"/>
        <v>1.32158737206526E-2</v>
      </c>
      <c r="AF48" s="3">
        <f t="shared" si="29"/>
        <v>1.3215754778324354E-2</v>
      </c>
      <c r="AG48" s="3">
        <f t="shared" si="29"/>
        <v>1.3214565413916506E-2</v>
      </c>
      <c r="AH48" s="3">
        <f t="shared" si="29"/>
        <v>1.3202677655337766E-2</v>
      </c>
      <c r="AI48" s="3">
        <f t="shared" si="29"/>
        <v>1.3084386664362227E-2</v>
      </c>
      <c r="AJ48" s="3">
        <f t="shared" si="29"/>
        <v>1.195822901270762E-2</v>
      </c>
    </row>
    <row r="49" spans="1:36" x14ac:dyDescent="0.25">
      <c r="B49" s="16">
        <f>SUM(B17:B48)</f>
        <v>1.9286289801584637</v>
      </c>
      <c r="C49" s="18">
        <f>SUM(C17:C48)</f>
        <v>0.99999999999999989</v>
      </c>
      <c r="F49" s="3">
        <f t="shared" ref="F49:AJ49" si="31">F16-F17</f>
        <v>62.69767262928417</v>
      </c>
      <c r="G49" s="3">
        <f t="shared" si="31"/>
        <v>-81.097328214933441</v>
      </c>
      <c r="H49" s="3">
        <f t="shared" si="31"/>
        <v>21.472912597077084</v>
      </c>
      <c r="I49" s="3">
        <f t="shared" si="31"/>
        <v>-3.5082428703626647</v>
      </c>
      <c r="J49" s="3">
        <f t="shared" si="31"/>
        <v>0.48911944229985238</v>
      </c>
      <c r="K49" s="3">
        <f t="shared" si="31"/>
        <v>-6.2911429360610782E-2</v>
      </c>
      <c r="L49" s="3">
        <f t="shared" si="31"/>
        <v>1.9993291856735596E-2</v>
      </c>
      <c r="M49" s="3">
        <f t="shared" si="31"/>
        <v>-4.2334094256148092E-2</v>
      </c>
      <c r="N49" s="3">
        <f t="shared" si="31"/>
        <v>9.8536904215507093E-2</v>
      </c>
      <c r="O49" s="3">
        <f t="shared" si="31"/>
        <v>-0.19451904043125978</v>
      </c>
      <c r="P49" s="3">
        <f t="shared" si="31"/>
        <v>0.33119614804672892</v>
      </c>
      <c r="Q49" s="3">
        <f t="shared" si="31"/>
        <v>-0.47818000391271198</v>
      </c>
      <c r="R49" s="3">
        <f t="shared" si="31"/>
        <v>0.58234494936732517</v>
      </c>
      <c r="S49" s="3">
        <f t="shared" si="31"/>
        <v>-0.60650320616605313</v>
      </c>
      <c r="T49" s="3">
        <f t="shared" si="31"/>
        <v>0.541735442467143</v>
      </c>
      <c r="U49" s="3">
        <f t="shared" si="31"/>
        <v>-0.41122044316125539</v>
      </c>
      <c r="V49" s="3">
        <f t="shared" si="31"/>
        <v>0.26814550865765341</v>
      </c>
      <c r="W49" s="3">
        <f t="shared" si="31"/>
        <v>-0.15443663348241898</v>
      </c>
      <c r="X49" s="3">
        <f t="shared" si="31"/>
        <v>7.5710757229899173E-2</v>
      </c>
      <c r="Y49" s="3">
        <f t="shared" si="31"/>
        <v>-2.756901552720592E-2</v>
      </c>
      <c r="Z49" s="3">
        <f t="shared" si="31"/>
        <v>7.2327250272792298E-3</v>
      </c>
      <c r="AA49" s="3">
        <f t="shared" si="31"/>
        <v>-1.201885852583473E-2</v>
      </c>
      <c r="AB49" s="3">
        <f t="shared" si="31"/>
        <v>2.2400834571726591E-2</v>
      </c>
      <c r="AC49" s="3">
        <f t="shared" si="31"/>
        <v>-1.7804818886588691E-2</v>
      </c>
      <c r="AD49" s="3">
        <f t="shared" si="31"/>
        <v>8.3435354877110512E-3</v>
      </c>
      <c r="AE49" s="3">
        <f t="shared" si="31"/>
        <v>-1.0210652558384936E-2</v>
      </c>
      <c r="AF49" s="3">
        <f t="shared" si="31"/>
        <v>1.7373037432435012E-2</v>
      </c>
      <c r="AG49" s="3">
        <f t="shared" si="31"/>
        <v>-1.7826675326148234E-2</v>
      </c>
      <c r="AH49" s="3">
        <f t="shared" si="31"/>
        <v>1.4100770355241821E-2</v>
      </c>
      <c r="AI49" s="3">
        <f t="shared" si="31"/>
        <v>-8.2094804613461747E-3</v>
      </c>
      <c r="AJ49" s="3">
        <f t="shared" si="31"/>
        <v>1.8802838839064862E-3</v>
      </c>
    </row>
    <row r="50" spans="1:36" x14ac:dyDescent="0.25">
      <c r="F50" s="57">
        <f t="shared" ref="F50:AJ50" si="32">F49/F17</f>
        <v>1.0406203225893992E-2</v>
      </c>
      <c r="G50" s="57">
        <f t="shared" si="32"/>
        <v>-1.3597124931163508E-2</v>
      </c>
      <c r="H50" s="57">
        <f t="shared" si="32"/>
        <v>3.7375791689927686E-3</v>
      </c>
      <c r="I50" s="57">
        <f t="shared" si="32"/>
        <v>-6.2029656760031505E-4</v>
      </c>
      <c r="J50" s="57">
        <f t="shared" si="32"/>
        <v>8.852515884341803E-5</v>
      </c>
      <c r="K50" s="57">
        <f t="shared" si="32"/>
        <v>-1.1671066408639678E-5</v>
      </c>
      <c r="L50" s="57">
        <f t="shared" si="32"/>
        <v>3.8167347368919977E-6</v>
      </c>
      <c r="M50" s="57">
        <f t="shared" si="32"/>
        <v>-8.3421937653772503E-6</v>
      </c>
      <c r="N50" s="57">
        <f t="shared" si="32"/>
        <v>2.0074918265761099E-5</v>
      </c>
      <c r="O50" s="57">
        <f t="shared" si="32"/>
        <v>-4.0967078268505368E-5</v>
      </c>
      <c r="P50" s="57">
        <f t="shared" si="32"/>
        <v>7.2467190777192854E-5</v>
      </c>
      <c r="Q50" s="57">
        <f t="shared" si="32"/>
        <v>-1.0977274649564318E-4</v>
      </c>
      <c r="R50" s="57">
        <f t="shared" si="32"/>
        <v>1.4107813605096476E-4</v>
      </c>
      <c r="S50" s="57">
        <f t="shared" si="32"/>
        <v>-1.5425971618821771E-4</v>
      </c>
      <c r="T50" s="57">
        <f t="shared" si="32"/>
        <v>1.4425090480488383E-4</v>
      </c>
      <c r="U50" s="57">
        <f t="shared" si="32"/>
        <v>-1.1508076330841759E-4</v>
      </c>
      <c r="V50" s="57">
        <f t="shared" si="32"/>
        <v>7.9902084914096284E-5</v>
      </c>
      <c r="W50" s="57">
        <f t="shared" si="32"/>
        <v>-5.036381909594891E-5</v>
      </c>
      <c r="X50" s="57">
        <f t="shared" si="32"/>
        <v>2.7442888001236853E-5</v>
      </c>
      <c r="Y50" s="57">
        <f t="shared" si="32"/>
        <v>-1.1182844528797522E-5</v>
      </c>
      <c r="Z50" s="57">
        <f t="shared" si="32"/>
        <v>3.2918807374314346E-6</v>
      </c>
      <c r="AA50" s="57">
        <f t="shared" si="32"/>
        <v>-6.2042303401049137E-6</v>
      </c>
      <c r="AB50" s="57">
        <f t="shared" si="32"/>
        <v>1.3395529186676478E-5</v>
      </c>
      <c r="AC50" s="57">
        <f t="shared" si="32"/>
        <v>-1.285945012941788E-5</v>
      </c>
      <c r="AD50" s="57">
        <f t="shared" si="32"/>
        <v>7.7584145718535692E-6</v>
      </c>
      <c r="AE50" s="57">
        <f t="shared" si="32"/>
        <v>-1.3080519683623778E-5</v>
      </c>
      <c r="AF50" s="57">
        <f t="shared" si="32"/>
        <v>3.166150829523144E-5</v>
      </c>
      <c r="AG50" s="57">
        <f t="shared" si="32"/>
        <v>-4.4706143746105895E-5</v>
      </c>
      <c r="AH50" s="57">
        <f t="shared" si="32"/>
        <v>4.397201434115655E-5</v>
      </c>
      <c r="AI50" s="57">
        <f t="shared" si="32"/>
        <v>-2.9139434520931162E-5</v>
      </c>
      <c r="AJ50" s="57">
        <f t="shared" si="32"/>
        <v>7.1679175665196573E-6</v>
      </c>
    </row>
    <row r="51" spans="1:36" x14ac:dyDescent="0.25">
      <c r="A51" s="13" t="s">
        <v>21</v>
      </c>
      <c r="B51" s="3">
        <f>STUTT!D8</f>
        <v>6190.9489999999996</v>
      </c>
      <c r="E51" s="11" t="s">
        <v>24</v>
      </c>
      <c r="F51" s="20">
        <f t="shared" ref="F51:AJ51" si="33">(F16-F17)^2</f>
        <v>3930.9981531288895</v>
      </c>
      <c r="G51" s="20">
        <f t="shared" si="33"/>
        <v>6576.7766436006395</v>
      </c>
      <c r="H51" s="20">
        <f t="shared" si="33"/>
        <v>461.08597540171172</v>
      </c>
      <c r="I51" s="20">
        <f t="shared" si="33"/>
        <v>12.307768037450469</v>
      </c>
      <c r="J51" s="20">
        <f t="shared" si="33"/>
        <v>0.23923782883571862</v>
      </c>
      <c r="K51" s="20">
        <f t="shared" si="33"/>
        <v>3.9578479441951201E-3</v>
      </c>
      <c r="L51" s="20">
        <f t="shared" si="33"/>
        <v>3.9973171926860985E-4</v>
      </c>
      <c r="M51" s="20">
        <f t="shared" si="33"/>
        <v>1.7921755364884307E-3</v>
      </c>
      <c r="N51" s="20">
        <f t="shared" si="33"/>
        <v>9.7095214923760189E-3</v>
      </c>
      <c r="O51" s="20">
        <f t="shared" si="33"/>
        <v>3.7837657090298078E-2</v>
      </c>
      <c r="P51" s="20">
        <f t="shared" si="33"/>
        <v>0.10969088848099078</v>
      </c>
      <c r="Q51" s="20">
        <f t="shared" si="33"/>
        <v>0.22865611614196124</v>
      </c>
      <c r="R51" s="20">
        <f t="shared" si="33"/>
        <v>0.33912564005363249</v>
      </c>
      <c r="S51" s="20">
        <f t="shared" si="33"/>
        <v>0.36784613908970193</v>
      </c>
      <c r="T51" s="20">
        <f t="shared" si="33"/>
        <v>0.29347728962507119</v>
      </c>
      <c r="U51" s="20">
        <f t="shared" si="33"/>
        <v>0.16910225287373928</v>
      </c>
      <c r="V51" s="20">
        <f t="shared" si="33"/>
        <v>7.1902013813271673E-2</v>
      </c>
      <c r="W51" s="20">
        <f t="shared" si="33"/>
        <v>2.3850673761383015E-2</v>
      </c>
      <c r="X51" s="20">
        <f t="shared" si="33"/>
        <v>5.7321187603247298E-3</v>
      </c>
      <c r="Y51" s="20">
        <f t="shared" si="33"/>
        <v>7.6005061713932116E-4</v>
      </c>
      <c r="Z51" s="20">
        <f t="shared" si="33"/>
        <v>5.2312311320231337E-5</v>
      </c>
      <c r="AA51" s="20">
        <f t="shared" si="33"/>
        <v>1.4445296026403018E-4</v>
      </c>
      <c r="AB51" s="20">
        <f t="shared" si="33"/>
        <v>5.0179738950986122E-4</v>
      </c>
      <c r="AC51" s="20">
        <f t="shared" si="33"/>
        <v>3.1701157558422537E-4</v>
      </c>
      <c r="AD51" s="20">
        <f t="shared" si="33"/>
        <v>6.9614584434693689E-5</v>
      </c>
      <c r="AE51" s="20">
        <f t="shared" si="33"/>
        <v>1.0425742566805284E-4</v>
      </c>
      <c r="AF51" s="20">
        <f t="shared" si="33"/>
        <v>3.0182242962878815E-4</v>
      </c>
      <c r="AG51" s="20">
        <f t="shared" si="33"/>
        <v>3.1779035318390224E-4</v>
      </c>
      <c r="AH51" s="20">
        <f t="shared" si="33"/>
        <v>1.9883172461126653E-4</v>
      </c>
      <c r="AI51" s="20">
        <f t="shared" si="33"/>
        <v>6.7395569445224604E-5</v>
      </c>
      <c r="AJ51" s="20">
        <f t="shared" si="33"/>
        <v>3.5354674840784603E-6</v>
      </c>
    </row>
    <row r="52" spans="1:36" x14ac:dyDescent="0.25">
      <c r="A52" s="13"/>
    </row>
    <row r="53" spans="1:36" x14ac:dyDescent="0.25">
      <c r="E53" s="131" t="s">
        <v>25</v>
      </c>
      <c r="F53" s="131"/>
      <c r="G53" s="104">
        <f>SUM(F51:AJ51)</f>
        <v>10983.073696936317</v>
      </c>
      <c r="I53" s="3">
        <f>G53+C123</f>
        <v>10983.073696936317</v>
      </c>
      <c r="K53" s="3">
        <f>SUM(Z51:AJ51)</f>
        <v>2.0788217911343549E-3</v>
      </c>
    </row>
    <row r="55" spans="1:36" x14ac:dyDescent="0.25">
      <c r="E55" s="30" t="s">
        <v>30</v>
      </c>
      <c r="F55" s="31">
        <f t="shared" ref="F55:AJ55" si="34">ABS(F17-F16)/F16</f>
        <v>1.0299029432589007E-2</v>
      </c>
      <c r="G55" s="31">
        <f t="shared" si="34"/>
        <v>1.378455525103232E-2</v>
      </c>
      <c r="H55" s="31">
        <f t="shared" si="34"/>
        <v>3.7236616886329576E-3</v>
      </c>
      <c r="I55" s="31">
        <f t="shared" si="34"/>
        <v>6.2068157425039527E-4</v>
      </c>
      <c r="J55" s="31">
        <f t="shared" si="34"/>
        <v>8.851732283335382E-5</v>
      </c>
      <c r="K55" s="31">
        <f t="shared" si="34"/>
        <v>1.1671202624020571E-5</v>
      </c>
      <c r="L55" s="31">
        <f t="shared" si="34"/>
        <v>3.8167201694835466E-6</v>
      </c>
      <c r="M55" s="31">
        <f t="shared" si="34"/>
        <v>8.3422633581546259E-6</v>
      </c>
      <c r="N55" s="31">
        <f t="shared" si="34"/>
        <v>2.0074515271507799E-5</v>
      </c>
      <c r="O55" s="31">
        <f t="shared" si="34"/>
        <v>4.096875663876515E-5</v>
      </c>
      <c r="P55" s="31">
        <f t="shared" si="34"/>
        <v>7.2461939663987147E-5</v>
      </c>
      <c r="Q55" s="31">
        <f t="shared" si="34"/>
        <v>1.0978479787442933E-4</v>
      </c>
      <c r="R55" s="31">
        <f t="shared" si="34"/>
        <v>1.4105823581798092E-4</v>
      </c>
      <c r="S55" s="31">
        <f t="shared" si="34"/>
        <v>1.5428351591959599E-4</v>
      </c>
      <c r="T55" s="31">
        <f t="shared" si="34"/>
        <v>1.4423009948253337E-4</v>
      </c>
      <c r="U55" s="31">
        <f t="shared" si="34"/>
        <v>1.150940084147582E-4</v>
      </c>
      <c r="V55" s="31">
        <f t="shared" si="34"/>
        <v>7.9895701081004238E-5</v>
      </c>
      <c r="W55" s="31">
        <f t="shared" si="34"/>
        <v>5.0366355737977817E-5</v>
      </c>
      <c r="X55" s="31">
        <f t="shared" si="34"/>
        <v>2.7442134909802008E-5</v>
      </c>
      <c r="Y55" s="31">
        <f t="shared" si="34"/>
        <v>1.1182969586207775E-5</v>
      </c>
      <c r="Z55" s="31">
        <f t="shared" si="34"/>
        <v>3.2918699009883175E-6</v>
      </c>
      <c r="AA55" s="31">
        <f t="shared" si="34"/>
        <v>6.2042688328178447E-6</v>
      </c>
      <c r="AB55" s="31">
        <f t="shared" si="34"/>
        <v>1.339534974887795E-5</v>
      </c>
      <c r="AC55" s="31">
        <f t="shared" si="34"/>
        <v>1.2859615497002048E-5</v>
      </c>
      <c r="AD55" s="31">
        <f t="shared" si="34"/>
        <v>7.7583543793238994E-6</v>
      </c>
      <c r="AE55" s="31">
        <f t="shared" si="34"/>
        <v>1.3080690785857078E-5</v>
      </c>
      <c r="AF55" s="31">
        <f t="shared" si="34"/>
        <v>3.1660505875862018E-5</v>
      </c>
      <c r="AG55" s="31">
        <f t="shared" si="34"/>
        <v>4.4708142474749995E-5</v>
      </c>
      <c r="AH55" s="31">
        <f t="shared" si="34"/>
        <v>4.3970080888129156E-5</v>
      </c>
      <c r="AI55" s="31">
        <f t="shared" si="34"/>
        <v>2.9140283652318572E-5</v>
      </c>
      <c r="AJ55" s="31">
        <f t="shared" si="34"/>
        <v>7.1678661878456945E-6</v>
      </c>
    </row>
    <row r="56" spans="1:36" x14ac:dyDescent="0.25">
      <c r="E56" s="13" t="s">
        <v>31</v>
      </c>
      <c r="F56" s="32">
        <f>AVERAGE(F55:AJ55)</f>
        <v>9.5872114561651651E-4</v>
      </c>
    </row>
    <row r="57" spans="1:36" x14ac:dyDescent="0.25">
      <c r="A57" s="42"/>
      <c r="B57" s="15"/>
      <c r="C57" s="15"/>
      <c r="D57" s="15"/>
      <c r="F57" s="60">
        <f>AVERAGE(S55:X55)</f>
        <v>9.5218635924278604E-5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-26.816562794657003</v>
      </c>
    </row>
    <row r="119" spans="1:14" x14ac:dyDescent="0.25">
      <c r="L119" s="11">
        <f>L118+1</f>
        <v>2</v>
      </c>
      <c r="M119" s="11">
        <f t="shared" ref="M119:M124" si="35">INDEX($B$125:$K$126,1,L119)</f>
        <v>0</v>
      </c>
      <c r="N119" s="11">
        <f t="shared" ref="N119:N124" si="36">IF(L119=$B$3,0,INDEX($B$125:$K$126,2,L119))</f>
        <v>-16.655792727489398</v>
      </c>
    </row>
    <row r="120" spans="1:14" x14ac:dyDescent="0.25">
      <c r="L120" s="11">
        <f t="shared" ref="L120:L124" si="37">L119+1</f>
        <v>3</v>
      </c>
      <c r="M120" s="11">
        <f t="shared" si="35"/>
        <v>25</v>
      </c>
      <c r="N120" s="11">
        <f t="shared" si="36"/>
        <v>-11.048243415199147</v>
      </c>
    </row>
    <row r="121" spans="1:14" x14ac:dyDescent="0.25">
      <c r="A121" s="103">
        <f>(A165+A204+A243+A282+A321+A360+A399)*10^9</f>
        <v>5081785726006459</v>
      </c>
      <c r="L121" s="11">
        <f t="shared" si="37"/>
        <v>4</v>
      </c>
      <c r="M121" s="11">
        <f t="shared" si="35"/>
        <v>50</v>
      </c>
      <c r="N121" s="11">
        <f t="shared" si="36"/>
        <v>-6.0345093617338197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15.131919610791874</v>
      </c>
    </row>
    <row r="124" spans="1:14" x14ac:dyDescent="0.25">
      <c r="B124" s="3"/>
      <c r="C124" s="3"/>
      <c r="D124" s="3"/>
      <c r="E124" s="3"/>
      <c r="F124" s="3"/>
      <c r="G124" s="3"/>
      <c r="H124" s="3"/>
      <c r="I124" s="3"/>
      <c r="J124" s="3"/>
      <c r="K124" s="3"/>
      <c r="L124" s="11">
        <f t="shared" si="37"/>
        <v>7</v>
      </c>
      <c r="M124" s="11">
        <f t="shared" si="35"/>
        <v>160</v>
      </c>
      <c r="N124" s="11">
        <f t="shared" si="36"/>
        <v>28.985939818874979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-26.816562794657003</v>
      </c>
      <c r="C126" s="107">
        <v>-16.655792727489398</v>
      </c>
      <c r="D126" s="107">
        <v>-11.048243415199147</v>
      </c>
      <c r="E126" s="107">
        <v>-6.0345093617338197</v>
      </c>
      <c r="F126" s="107">
        <v>1.1366690369501159E-2</v>
      </c>
      <c r="G126" s="107">
        <v>15.131919610791874</v>
      </c>
      <c r="H126" s="107">
        <v>28.985939818874979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6190.9489642593726</v>
      </c>
      <c r="C131" s="27">
        <f t="shared" ref="C131:AF131" si="40">($C$17+SUM(C132:C162))*$B$51</f>
        <v>6190.9486425940941</v>
      </c>
      <c r="D131" s="27">
        <f t="shared" si="40"/>
        <v>6190.9454259772683</v>
      </c>
      <c r="E131" s="27">
        <f t="shared" si="40"/>
        <v>6190.9132634039224</v>
      </c>
      <c r="F131" s="27">
        <f t="shared" si="40"/>
        <v>6190.5919968914432</v>
      </c>
      <c r="G131" s="27">
        <f t="shared" si="40"/>
        <v>6187.4149852288383</v>
      </c>
      <c r="H131" s="27">
        <f t="shared" si="40"/>
        <v>6158.9560996624423</v>
      </c>
      <c r="I131" s="27">
        <f t="shared" si="40"/>
        <v>6049.2123563262357</v>
      </c>
      <c r="J131" s="27">
        <f t="shared" si="40"/>
        <v>6032.6595264874213</v>
      </c>
      <c r="K131" s="27">
        <f t="shared" si="40"/>
        <v>6032.6438207533693</v>
      </c>
      <c r="L131" s="27">
        <f t="shared" si="40"/>
        <v>6032.4868077311839</v>
      </c>
      <c r="M131" s="27">
        <f t="shared" si="40"/>
        <v>6030.9210761445429</v>
      </c>
      <c r="N131" s="27">
        <f t="shared" si="40"/>
        <v>6015.6952807271045</v>
      </c>
      <c r="O131" s="27">
        <f t="shared" si="40"/>
        <v>5899.3284948321671</v>
      </c>
      <c r="P131" s="27">
        <f t="shared" si="40"/>
        <v>5707.8221100113151</v>
      </c>
      <c r="Q131" s="27">
        <f t="shared" si="40"/>
        <v>5619.2931742843311</v>
      </c>
      <c r="R131" s="27">
        <f t="shared" si="40"/>
        <v>5480.8621215606954</v>
      </c>
      <c r="S131" s="27">
        <f t="shared" si="40"/>
        <v>5341.8368461813052</v>
      </c>
      <c r="T131" s="27">
        <f t="shared" si="40"/>
        <v>5182.725535816694</v>
      </c>
      <c r="U131" s="27">
        <f t="shared" si="40"/>
        <v>5015.2142830762523</v>
      </c>
      <c r="V131" s="27">
        <f t="shared" si="40"/>
        <v>4848.3109275506022</v>
      </c>
      <c r="W131" s="27">
        <f t="shared" si="40"/>
        <v>4685.8841083398884</v>
      </c>
      <c r="X131" s="27">
        <f t="shared" si="40"/>
        <v>4493.9746831612611</v>
      </c>
      <c r="Y131" s="27">
        <f t="shared" si="40"/>
        <v>4266.1264197295932</v>
      </c>
      <c r="Z131" s="27">
        <f t="shared" si="40"/>
        <v>4042.4678403093776</v>
      </c>
      <c r="AA131" s="27">
        <f t="shared" si="40"/>
        <v>3864.899220088927</v>
      </c>
      <c r="AB131" s="27">
        <f t="shared" si="40"/>
        <v>3683.4825982671005</v>
      </c>
      <c r="AC131" s="27">
        <f t="shared" si="40"/>
        <v>3501.4128751926573</v>
      </c>
      <c r="AD131" s="27">
        <f t="shared" si="40"/>
        <v>3249.7085353446087</v>
      </c>
      <c r="AE131" s="27">
        <f t="shared" si="40"/>
        <v>2953.3415321077464</v>
      </c>
      <c r="AF131" s="27">
        <f t="shared" si="40"/>
        <v>2649.8451722866384</v>
      </c>
    </row>
    <row r="132" spans="1:33" x14ac:dyDescent="0.25">
      <c r="B132" s="3">
        <f t="shared" ref="B132:Z133" si="41">$C18*EXP(-B$129/$A18/EXP(-$B$126))</f>
        <v>2.5567597579695314E-2</v>
      </c>
      <c r="C132" s="3">
        <f t="shared" ref="C132:AF132" si="42">$C18*EXP(-C$129/$A18/EXP(-$B$126))</f>
        <v>2.5567545622374926E-2</v>
      </c>
      <c r="D132" s="3">
        <f t="shared" si="42"/>
        <v>2.5567026054978216E-2</v>
      </c>
      <c r="E132" s="3">
        <f t="shared" si="42"/>
        <v>2.5561830961683213E-2</v>
      </c>
      <c r="F132" s="3">
        <f t="shared" si="42"/>
        <v>2.550993805230576E-2</v>
      </c>
      <c r="G132" s="3">
        <f t="shared" si="42"/>
        <v>2.4996767924109802E-2</v>
      </c>
      <c r="H132" s="3">
        <f t="shared" si="42"/>
        <v>2.0399916963102317E-2</v>
      </c>
      <c r="I132" s="3">
        <f t="shared" si="42"/>
        <v>2.6734607648256719E-3</v>
      </c>
      <c r="J132" s="3">
        <f t="shared" si="42"/>
        <v>3.9951028747055603E-12</v>
      </c>
      <c r="K132" s="3">
        <f t="shared" si="42"/>
        <v>2.2185513639624526E-100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4.7699754445447058E-2</v>
      </c>
      <c r="C133" s="3">
        <f t="shared" si="41"/>
        <v>4.7699754445422231E-2</v>
      </c>
      <c r="D133" s="3">
        <f t="shared" si="41"/>
        <v>4.7699754445173936E-2</v>
      </c>
      <c r="E133" s="3">
        <f t="shared" si="41"/>
        <v>4.7699754442690943E-2</v>
      </c>
      <c r="F133" s="3">
        <f t="shared" si="41"/>
        <v>4.7699754417861021E-2</v>
      </c>
      <c r="G133" s="3">
        <f t="shared" si="41"/>
        <v>4.769975416956182E-2</v>
      </c>
      <c r="H133" s="3">
        <f t="shared" si="41"/>
        <v>4.7699751686569911E-2</v>
      </c>
      <c r="I133" s="3">
        <f t="shared" si="41"/>
        <v>4.7699726856657944E-2</v>
      </c>
      <c r="J133" s="3">
        <f t="shared" si="41"/>
        <v>4.7699478558249103E-2</v>
      </c>
      <c r="K133" s="3">
        <f t="shared" si="41"/>
        <v>4.7696995645247334E-2</v>
      </c>
      <c r="L133" s="3">
        <f t="shared" si="41"/>
        <v>4.7672173622523031E-2</v>
      </c>
      <c r="M133" s="3">
        <f t="shared" si="41"/>
        <v>4.7424662757647534E-2</v>
      </c>
      <c r="N133" s="3">
        <f t="shared" si="41"/>
        <v>4.5019142914119223E-2</v>
      </c>
      <c r="O133" s="3">
        <f t="shared" si="41"/>
        <v>2.6750193960491407E-2</v>
      </c>
      <c r="P133" s="3">
        <f t="shared" si="41"/>
        <v>1.4676552875367239E-4</v>
      </c>
      <c r="Q133" s="3">
        <f t="shared" si="41"/>
        <v>3.6273991383971503E-27</v>
      </c>
      <c r="R133" s="3">
        <f t="shared" si="41"/>
        <v>3.0853764838227549E-253</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9.1412610647583492E-3</v>
      </c>
      <c r="C134" s="3">
        <f t="shared" si="44"/>
        <v>9.141261064757919E-3</v>
      </c>
      <c r="D134" s="3">
        <f t="shared" si="44"/>
        <v>9.1412610647536256E-3</v>
      </c>
      <c r="E134" s="3">
        <f t="shared" si="44"/>
        <v>9.1412610647107016E-3</v>
      </c>
      <c r="F134" s="3">
        <f t="shared" si="44"/>
        <v>9.1412610642814512E-3</v>
      </c>
      <c r="G134" s="3">
        <f t="shared" si="44"/>
        <v>9.1412610599889334E-3</v>
      </c>
      <c r="H134" s="3">
        <f t="shared" si="44"/>
        <v>9.1412610170637787E-3</v>
      </c>
      <c r="I134" s="3">
        <f t="shared" si="44"/>
        <v>9.1412605878122347E-3</v>
      </c>
      <c r="J134" s="3">
        <f t="shared" si="44"/>
        <v>9.1412562952979115E-3</v>
      </c>
      <c r="K134" s="3">
        <f t="shared" si="44"/>
        <v>9.141213370265527E-3</v>
      </c>
      <c r="L134" s="3">
        <f t="shared" si="44"/>
        <v>9.1407841310276149E-3</v>
      </c>
      <c r="M134" s="3">
        <f t="shared" si="44"/>
        <v>9.13649284704845E-3</v>
      </c>
      <c r="N134" s="3">
        <f t="shared" si="44"/>
        <v>9.0936906549162963E-3</v>
      </c>
      <c r="O134" s="3">
        <f t="shared" si="44"/>
        <v>8.6765436476823506E-3</v>
      </c>
      <c r="P134" s="3">
        <f t="shared" si="44"/>
        <v>5.4251599821202035E-3</v>
      </c>
      <c r="Q134" s="3">
        <f t="shared" si="44"/>
        <v>4.9553060987996105E-5</v>
      </c>
      <c r="R134" s="3">
        <f t="shared" si="44"/>
        <v>2.0028566168767223E-25</v>
      </c>
      <c r="S134" s="3">
        <f t="shared" si="44"/>
        <v>2.3304703755412733E-229</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2.386977315426736E-2</v>
      </c>
      <c r="C135" s="3">
        <f t="shared" si="47"/>
        <v>2.3869773154267259E-2</v>
      </c>
      <c r="D135" s="3">
        <f t="shared" si="47"/>
        <v>2.3869773154266246E-2</v>
      </c>
      <c r="E135" s="3">
        <f t="shared" si="47"/>
        <v>2.3869773154256136E-2</v>
      </c>
      <c r="F135" s="3">
        <f t="shared" si="47"/>
        <v>2.3869773154155022E-2</v>
      </c>
      <c r="G135" s="3">
        <f t="shared" si="47"/>
        <v>2.3869773153143911E-2</v>
      </c>
      <c r="H135" s="3">
        <f t="shared" si="47"/>
        <v>2.3869773143032756E-2</v>
      </c>
      <c r="I135" s="3">
        <f t="shared" si="47"/>
        <v>2.3869773041921234E-2</v>
      </c>
      <c r="J135" s="3">
        <f t="shared" si="47"/>
        <v>2.3869772030806039E-2</v>
      </c>
      <c r="K135" s="3">
        <f t="shared" si="47"/>
        <v>2.3869761919656445E-2</v>
      </c>
      <c r="L135" s="3">
        <f t="shared" si="47"/>
        <v>2.3869660808396059E-2</v>
      </c>
      <c r="M135" s="3">
        <f t="shared" si="47"/>
        <v>2.3868649719348572E-2</v>
      </c>
      <c r="N135" s="3">
        <f t="shared" si="47"/>
        <v>2.3858541184140259E-2</v>
      </c>
      <c r="O135" s="3">
        <f t="shared" si="47"/>
        <v>2.3757690989988665E-2</v>
      </c>
      <c r="P135" s="3">
        <f t="shared" si="47"/>
        <v>2.2772340415736812E-2</v>
      </c>
      <c r="Q135" s="3">
        <f t="shared" si="47"/>
        <v>1.490877798792509E-2</v>
      </c>
      <c r="R135" s="3">
        <f t="shared" si="47"/>
        <v>2.1566806909690238E-4</v>
      </c>
      <c r="S135" s="3">
        <f t="shared" si="47"/>
        <v>8.6541391724952893E-23</v>
      </c>
      <c r="T135" s="3">
        <f t="shared" si="47"/>
        <v>9.3670777545109873E-207</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2.1808492685310404E-2</v>
      </c>
      <c r="C136" s="3">
        <f t="shared" si="49"/>
        <v>2.1808492685310394E-2</v>
      </c>
      <c r="D136" s="3">
        <f t="shared" si="49"/>
        <v>2.1808492685310311E-2</v>
      </c>
      <c r="E136" s="3">
        <f t="shared" si="49"/>
        <v>2.1808492685309478E-2</v>
      </c>
      <c r="F136" s="3">
        <f t="shared" si="49"/>
        <v>2.1808492685301144E-2</v>
      </c>
      <c r="G136" s="3">
        <f t="shared" si="49"/>
        <v>2.1808492685217812E-2</v>
      </c>
      <c r="H136" s="3">
        <f t="shared" si="49"/>
        <v>2.1808492684384465E-2</v>
      </c>
      <c r="I136" s="3">
        <f t="shared" si="49"/>
        <v>2.1808492676051023E-2</v>
      </c>
      <c r="J136" s="3">
        <f t="shared" si="49"/>
        <v>2.1808492592716566E-2</v>
      </c>
      <c r="K136" s="3">
        <f t="shared" si="49"/>
        <v>2.180849175937204E-2</v>
      </c>
      <c r="L136" s="3">
        <f t="shared" si="49"/>
        <v>2.1808483425928525E-2</v>
      </c>
      <c r="M136" s="3">
        <f t="shared" si="49"/>
        <v>2.1808400091668529E-2</v>
      </c>
      <c r="N136" s="3">
        <f t="shared" si="49"/>
        <v>2.1807566766582302E-2</v>
      </c>
      <c r="O136" s="3">
        <f t="shared" si="49"/>
        <v>2.179923526684854E-2</v>
      </c>
      <c r="P136" s="3">
        <f t="shared" si="49"/>
        <v>2.1716095135030044E-2</v>
      </c>
      <c r="Q136" s="3">
        <f t="shared" si="49"/>
        <v>2.0901935643311231E-2</v>
      </c>
      <c r="R136" s="3">
        <f t="shared" si="49"/>
        <v>1.4263766236631467E-2</v>
      </c>
      <c r="S136" s="3">
        <f t="shared" si="49"/>
        <v>3.1240018180238115E-4</v>
      </c>
      <c r="T136" s="3">
        <f t="shared" si="49"/>
        <v>7.9338124528009769E-21</v>
      </c>
      <c r="U136" s="3">
        <f t="shared" si="49"/>
        <v>8.8549976519475332E-187</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2.6175540521201471E-2</v>
      </c>
      <c r="C137" s="3">
        <f t="shared" si="51"/>
        <v>2.6175540521201471E-2</v>
      </c>
      <c r="D137" s="3">
        <f t="shared" si="51"/>
        <v>2.6175540521201461E-2</v>
      </c>
      <c r="E137" s="3">
        <f t="shared" si="51"/>
        <v>2.6175540521201374E-2</v>
      </c>
      <c r="F137" s="3">
        <f t="shared" si="51"/>
        <v>2.6175540521200469E-2</v>
      </c>
      <c r="G137" s="3">
        <f t="shared" si="51"/>
        <v>2.6175540521191445E-2</v>
      </c>
      <c r="H137" s="3">
        <f t="shared" si="51"/>
        <v>2.6175540521101218E-2</v>
      </c>
      <c r="I137" s="3">
        <f t="shared" si="51"/>
        <v>2.617554052019894E-2</v>
      </c>
      <c r="J137" s="3">
        <f t="shared" si="51"/>
        <v>2.617554051117614E-2</v>
      </c>
      <c r="K137" s="3">
        <f t="shared" si="51"/>
        <v>2.6175540420948169E-2</v>
      </c>
      <c r="L137" s="3">
        <f t="shared" si="51"/>
        <v>2.6175539518668467E-2</v>
      </c>
      <c r="M137" s="3">
        <f t="shared" si="51"/>
        <v>2.6175530495873151E-2</v>
      </c>
      <c r="N137" s="3">
        <f t="shared" si="51"/>
        <v>2.6175440268091033E-2</v>
      </c>
      <c r="O137" s="3">
        <f t="shared" si="51"/>
        <v>2.6174538007375681E-2</v>
      </c>
      <c r="P137" s="3">
        <f t="shared" si="51"/>
        <v>2.6165517110583514E-2</v>
      </c>
      <c r="Q137" s="3">
        <f t="shared" si="51"/>
        <v>2.6075478960861102E-2</v>
      </c>
      <c r="R137" s="3">
        <f t="shared" si="51"/>
        <v>2.5191963415771318E-2</v>
      </c>
      <c r="S137" s="3">
        <f t="shared" si="51"/>
        <v>1.7846754203687913E-2</v>
      </c>
      <c r="T137" s="3">
        <f t="shared" si="51"/>
        <v>5.682396002252753E-4</v>
      </c>
      <c r="U137" s="3">
        <f t="shared" si="51"/>
        <v>6.0849082496598123E-19</v>
      </c>
      <c r="V137" s="3">
        <f t="shared" si="51"/>
        <v>1.2063669056894535E-168</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2.8073646092387699E-2</v>
      </c>
      <c r="C138" s="3">
        <f t="shared" si="53"/>
        <v>2.8073646092387699E-2</v>
      </c>
      <c r="D138" s="3">
        <f t="shared" si="53"/>
        <v>2.8073646092387699E-2</v>
      </c>
      <c r="E138" s="3">
        <f t="shared" si="53"/>
        <v>2.8073646092387688E-2</v>
      </c>
      <c r="F138" s="3">
        <f t="shared" si="53"/>
        <v>2.8073646092387602E-2</v>
      </c>
      <c r="G138" s="3">
        <f t="shared" si="53"/>
        <v>2.8073646092386731E-2</v>
      </c>
      <c r="H138" s="3">
        <f t="shared" si="53"/>
        <v>2.8073646092377998E-2</v>
      </c>
      <c r="I138" s="3">
        <f t="shared" si="53"/>
        <v>2.8073646092290704E-2</v>
      </c>
      <c r="J138" s="3">
        <f t="shared" si="53"/>
        <v>2.8073646091417749E-2</v>
      </c>
      <c r="K138" s="3">
        <f t="shared" si="53"/>
        <v>2.8073646082688218E-2</v>
      </c>
      <c r="L138" s="3">
        <f t="shared" si="53"/>
        <v>2.8073645995392901E-2</v>
      </c>
      <c r="M138" s="3">
        <f t="shared" si="53"/>
        <v>2.807364512243974E-2</v>
      </c>
      <c r="N138" s="3">
        <f t="shared" si="53"/>
        <v>2.8073636392909627E-2</v>
      </c>
      <c r="O138" s="3">
        <f t="shared" si="53"/>
        <v>2.807354909775777E-2</v>
      </c>
      <c r="P138" s="3">
        <f t="shared" si="53"/>
        <v>2.8072676161168552E-2</v>
      </c>
      <c r="Q138" s="3">
        <f t="shared" si="53"/>
        <v>2.8063948288037259E-2</v>
      </c>
      <c r="R138" s="3">
        <f t="shared" si="53"/>
        <v>2.7976818661212412E-2</v>
      </c>
      <c r="S138" s="3">
        <f t="shared" si="53"/>
        <v>2.7120262711702044E-2</v>
      </c>
      <c r="T138" s="3">
        <f t="shared" si="53"/>
        <v>1.9872364087667297E-2</v>
      </c>
      <c r="U138" s="3">
        <f t="shared" si="53"/>
        <v>8.867597405190933E-4</v>
      </c>
      <c r="V138" s="3">
        <f t="shared" si="53"/>
        <v>2.7756857118970383E-17</v>
      </c>
      <c r="W138" s="3">
        <f t="shared" si="53"/>
        <v>2.506187225104539E-152</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2.8599886104258926E-2</v>
      </c>
      <c r="C139" s="3">
        <f t="shared" si="55"/>
        <v>2.8599886104258926E-2</v>
      </c>
      <c r="D139" s="3">
        <f t="shared" si="55"/>
        <v>2.8599886104258926E-2</v>
      </c>
      <c r="E139" s="3">
        <f t="shared" si="55"/>
        <v>2.8599886104258926E-2</v>
      </c>
      <c r="F139" s="3">
        <f t="shared" si="55"/>
        <v>2.8599886104258915E-2</v>
      </c>
      <c r="G139" s="3">
        <f t="shared" si="55"/>
        <v>2.8599886104258836E-2</v>
      </c>
      <c r="H139" s="3">
        <f t="shared" si="55"/>
        <v>2.8599886104258034E-2</v>
      </c>
      <c r="I139" s="3">
        <f t="shared" si="55"/>
        <v>2.8599886104250013E-2</v>
      </c>
      <c r="J139" s="3">
        <f t="shared" si="55"/>
        <v>2.8599886104169789E-2</v>
      </c>
      <c r="K139" s="3">
        <f t="shared" si="55"/>
        <v>2.8599886103367552E-2</v>
      </c>
      <c r="L139" s="3">
        <f t="shared" si="55"/>
        <v>2.8599886095345174E-2</v>
      </c>
      <c r="M139" s="3">
        <f t="shared" si="55"/>
        <v>2.8599886015121413E-2</v>
      </c>
      <c r="N139" s="3">
        <f t="shared" si="55"/>
        <v>2.8599885212883806E-2</v>
      </c>
      <c r="O139" s="3">
        <f t="shared" si="55"/>
        <v>2.8599877190508979E-2</v>
      </c>
      <c r="P139" s="3">
        <f t="shared" si="55"/>
        <v>2.8599796966884496E-2</v>
      </c>
      <c r="Q139" s="3">
        <f t="shared" si="55"/>
        <v>2.85989947430162E-2</v>
      </c>
      <c r="R139" s="3">
        <f t="shared" si="55"/>
        <v>2.8590973741859257E-2</v>
      </c>
      <c r="S139" s="3">
        <f t="shared" si="55"/>
        <v>2.8510887354553646E-2</v>
      </c>
      <c r="T139" s="3">
        <f t="shared" si="55"/>
        <v>2.7722258559702145E-2</v>
      </c>
      <c r="U139" s="3">
        <f t="shared" si="55"/>
        <v>2.0941479709679238E-2</v>
      </c>
      <c r="V139" s="3">
        <f t="shared" si="55"/>
        <v>1.2670534073432516E-3</v>
      </c>
      <c r="W139" s="3">
        <f t="shared" si="55"/>
        <v>8.3304886871087911E-16</v>
      </c>
      <c r="X139" s="3">
        <f t="shared" si="55"/>
        <v>1.2572627745250115E-137</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2.5827803399316902E-2</v>
      </c>
      <c r="C140" s="3">
        <f t="shared" si="57"/>
        <v>2.5827803399316902E-2</v>
      </c>
      <c r="D140" s="3">
        <f t="shared" si="57"/>
        <v>2.5827803399316902E-2</v>
      </c>
      <c r="E140" s="3">
        <f t="shared" si="57"/>
        <v>2.5827803399316902E-2</v>
      </c>
      <c r="F140" s="3">
        <f t="shared" si="57"/>
        <v>2.5827803399316902E-2</v>
      </c>
      <c r="G140" s="3">
        <f t="shared" si="57"/>
        <v>2.5827803399316895E-2</v>
      </c>
      <c r="H140" s="3">
        <f t="shared" si="57"/>
        <v>2.5827803399316829E-2</v>
      </c>
      <c r="I140" s="3">
        <f t="shared" si="57"/>
        <v>2.5827803399316177E-2</v>
      </c>
      <c r="J140" s="3">
        <f t="shared" si="57"/>
        <v>2.5827803399309641E-2</v>
      </c>
      <c r="K140" s="3">
        <f t="shared" si="57"/>
        <v>2.5827803399244287E-2</v>
      </c>
      <c r="L140" s="3">
        <f t="shared" si="57"/>
        <v>2.5827803398590747E-2</v>
      </c>
      <c r="M140" s="3">
        <f t="shared" si="57"/>
        <v>2.5827803392055336E-2</v>
      </c>
      <c r="N140" s="3">
        <f t="shared" si="57"/>
        <v>2.5827803326701242E-2</v>
      </c>
      <c r="O140" s="3">
        <f t="shared" si="57"/>
        <v>2.582780267316034E-2</v>
      </c>
      <c r="P140" s="3">
        <f t="shared" si="57"/>
        <v>2.5827796137752181E-2</v>
      </c>
      <c r="Q140" s="3">
        <f t="shared" si="57"/>
        <v>2.5827730783761545E-2</v>
      </c>
      <c r="R140" s="3">
        <f t="shared" si="57"/>
        <v>2.5827077252950498E-2</v>
      </c>
      <c r="S140" s="3">
        <f t="shared" si="57"/>
        <v>2.582054285428325E-2</v>
      </c>
      <c r="T140" s="3">
        <f t="shared" si="57"/>
        <v>2.5755289726848242E-2</v>
      </c>
      <c r="U140" s="3">
        <f t="shared" si="57"/>
        <v>2.5111759882915703E-2</v>
      </c>
      <c r="V140" s="3">
        <f t="shared" si="57"/>
        <v>1.9497739019782256E-2</v>
      </c>
      <c r="W140" s="3">
        <f t="shared" si="57"/>
        <v>1.5525846310682739E-3</v>
      </c>
      <c r="X140" s="3">
        <f t="shared" si="57"/>
        <v>1.5913495322416461E-14</v>
      </c>
      <c r="Y140" s="3">
        <f t="shared" si="57"/>
        <v>2.0364256610157627E-124</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3.0895531862387703E-2</v>
      </c>
      <c r="C141" s="3">
        <f t="shared" si="59"/>
        <v>3.0895531862387703E-2</v>
      </c>
      <c r="D141" s="3">
        <f t="shared" si="59"/>
        <v>3.0895531862387703E-2</v>
      </c>
      <c r="E141" s="3">
        <f t="shared" si="59"/>
        <v>3.0895531862387703E-2</v>
      </c>
      <c r="F141" s="3">
        <f t="shared" si="59"/>
        <v>3.0895531862387703E-2</v>
      </c>
      <c r="G141" s="3">
        <f t="shared" si="59"/>
        <v>3.0895531862387703E-2</v>
      </c>
      <c r="H141" s="3">
        <f t="shared" si="59"/>
        <v>3.0895531862387696E-2</v>
      </c>
      <c r="I141" s="3">
        <f t="shared" si="59"/>
        <v>3.0895531862387624E-2</v>
      </c>
      <c r="J141" s="3">
        <f t="shared" si="59"/>
        <v>3.0895531862386923E-2</v>
      </c>
      <c r="K141" s="3">
        <f t="shared" si="59"/>
        <v>3.0895531862379869E-2</v>
      </c>
      <c r="L141" s="3">
        <f t="shared" si="59"/>
        <v>3.0895531862309346E-2</v>
      </c>
      <c r="M141" s="3">
        <f t="shared" si="59"/>
        <v>3.0895531861604118E-2</v>
      </c>
      <c r="N141" s="3">
        <f t="shared" si="59"/>
        <v>3.0895531854551871E-2</v>
      </c>
      <c r="O141" s="3">
        <f t="shared" si="59"/>
        <v>3.089553178402939E-2</v>
      </c>
      <c r="P141" s="3">
        <f t="shared" si="59"/>
        <v>3.0895531078804599E-2</v>
      </c>
      <c r="Q141" s="3">
        <f t="shared" si="59"/>
        <v>3.0895524026557552E-2</v>
      </c>
      <c r="R141" s="3">
        <f t="shared" si="59"/>
        <v>3.0895453504175649E-2</v>
      </c>
      <c r="S141" s="3">
        <f t="shared" si="59"/>
        <v>3.0894748289210145E-2</v>
      </c>
      <c r="T141" s="3">
        <f t="shared" si="59"/>
        <v>3.088769702483668E-2</v>
      </c>
      <c r="U141" s="3">
        <f t="shared" si="59"/>
        <v>3.0817272834535309E-2</v>
      </c>
      <c r="V141" s="3">
        <f t="shared" si="59"/>
        <v>3.0121802024014696E-2</v>
      </c>
      <c r="W141" s="3">
        <f t="shared" si="59"/>
        <v>2.3974436845082742E-2</v>
      </c>
      <c r="X141" s="3">
        <f t="shared" si="59"/>
        <v>2.4458119425590091E-3</v>
      </c>
      <c r="Y141" s="3">
        <f t="shared" si="59"/>
        <v>2.9865482069166871E-13</v>
      </c>
      <c r="Z141" s="3">
        <f t="shared" si="59"/>
        <v>2.201071796399305E-112</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3.9212264865174394E-2</v>
      </c>
      <c r="C142" s="3">
        <f t="shared" si="61"/>
        <v>3.9212264865174394E-2</v>
      </c>
      <c r="D142" s="3">
        <f t="shared" si="61"/>
        <v>3.9212264865174394E-2</v>
      </c>
      <c r="E142" s="3">
        <f t="shared" si="61"/>
        <v>3.9212264865174394E-2</v>
      </c>
      <c r="F142" s="3">
        <f t="shared" si="61"/>
        <v>3.9212264865174394E-2</v>
      </c>
      <c r="G142" s="3">
        <f t="shared" si="61"/>
        <v>3.9212264865174394E-2</v>
      </c>
      <c r="H142" s="3">
        <f t="shared" si="61"/>
        <v>3.9212264865174394E-2</v>
      </c>
      <c r="I142" s="3">
        <f t="shared" si="61"/>
        <v>3.9212264865174387E-2</v>
      </c>
      <c r="J142" s="3">
        <f t="shared" si="61"/>
        <v>3.9212264865174304E-2</v>
      </c>
      <c r="K142" s="3">
        <f t="shared" si="61"/>
        <v>3.9212264865173499E-2</v>
      </c>
      <c r="L142" s="3">
        <f t="shared" si="61"/>
        <v>3.9212264865165422E-2</v>
      </c>
      <c r="M142" s="3">
        <f t="shared" si="61"/>
        <v>3.9212264865084681E-2</v>
      </c>
      <c r="N142" s="3">
        <f t="shared" si="61"/>
        <v>3.9212264864277258E-2</v>
      </c>
      <c r="O142" s="3">
        <f t="shared" si="61"/>
        <v>3.9212264856203043E-2</v>
      </c>
      <c r="P142" s="3">
        <f t="shared" si="61"/>
        <v>3.9212264775460873E-2</v>
      </c>
      <c r="Q142" s="3">
        <f t="shared" si="61"/>
        <v>3.9212263968039174E-2</v>
      </c>
      <c r="R142" s="3">
        <f t="shared" si="61"/>
        <v>3.9212255893823128E-2</v>
      </c>
      <c r="S142" s="3">
        <f t="shared" si="61"/>
        <v>3.9212175151754111E-2</v>
      </c>
      <c r="T142" s="3">
        <f t="shared" si="61"/>
        <v>3.9211367740207927E-2</v>
      </c>
      <c r="U142" s="3">
        <f t="shared" si="61"/>
        <v>3.9203294539080037E-2</v>
      </c>
      <c r="V142" s="3">
        <f t="shared" si="61"/>
        <v>3.9122653891572975E-2</v>
      </c>
      <c r="W142" s="3">
        <f t="shared" si="61"/>
        <v>3.8325314568196746E-2</v>
      </c>
      <c r="X142" s="3">
        <f t="shared" si="61"/>
        <v>3.1193200322809658E-2</v>
      </c>
      <c r="Y142" s="3">
        <f t="shared" si="61"/>
        <v>3.9792570589152641E-3</v>
      </c>
      <c r="Z142" s="3">
        <f t="shared" si="61"/>
        <v>4.5417435303773958E-12</v>
      </c>
      <c r="AA142" s="3">
        <f t="shared" ref="AA142" si="62">$C28*EXP(-AA$129/$A28/EXP(-$B$126))</f>
        <v>1.7038396278527441E-101</v>
      </c>
      <c r="AB142" s="3">
        <f t="shared" si="46"/>
        <v>0</v>
      </c>
      <c r="AC142" s="3">
        <f t="shared" si="46"/>
        <v>0</v>
      </c>
      <c r="AD142" s="3">
        <f t="shared" si="46"/>
        <v>0</v>
      </c>
      <c r="AE142" s="3">
        <f t="shared" si="46"/>
        <v>0</v>
      </c>
      <c r="AF142" s="3">
        <f t="shared" si="46"/>
        <v>0</v>
      </c>
    </row>
    <row r="143" spans="1:33" x14ac:dyDescent="0.25">
      <c r="B143" s="3">
        <f t="shared" ref="B143:Z143" si="63">$C29*EXP(-B$129/$A29/EXP(-$B$126))</f>
        <v>3.9921764975062855E-2</v>
      </c>
      <c r="C143" s="3">
        <f t="shared" si="63"/>
        <v>3.9921764975062855E-2</v>
      </c>
      <c r="D143" s="3">
        <f t="shared" si="63"/>
        <v>3.9921764975062855E-2</v>
      </c>
      <c r="E143" s="3">
        <f t="shared" si="63"/>
        <v>3.9921764975062855E-2</v>
      </c>
      <c r="F143" s="3">
        <f t="shared" si="63"/>
        <v>3.9921764975062855E-2</v>
      </c>
      <c r="G143" s="3">
        <f t="shared" si="63"/>
        <v>3.9921764975062855E-2</v>
      </c>
      <c r="H143" s="3">
        <f t="shared" si="63"/>
        <v>3.9921764975062855E-2</v>
      </c>
      <c r="I143" s="3">
        <f t="shared" si="63"/>
        <v>3.9921764975062855E-2</v>
      </c>
      <c r="J143" s="3">
        <f t="shared" si="63"/>
        <v>3.9921764975062848E-2</v>
      </c>
      <c r="K143" s="3">
        <f t="shared" si="63"/>
        <v>3.9921764975062772E-2</v>
      </c>
      <c r="L143" s="3">
        <f t="shared" si="63"/>
        <v>3.992176497506203E-2</v>
      </c>
      <c r="M143" s="3">
        <f t="shared" si="63"/>
        <v>3.9921764975054619E-2</v>
      </c>
      <c r="N143" s="3">
        <f t="shared" si="63"/>
        <v>3.9921764974980463E-2</v>
      </c>
      <c r="O143" s="3">
        <f t="shared" si="63"/>
        <v>3.9921764974238924E-2</v>
      </c>
      <c r="P143" s="3">
        <f t="shared" si="63"/>
        <v>3.9921764966823516E-2</v>
      </c>
      <c r="Q143" s="3">
        <f t="shared" si="63"/>
        <v>3.9921764892669478E-2</v>
      </c>
      <c r="R143" s="3">
        <f t="shared" si="63"/>
        <v>3.9921764151129087E-2</v>
      </c>
      <c r="S143" s="3">
        <f t="shared" si="63"/>
        <v>3.9921756735725913E-2</v>
      </c>
      <c r="T143" s="3">
        <f t="shared" si="63"/>
        <v>3.9921682581769972E-2</v>
      </c>
      <c r="U143" s="3">
        <f t="shared" si="63"/>
        <v>3.9920941049786232E-2</v>
      </c>
      <c r="V143" s="3">
        <f t="shared" si="63"/>
        <v>3.9913526487460584E-2</v>
      </c>
      <c r="W143" s="3">
        <f t="shared" si="63"/>
        <v>3.9839456563352957E-2</v>
      </c>
      <c r="X143" s="3">
        <f t="shared" si="63"/>
        <v>3.9106275468950652E-2</v>
      </c>
      <c r="Y143" s="3">
        <f t="shared" si="63"/>
        <v>3.2477078090780417E-2</v>
      </c>
      <c r="Z143" s="3">
        <f t="shared" si="63"/>
        <v>5.0685285084809085E-3</v>
      </c>
      <c r="AA143" s="3">
        <f t="shared" ref="AA143" si="64">$C29*EXP(-AA$129/$A29/EXP(-$B$126))</f>
        <v>4.3444152912166383E-11</v>
      </c>
      <c r="AB143" s="3">
        <f t="shared" si="46"/>
        <v>9.2987748901805069E-92</v>
      </c>
      <c r="AC143" s="3">
        <f t="shared" si="46"/>
        <v>0</v>
      </c>
      <c r="AD143" s="3">
        <f t="shared" si="46"/>
        <v>0</v>
      </c>
      <c r="AE143" s="3">
        <f t="shared" si="46"/>
        <v>0</v>
      </c>
      <c r="AF143" s="3">
        <f t="shared" si="46"/>
        <v>0</v>
      </c>
    </row>
    <row r="144" spans="1:33" x14ac:dyDescent="0.25">
      <c r="B144" s="3">
        <f t="shared" ref="B144:Z144" si="65">$C30*EXP(-B$129/$A30/EXP(-$B$126))</f>
        <v>2.7869370271088295E-2</v>
      </c>
      <c r="C144" s="3">
        <f t="shared" si="65"/>
        <v>2.7869370271088295E-2</v>
      </c>
      <c r="D144" s="3">
        <f t="shared" si="65"/>
        <v>2.7869370271088295E-2</v>
      </c>
      <c r="E144" s="3">
        <f t="shared" si="65"/>
        <v>2.7869370271088295E-2</v>
      </c>
      <c r="F144" s="3">
        <f t="shared" si="65"/>
        <v>2.7869370271088295E-2</v>
      </c>
      <c r="G144" s="3">
        <f t="shared" si="65"/>
        <v>2.7869370271088295E-2</v>
      </c>
      <c r="H144" s="3">
        <f t="shared" si="65"/>
        <v>2.7869370271088295E-2</v>
      </c>
      <c r="I144" s="3">
        <f t="shared" si="65"/>
        <v>2.7869370271088295E-2</v>
      </c>
      <c r="J144" s="3">
        <f t="shared" si="65"/>
        <v>2.7869370271088295E-2</v>
      </c>
      <c r="K144" s="3">
        <f t="shared" si="65"/>
        <v>2.7869370271088288E-2</v>
      </c>
      <c r="L144" s="3">
        <f t="shared" si="65"/>
        <v>2.7869370271088243E-2</v>
      </c>
      <c r="M144" s="3">
        <f t="shared" si="65"/>
        <v>2.7869370271087775E-2</v>
      </c>
      <c r="N144" s="3">
        <f t="shared" si="65"/>
        <v>2.7869370271083105E-2</v>
      </c>
      <c r="O144" s="3">
        <f t="shared" si="65"/>
        <v>2.786937027103641E-2</v>
      </c>
      <c r="P144" s="3">
        <f t="shared" si="65"/>
        <v>2.7869370270569425E-2</v>
      </c>
      <c r="Q144" s="3">
        <f t="shared" si="65"/>
        <v>2.7869370265899623E-2</v>
      </c>
      <c r="R144" s="3">
        <f t="shared" si="65"/>
        <v>2.7869370219201564E-2</v>
      </c>
      <c r="S144" s="3">
        <f t="shared" si="65"/>
        <v>2.7869369752220974E-2</v>
      </c>
      <c r="T144" s="3">
        <f t="shared" si="65"/>
        <v>2.7869365082415543E-2</v>
      </c>
      <c r="U144" s="3">
        <f t="shared" si="65"/>
        <v>2.7869318384404252E-2</v>
      </c>
      <c r="V144" s="3">
        <f t="shared" si="65"/>
        <v>2.7868851408594946E-2</v>
      </c>
      <c r="W144" s="3">
        <f t="shared" si="65"/>
        <v>2.7864182080833497E-2</v>
      </c>
      <c r="X144" s="3">
        <f t="shared" si="65"/>
        <v>2.781753180971552E-2</v>
      </c>
      <c r="Y144" s="3">
        <f t="shared" si="65"/>
        <v>2.7355303204364634E-2</v>
      </c>
      <c r="Z144" s="3">
        <f t="shared" si="65"/>
        <v>2.3135075851094415E-2</v>
      </c>
      <c r="AA144" s="3">
        <f t="shared" ref="AA144" si="66">$C30*EXP(-AA$129/$A30/EXP(-$B$126))</f>
        <v>4.3307675765110985E-3</v>
      </c>
      <c r="AB144" s="3">
        <f t="shared" ref="AB144:AF153" si="67">$C30*EXP(-AB$129/$A30/EXP(-$B$126))</f>
        <v>2.288254715199768E-10</v>
      </c>
      <c r="AC144" s="3">
        <f t="shared" si="67"/>
        <v>3.8806033912795017E-83</v>
      </c>
      <c r="AD144" s="3">
        <f t="shared" si="67"/>
        <v>0</v>
      </c>
      <c r="AE144" s="3">
        <f t="shared" si="67"/>
        <v>0</v>
      </c>
      <c r="AF144" s="3">
        <f t="shared" si="67"/>
        <v>0</v>
      </c>
    </row>
    <row r="145" spans="1:32" x14ac:dyDescent="0.25">
      <c r="B145" s="3">
        <f t="shared" ref="B145:Z145" si="68">$C31*EXP(-B$129/$A31/EXP(-$B$126))</f>
        <v>3.1710520537561716E-2</v>
      </c>
      <c r="C145" s="3">
        <f t="shared" si="68"/>
        <v>3.1710520537561716E-2</v>
      </c>
      <c r="D145" s="3">
        <f t="shared" si="68"/>
        <v>3.1710520537561716E-2</v>
      </c>
      <c r="E145" s="3">
        <f t="shared" si="68"/>
        <v>3.1710520537561716E-2</v>
      </c>
      <c r="F145" s="3">
        <f t="shared" si="68"/>
        <v>3.1710520537561716E-2</v>
      </c>
      <c r="G145" s="3">
        <f t="shared" si="68"/>
        <v>3.1710520537561716E-2</v>
      </c>
      <c r="H145" s="3">
        <f t="shared" si="68"/>
        <v>3.1710520537561716E-2</v>
      </c>
      <c r="I145" s="3">
        <f t="shared" si="68"/>
        <v>3.1710520537561716E-2</v>
      </c>
      <c r="J145" s="3">
        <f t="shared" si="68"/>
        <v>3.1710520537561716E-2</v>
      </c>
      <c r="K145" s="3">
        <f t="shared" si="68"/>
        <v>3.1710520537561716E-2</v>
      </c>
      <c r="L145" s="3">
        <f t="shared" si="68"/>
        <v>3.1710520537561709E-2</v>
      </c>
      <c r="M145" s="3">
        <f t="shared" si="68"/>
        <v>3.1710520537561661E-2</v>
      </c>
      <c r="N145" s="3">
        <f t="shared" si="68"/>
        <v>3.1710520537561182E-2</v>
      </c>
      <c r="O145" s="3">
        <f t="shared" si="68"/>
        <v>3.1710520537556387E-2</v>
      </c>
      <c r="P145" s="3">
        <f t="shared" si="68"/>
        <v>3.171052053750846E-2</v>
      </c>
      <c r="Q145" s="3">
        <f t="shared" si="68"/>
        <v>3.1710520537029142E-2</v>
      </c>
      <c r="R145" s="3">
        <f t="shared" si="68"/>
        <v>3.171052053223599E-2</v>
      </c>
      <c r="S145" s="3">
        <f t="shared" si="68"/>
        <v>3.1710520484304422E-2</v>
      </c>
      <c r="T145" s="3">
        <f t="shared" si="68"/>
        <v>3.1710520004988745E-2</v>
      </c>
      <c r="U145" s="3">
        <f t="shared" si="68"/>
        <v>3.171051521183238E-2</v>
      </c>
      <c r="V145" s="3">
        <f t="shared" si="68"/>
        <v>3.1710467280308588E-2</v>
      </c>
      <c r="W145" s="3">
        <f t="shared" si="68"/>
        <v>3.1709987969055456E-2</v>
      </c>
      <c r="X145" s="3">
        <f t="shared" si="68"/>
        <v>3.1705195254975754E-2</v>
      </c>
      <c r="Y145" s="3">
        <f t="shared" si="68"/>
        <v>3.1657307937066365E-2</v>
      </c>
      <c r="Z145" s="3">
        <f t="shared" si="68"/>
        <v>3.118239486483149E-2</v>
      </c>
      <c r="AA145" s="3">
        <f t="shared" ref="AA145" si="69">$C31*EXP(-AA$129/$A31/EXP(-$B$126))</f>
        <v>2.6807994578922325E-2</v>
      </c>
      <c r="AB145" s="3">
        <f t="shared" si="67"/>
        <v>5.9130687656405462E-3</v>
      </c>
      <c r="AC145" s="3">
        <f t="shared" si="67"/>
        <v>1.61175473908599E-9</v>
      </c>
      <c r="AD145" s="3">
        <f t="shared" si="67"/>
        <v>3.6488769506792876E-75</v>
      </c>
      <c r="AE145" s="3">
        <f t="shared" si="67"/>
        <v>0</v>
      </c>
      <c r="AF145" s="3">
        <f t="shared" si="67"/>
        <v>0</v>
      </c>
    </row>
    <row r="146" spans="1:32" x14ac:dyDescent="0.25">
      <c r="B146" s="3">
        <f t="shared" ref="B146:Z146" si="70">$C32*EXP(-B$129/$A32/EXP(-$B$126))</f>
        <v>2.7458471996856346E-2</v>
      </c>
      <c r="C146" s="3">
        <f t="shared" si="70"/>
        <v>2.7458471996856346E-2</v>
      </c>
      <c r="D146" s="3">
        <f t="shared" si="70"/>
        <v>2.7458471996856346E-2</v>
      </c>
      <c r="E146" s="3">
        <f t="shared" si="70"/>
        <v>2.7458471996856346E-2</v>
      </c>
      <c r="F146" s="3">
        <f t="shared" si="70"/>
        <v>2.7458471996856346E-2</v>
      </c>
      <c r="G146" s="3">
        <f t="shared" si="70"/>
        <v>2.7458471996856346E-2</v>
      </c>
      <c r="H146" s="3">
        <f t="shared" si="70"/>
        <v>2.7458471996856346E-2</v>
      </c>
      <c r="I146" s="3">
        <f t="shared" si="70"/>
        <v>2.7458471996856346E-2</v>
      </c>
      <c r="J146" s="3">
        <f t="shared" si="70"/>
        <v>2.7458471996856346E-2</v>
      </c>
      <c r="K146" s="3">
        <f t="shared" si="70"/>
        <v>2.7458471996856346E-2</v>
      </c>
      <c r="L146" s="3">
        <f t="shared" si="70"/>
        <v>2.7458471996856346E-2</v>
      </c>
      <c r="M146" s="3">
        <f t="shared" si="70"/>
        <v>2.7458471996856342E-2</v>
      </c>
      <c r="N146" s="3">
        <f t="shared" si="70"/>
        <v>2.7458471996856304E-2</v>
      </c>
      <c r="O146" s="3">
        <f t="shared" si="70"/>
        <v>2.7458471996855933E-2</v>
      </c>
      <c r="P146" s="3">
        <f t="shared" si="70"/>
        <v>2.7458471996852186E-2</v>
      </c>
      <c r="Q146" s="3">
        <f t="shared" si="70"/>
        <v>2.7458471996814747E-2</v>
      </c>
      <c r="R146" s="3">
        <f t="shared" si="70"/>
        <v>2.7458471996440342E-2</v>
      </c>
      <c r="S146" s="3">
        <f t="shared" si="70"/>
        <v>2.7458471992696295E-2</v>
      </c>
      <c r="T146" s="3">
        <f t="shared" si="70"/>
        <v>2.7458471955255831E-2</v>
      </c>
      <c r="U146" s="3">
        <f t="shared" si="70"/>
        <v>2.7458471580851192E-2</v>
      </c>
      <c r="V146" s="3">
        <f t="shared" si="70"/>
        <v>2.7458467836805101E-2</v>
      </c>
      <c r="W146" s="3">
        <f t="shared" si="70"/>
        <v>2.7458430396372253E-2</v>
      </c>
      <c r="X146" s="3">
        <f t="shared" si="70"/>
        <v>2.7458055994851606E-2</v>
      </c>
      <c r="Y146" s="3">
        <f t="shared" si="70"/>
        <v>2.7454312260411042E-2</v>
      </c>
      <c r="Z146" s="3">
        <f t="shared" si="70"/>
        <v>2.7416902978439926E-2</v>
      </c>
      <c r="AA146" s="3">
        <f t="shared" ref="AA146" si="71">$C32*EXP(-AA$129/$A32/EXP(-$B$126))</f>
        <v>2.7045602295994075E-2</v>
      </c>
      <c r="AB146" s="3">
        <f t="shared" si="67"/>
        <v>2.3598221882866956E-2</v>
      </c>
      <c r="AC146" s="3">
        <f t="shared" si="67"/>
        <v>6.035392354073724E-3</v>
      </c>
      <c r="AD146" s="3">
        <f t="shared" si="67"/>
        <v>7.227161988676897E-9</v>
      </c>
      <c r="AE146" s="3">
        <f t="shared" si="67"/>
        <v>4.3811749518965112E-68</v>
      </c>
      <c r="AF146" s="3">
        <f t="shared" si="67"/>
        <v>0</v>
      </c>
    </row>
    <row r="147" spans="1:32" x14ac:dyDescent="0.25">
      <c r="B147" s="3">
        <f t="shared" ref="B147:Z147" si="72">$C33*EXP(-B$129/$A33/EXP(-$B$126))</f>
        <v>4.6480285004782129E-2</v>
      </c>
      <c r="C147" s="3">
        <f t="shared" si="72"/>
        <v>4.6480285004782129E-2</v>
      </c>
      <c r="D147" s="3">
        <f t="shared" si="72"/>
        <v>4.6480285004782129E-2</v>
      </c>
      <c r="E147" s="3">
        <f t="shared" si="72"/>
        <v>4.6480285004782129E-2</v>
      </c>
      <c r="F147" s="3">
        <f t="shared" si="72"/>
        <v>4.6480285004782129E-2</v>
      </c>
      <c r="G147" s="3">
        <f t="shared" si="72"/>
        <v>4.6480285004782129E-2</v>
      </c>
      <c r="H147" s="3">
        <f t="shared" si="72"/>
        <v>4.6480285004782129E-2</v>
      </c>
      <c r="I147" s="3">
        <f t="shared" si="72"/>
        <v>4.6480285004782129E-2</v>
      </c>
      <c r="J147" s="3">
        <f t="shared" si="72"/>
        <v>4.6480285004782129E-2</v>
      </c>
      <c r="K147" s="3">
        <f t="shared" si="72"/>
        <v>4.6480285004782129E-2</v>
      </c>
      <c r="L147" s="3">
        <f t="shared" si="72"/>
        <v>4.6480285004782129E-2</v>
      </c>
      <c r="M147" s="3">
        <f t="shared" si="72"/>
        <v>4.6480285004782129E-2</v>
      </c>
      <c r="N147" s="3">
        <f t="shared" si="72"/>
        <v>4.6480285004782122E-2</v>
      </c>
      <c r="O147" s="3">
        <f t="shared" si="72"/>
        <v>4.6480285004782067E-2</v>
      </c>
      <c r="P147" s="3">
        <f t="shared" si="72"/>
        <v>4.6480285004781498E-2</v>
      </c>
      <c r="Q147" s="3">
        <f t="shared" si="72"/>
        <v>4.648028500477578E-2</v>
      </c>
      <c r="R147" s="3">
        <f t="shared" si="72"/>
        <v>4.6480285004718604E-2</v>
      </c>
      <c r="S147" s="3">
        <f t="shared" si="72"/>
        <v>4.6480285004146887E-2</v>
      </c>
      <c r="T147" s="3">
        <f t="shared" si="72"/>
        <v>4.6480284998429731E-2</v>
      </c>
      <c r="U147" s="3">
        <f t="shared" si="72"/>
        <v>4.6480284941258145E-2</v>
      </c>
      <c r="V147" s="3">
        <f t="shared" si="72"/>
        <v>4.6480284369542303E-2</v>
      </c>
      <c r="W147" s="3">
        <f t="shared" si="72"/>
        <v>4.6480278652384265E-2</v>
      </c>
      <c r="X147" s="3">
        <f t="shared" si="72"/>
        <v>4.6480221480842569E-2</v>
      </c>
      <c r="Y147" s="3">
        <f t="shared" si="72"/>
        <v>4.6479649769293314E-2</v>
      </c>
      <c r="Z147" s="3">
        <f t="shared" si="72"/>
        <v>4.647393304055257E-2</v>
      </c>
      <c r="AA147" s="3">
        <f t="shared" ref="AA147" si="73">$C33*EXP(-AA$129/$A33/EXP(-$B$126))</f>
        <v>4.6416804410735181E-2</v>
      </c>
      <c r="AB147" s="3">
        <f t="shared" si="67"/>
        <v>4.5849366335974653E-2</v>
      </c>
      <c r="AC147" s="3">
        <f t="shared" si="67"/>
        <v>4.054285584590412E-2</v>
      </c>
      <c r="AD147" s="3">
        <f t="shared" si="67"/>
        <v>1.1850163182174798E-2</v>
      </c>
      <c r="AE147" s="3">
        <f t="shared" si="67"/>
        <v>5.3929235886317738E-8</v>
      </c>
      <c r="AF147" s="3">
        <f t="shared" si="67"/>
        <v>2.0550558426603645E-61</v>
      </c>
    </row>
    <row r="148" spans="1:32" x14ac:dyDescent="0.25">
      <c r="B148" s="3">
        <f t="shared" ref="B148:Z148" si="74">$C34*EXP(-B$129/$A34/EXP(-$B$126))</f>
        <v>5.1673883446399775E-2</v>
      </c>
      <c r="C148" s="3">
        <f t="shared" si="74"/>
        <v>5.1673883446399775E-2</v>
      </c>
      <c r="D148" s="3">
        <f t="shared" si="74"/>
        <v>5.1673883446399775E-2</v>
      </c>
      <c r="E148" s="3">
        <f t="shared" si="74"/>
        <v>5.1673883446399775E-2</v>
      </c>
      <c r="F148" s="3">
        <f t="shared" si="74"/>
        <v>5.1673883446399775E-2</v>
      </c>
      <c r="G148" s="3">
        <f t="shared" si="74"/>
        <v>5.1673883446399775E-2</v>
      </c>
      <c r="H148" s="3">
        <f t="shared" si="74"/>
        <v>5.1673883446399775E-2</v>
      </c>
      <c r="I148" s="3">
        <f t="shared" si="74"/>
        <v>5.1673883446399775E-2</v>
      </c>
      <c r="J148" s="3">
        <f t="shared" si="74"/>
        <v>5.1673883446399775E-2</v>
      </c>
      <c r="K148" s="3">
        <f t="shared" si="74"/>
        <v>5.1673883446399775E-2</v>
      </c>
      <c r="L148" s="3">
        <f t="shared" si="74"/>
        <v>5.1673883446399775E-2</v>
      </c>
      <c r="M148" s="3">
        <f t="shared" si="74"/>
        <v>5.1673883446399775E-2</v>
      </c>
      <c r="N148" s="3">
        <f t="shared" si="74"/>
        <v>5.1673883446399775E-2</v>
      </c>
      <c r="O148" s="3">
        <f t="shared" si="74"/>
        <v>5.1673883446399768E-2</v>
      </c>
      <c r="P148" s="3">
        <f t="shared" si="74"/>
        <v>5.1673883446399713E-2</v>
      </c>
      <c r="Q148" s="3">
        <f t="shared" si="74"/>
        <v>5.1673883446399137E-2</v>
      </c>
      <c r="R148" s="3">
        <f t="shared" si="74"/>
        <v>5.1673883446393405E-2</v>
      </c>
      <c r="S148" s="3">
        <f t="shared" si="74"/>
        <v>5.1673883446336069E-2</v>
      </c>
      <c r="T148" s="3">
        <f t="shared" si="74"/>
        <v>5.1673883445762701E-2</v>
      </c>
      <c r="U148" s="3">
        <f t="shared" si="74"/>
        <v>5.1673883440029086E-2</v>
      </c>
      <c r="V148" s="3">
        <f t="shared" si="74"/>
        <v>5.1673883382692853E-2</v>
      </c>
      <c r="W148" s="3">
        <f t="shared" si="74"/>
        <v>5.1673882809330544E-2</v>
      </c>
      <c r="X148" s="3">
        <f t="shared" si="74"/>
        <v>5.167387707570785E-2</v>
      </c>
      <c r="Y148" s="3">
        <f t="shared" si="74"/>
        <v>5.1673819739515896E-2</v>
      </c>
      <c r="Z148" s="3">
        <f t="shared" si="74"/>
        <v>5.1673246381095377E-2</v>
      </c>
      <c r="AA148" s="3">
        <f>$C34*EXP(-AA$129/$A34/EXP(-$B$126))</f>
        <v>5.1667513146778941E-2</v>
      </c>
      <c r="AB148" s="3">
        <f t="shared" si="67"/>
        <v>5.1610215778135772E-2</v>
      </c>
      <c r="AC148" s="3">
        <f t="shared" si="67"/>
        <v>5.1040725227751736E-2</v>
      </c>
      <c r="AD148" s="3">
        <f t="shared" si="67"/>
        <v>4.5680248095313049E-2</v>
      </c>
      <c r="AE148" s="3">
        <f t="shared" si="67"/>
        <v>1.5060681625007736E-2</v>
      </c>
      <c r="AF148" s="3">
        <f t="shared" si="67"/>
        <v>2.2856323113498507E-7</v>
      </c>
    </row>
    <row r="149" spans="1:32" x14ac:dyDescent="0.25">
      <c r="B149" s="3">
        <f t="shared" ref="B149:Z149" si="75">$C35*EXP(-B$129/$A35/EXP(-$B$126))</f>
        <v>5.2830746228017506E-2</v>
      </c>
      <c r="C149" s="3">
        <f t="shared" si="75"/>
        <v>5.2830746228017506E-2</v>
      </c>
      <c r="D149" s="3">
        <f t="shared" si="75"/>
        <v>5.2830746228017506E-2</v>
      </c>
      <c r="E149" s="3">
        <f t="shared" si="75"/>
        <v>5.2830746228017506E-2</v>
      </c>
      <c r="F149" s="3">
        <f t="shared" si="75"/>
        <v>5.2830746228017506E-2</v>
      </c>
      <c r="G149" s="3">
        <f t="shared" si="75"/>
        <v>5.2830746228017506E-2</v>
      </c>
      <c r="H149" s="3">
        <f t="shared" si="75"/>
        <v>5.2830746228017506E-2</v>
      </c>
      <c r="I149" s="3">
        <f t="shared" si="75"/>
        <v>5.2830746228017506E-2</v>
      </c>
      <c r="J149" s="3">
        <f t="shared" si="75"/>
        <v>5.2830746228017506E-2</v>
      </c>
      <c r="K149" s="3">
        <f t="shared" si="75"/>
        <v>5.2830746228017506E-2</v>
      </c>
      <c r="L149" s="3">
        <f t="shared" si="75"/>
        <v>5.2830746228017506E-2</v>
      </c>
      <c r="M149" s="3">
        <f t="shared" si="75"/>
        <v>5.2830746228017506E-2</v>
      </c>
      <c r="N149" s="3">
        <f t="shared" si="75"/>
        <v>5.2830746228017506E-2</v>
      </c>
      <c r="O149" s="3">
        <f t="shared" si="75"/>
        <v>5.2830746228017506E-2</v>
      </c>
      <c r="P149" s="3">
        <f t="shared" si="75"/>
        <v>5.2830746228017499E-2</v>
      </c>
      <c r="Q149" s="3">
        <f t="shared" si="75"/>
        <v>5.283074622801745E-2</v>
      </c>
      <c r="R149" s="3">
        <f t="shared" si="75"/>
        <v>5.2830746228016916E-2</v>
      </c>
      <c r="S149" s="3">
        <f t="shared" si="75"/>
        <v>5.2830746228011628E-2</v>
      </c>
      <c r="T149" s="3">
        <f t="shared" si="75"/>
        <v>5.2830746227958754E-2</v>
      </c>
      <c r="U149" s="3">
        <f t="shared" si="75"/>
        <v>5.2830746227429955E-2</v>
      </c>
      <c r="V149" s="3">
        <f t="shared" si="75"/>
        <v>5.2830746222141949E-2</v>
      </c>
      <c r="W149" s="3">
        <f t="shared" si="75"/>
        <v>5.2830746169261956E-2</v>
      </c>
      <c r="X149" s="3">
        <f t="shared" si="75"/>
        <v>5.283074564046205E-2</v>
      </c>
      <c r="Y149" s="3">
        <f t="shared" si="75"/>
        <v>5.2830740352463247E-2</v>
      </c>
      <c r="Z149" s="3">
        <f t="shared" si="75"/>
        <v>5.2830687472504342E-2</v>
      </c>
      <c r="AA149" s="3">
        <f t="shared" ref="AA149" si="76">$C35*EXP(-AA$129/$A35/EXP(-$B$126))</f>
        <v>5.2830158675826362E-2</v>
      </c>
      <c r="AB149" s="3">
        <f t="shared" si="67"/>
        <v>5.2824871000145684E-2</v>
      </c>
      <c r="AC149" s="3">
        <f t="shared" si="67"/>
        <v>5.2772023342468381E-2</v>
      </c>
      <c r="AD149" s="3">
        <f t="shared" si="67"/>
        <v>5.2246445930725395E-2</v>
      </c>
      <c r="AE149" s="3">
        <f t="shared" si="67"/>
        <v>4.7270132850065254E-2</v>
      </c>
      <c r="AF149" s="3">
        <f t="shared" si="67"/>
        <v>1.737350817124049E-2</v>
      </c>
    </row>
    <row r="150" spans="1:32" x14ac:dyDescent="0.25">
      <c r="B150" s="3">
        <f t="shared" ref="B150:Z150" si="77">$C36*EXP(-B$129/$A36/EXP(-$B$126))</f>
        <v>4.2289160639644607E-2</v>
      </c>
      <c r="C150" s="3">
        <f t="shared" si="77"/>
        <v>4.2289160639644607E-2</v>
      </c>
      <c r="D150" s="3">
        <f t="shared" si="77"/>
        <v>4.2289160639644607E-2</v>
      </c>
      <c r="E150" s="3">
        <f t="shared" si="77"/>
        <v>4.2289160639644607E-2</v>
      </c>
      <c r="F150" s="3">
        <f t="shared" si="77"/>
        <v>4.2289160639644607E-2</v>
      </c>
      <c r="G150" s="3">
        <f t="shared" si="77"/>
        <v>4.2289160639644607E-2</v>
      </c>
      <c r="H150" s="3">
        <f t="shared" si="77"/>
        <v>4.2289160639644607E-2</v>
      </c>
      <c r="I150" s="3">
        <f t="shared" si="77"/>
        <v>4.2289160639644607E-2</v>
      </c>
      <c r="J150" s="3">
        <f t="shared" si="77"/>
        <v>4.2289160639644607E-2</v>
      </c>
      <c r="K150" s="3">
        <f t="shared" si="77"/>
        <v>4.2289160639644607E-2</v>
      </c>
      <c r="L150" s="3">
        <f t="shared" si="77"/>
        <v>4.2289160639644607E-2</v>
      </c>
      <c r="M150" s="3">
        <f t="shared" si="77"/>
        <v>4.2289160639644607E-2</v>
      </c>
      <c r="N150" s="3">
        <f t="shared" si="77"/>
        <v>4.2289160639644607E-2</v>
      </c>
      <c r="O150" s="3">
        <f t="shared" si="77"/>
        <v>4.2289160639644607E-2</v>
      </c>
      <c r="P150" s="3">
        <f t="shared" si="77"/>
        <v>4.2289160639644607E-2</v>
      </c>
      <c r="Q150" s="3">
        <f t="shared" si="77"/>
        <v>4.22891606396446E-2</v>
      </c>
      <c r="R150" s="3">
        <f t="shared" si="77"/>
        <v>4.2289160639644566E-2</v>
      </c>
      <c r="S150" s="3">
        <f t="shared" si="77"/>
        <v>4.2289160639644184E-2</v>
      </c>
      <c r="T150" s="3">
        <f t="shared" si="77"/>
        <v>4.2289160639640361E-2</v>
      </c>
      <c r="U150" s="3">
        <f t="shared" si="77"/>
        <v>4.2289160639602183E-2</v>
      </c>
      <c r="V150" s="3">
        <f t="shared" si="77"/>
        <v>4.2289160639220343E-2</v>
      </c>
      <c r="W150" s="3">
        <f t="shared" si="77"/>
        <v>4.2289160635401953E-2</v>
      </c>
      <c r="X150" s="3">
        <f t="shared" si="77"/>
        <v>4.2289160597218052E-2</v>
      </c>
      <c r="Y150" s="3">
        <f t="shared" si="77"/>
        <v>4.2289160215379054E-2</v>
      </c>
      <c r="Z150" s="3">
        <f t="shared" si="77"/>
        <v>4.2289156396989248E-2</v>
      </c>
      <c r="AA150" s="3">
        <f t="shared" ref="AA150" si="78">$C36*EXP(-AA$129/$A36/EXP(-$B$126))</f>
        <v>4.2289118213110155E-2</v>
      </c>
      <c r="AB150" s="3">
        <f t="shared" si="67"/>
        <v>4.2288736376215504E-2</v>
      </c>
      <c r="AC150" s="3">
        <f t="shared" si="67"/>
        <v>4.2284918196886338E-2</v>
      </c>
      <c r="AD150" s="3">
        <f t="shared" si="67"/>
        <v>4.2246755358996496E-2</v>
      </c>
      <c r="AE150" s="3">
        <f t="shared" si="67"/>
        <v>4.1867016202891759E-2</v>
      </c>
      <c r="AF150" s="3">
        <f t="shared" si="67"/>
        <v>3.8252384921405841E-2</v>
      </c>
    </row>
    <row r="151" spans="1:32" x14ac:dyDescent="0.25">
      <c r="B151" s="3">
        <f t="shared" ref="B151:Z151" si="79">$C37*EXP(-B$129/$A37/EXP(-$B$126))</f>
        <v>5.3722068085000706E-2</v>
      </c>
      <c r="C151" s="3">
        <f t="shared" si="79"/>
        <v>5.3722068085000706E-2</v>
      </c>
      <c r="D151" s="3">
        <f t="shared" si="79"/>
        <v>5.3722068085000706E-2</v>
      </c>
      <c r="E151" s="3">
        <f t="shared" si="79"/>
        <v>5.3722068085000706E-2</v>
      </c>
      <c r="F151" s="3">
        <f t="shared" si="79"/>
        <v>5.3722068085000706E-2</v>
      </c>
      <c r="G151" s="3">
        <f t="shared" si="79"/>
        <v>5.3722068085000706E-2</v>
      </c>
      <c r="H151" s="3">
        <f t="shared" si="79"/>
        <v>5.3722068085000706E-2</v>
      </c>
      <c r="I151" s="3">
        <f t="shared" si="79"/>
        <v>5.3722068085000706E-2</v>
      </c>
      <c r="J151" s="3">
        <f t="shared" si="79"/>
        <v>5.3722068085000706E-2</v>
      </c>
      <c r="K151" s="3">
        <f t="shared" si="79"/>
        <v>5.3722068085000706E-2</v>
      </c>
      <c r="L151" s="3">
        <f t="shared" si="79"/>
        <v>5.3722068085000706E-2</v>
      </c>
      <c r="M151" s="3">
        <f t="shared" si="79"/>
        <v>5.3722068085000706E-2</v>
      </c>
      <c r="N151" s="3">
        <f t="shared" si="79"/>
        <v>5.3722068085000706E-2</v>
      </c>
      <c r="O151" s="3">
        <f t="shared" si="79"/>
        <v>5.3722068085000706E-2</v>
      </c>
      <c r="P151" s="3">
        <f t="shared" si="79"/>
        <v>5.3722068085000706E-2</v>
      </c>
      <c r="Q151" s="3">
        <f t="shared" si="79"/>
        <v>5.3722068085000706E-2</v>
      </c>
      <c r="R151" s="3">
        <f t="shared" si="79"/>
        <v>5.3722068085000699E-2</v>
      </c>
      <c r="S151" s="3">
        <f t="shared" si="79"/>
        <v>5.3722068085000657E-2</v>
      </c>
      <c r="T151" s="3">
        <f t="shared" si="79"/>
        <v>5.372206808500022E-2</v>
      </c>
      <c r="U151" s="3">
        <f t="shared" si="79"/>
        <v>5.3722068084995842E-2</v>
      </c>
      <c r="V151" s="3">
        <f t="shared" si="79"/>
        <v>5.3722068084952085E-2</v>
      </c>
      <c r="W151" s="3">
        <f t="shared" si="79"/>
        <v>5.3722068084514518E-2</v>
      </c>
      <c r="X151" s="3">
        <f t="shared" si="79"/>
        <v>5.3722068080138782E-2</v>
      </c>
      <c r="Y151" s="3">
        <f t="shared" si="79"/>
        <v>5.3722068036381479E-2</v>
      </c>
      <c r="Z151" s="3">
        <f t="shared" si="79"/>
        <v>5.3722067598808466E-2</v>
      </c>
      <c r="AA151" s="3">
        <f t="shared" ref="AA151" si="80">$C37*EXP(-AA$129/$A37/EXP(-$B$126))</f>
        <v>5.3722063223078501E-2</v>
      </c>
      <c r="AB151" s="3">
        <f t="shared" si="67"/>
        <v>5.3722019465798486E-2</v>
      </c>
      <c r="AC151" s="3">
        <f t="shared" si="67"/>
        <v>5.3721581894958514E-2</v>
      </c>
      <c r="AD151" s="3">
        <f t="shared" si="67"/>
        <v>5.3717206382577071E-2</v>
      </c>
      <c r="AE151" s="3">
        <f t="shared" si="67"/>
        <v>5.3673470854680924E-2</v>
      </c>
      <c r="AF151" s="3">
        <f t="shared" si="67"/>
        <v>5.3238069274771045E-2</v>
      </c>
    </row>
    <row r="152" spans="1:32" x14ac:dyDescent="0.25">
      <c r="B152" s="3">
        <f t="shared" ref="B152:Z152" si="81">$C38*EXP(-B$129/$A38/EXP(-$B$126))</f>
        <v>0</v>
      </c>
      <c r="C152" s="3">
        <f t="shared" si="81"/>
        <v>0</v>
      </c>
      <c r="D152" s="3">
        <f t="shared" si="81"/>
        <v>0</v>
      </c>
      <c r="E152" s="3">
        <f t="shared" si="81"/>
        <v>0</v>
      </c>
      <c r="F152" s="3">
        <f t="shared" si="81"/>
        <v>0</v>
      </c>
      <c r="G152" s="3">
        <f t="shared" si="81"/>
        <v>0</v>
      </c>
      <c r="H152" s="3">
        <f t="shared" si="81"/>
        <v>0</v>
      </c>
      <c r="I152" s="3">
        <f t="shared" si="81"/>
        <v>0</v>
      </c>
      <c r="J152" s="3">
        <f t="shared" si="81"/>
        <v>0</v>
      </c>
      <c r="K152" s="3">
        <f t="shared" si="81"/>
        <v>0</v>
      </c>
      <c r="L152" s="3">
        <f t="shared" si="81"/>
        <v>0</v>
      </c>
      <c r="M152" s="3">
        <f t="shared" si="81"/>
        <v>0</v>
      </c>
      <c r="N152" s="3">
        <f t="shared" si="81"/>
        <v>0</v>
      </c>
      <c r="O152" s="3">
        <f t="shared" si="81"/>
        <v>0</v>
      </c>
      <c r="P152" s="3">
        <f t="shared" si="81"/>
        <v>0</v>
      </c>
      <c r="Q152" s="3">
        <f t="shared" si="81"/>
        <v>0</v>
      </c>
      <c r="R152" s="3">
        <f t="shared" si="81"/>
        <v>0</v>
      </c>
      <c r="S152" s="3">
        <f t="shared" si="81"/>
        <v>0</v>
      </c>
      <c r="T152" s="3">
        <f t="shared" si="81"/>
        <v>0</v>
      </c>
      <c r="U152" s="3">
        <f t="shared" si="81"/>
        <v>0</v>
      </c>
      <c r="V152" s="3">
        <f t="shared" si="81"/>
        <v>0</v>
      </c>
      <c r="W152" s="3">
        <f t="shared" si="81"/>
        <v>0</v>
      </c>
      <c r="X152" s="3">
        <f t="shared" si="81"/>
        <v>0</v>
      </c>
      <c r="Y152" s="3">
        <f t="shared" si="81"/>
        <v>0</v>
      </c>
      <c r="Z152" s="3">
        <f t="shared" si="81"/>
        <v>0</v>
      </c>
      <c r="AA152" s="3">
        <f t="shared" ref="AA152" si="82">$C38*EXP(-AA$129/$A38/EXP(-$B$126))</f>
        <v>0</v>
      </c>
      <c r="AB152" s="3">
        <f t="shared" si="67"/>
        <v>0</v>
      </c>
      <c r="AC152" s="3">
        <f t="shared" si="67"/>
        <v>0</v>
      </c>
      <c r="AD152" s="3">
        <f t="shared" si="67"/>
        <v>0</v>
      </c>
      <c r="AE152" s="3">
        <f t="shared" si="67"/>
        <v>0</v>
      </c>
      <c r="AF152" s="3">
        <f t="shared" si="67"/>
        <v>0</v>
      </c>
    </row>
    <row r="153" spans="1:32" x14ac:dyDescent="0.25">
      <c r="B153" s="3">
        <f t="shared" ref="B153:Z153" si="83">$C39*EXP(-B$129/$A39/EXP(-$B$126))</f>
        <v>7.2679477102325196E-2</v>
      </c>
      <c r="C153" s="3">
        <f t="shared" si="83"/>
        <v>7.2679477102325196E-2</v>
      </c>
      <c r="D153" s="3">
        <f t="shared" si="83"/>
        <v>7.2679477102325196E-2</v>
      </c>
      <c r="E153" s="3">
        <f t="shared" si="83"/>
        <v>7.2679477102325196E-2</v>
      </c>
      <c r="F153" s="3">
        <f t="shared" si="83"/>
        <v>7.2679477102325196E-2</v>
      </c>
      <c r="G153" s="3">
        <f t="shared" si="83"/>
        <v>7.2679477102325196E-2</v>
      </c>
      <c r="H153" s="3">
        <f t="shared" si="83"/>
        <v>7.2679477102325196E-2</v>
      </c>
      <c r="I153" s="3">
        <f t="shared" si="83"/>
        <v>7.2679477102325196E-2</v>
      </c>
      <c r="J153" s="3">
        <f t="shared" si="83"/>
        <v>7.2679477102325196E-2</v>
      </c>
      <c r="K153" s="3">
        <f t="shared" si="83"/>
        <v>7.2679477102325196E-2</v>
      </c>
      <c r="L153" s="3">
        <f t="shared" si="83"/>
        <v>7.2679477102325196E-2</v>
      </c>
      <c r="M153" s="3">
        <f t="shared" si="83"/>
        <v>7.2679477102325196E-2</v>
      </c>
      <c r="N153" s="3">
        <f t="shared" si="83"/>
        <v>7.2679477102325196E-2</v>
      </c>
      <c r="O153" s="3">
        <f t="shared" si="83"/>
        <v>7.2679477102325196E-2</v>
      </c>
      <c r="P153" s="3">
        <f t="shared" si="83"/>
        <v>7.2679477102325196E-2</v>
      </c>
      <c r="Q153" s="3">
        <f t="shared" si="83"/>
        <v>7.2679477102325196E-2</v>
      </c>
      <c r="R153" s="3">
        <f t="shared" si="83"/>
        <v>7.2679477102325196E-2</v>
      </c>
      <c r="S153" s="3">
        <f t="shared" si="83"/>
        <v>7.2679477102325196E-2</v>
      </c>
      <c r="T153" s="3">
        <f t="shared" si="83"/>
        <v>7.2679477102325182E-2</v>
      </c>
      <c r="U153" s="3">
        <f t="shared" si="83"/>
        <v>7.267947710232503E-2</v>
      </c>
      <c r="V153" s="3">
        <f t="shared" si="83"/>
        <v>7.2679477102323559E-2</v>
      </c>
      <c r="W153" s="3">
        <f t="shared" si="83"/>
        <v>7.2679477102308779E-2</v>
      </c>
      <c r="X153" s="3">
        <f t="shared" si="83"/>
        <v>7.2679477102161091E-2</v>
      </c>
      <c r="Y153" s="3">
        <f t="shared" si="83"/>
        <v>7.2679477100684134E-2</v>
      </c>
      <c r="Z153" s="3">
        <f t="shared" si="83"/>
        <v>7.2679477085914518E-2</v>
      </c>
      <c r="AA153" s="3">
        <f t="shared" ref="AA153" si="84">$C39*EXP(-AA$129/$A39/EXP(-$B$126))</f>
        <v>7.2679476938218412E-2</v>
      </c>
      <c r="AB153" s="3">
        <f t="shared" si="67"/>
        <v>7.2679475461257317E-2</v>
      </c>
      <c r="AC153" s="3">
        <f t="shared" si="67"/>
        <v>7.2679460691648115E-2</v>
      </c>
      <c r="AD153" s="3">
        <f t="shared" si="67"/>
        <v>7.2679312995721154E-2</v>
      </c>
      <c r="AE153" s="3">
        <f t="shared" si="67"/>
        <v>7.2677836052959202E-2</v>
      </c>
      <c r="AF153" s="3">
        <f t="shared" si="67"/>
        <v>7.2663068275981069E-2</v>
      </c>
    </row>
    <row r="154" spans="1:32" x14ac:dyDescent="0.25">
      <c r="B154" s="3">
        <f t="shared" ref="B154:Z154" si="85">$C40*EXP(-B$129/$A40/EXP(-$B$126))</f>
        <v>2.5051354607062454E-2</v>
      </c>
      <c r="C154" s="3">
        <f t="shared" si="85"/>
        <v>2.5051354607062454E-2</v>
      </c>
      <c r="D154" s="3">
        <f t="shared" si="85"/>
        <v>2.5051354607062454E-2</v>
      </c>
      <c r="E154" s="3">
        <f t="shared" si="85"/>
        <v>2.5051354607062454E-2</v>
      </c>
      <c r="F154" s="3">
        <f t="shared" si="85"/>
        <v>2.5051354607062454E-2</v>
      </c>
      <c r="G154" s="3">
        <f t="shared" si="85"/>
        <v>2.5051354607062454E-2</v>
      </c>
      <c r="H154" s="3">
        <f t="shared" si="85"/>
        <v>2.5051354607062454E-2</v>
      </c>
      <c r="I154" s="3">
        <f t="shared" si="85"/>
        <v>2.5051354607062454E-2</v>
      </c>
      <c r="J154" s="3">
        <f t="shared" si="85"/>
        <v>2.5051354607062454E-2</v>
      </c>
      <c r="K154" s="3">
        <f t="shared" si="85"/>
        <v>2.5051354607062454E-2</v>
      </c>
      <c r="L154" s="3">
        <f t="shared" si="85"/>
        <v>2.5051354607062454E-2</v>
      </c>
      <c r="M154" s="3">
        <f t="shared" si="85"/>
        <v>2.5051354607062454E-2</v>
      </c>
      <c r="N154" s="3">
        <f t="shared" si="85"/>
        <v>2.5051354607062454E-2</v>
      </c>
      <c r="O154" s="3">
        <f t="shared" si="85"/>
        <v>2.5051354607062454E-2</v>
      </c>
      <c r="P154" s="3">
        <f t="shared" si="85"/>
        <v>2.5051354607062454E-2</v>
      </c>
      <c r="Q154" s="3">
        <f t="shared" si="85"/>
        <v>2.5051354607062454E-2</v>
      </c>
      <c r="R154" s="3">
        <f t="shared" si="85"/>
        <v>2.5051354607062454E-2</v>
      </c>
      <c r="S154" s="3">
        <f t="shared" si="85"/>
        <v>2.5051354607062454E-2</v>
      </c>
      <c r="T154" s="3">
        <f t="shared" si="85"/>
        <v>2.5051354607062454E-2</v>
      </c>
      <c r="U154" s="3">
        <f t="shared" si="85"/>
        <v>2.5051354607062447E-2</v>
      </c>
      <c r="V154" s="3">
        <f t="shared" si="85"/>
        <v>2.5051354607062398E-2</v>
      </c>
      <c r="W154" s="3">
        <f t="shared" si="85"/>
        <v>2.5051354607061888E-2</v>
      </c>
      <c r="X154" s="3">
        <f t="shared" si="85"/>
        <v>2.5051354607056795E-2</v>
      </c>
      <c r="Y154" s="3">
        <f t="shared" si="85"/>
        <v>2.5051354607005888E-2</v>
      </c>
      <c r="Z154" s="3">
        <f t="shared" si="85"/>
        <v>2.5051354606496806E-2</v>
      </c>
      <c r="AA154" s="3">
        <f t="shared" ref="AA154:AF154" si="86">$C40*EXP(-AA$129/$A40/EXP(-$B$126))</f>
        <v>2.5051354601405975E-2</v>
      </c>
      <c r="AB154" s="3">
        <f t="shared" si="86"/>
        <v>2.505135455049769E-2</v>
      </c>
      <c r="AC154" s="3">
        <f t="shared" si="86"/>
        <v>2.5051354041414831E-2</v>
      </c>
      <c r="AD154" s="3">
        <f t="shared" si="86"/>
        <v>2.5051348950586829E-2</v>
      </c>
      <c r="AE154" s="3">
        <f t="shared" si="86"/>
        <v>2.5051298042363657E-2</v>
      </c>
      <c r="AF154" s="3">
        <f t="shared" si="86"/>
        <v>2.5050788965821844E-2</v>
      </c>
    </row>
    <row r="155" spans="1:32" x14ac:dyDescent="0.25">
      <c r="B155" s="3">
        <f t="shared" ref="B155:Z155" si="87">$C41*EXP(-B$129/$A41/EXP(-$B$126))</f>
        <v>6.9730699512145403E-2</v>
      </c>
      <c r="C155" s="3">
        <f t="shared" si="87"/>
        <v>6.9730699512145403E-2</v>
      </c>
      <c r="D155" s="3">
        <f t="shared" si="87"/>
        <v>6.9730699512145403E-2</v>
      </c>
      <c r="E155" s="3">
        <f t="shared" si="87"/>
        <v>6.9730699512145403E-2</v>
      </c>
      <c r="F155" s="3">
        <f t="shared" si="87"/>
        <v>6.9730699512145403E-2</v>
      </c>
      <c r="G155" s="3">
        <f t="shared" si="87"/>
        <v>6.9730699512145403E-2</v>
      </c>
      <c r="H155" s="3">
        <f t="shared" si="87"/>
        <v>6.9730699512145403E-2</v>
      </c>
      <c r="I155" s="3">
        <f t="shared" si="87"/>
        <v>6.9730699512145403E-2</v>
      </c>
      <c r="J155" s="3">
        <f t="shared" si="87"/>
        <v>6.9730699512145403E-2</v>
      </c>
      <c r="K155" s="3">
        <f t="shared" si="87"/>
        <v>6.9730699512145403E-2</v>
      </c>
      <c r="L155" s="3">
        <f t="shared" si="87"/>
        <v>6.9730699512145403E-2</v>
      </c>
      <c r="M155" s="3">
        <f t="shared" si="87"/>
        <v>6.9730699512145403E-2</v>
      </c>
      <c r="N155" s="3">
        <f t="shared" si="87"/>
        <v>6.9730699512145403E-2</v>
      </c>
      <c r="O155" s="3">
        <f t="shared" si="87"/>
        <v>6.9730699512145403E-2</v>
      </c>
      <c r="P155" s="3">
        <f t="shared" si="87"/>
        <v>6.9730699512145403E-2</v>
      </c>
      <c r="Q155" s="3">
        <f t="shared" si="87"/>
        <v>6.9730699512145403E-2</v>
      </c>
      <c r="R155" s="3">
        <f t="shared" si="87"/>
        <v>6.9730699512145403E-2</v>
      </c>
      <c r="S155" s="3">
        <f t="shared" si="87"/>
        <v>6.9730699512145403E-2</v>
      </c>
      <c r="T155" s="3">
        <f t="shared" si="87"/>
        <v>6.9730699512145403E-2</v>
      </c>
      <c r="U155" s="3">
        <f t="shared" si="87"/>
        <v>6.9730699512145403E-2</v>
      </c>
      <c r="V155" s="3">
        <f t="shared" si="87"/>
        <v>6.9730699512145389E-2</v>
      </c>
      <c r="W155" s="3">
        <f t="shared" si="87"/>
        <v>6.973069951214525E-2</v>
      </c>
      <c r="X155" s="3">
        <f t="shared" si="87"/>
        <v>6.9730699512143834E-2</v>
      </c>
      <c r="Y155" s="3">
        <f t="shared" si="87"/>
        <v>6.9730699512129651E-2</v>
      </c>
      <c r="Z155" s="3">
        <f t="shared" si="87"/>
        <v>6.9730699511987959E-2</v>
      </c>
      <c r="AA155" s="3">
        <f t="shared" ref="AA155:AF155" si="88">$C41*EXP(-AA$129/$A41/EXP(-$B$126))</f>
        <v>6.9730699510570912E-2</v>
      </c>
      <c r="AB155" s="3">
        <f t="shared" si="88"/>
        <v>6.9730699496400539E-2</v>
      </c>
      <c r="AC155" s="3">
        <f t="shared" si="88"/>
        <v>6.9730699354696807E-2</v>
      </c>
      <c r="AD155" s="3">
        <f t="shared" si="88"/>
        <v>6.9730697937659514E-2</v>
      </c>
      <c r="AE155" s="3">
        <f t="shared" si="88"/>
        <v>6.9730683767288151E-2</v>
      </c>
      <c r="AF155" s="3">
        <f t="shared" si="88"/>
        <v>6.9730542063732859E-2</v>
      </c>
    </row>
    <row r="156" spans="1:32" x14ac:dyDescent="0.25">
      <c r="B156" s="3">
        <f t="shared" ref="B156:Z156" si="89">$C42*EXP(-B$129/$A42/EXP(-$B$126))</f>
        <v>3.3620821697873268E-2</v>
      </c>
      <c r="C156" s="3">
        <f t="shared" si="89"/>
        <v>3.3620821697873268E-2</v>
      </c>
      <c r="D156" s="3">
        <f t="shared" si="89"/>
        <v>3.3620821697873268E-2</v>
      </c>
      <c r="E156" s="3">
        <f t="shared" si="89"/>
        <v>3.3620821697873268E-2</v>
      </c>
      <c r="F156" s="3">
        <f t="shared" si="89"/>
        <v>3.3620821697873268E-2</v>
      </c>
      <c r="G156" s="3">
        <f t="shared" si="89"/>
        <v>3.3620821697873268E-2</v>
      </c>
      <c r="H156" s="3">
        <f t="shared" si="89"/>
        <v>3.3620821697873268E-2</v>
      </c>
      <c r="I156" s="3">
        <f t="shared" si="89"/>
        <v>3.3620821697873268E-2</v>
      </c>
      <c r="J156" s="3">
        <f t="shared" si="89"/>
        <v>3.3620821697873268E-2</v>
      </c>
      <c r="K156" s="3">
        <f t="shared" si="89"/>
        <v>3.3620821697873268E-2</v>
      </c>
      <c r="L156" s="3">
        <f t="shared" si="89"/>
        <v>3.3620821697873268E-2</v>
      </c>
      <c r="M156" s="3">
        <f t="shared" si="89"/>
        <v>3.3620821697873268E-2</v>
      </c>
      <c r="N156" s="3">
        <f t="shared" si="89"/>
        <v>3.3620821697873268E-2</v>
      </c>
      <c r="O156" s="3">
        <f t="shared" si="89"/>
        <v>3.3620821697873268E-2</v>
      </c>
      <c r="P156" s="3">
        <f t="shared" si="89"/>
        <v>3.3620821697873268E-2</v>
      </c>
      <c r="Q156" s="3">
        <f t="shared" si="89"/>
        <v>3.3620821697873268E-2</v>
      </c>
      <c r="R156" s="3">
        <f t="shared" si="89"/>
        <v>3.3620821697873268E-2</v>
      </c>
      <c r="S156" s="3">
        <f t="shared" si="89"/>
        <v>3.3620821697873268E-2</v>
      </c>
      <c r="T156" s="3">
        <f t="shared" si="89"/>
        <v>3.3620821697873268E-2</v>
      </c>
      <c r="U156" s="3">
        <f t="shared" si="89"/>
        <v>3.3620821697873268E-2</v>
      </c>
      <c r="V156" s="3">
        <f t="shared" si="89"/>
        <v>3.3620821697873268E-2</v>
      </c>
      <c r="W156" s="3">
        <f t="shared" si="89"/>
        <v>3.3620821697873261E-2</v>
      </c>
      <c r="X156" s="3">
        <f t="shared" si="89"/>
        <v>3.3620821697873192E-2</v>
      </c>
      <c r="Y156" s="3">
        <f t="shared" si="89"/>
        <v>3.3620821697872512E-2</v>
      </c>
      <c r="Z156" s="3">
        <f t="shared" si="89"/>
        <v>3.3620821697865677E-2</v>
      </c>
      <c r="AA156" s="3">
        <f t="shared" ref="AA156:AF156" si="90">$C42*EXP(-AA$129/$A42/EXP(-$B$126))</f>
        <v>3.3620821697797357E-2</v>
      </c>
      <c r="AB156" s="3">
        <f t="shared" si="90"/>
        <v>3.3620821697114125E-2</v>
      </c>
      <c r="AC156" s="3">
        <f t="shared" si="90"/>
        <v>3.3620821690281848E-2</v>
      </c>
      <c r="AD156" s="3">
        <f t="shared" si="90"/>
        <v>3.3620821621959056E-2</v>
      </c>
      <c r="AE156" s="3">
        <f t="shared" si="90"/>
        <v>3.3620820938731172E-2</v>
      </c>
      <c r="AF156" s="3">
        <f t="shared" si="90"/>
        <v>3.3620814106453109E-2</v>
      </c>
    </row>
    <row r="157" spans="1:32" x14ac:dyDescent="0.25">
      <c r="B157" s="3">
        <f t="shared" ref="B157:Z157" si="91">$C43*EXP(-B$129/$A43/EXP(-$B$126))</f>
        <v>4.4529414265274125E-2</v>
      </c>
      <c r="C157" s="3">
        <f t="shared" si="91"/>
        <v>4.4529414265274125E-2</v>
      </c>
      <c r="D157" s="3">
        <f t="shared" si="91"/>
        <v>4.4529414265274125E-2</v>
      </c>
      <c r="E157" s="3">
        <f t="shared" si="91"/>
        <v>4.4529414265274125E-2</v>
      </c>
      <c r="F157" s="3">
        <f t="shared" si="91"/>
        <v>4.4529414265274125E-2</v>
      </c>
      <c r="G157" s="3">
        <f t="shared" si="91"/>
        <v>4.4529414265274125E-2</v>
      </c>
      <c r="H157" s="3">
        <f t="shared" si="91"/>
        <v>4.4529414265274125E-2</v>
      </c>
      <c r="I157" s="3">
        <f t="shared" si="91"/>
        <v>4.4529414265274125E-2</v>
      </c>
      <c r="J157" s="3">
        <f t="shared" si="91"/>
        <v>4.4529414265274125E-2</v>
      </c>
      <c r="K157" s="3">
        <f t="shared" si="91"/>
        <v>4.4529414265274125E-2</v>
      </c>
      <c r="L157" s="3">
        <f t="shared" si="91"/>
        <v>4.4529414265274125E-2</v>
      </c>
      <c r="M157" s="3">
        <f t="shared" si="91"/>
        <v>4.4529414265274125E-2</v>
      </c>
      <c r="N157" s="3">
        <f t="shared" si="91"/>
        <v>4.4529414265274125E-2</v>
      </c>
      <c r="O157" s="3">
        <f t="shared" si="91"/>
        <v>4.4529414265274125E-2</v>
      </c>
      <c r="P157" s="3">
        <f t="shared" si="91"/>
        <v>4.4529414265274125E-2</v>
      </c>
      <c r="Q157" s="3">
        <f t="shared" si="91"/>
        <v>4.4529414265274125E-2</v>
      </c>
      <c r="R157" s="3">
        <f t="shared" si="91"/>
        <v>4.4529414265274125E-2</v>
      </c>
      <c r="S157" s="3">
        <f t="shared" si="91"/>
        <v>4.4529414265274125E-2</v>
      </c>
      <c r="T157" s="3">
        <f t="shared" si="91"/>
        <v>4.4529414265274125E-2</v>
      </c>
      <c r="U157" s="3">
        <f t="shared" si="91"/>
        <v>4.4529414265274125E-2</v>
      </c>
      <c r="V157" s="3">
        <f t="shared" si="91"/>
        <v>4.4529414265274125E-2</v>
      </c>
      <c r="W157" s="3">
        <f t="shared" si="91"/>
        <v>4.4529414265274125E-2</v>
      </c>
      <c r="X157" s="3">
        <f t="shared" si="91"/>
        <v>4.4529414265274118E-2</v>
      </c>
      <c r="Y157" s="3">
        <f t="shared" si="91"/>
        <v>4.4529414265274028E-2</v>
      </c>
      <c r="Z157" s="3">
        <f t="shared" si="91"/>
        <v>4.4529414265273119E-2</v>
      </c>
      <c r="AA157" s="3">
        <f t="shared" ref="AA157:AF157" si="92">$C43*EXP(-AA$129/$A43/EXP(-$B$126))</f>
        <v>4.4529414265264071E-2</v>
      </c>
      <c r="AB157" s="3">
        <f t="shared" si="92"/>
        <v>4.4529414265173581E-2</v>
      </c>
      <c r="AC157" s="3">
        <f t="shared" si="92"/>
        <v>4.4529414264268673E-2</v>
      </c>
      <c r="AD157" s="3">
        <f t="shared" si="92"/>
        <v>4.4529414255219592E-2</v>
      </c>
      <c r="AE157" s="3">
        <f t="shared" si="92"/>
        <v>4.4529414164728831E-2</v>
      </c>
      <c r="AF157" s="3">
        <f t="shared" si="92"/>
        <v>4.4529413259821217E-2</v>
      </c>
    </row>
    <row r="158" spans="1:32" x14ac:dyDescent="0.25">
      <c r="B158" s="3">
        <f t="shared" ref="B158:Z158" si="93">$C44*EXP(-B$129/$A44/EXP(-$B$126))</f>
        <v>1.2215661921031389E-2</v>
      </c>
      <c r="C158" s="3">
        <f t="shared" si="93"/>
        <v>1.2215661921031389E-2</v>
      </c>
      <c r="D158" s="3">
        <f t="shared" si="93"/>
        <v>1.2215661921031389E-2</v>
      </c>
      <c r="E158" s="3">
        <f t="shared" si="93"/>
        <v>1.2215661921031389E-2</v>
      </c>
      <c r="F158" s="3">
        <f t="shared" si="93"/>
        <v>1.2215661921031389E-2</v>
      </c>
      <c r="G158" s="3">
        <f t="shared" si="93"/>
        <v>1.2215661921031389E-2</v>
      </c>
      <c r="H158" s="3">
        <f t="shared" si="93"/>
        <v>1.2215661921031389E-2</v>
      </c>
      <c r="I158" s="3">
        <f t="shared" si="93"/>
        <v>1.2215661921031389E-2</v>
      </c>
      <c r="J158" s="3">
        <f t="shared" si="93"/>
        <v>1.2215661921031389E-2</v>
      </c>
      <c r="K158" s="3">
        <f t="shared" si="93"/>
        <v>1.2215661921031389E-2</v>
      </c>
      <c r="L158" s="3">
        <f t="shared" si="93"/>
        <v>1.2215661921031389E-2</v>
      </c>
      <c r="M158" s="3">
        <f t="shared" si="93"/>
        <v>1.2215661921031389E-2</v>
      </c>
      <c r="N158" s="3">
        <f t="shared" si="93"/>
        <v>1.2215661921031389E-2</v>
      </c>
      <c r="O158" s="3">
        <f t="shared" si="93"/>
        <v>1.2215661921031389E-2</v>
      </c>
      <c r="P158" s="3">
        <f t="shared" si="93"/>
        <v>1.2215661921031389E-2</v>
      </c>
      <c r="Q158" s="3">
        <f t="shared" si="93"/>
        <v>1.2215661921031389E-2</v>
      </c>
      <c r="R158" s="3">
        <f t="shared" si="93"/>
        <v>1.2215661921031389E-2</v>
      </c>
      <c r="S158" s="3">
        <f t="shared" si="93"/>
        <v>1.2215661921031389E-2</v>
      </c>
      <c r="T158" s="3">
        <f t="shared" si="93"/>
        <v>1.2215661921031389E-2</v>
      </c>
      <c r="U158" s="3">
        <f t="shared" si="93"/>
        <v>1.2215661921031389E-2</v>
      </c>
      <c r="V158" s="3">
        <f t="shared" si="93"/>
        <v>1.2215661921031389E-2</v>
      </c>
      <c r="W158" s="3">
        <f t="shared" si="93"/>
        <v>1.2215661921031389E-2</v>
      </c>
      <c r="X158" s="3">
        <f t="shared" si="93"/>
        <v>1.2215661921031389E-2</v>
      </c>
      <c r="Y158" s="3">
        <f t="shared" si="93"/>
        <v>1.2215661921031386E-2</v>
      </c>
      <c r="Z158" s="3">
        <f t="shared" si="93"/>
        <v>1.2215661921031361E-2</v>
      </c>
      <c r="AA158" s="3">
        <f t="shared" ref="AA158:AF158" si="94">$C44*EXP(-AA$129/$A44/EXP(-$B$126))</f>
        <v>1.2215661921031113E-2</v>
      </c>
      <c r="AB158" s="3">
        <f t="shared" si="94"/>
        <v>1.2215661921028631E-2</v>
      </c>
      <c r="AC158" s="3">
        <f t="shared" si="94"/>
        <v>1.2215661921003807E-2</v>
      </c>
      <c r="AD158" s="3">
        <f t="shared" si="94"/>
        <v>1.2215661920755566E-2</v>
      </c>
      <c r="AE158" s="3">
        <f t="shared" si="94"/>
        <v>1.2215661918273151E-2</v>
      </c>
      <c r="AF158" s="3">
        <f t="shared" si="94"/>
        <v>1.2215661893449008E-2</v>
      </c>
    </row>
    <row r="159" spans="1:32" x14ac:dyDescent="0.25">
      <c r="A159" s="11" t="s">
        <v>75</v>
      </c>
      <c r="B159" s="3">
        <f t="shared" ref="B159:Z159" si="95">$C45*EXP(-B$129/$A45/EXP(-$B$126))</f>
        <v>1.4917700620223399E-2</v>
      </c>
      <c r="C159" s="3">
        <f t="shared" si="95"/>
        <v>1.4917700620223399E-2</v>
      </c>
      <c r="D159" s="3">
        <f t="shared" si="95"/>
        <v>1.4917700620223399E-2</v>
      </c>
      <c r="E159" s="3">
        <f t="shared" si="95"/>
        <v>1.4917700620223399E-2</v>
      </c>
      <c r="F159" s="3">
        <f t="shared" si="95"/>
        <v>1.4917700620223399E-2</v>
      </c>
      <c r="G159" s="3">
        <f t="shared" si="95"/>
        <v>1.4917700620223399E-2</v>
      </c>
      <c r="H159" s="3">
        <f t="shared" si="95"/>
        <v>1.4917700620223399E-2</v>
      </c>
      <c r="I159" s="3">
        <f t="shared" si="95"/>
        <v>1.4917700620223399E-2</v>
      </c>
      <c r="J159" s="3">
        <f t="shared" si="95"/>
        <v>1.4917700620223399E-2</v>
      </c>
      <c r="K159" s="3">
        <f t="shared" si="95"/>
        <v>1.4917700620223399E-2</v>
      </c>
      <c r="L159" s="3">
        <f t="shared" si="95"/>
        <v>1.4917700620223399E-2</v>
      </c>
      <c r="M159" s="3">
        <f t="shared" si="95"/>
        <v>1.4917700620223399E-2</v>
      </c>
      <c r="N159" s="3">
        <f t="shared" si="95"/>
        <v>1.4917700620223399E-2</v>
      </c>
      <c r="O159" s="3">
        <f t="shared" si="95"/>
        <v>1.4917700620223399E-2</v>
      </c>
      <c r="P159" s="3">
        <f t="shared" si="95"/>
        <v>1.4917700620223399E-2</v>
      </c>
      <c r="Q159" s="3">
        <f t="shared" si="95"/>
        <v>1.4917700620223399E-2</v>
      </c>
      <c r="R159" s="3">
        <f t="shared" si="95"/>
        <v>1.4917700620223399E-2</v>
      </c>
      <c r="S159" s="3">
        <f t="shared" si="95"/>
        <v>1.4917700620223399E-2</v>
      </c>
      <c r="T159" s="3">
        <f t="shared" si="95"/>
        <v>1.4917700620223399E-2</v>
      </c>
      <c r="U159" s="3">
        <f t="shared" si="95"/>
        <v>1.4917700620223399E-2</v>
      </c>
      <c r="V159" s="3">
        <f t="shared" si="95"/>
        <v>1.4917700620223399E-2</v>
      </c>
      <c r="W159" s="3">
        <f t="shared" si="95"/>
        <v>1.4917700620223399E-2</v>
      </c>
      <c r="X159" s="3">
        <f t="shared" si="95"/>
        <v>1.4917700620223399E-2</v>
      </c>
      <c r="Y159" s="3">
        <f t="shared" si="95"/>
        <v>1.4917700620223399E-2</v>
      </c>
      <c r="Z159" s="3">
        <f t="shared" si="95"/>
        <v>1.4917700620223396E-2</v>
      </c>
      <c r="AA159" s="3">
        <f t="shared" ref="AA159:AF159" si="96">$C45*EXP(-AA$129/$A45/EXP(-$B$126))</f>
        <v>1.4917700620223366E-2</v>
      </c>
      <c r="AB159" s="3">
        <f t="shared" si="96"/>
        <v>1.4917700620223063E-2</v>
      </c>
      <c r="AC159" s="3">
        <f t="shared" si="96"/>
        <v>1.4917700620220031E-2</v>
      </c>
      <c r="AD159" s="3">
        <f t="shared" si="96"/>
        <v>1.4917700620189716E-2</v>
      </c>
      <c r="AE159" s="3">
        <f t="shared" si="96"/>
        <v>1.4917700619886565E-2</v>
      </c>
      <c r="AF159" s="3">
        <f t="shared" si="96"/>
        <v>1.4917700616855054E-2</v>
      </c>
    </row>
    <row r="160" spans="1:32" x14ac:dyDescent="0.25">
      <c r="B160" s="3">
        <f t="shared" ref="B160:Z160" si="97">$C46*EXP(-B$129/$A46/EXP(-$B$126))</f>
        <v>7.6434223584492019E-4</v>
      </c>
      <c r="C160" s="3">
        <f t="shared" si="97"/>
        <v>7.6434223584492019E-4</v>
      </c>
      <c r="D160" s="3">
        <f t="shared" si="97"/>
        <v>7.6434223584492019E-4</v>
      </c>
      <c r="E160" s="3">
        <f t="shared" si="97"/>
        <v>7.6434223584492019E-4</v>
      </c>
      <c r="F160" s="3">
        <f t="shared" si="97"/>
        <v>7.6434223584492019E-4</v>
      </c>
      <c r="G160" s="3">
        <f t="shared" si="97"/>
        <v>7.6434223584492019E-4</v>
      </c>
      <c r="H160" s="3">
        <f t="shared" si="97"/>
        <v>7.6434223584492019E-4</v>
      </c>
      <c r="I160" s="3">
        <f t="shared" si="97"/>
        <v>7.6434223584492019E-4</v>
      </c>
      <c r="J160" s="3">
        <f t="shared" si="97"/>
        <v>7.6434223584492019E-4</v>
      </c>
      <c r="K160" s="3">
        <f t="shared" si="97"/>
        <v>7.6434223584492019E-4</v>
      </c>
      <c r="L160" s="3">
        <f t="shared" si="97"/>
        <v>7.6434223584492019E-4</v>
      </c>
      <c r="M160" s="3">
        <f t="shared" si="97"/>
        <v>7.6434223584492019E-4</v>
      </c>
      <c r="N160" s="3">
        <f t="shared" si="97"/>
        <v>7.6434223584492019E-4</v>
      </c>
      <c r="O160" s="3">
        <f t="shared" si="97"/>
        <v>7.6434223584492019E-4</v>
      </c>
      <c r="P160" s="3">
        <f t="shared" si="97"/>
        <v>7.6434223584492019E-4</v>
      </c>
      <c r="Q160" s="3">
        <f t="shared" si="97"/>
        <v>7.6434223584492019E-4</v>
      </c>
      <c r="R160" s="3">
        <f t="shared" si="97"/>
        <v>7.6434223584492019E-4</v>
      </c>
      <c r="S160" s="3">
        <f t="shared" si="97"/>
        <v>7.6434223584492019E-4</v>
      </c>
      <c r="T160" s="3">
        <f t="shared" si="97"/>
        <v>7.6434223584492019E-4</v>
      </c>
      <c r="U160" s="3">
        <f t="shared" si="97"/>
        <v>7.6434223584492019E-4</v>
      </c>
      <c r="V160" s="3">
        <f t="shared" si="97"/>
        <v>7.6434223584492019E-4</v>
      </c>
      <c r="W160" s="3">
        <f t="shared" si="97"/>
        <v>7.6434223584492019E-4</v>
      </c>
      <c r="X160" s="3">
        <f t="shared" si="97"/>
        <v>7.6434223584492019E-4</v>
      </c>
      <c r="Y160" s="3">
        <f t="shared" si="97"/>
        <v>7.6434223584492019E-4</v>
      </c>
      <c r="Z160" s="3">
        <f t="shared" si="97"/>
        <v>7.6434223584492019E-4</v>
      </c>
      <c r="AA160" s="3">
        <f t="shared" ref="AA160:AF160" si="98">$C46*EXP(-AA$129/$A46/EXP(-$B$126))</f>
        <v>7.6434223584491998E-4</v>
      </c>
      <c r="AB160" s="3">
        <f t="shared" si="98"/>
        <v>7.6434223584491846E-4</v>
      </c>
      <c r="AC160" s="3">
        <f t="shared" si="98"/>
        <v>7.6434223584490295E-4</v>
      </c>
      <c r="AD160" s="3">
        <f t="shared" si="98"/>
        <v>7.6434223584474759E-4</v>
      </c>
      <c r="AE160" s="3">
        <f t="shared" si="98"/>
        <v>7.6434223584319436E-4</v>
      </c>
      <c r="AF160" s="3">
        <f t="shared" si="98"/>
        <v>7.6434223582766176E-4</v>
      </c>
    </row>
    <row r="161" spans="1:34" x14ac:dyDescent="0.25">
      <c r="A161" s="11" t="s">
        <v>75</v>
      </c>
      <c r="B161" s="3">
        <f t="shared" ref="B161:Z161" si="99">$C47*EXP(-B$129/$A47/EXP(-$B$126))</f>
        <v>3.2171693394281238E-3</v>
      </c>
      <c r="C161" s="3">
        <f t="shared" si="99"/>
        <v>3.2171693394281238E-3</v>
      </c>
      <c r="D161" s="3">
        <f t="shared" si="99"/>
        <v>3.2171693394281238E-3</v>
      </c>
      <c r="E161" s="3">
        <f t="shared" si="99"/>
        <v>3.2171693394281238E-3</v>
      </c>
      <c r="F161" s="3">
        <f t="shared" si="99"/>
        <v>3.2171693394281238E-3</v>
      </c>
      <c r="G161" s="3">
        <f t="shared" si="99"/>
        <v>3.2171693394281238E-3</v>
      </c>
      <c r="H161" s="3">
        <f t="shared" si="99"/>
        <v>3.2171693394281238E-3</v>
      </c>
      <c r="I161" s="3">
        <f t="shared" si="99"/>
        <v>3.2171693394281238E-3</v>
      </c>
      <c r="J161" s="3">
        <f t="shared" si="99"/>
        <v>3.2171693394281238E-3</v>
      </c>
      <c r="K161" s="3">
        <f t="shared" si="99"/>
        <v>3.2171693394281238E-3</v>
      </c>
      <c r="L161" s="3">
        <f t="shared" si="99"/>
        <v>3.2171693394281238E-3</v>
      </c>
      <c r="M161" s="3">
        <f t="shared" si="99"/>
        <v>3.2171693394281238E-3</v>
      </c>
      <c r="N161" s="3">
        <f t="shared" si="99"/>
        <v>3.2171693394281238E-3</v>
      </c>
      <c r="O161" s="3">
        <f t="shared" si="99"/>
        <v>3.2171693394281238E-3</v>
      </c>
      <c r="P161" s="3">
        <f t="shared" si="99"/>
        <v>3.2171693394281238E-3</v>
      </c>
      <c r="Q161" s="3">
        <f t="shared" si="99"/>
        <v>3.2171693394281238E-3</v>
      </c>
      <c r="R161" s="3">
        <f t="shared" si="99"/>
        <v>3.2171693394281238E-3</v>
      </c>
      <c r="S161" s="3">
        <f t="shared" si="99"/>
        <v>3.2171693394281238E-3</v>
      </c>
      <c r="T161" s="3">
        <f t="shared" si="99"/>
        <v>3.2171693394281238E-3</v>
      </c>
      <c r="U161" s="3">
        <f t="shared" si="99"/>
        <v>3.2171693394281238E-3</v>
      </c>
      <c r="V161" s="3">
        <f t="shared" si="99"/>
        <v>3.2171693394281238E-3</v>
      </c>
      <c r="W161" s="3">
        <f t="shared" si="99"/>
        <v>3.2171693394281238E-3</v>
      </c>
      <c r="X161" s="3">
        <f t="shared" si="99"/>
        <v>3.2171693394281238E-3</v>
      </c>
      <c r="Y161" s="3">
        <f t="shared" si="99"/>
        <v>3.2171693394281238E-3</v>
      </c>
      <c r="Z161" s="3">
        <f t="shared" si="99"/>
        <v>3.2171693394281238E-3</v>
      </c>
      <c r="AA161" s="3">
        <f t="shared" ref="AA161:AF161" si="100">$C47*EXP(-AA$129/$A47/EXP(-$B$126))</f>
        <v>3.2171693394281238E-3</v>
      </c>
      <c r="AB161" s="3">
        <f t="shared" si="100"/>
        <v>3.217169339428123E-3</v>
      </c>
      <c r="AC161" s="3">
        <f t="shared" si="100"/>
        <v>3.2171693394281169E-3</v>
      </c>
      <c r="AD161" s="3">
        <f t="shared" si="100"/>
        <v>3.2171693394280514E-3</v>
      </c>
      <c r="AE161" s="3">
        <f t="shared" si="100"/>
        <v>3.2171693394273974E-3</v>
      </c>
      <c r="AF161" s="3">
        <f t="shared" si="100"/>
        <v>3.2171693394208597E-3</v>
      </c>
    </row>
    <row r="162" spans="1:34" x14ac:dyDescent="0.25">
      <c r="B162" s="3">
        <f t="shared" ref="B162:Z162" si="101">$C48*EXP(-B$129/$A48/EXP(-$B$126))</f>
        <v>1.3215886936532927E-2</v>
      </c>
      <c r="C162" s="3">
        <f t="shared" si="101"/>
        <v>1.3215886936532927E-2</v>
      </c>
      <c r="D162" s="3">
        <f t="shared" si="101"/>
        <v>1.3215886936532927E-2</v>
      </c>
      <c r="E162" s="3">
        <f t="shared" si="101"/>
        <v>1.3215886936532927E-2</v>
      </c>
      <c r="F162" s="3">
        <f t="shared" si="101"/>
        <v>1.3215886936532927E-2</v>
      </c>
      <c r="G162" s="3">
        <f t="shared" si="101"/>
        <v>1.3215886936532927E-2</v>
      </c>
      <c r="H162" s="3">
        <f t="shared" si="101"/>
        <v>1.3215886936532927E-2</v>
      </c>
      <c r="I162" s="3">
        <f t="shared" si="101"/>
        <v>1.3215886936532927E-2</v>
      </c>
      <c r="J162" s="3">
        <f t="shared" si="101"/>
        <v>1.3215886936532927E-2</v>
      </c>
      <c r="K162" s="3">
        <f t="shared" si="101"/>
        <v>1.3215886936532927E-2</v>
      </c>
      <c r="L162" s="3">
        <f t="shared" si="101"/>
        <v>1.3215886936532927E-2</v>
      </c>
      <c r="M162" s="3">
        <f t="shared" si="101"/>
        <v>1.3215886936532927E-2</v>
      </c>
      <c r="N162" s="3">
        <f t="shared" si="101"/>
        <v>1.3215886936532927E-2</v>
      </c>
      <c r="O162" s="3">
        <f t="shared" si="101"/>
        <v>1.3215886936532927E-2</v>
      </c>
      <c r="P162" s="3">
        <f t="shared" si="101"/>
        <v>1.3215886936532927E-2</v>
      </c>
      <c r="Q162" s="3">
        <f t="shared" si="101"/>
        <v>1.3215886936532927E-2</v>
      </c>
      <c r="R162" s="3">
        <f t="shared" si="101"/>
        <v>1.3215886936532927E-2</v>
      </c>
      <c r="S162" s="3">
        <f t="shared" si="101"/>
        <v>1.3215886936532927E-2</v>
      </c>
      <c r="T162" s="3">
        <f t="shared" si="101"/>
        <v>1.3215886936532927E-2</v>
      </c>
      <c r="U162" s="3">
        <f t="shared" si="101"/>
        <v>1.3215886936532927E-2</v>
      </c>
      <c r="V162" s="3">
        <f t="shared" si="101"/>
        <v>1.3215886936532927E-2</v>
      </c>
      <c r="W162" s="3">
        <f t="shared" si="101"/>
        <v>1.3215886936532927E-2</v>
      </c>
      <c r="X162" s="3">
        <f t="shared" si="101"/>
        <v>1.3215886936532927E-2</v>
      </c>
      <c r="Y162" s="3">
        <f t="shared" si="101"/>
        <v>1.3215886936532927E-2</v>
      </c>
      <c r="Z162" s="3">
        <f t="shared" si="101"/>
        <v>1.3215886936532927E-2</v>
      </c>
      <c r="AA162" s="3">
        <f t="shared" ref="AA162:AF162" si="102">$C48*EXP(-AA$129/$A48/EXP(-$B$126))</f>
        <v>1.3215886936532927E-2</v>
      </c>
      <c r="AB162" s="3">
        <f t="shared" si="102"/>
        <v>1.3215886936532927E-2</v>
      </c>
      <c r="AC162" s="3">
        <f t="shared" si="102"/>
        <v>1.3215886936532924E-2</v>
      </c>
      <c r="AD162" s="3">
        <f t="shared" si="102"/>
        <v>1.3215886936532898E-2</v>
      </c>
      <c r="AE162" s="3">
        <f t="shared" si="102"/>
        <v>1.3215886936532629E-2</v>
      </c>
      <c r="AF162" s="3">
        <f t="shared" si="102"/>
        <v>1.3215886936529943E-2</v>
      </c>
    </row>
    <row r="163" spans="1:34" x14ac:dyDescent="0.25">
      <c r="A163" s="79">
        <f>AVERAGE(B163:AF163)</f>
        <v>4.6524245463999851E-2</v>
      </c>
      <c r="B163" s="80">
        <f>IF($A$64&lt;=B129,IF($B$64&gt;=B129,ABS((B131-B130)/B130),0),0)</f>
        <v>7.3363587354038709E-3</v>
      </c>
      <c r="C163" s="80">
        <f t="shared" ref="C163:AF163" si="103">IF($A$64&lt;=C129,IF($B$64&gt;=C129,ABS((C131-C130)/C130),0),0)</f>
        <v>7.3444726955473865E-3</v>
      </c>
      <c r="D163" s="80">
        <f t="shared" si="103"/>
        <v>7.3399684749573136E-3</v>
      </c>
      <c r="E163" s="80">
        <f t="shared" si="103"/>
        <v>7.3436431604083875E-3</v>
      </c>
      <c r="F163" s="80">
        <f t="shared" si="103"/>
        <v>7.3946600619487872E-3</v>
      </c>
      <c r="G163" s="80">
        <f t="shared" si="103"/>
        <v>7.903913064696606E-3</v>
      </c>
      <c r="H163" s="80">
        <f t="shared" si="103"/>
        <v>1.246698543598812E-2</v>
      </c>
      <c r="I163" s="80">
        <f t="shared" si="103"/>
        <v>3.0063362558541997E-2</v>
      </c>
      <c r="J163" s="80">
        <f t="shared" si="103"/>
        <v>3.2717449174968889E-2</v>
      </c>
      <c r="K163" s="80">
        <f t="shared" si="103"/>
        <v>3.2719743378157647E-2</v>
      </c>
      <c r="L163" s="80">
        <f t="shared" si="103"/>
        <v>3.2742719733775329E-2</v>
      </c>
      <c r="M163" s="80">
        <f t="shared" si="103"/>
        <v>3.2972001400490503E-2</v>
      </c>
      <c r="N163" s="80">
        <f t="shared" si="103"/>
        <v>3.5197775505892953E-2</v>
      </c>
      <c r="O163" s="80">
        <f t="shared" si="103"/>
        <v>5.1837924871855547E-2</v>
      </c>
      <c r="P163" s="80">
        <f t="shared" si="103"/>
        <v>6.8192123975334112E-2</v>
      </c>
      <c r="Q163" s="80">
        <f t="shared" si="103"/>
        <v>5.6826243567404233E-2</v>
      </c>
      <c r="R163" s="80">
        <f t="shared" si="103"/>
        <v>6.180219840430165E-2</v>
      </c>
      <c r="S163" s="80">
        <f t="shared" si="103"/>
        <v>6.6901520184551574E-2</v>
      </c>
      <c r="T163" s="80">
        <f t="shared" si="103"/>
        <v>7.3683981127808426E-2</v>
      </c>
      <c r="U163" s="80">
        <f t="shared" si="103"/>
        <v>7.9626557159509656E-2</v>
      </c>
      <c r="V163" s="80">
        <f t="shared" si="103"/>
        <v>7.4563874052071488E-2</v>
      </c>
      <c r="W163" s="80">
        <f t="shared" si="103"/>
        <v>4.1745402200693948E-2</v>
      </c>
      <c r="X163" s="80">
        <f t="shared" si="103"/>
        <v>2.869560967106494E-3</v>
      </c>
      <c r="Y163" s="80">
        <f t="shared" si="103"/>
        <v>3.4828361812550133E-2</v>
      </c>
      <c r="Z163" s="80">
        <f t="shared" si="103"/>
        <v>5.9003937236690132E-2</v>
      </c>
      <c r="AA163" s="80">
        <f t="shared" si="103"/>
        <v>9.2358220435058064E-2</v>
      </c>
      <c r="AB163" s="80">
        <f t="shared" si="103"/>
        <v>0.11935376227219048</v>
      </c>
      <c r="AC163" s="80">
        <f t="shared" si="103"/>
        <v>0.13172502885773776</v>
      </c>
      <c r="AD163" s="80">
        <f t="shared" si="103"/>
        <v>0.10868367417088648</v>
      </c>
      <c r="AE163" s="80">
        <f t="shared" si="103"/>
        <v>6.2397296865067051E-2</v>
      </c>
      <c r="AF163" s="80">
        <f t="shared" si="103"/>
        <v>2.3088878424002823E-3</v>
      </c>
    </row>
    <row r="164" spans="1:34" x14ac:dyDescent="0.25">
      <c r="B164" s="21">
        <f>(B131-B130)^2</f>
        <v>2093.4921487192855</v>
      </c>
      <c r="C164" s="21">
        <f t="shared" ref="C164:AF164" si="104">(C131-C130)^2</f>
        <v>2098.1595663641424</v>
      </c>
      <c r="D164" s="21">
        <f t="shared" si="104"/>
        <v>2095.5656404598867</v>
      </c>
      <c r="E164" s="21">
        <f t="shared" si="104"/>
        <v>2097.658151074555</v>
      </c>
      <c r="F164" s="21">
        <f t="shared" si="104"/>
        <v>2126.9024780694999</v>
      </c>
      <c r="G164" s="21">
        <f t="shared" si="104"/>
        <v>2429.9387449219194</v>
      </c>
      <c r="H164" s="21">
        <f t="shared" si="104"/>
        <v>6045.522948641039</v>
      </c>
      <c r="I164" s="21">
        <f t="shared" si="104"/>
        <v>35154.914129644421</v>
      </c>
      <c r="J164" s="21">
        <f t="shared" si="104"/>
        <v>41636.07634885321</v>
      </c>
      <c r="K164" s="21">
        <f t="shared" si="104"/>
        <v>41641.896445948994</v>
      </c>
      <c r="L164" s="21">
        <f t="shared" si="104"/>
        <v>41700.210634008545</v>
      </c>
      <c r="M164" s="21">
        <f t="shared" si="104"/>
        <v>42284.364943425666</v>
      </c>
      <c r="N164" s="21">
        <f t="shared" si="104"/>
        <v>48164.327467604504</v>
      </c>
      <c r="O164" s="21">
        <f t="shared" si="104"/>
        <v>104024.39891474898</v>
      </c>
      <c r="P164" s="21">
        <f t="shared" si="104"/>
        <v>174484.37418491836</v>
      </c>
      <c r="Q164" s="21">
        <f t="shared" si="104"/>
        <v>114624.60782052239</v>
      </c>
      <c r="R164" s="21">
        <f t="shared" si="104"/>
        <v>130351.72411947895</v>
      </c>
      <c r="S164" s="21">
        <f t="shared" si="104"/>
        <v>146689.23627594509</v>
      </c>
      <c r="T164" s="21">
        <f t="shared" si="104"/>
        <v>169959.02736897615</v>
      </c>
      <c r="U164" s="21">
        <f t="shared" si="104"/>
        <v>188263.75070921154</v>
      </c>
      <c r="V164" s="21">
        <f t="shared" si="104"/>
        <v>152596.63550288594</v>
      </c>
      <c r="W164" s="21">
        <f t="shared" si="104"/>
        <v>41671.44522553451</v>
      </c>
      <c r="X164" s="21">
        <f t="shared" si="104"/>
        <v>165.34964081314817</v>
      </c>
      <c r="Y164" s="21">
        <f t="shared" si="104"/>
        <v>20615.643271936471</v>
      </c>
      <c r="Z164" s="21">
        <f t="shared" si="104"/>
        <v>50729.429977683722</v>
      </c>
      <c r="AA164" s="21">
        <f t="shared" si="104"/>
        <v>106781.81485711412</v>
      </c>
      <c r="AB164" s="21">
        <f t="shared" si="104"/>
        <v>154260.50370431933</v>
      </c>
      <c r="AC164" s="21">
        <f t="shared" si="104"/>
        <v>166089.20721620566</v>
      </c>
      <c r="AD164" s="21">
        <f t="shared" si="104"/>
        <v>101485.06657031763</v>
      </c>
      <c r="AE164" s="21">
        <f t="shared" si="104"/>
        <v>30087.422410740146</v>
      </c>
      <c r="AF164" s="21">
        <f t="shared" si="104"/>
        <v>37.260056544857392</v>
      </c>
    </row>
    <row r="165" spans="1:34" x14ac:dyDescent="0.25">
      <c r="A165" s="71">
        <f>SUM(B165:AF165)</f>
        <v>2122485.9274756331</v>
      </c>
      <c r="B165" s="60">
        <f>IF($A$64&lt;=B129,IF($B$64&gt;=B129,ABS(B164),0),0)</f>
        <v>2093.4921487192855</v>
      </c>
      <c r="C165" s="60">
        <f t="shared" ref="C165:AF165" si="105">IF($A$64&lt;=C129,IF($B$64&gt;=C129,ABS(C164),0),0)</f>
        <v>2098.1595663641424</v>
      </c>
      <c r="D165" s="60">
        <f t="shared" si="105"/>
        <v>2095.5656404598867</v>
      </c>
      <c r="E165" s="60">
        <f t="shared" si="105"/>
        <v>2097.658151074555</v>
      </c>
      <c r="F165" s="60">
        <f t="shared" si="105"/>
        <v>2126.9024780694999</v>
      </c>
      <c r="G165" s="60">
        <f t="shared" si="105"/>
        <v>2429.9387449219194</v>
      </c>
      <c r="H165" s="60">
        <f t="shared" si="105"/>
        <v>6045.522948641039</v>
      </c>
      <c r="I165" s="60">
        <f t="shared" si="105"/>
        <v>35154.914129644421</v>
      </c>
      <c r="J165" s="60">
        <f t="shared" si="105"/>
        <v>41636.07634885321</v>
      </c>
      <c r="K165" s="60">
        <f t="shared" si="105"/>
        <v>41641.896445948994</v>
      </c>
      <c r="L165" s="60">
        <f t="shared" si="105"/>
        <v>41700.210634008545</v>
      </c>
      <c r="M165" s="60">
        <f t="shared" si="105"/>
        <v>42284.364943425666</v>
      </c>
      <c r="N165" s="60">
        <f t="shared" si="105"/>
        <v>48164.327467604504</v>
      </c>
      <c r="O165" s="60">
        <f t="shared" si="105"/>
        <v>104024.39891474898</v>
      </c>
      <c r="P165" s="60">
        <f t="shared" si="105"/>
        <v>174484.37418491836</v>
      </c>
      <c r="Q165" s="60">
        <f t="shared" si="105"/>
        <v>114624.60782052239</v>
      </c>
      <c r="R165" s="60">
        <f t="shared" si="105"/>
        <v>130351.72411947895</v>
      </c>
      <c r="S165" s="60">
        <f t="shared" si="105"/>
        <v>146689.23627594509</v>
      </c>
      <c r="T165" s="60">
        <f t="shared" si="105"/>
        <v>169959.02736897615</v>
      </c>
      <c r="U165" s="60">
        <f t="shared" si="105"/>
        <v>188263.75070921154</v>
      </c>
      <c r="V165" s="60">
        <f t="shared" si="105"/>
        <v>152596.63550288594</v>
      </c>
      <c r="W165" s="60">
        <f t="shared" si="105"/>
        <v>41671.44522553451</v>
      </c>
      <c r="X165" s="60">
        <f t="shared" si="105"/>
        <v>165.34964081314817</v>
      </c>
      <c r="Y165" s="60">
        <f t="shared" si="105"/>
        <v>20615.643271936471</v>
      </c>
      <c r="Z165" s="60">
        <f t="shared" si="105"/>
        <v>50729.429977683722</v>
      </c>
      <c r="AA165" s="60">
        <f t="shared" si="105"/>
        <v>106781.81485711412</v>
      </c>
      <c r="AB165" s="60">
        <f t="shared" si="105"/>
        <v>154260.50370431933</v>
      </c>
      <c r="AC165" s="60">
        <f t="shared" si="105"/>
        <v>166089.20721620566</v>
      </c>
      <c r="AD165" s="60">
        <f t="shared" si="105"/>
        <v>101485.06657031763</v>
      </c>
      <c r="AE165" s="60">
        <f t="shared" si="105"/>
        <v>30087.422410740146</v>
      </c>
      <c r="AF165" s="60">
        <f t="shared" si="105"/>
        <v>37.260056544857392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6190.027148717867</v>
      </c>
      <c r="C170" s="27">
        <f t="shared" ref="C170:AF170" si="106">($C$17+SUM(C171:C201))*$B$51</f>
        <v>6181.9683673389045</v>
      </c>
      <c r="D170" s="27">
        <f t="shared" si="106"/>
        <v>6120.924369923765</v>
      </c>
      <c r="E170" s="27">
        <f t="shared" si="106"/>
        <v>6033.1208316555731</v>
      </c>
      <c r="F170" s="27">
        <f t="shared" si="106"/>
        <v>6032.6567572768454</v>
      </c>
      <c r="G170" s="27">
        <f t="shared" si="106"/>
        <v>6032.6161314290403</v>
      </c>
      <c r="H170" s="27">
        <f t="shared" si="106"/>
        <v>6032.2101677583514</v>
      </c>
      <c r="I170" s="27">
        <f t="shared" si="106"/>
        <v>6028.1798656470855</v>
      </c>
      <c r="J170" s="27">
        <f t="shared" si="106"/>
        <v>5990.6694727096328</v>
      </c>
      <c r="K170" s="27">
        <f t="shared" si="106"/>
        <v>5794.3992621718025</v>
      </c>
      <c r="L170" s="27">
        <f t="shared" si="106"/>
        <v>5676.8452223811846</v>
      </c>
      <c r="M170" s="27">
        <f t="shared" si="106"/>
        <v>5560.9094491806163</v>
      </c>
      <c r="N170" s="27">
        <f t="shared" si="106"/>
        <v>5426.0014377866428</v>
      </c>
      <c r="O170" s="27">
        <f t="shared" si="106"/>
        <v>5279.677318414354</v>
      </c>
      <c r="P170" s="27">
        <f t="shared" si="106"/>
        <v>5118.2147144080136</v>
      </c>
      <c r="Q170" s="27">
        <f t="shared" si="106"/>
        <v>4951.5167958445018</v>
      </c>
      <c r="R170" s="27">
        <f t="shared" si="106"/>
        <v>4788.7580694237395</v>
      </c>
      <c r="S170" s="27">
        <f t="shared" si="106"/>
        <v>4617.8839261438961</v>
      </c>
      <c r="T170" s="27">
        <f t="shared" si="106"/>
        <v>4411.9443710904025</v>
      </c>
      <c r="U170" s="27">
        <f t="shared" si="106"/>
        <v>4180.492063310413</v>
      </c>
      <c r="V170" s="27">
        <f t="shared" si="106"/>
        <v>3970.0855113548691</v>
      </c>
      <c r="W170" s="27">
        <f t="shared" si="106"/>
        <v>3795.9887608998215</v>
      </c>
      <c r="X170" s="27">
        <f t="shared" si="106"/>
        <v>3611.4267834548291</v>
      </c>
      <c r="Y170" s="27">
        <f t="shared" si="106"/>
        <v>3411.7436490118616</v>
      </c>
      <c r="Z170" s="27">
        <f t="shared" si="106"/>
        <v>3128.3580875259522</v>
      </c>
      <c r="AA170" s="27">
        <f t="shared" si="106"/>
        <v>2821.3505584290542</v>
      </c>
      <c r="AB170" s="27">
        <f t="shared" si="106"/>
        <v>2520.9810251873678</v>
      </c>
      <c r="AC170" s="27">
        <f t="shared" si="106"/>
        <v>2255.9499180207808</v>
      </c>
      <c r="AD170" s="27">
        <f t="shared" si="106"/>
        <v>1981.2829628631046</v>
      </c>
      <c r="AE170" s="27">
        <f t="shared" si="106"/>
        <v>1765.4723855196189</v>
      </c>
      <c r="AF170" s="27">
        <f t="shared" si="106"/>
        <v>1432.8495854237265</v>
      </c>
      <c r="AG170" s="27"/>
      <c r="AH170" s="27"/>
    </row>
    <row r="171" spans="1:34" x14ac:dyDescent="0.25">
      <c r="B171" s="3">
        <f t="shared" ref="B171:AF171" si="107">$C18*EXP(-B$168/$A18/EXP(-$C$126))</f>
        <v>2.5418700360531066E-2</v>
      </c>
      <c r="C171" s="3">
        <f t="shared" si="107"/>
        <v>2.4116997291090521E-2</v>
      </c>
      <c r="D171" s="3">
        <f t="shared" si="107"/>
        <v>1.4256803516918191E-2</v>
      </c>
      <c r="E171" s="3">
        <f t="shared" si="107"/>
        <v>7.4303874735974704E-5</v>
      </c>
      <c r="F171" s="3">
        <f t="shared" si="107"/>
        <v>1.0987640312378865E-27</v>
      </c>
      <c r="G171" s="3">
        <f t="shared" si="107"/>
        <v>5.4933106456260214E-256</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4.7699754374082533E-2</v>
      </c>
      <c r="C172" s="3">
        <f t="shared" si="108"/>
        <v>4.769975373177697E-2</v>
      </c>
      <c r="D172" s="3">
        <f t="shared" si="108"/>
        <v>4.7699747308721764E-2</v>
      </c>
      <c r="E172" s="3">
        <f t="shared" si="108"/>
        <v>4.7699683078217335E-2</v>
      </c>
      <c r="F172" s="3">
        <f t="shared" si="108"/>
        <v>4.769904077793001E-2</v>
      </c>
      <c r="G172" s="3">
        <f t="shared" si="108"/>
        <v>4.7692618250726806E-2</v>
      </c>
      <c r="H172" s="3">
        <f t="shared" si="108"/>
        <v>4.7628440522017639E-2</v>
      </c>
      <c r="I172" s="3">
        <f t="shared" si="108"/>
        <v>4.6991393964918617E-2</v>
      </c>
      <c r="J172" s="3">
        <f t="shared" si="108"/>
        <v>4.1071256773321137E-2</v>
      </c>
      <c r="K172" s="3">
        <f t="shared" si="108"/>
        <v>1.0684018563456507E-2</v>
      </c>
      <c r="L172" s="3">
        <f t="shared" si="108"/>
        <v>1.5160064511030785E-8</v>
      </c>
      <c r="M172" s="3">
        <f t="shared" si="108"/>
        <v>5.0160886548990041E-67</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9.1412610635246225E-3</v>
      </c>
      <c r="C173" s="3">
        <f t="shared" si="109"/>
        <v>9.1412610524206524E-3</v>
      </c>
      <c r="D173" s="3">
        <f t="shared" si="109"/>
        <v>9.141260941380961E-3</v>
      </c>
      <c r="E173" s="3">
        <f t="shared" si="109"/>
        <v>9.1412598309841206E-3</v>
      </c>
      <c r="F173" s="3">
        <f t="shared" si="109"/>
        <v>9.1412487270231286E-3</v>
      </c>
      <c r="G173" s="3">
        <f t="shared" si="109"/>
        <v>9.1411376881550578E-3</v>
      </c>
      <c r="H173" s="3">
        <f t="shared" si="109"/>
        <v>9.1400273736551348E-3</v>
      </c>
      <c r="I173" s="3">
        <f t="shared" si="109"/>
        <v>9.1289316434008793E-3</v>
      </c>
      <c r="J173" s="3">
        <f t="shared" si="109"/>
        <v>9.0187124936573285E-3</v>
      </c>
      <c r="K173" s="3">
        <f t="shared" si="109"/>
        <v>7.9871237682879372E-3</v>
      </c>
      <c r="L173" s="3">
        <f t="shared" si="109"/>
        <v>2.3705500767682223E-3</v>
      </c>
      <c r="M173" s="3">
        <f t="shared" si="109"/>
        <v>1.2572925182428861E-8</v>
      </c>
      <c r="N173" s="3">
        <f t="shared" si="109"/>
        <v>2.2146663302954855E-61</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2.3869773153976752E-2</v>
      </c>
      <c r="C174" s="3">
        <f t="shared" si="110"/>
        <v>2.3869773151361177E-2</v>
      </c>
      <c r="D174" s="3">
        <f t="shared" si="110"/>
        <v>2.3869773125205437E-2</v>
      </c>
      <c r="E174" s="3">
        <f t="shared" si="110"/>
        <v>2.3869772863648032E-2</v>
      </c>
      <c r="F174" s="3">
        <f t="shared" si="110"/>
        <v>2.3869770248074153E-2</v>
      </c>
      <c r="G174" s="3">
        <f t="shared" si="110"/>
        <v>2.3869744092351146E-2</v>
      </c>
      <c r="H174" s="3">
        <f t="shared" si="110"/>
        <v>2.3869482536697378E-2</v>
      </c>
      <c r="I174" s="3">
        <f t="shared" si="110"/>
        <v>2.3866867137786053E-2</v>
      </c>
      <c r="J174" s="3">
        <f t="shared" si="110"/>
        <v>2.3840728904920984E-2</v>
      </c>
      <c r="K174" s="3">
        <f t="shared" si="110"/>
        <v>2.3580915831644914E-2</v>
      </c>
      <c r="L174" s="3">
        <f t="shared" si="110"/>
        <v>2.1133530547721262E-2</v>
      </c>
      <c r="M174" s="3">
        <f t="shared" si="110"/>
        <v>7.0645732726106834E-3</v>
      </c>
      <c r="N174" s="3">
        <f t="shared" si="110"/>
        <v>1.2309055042133521E-7</v>
      </c>
      <c r="O174" s="3">
        <f t="shared" si="110"/>
        <v>3.1740408488086557E-55</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2.1808492685286451E-2</v>
      </c>
      <c r="C175" s="3">
        <f t="shared" si="111"/>
        <v>2.1808492685070881E-2</v>
      </c>
      <c r="D175" s="3">
        <f t="shared" si="111"/>
        <v>2.1808492682915168E-2</v>
      </c>
      <c r="E175" s="3">
        <f t="shared" si="111"/>
        <v>2.1808492661358037E-2</v>
      </c>
      <c r="F175" s="3">
        <f t="shared" si="111"/>
        <v>2.1808492445786722E-2</v>
      </c>
      <c r="G175" s="3">
        <f t="shared" si="111"/>
        <v>2.1808490290073711E-2</v>
      </c>
      <c r="H175" s="3">
        <f t="shared" si="111"/>
        <v>2.1808468732955305E-2</v>
      </c>
      <c r="I175" s="3">
        <f t="shared" si="111"/>
        <v>2.1808253162943228E-2</v>
      </c>
      <c r="J175" s="3">
        <f t="shared" si="111"/>
        <v>2.1806097580015369E-2</v>
      </c>
      <c r="K175" s="3">
        <f t="shared" si="111"/>
        <v>2.1784553465742533E-2</v>
      </c>
      <c r="L175" s="3">
        <f t="shared" si="111"/>
        <v>2.1570279550301937E-2</v>
      </c>
      <c r="M175" s="3">
        <f t="shared" si="111"/>
        <v>1.9540104698075961E-2</v>
      </c>
      <c r="N175" s="3">
        <f t="shared" si="111"/>
        <v>7.2717345090021618E-3</v>
      </c>
      <c r="O175" s="3">
        <f t="shared" si="111"/>
        <v>3.704668005442635E-7</v>
      </c>
      <c r="P175" s="3">
        <f t="shared" si="111"/>
        <v>4.3637724616087619E-50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2.617554052119888E-2</v>
      </c>
      <c r="C176" s="3">
        <f t="shared" si="112"/>
        <v>2.6175540521175537E-2</v>
      </c>
      <c r="D176" s="3">
        <f t="shared" si="112"/>
        <v>2.6175540520942134E-2</v>
      </c>
      <c r="E176" s="3">
        <f t="shared" si="112"/>
        <v>2.6175540518608098E-2</v>
      </c>
      <c r="F176" s="3">
        <f t="shared" si="112"/>
        <v>2.6175540495267737E-2</v>
      </c>
      <c r="G176" s="3">
        <f t="shared" si="112"/>
        <v>2.6175540261864128E-2</v>
      </c>
      <c r="H176" s="3">
        <f t="shared" si="112"/>
        <v>2.6175537927828153E-2</v>
      </c>
      <c r="I176" s="3">
        <f t="shared" si="112"/>
        <v>2.6175514587479867E-2</v>
      </c>
      <c r="J176" s="3">
        <f t="shared" si="112"/>
        <v>2.6175281185141647E-2</v>
      </c>
      <c r="K176" s="3">
        <f t="shared" si="112"/>
        <v>2.6172947276222755E-2</v>
      </c>
      <c r="L176" s="3">
        <f t="shared" si="112"/>
        <v>2.6149619629587971E-2</v>
      </c>
      <c r="M176" s="3">
        <f t="shared" si="112"/>
        <v>2.5917483652468702E-2</v>
      </c>
      <c r="N176" s="3">
        <f t="shared" si="112"/>
        <v>2.3706498127869246E-2</v>
      </c>
      <c r="O176" s="3">
        <f t="shared" si="112"/>
        <v>9.7188108480411942E-3</v>
      </c>
      <c r="P176" s="3">
        <f t="shared" si="112"/>
        <v>1.3033779533442103E-6</v>
      </c>
      <c r="Q176" s="3">
        <f t="shared" si="112"/>
        <v>2.4526906708308077E-45</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2.8073646092387446E-2</v>
      </c>
      <c r="C177" s="3">
        <f t="shared" si="113"/>
        <v>2.807364609238519E-2</v>
      </c>
      <c r="D177" s="3">
        <f t="shared" si="113"/>
        <v>2.8073646092362608E-2</v>
      </c>
      <c r="E177" s="3">
        <f t="shared" si="113"/>
        <v>2.8073646092136788E-2</v>
      </c>
      <c r="F177" s="3">
        <f t="shared" si="113"/>
        <v>2.8073646089878619E-2</v>
      </c>
      <c r="G177" s="3">
        <f t="shared" si="113"/>
        <v>2.8073646067296881E-2</v>
      </c>
      <c r="H177" s="3">
        <f t="shared" si="113"/>
        <v>2.8073645841479526E-2</v>
      </c>
      <c r="I177" s="3">
        <f t="shared" si="113"/>
        <v>2.8073643583306055E-2</v>
      </c>
      <c r="J177" s="3">
        <f t="shared" si="113"/>
        <v>2.8073621001581346E-2</v>
      </c>
      <c r="K177" s="3">
        <f t="shared" si="113"/>
        <v>2.8073395185333302E-2</v>
      </c>
      <c r="L177" s="3">
        <f t="shared" si="113"/>
        <v>2.8071137122752526E-2</v>
      </c>
      <c r="M177" s="3">
        <f t="shared" si="113"/>
        <v>2.8048566483941467E-2</v>
      </c>
      <c r="N177" s="3">
        <f t="shared" si="113"/>
        <v>2.7823855829567416E-2</v>
      </c>
      <c r="O177" s="3">
        <f t="shared" si="113"/>
        <v>2.5673421855312586E-2</v>
      </c>
      <c r="P177" s="3">
        <f t="shared" si="113"/>
        <v>1.1485454447340837E-2</v>
      </c>
      <c r="Q177" s="3">
        <f t="shared" si="113"/>
        <v>3.6880130609314025E-6</v>
      </c>
      <c r="R177" s="3">
        <f t="shared" si="113"/>
        <v>4.2976903151636699E-41</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2.8599886104258905E-2</v>
      </c>
      <c r="C178" s="3">
        <f t="shared" si="114"/>
        <v>2.8599886104258693E-2</v>
      </c>
      <c r="D178" s="3">
        <f t="shared" si="114"/>
        <v>2.8599886104256622E-2</v>
      </c>
      <c r="E178" s="3">
        <f t="shared" si="114"/>
        <v>2.8599886104235868E-2</v>
      </c>
      <c r="F178" s="3">
        <f t="shared" si="114"/>
        <v>2.8599886104028343E-2</v>
      </c>
      <c r="G178" s="3">
        <f t="shared" si="114"/>
        <v>2.85998861019531E-2</v>
      </c>
      <c r="H178" s="3">
        <f t="shared" si="114"/>
        <v>2.8599886081200648E-2</v>
      </c>
      <c r="I178" s="3">
        <f t="shared" si="114"/>
        <v>2.8599885873676137E-2</v>
      </c>
      <c r="J178" s="3">
        <f t="shared" si="114"/>
        <v>2.8599883798431133E-2</v>
      </c>
      <c r="K178" s="3">
        <f t="shared" si="114"/>
        <v>2.8599863045989393E-2</v>
      </c>
      <c r="L178" s="3">
        <f t="shared" si="114"/>
        <v>2.859965552240017E-2</v>
      </c>
      <c r="M178" s="3">
        <f t="shared" si="114"/>
        <v>2.8597580369325849E-2</v>
      </c>
      <c r="N178" s="3">
        <f t="shared" si="114"/>
        <v>2.8576837118149758E-2</v>
      </c>
      <c r="O178" s="3">
        <f t="shared" si="114"/>
        <v>2.8370230344537367E-2</v>
      </c>
      <c r="P178" s="3">
        <f t="shared" si="114"/>
        <v>2.6384561880060803E-2</v>
      </c>
      <c r="Q178" s="3">
        <f t="shared" si="114"/>
        <v>1.2770859823354064E-2</v>
      </c>
      <c r="R178" s="3">
        <f t="shared" si="114"/>
        <v>9.0141057215471923E-6</v>
      </c>
      <c r="S178" s="3">
        <f t="shared" si="114"/>
        <v>2.7666087187090473E-37</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2.5827803399316899E-2</v>
      </c>
      <c r="C179" s="3">
        <f t="shared" si="115"/>
        <v>2.5827803399316882E-2</v>
      </c>
      <c r="D179" s="3">
        <f t="shared" si="115"/>
        <v>2.5827803399316712E-2</v>
      </c>
      <c r="E179" s="3">
        <f t="shared" si="115"/>
        <v>2.5827803399315025E-2</v>
      </c>
      <c r="F179" s="3">
        <f t="shared" si="115"/>
        <v>2.5827803399298119E-2</v>
      </c>
      <c r="G179" s="3">
        <f t="shared" si="115"/>
        <v>2.5827803399129056E-2</v>
      </c>
      <c r="H179" s="3">
        <f t="shared" si="115"/>
        <v>2.5827803397438464E-2</v>
      </c>
      <c r="I179" s="3">
        <f t="shared" si="115"/>
        <v>2.5827803380532532E-2</v>
      </c>
      <c r="J179" s="3">
        <f t="shared" si="115"/>
        <v>2.58278032114732E-2</v>
      </c>
      <c r="K179" s="3">
        <f t="shared" si="115"/>
        <v>2.582780152087992E-2</v>
      </c>
      <c r="L179" s="3">
        <f t="shared" si="115"/>
        <v>2.5827784614953227E-2</v>
      </c>
      <c r="M179" s="3">
        <f t="shared" si="115"/>
        <v>2.5827615556294939E-2</v>
      </c>
      <c r="N179" s="3">
        <f t="shared" si="115"/>
        <v>2.5825925030573422E-2</v>
      </c>
      <c r="O179" s="3">
        <f t="shared" si="115"/>
        <v>2.5809025858023148E-2</v>
      </c>
      <c r="P179" s="3">
        <f t="shared" si="115"/>
        <v>2.5640641127952144E-2</v>
      </c>
      <c r="Q179" s="3">
        <f t="shared" si="115"/>
        <v>2.4016048682357537E-2</v>
      </c>
      <c r="R179" s="3">
        <f t="shared" si="115"/>
        <v>1.2480394267129402E-2</v>
      </c>
      <c r="S179" s="3">
        <f t="shared" si="115"/>
        <v>1.7926512409686748E-5</v>
      </c>
      <c r="T179" s="3">
        <f t="shared" si="115"/>
        <v>6.7014813577206245E-34</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3.0895531862387703E-2</v>
      </c>
      <c r="C180" s="3">
        <f t="shared" si="116"/>
        <v>3.08955318623877E-2</v>
      </c>
      <c r="D180" s="3">
        <f t="shared" si="116"/>
        <v>3.0895531862387682E-2</v>
      </c>
      <c r="E180" s="3">
        <f t="shared" si="116"/>
        <v>3.0895531862387502E-2</v>
      </c>
      <c r="F180" s="3">
        <f t="shared" si="116"/>
        <v>3.0895531862385677E-2</v>
      </c>
      <c r="G180" s="3">
        <f t="shared" si="116"/>
        <v>3.0895531862367435E-2</v>
      </c>
      <c r="H180" s="3">
        <f t="shared" si="116"/>
        <v>3.0895531862185004E-2</v>
      </c>
      <c r="I180" s="3">
        <f t="shared" si="116"/>
        <v>3.0895531860360714E-2</v>
      </c>
      <c r="J180" s="3">
        <f t="shared" si="116"/>
        <v>3.0895531842117813E-2</v>
      </c>
      <c r="K180" s="3">
        <f t="shared" si="116"/>
        <v>3.089553165968878E-2</v>
      </c>
      <c r="L180" s="3">
        <f t="shared" si="116"/>
        <v>3.0895529835398543E-2</v>
      </c>
      <c r="M180" s="3">
        <f t="shared" si="116"/>
        <v>3.0895511592502076E-2</v>
      </c>
      <c r="N180" s="3">
        <f t="shared" si="116"/>
        <v>3.0895329164129858E-2</v>
      </c>
      <c r="O180" s="3">
        <f t="shared" si="116"/>
        <v>3.0893504939651692E-2</v>
      </c>
      <c r="P180" s="3">
        <f t="shared" si="116"/>
        <v>3.08752686179759E-2</v>
      </c>
      <c r="Q180" s="3">
        <f t="shared" si="116"/>
        <v>3.0693496419799061E-2</v>
      </c>
      <c r="R180" s="3">
        <f t="shared" si="116"/>
        <v>2.8933605213994639E-2</v>
      </c>
      <c r="S180" s="3">
        <f t="shared" si="116"/>
        <v>1.603114088224708E-2</v>
      </c>
      <c r="T180" s="3">
        <f t="shared" si="116"/>
        <v>4.3710243299379619E-5</v>
      </c>
      <c r="U180" s="3">
        <f t="shared" si="116"/>
        <v>9.9259287900726467E-31</v>
      </c>
      <c r="V180" s="3">
        <f t="shared" si="116"/>
        <v>3.6195157306790391E-287</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3.9212264865174394E-2</v>
      </c>
      <c r="C181" s="3">
        <f t="shared" si="117"/>
        <v>3.9212264865174394E-2</v>
      </c>
      <c r="D181" s="3">
        <f t="shared" si="117"/>
        <v>3.9212264865174387E-2</v>
      </c>
      <c r="E181" s="3">
        <f t="shared" si="117"/>
        <v>3.9212264865174373E-2</v>
      </c>
      <c r="F181" s="3">
        <f t="shared" si="117"/>
        <v>3.9212264865174165E-2</v>
      </c>
      <c r="G181" s="3">
        <f t="shared" si="117"/>
        <v>3.9212264865172076E-2</v>
      </c>
      <c r="H181" s="3">
        <f t="shared" si="117"/>
        <v>3.9212264865151183E-2</v>
      </c>
      <c r="I181" s="3">
        <f t="shared" si="117"/>
        <v>3.9212264864942323E-2</v>
      </c>
      <c r="J181" s="3">
        <f t="shared" si="117"/>
        <v>3.9212264862853667E-2</v>
      </c>
      <c r="K181" s="3">
        <f t="shared" si="117"/>
        <v>3.9212264841967111E-2</v>
      </c>
      <c r="L181" s="3">
        <f t="shared" si="117"/>
        <v>3.9212264633101568E-2</v>
      </c>
      <c r="M181" s="3">
        <f t="shared" si="117"/>
        <v>3.9212262544446243E-2</v>
      </c>
      <c r="N181" s="3">
        <f t="shared" si="117"/>
        <v>3.921224165789907E-2</v>
      </c>
      <c r="O181" s="3">
        <f t="shared" si="117"/>
        <v>3.9212032793039218E-2</v>
      </c>
      <c r="P181" s="3">
        <f t="shared" si="117"/>
        <v>3.9209944205628469E-2</v>
      </c>
      <c r="Q181" s="3">
        <f t="shared" si="117"/>
        <v>3.9189064449095243E-2</v>
      </c>
      <c r="R181" s="3">
        <f t="shared" si="117"/>
        <v>3.8980877437241393E-2</v>
      </c>
      <c r="S181" s="3">
        <f t="shared" si="117"/>
        <v>3.6958876328441366E-2</v>
      </c>
      <c r="T181" s="3">
        <f t="shared" si="117"/>
        <v>2.1696527956955518E-2</v>
      </c>
      <c r="U181" s="3">
        <f t="shared" si="117"/>
        <v>1.054641983226666E-4</v>
      </c>
      <c r="V181" s="3">
        <f t="shared" si="117"/>
        <v>7.7669983009152146E-28</v>
      </c>
      <c r="W181" s="3">
        <f t="shared" si="117"/>
        <v>3.6453124104733144E-259</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3.9921764975062855E-2</v>
      </c>
      <c r="C182" s="3">
        <f t="shared" si="118"/>
        <v>3.9921764975062855E-2</v>
      </c>
      <c r="D182" s="3">
        <f t="shared" si="118"/>
        <v>3.9921764975062855E-2</v>
      </c>
      <c r="E182" s="3">
        <f t="shared" si="118"/>
        <v>3.9921764975062855E-2</v>
      </c>
      <c r="F182" s="3">
        <f t="shared" si="118"/>
        <v>3.9921764975062835E-2</v>
      </c>
      <c r="G182" s="3">
        <f t="shared" si="118"/>
        <v>3.992176497506264E-2</v>
      </c>
      <c r="H182" s="3">
        <f t="shared" si="118"/>
        <v>3.9921764975060725E-2</v>
      </c>
      <c r="I182" s="3">
        <f t="shared" si="118"/>
        <v>3.9921764975041539E-2</v>
      </c>
      <c r="J182" s="3">
        <f t="shared" si="118"/>
        <v>3.992176497484972E-2</v>
      </c>
      <c r="K182" s="3">
        <f t="shared" si="118"/>
        <v>3.9921764972931484E-2</v>
      </c>
      <c r="L182" s="3">
        <f t="shared" si="118"/>
        <v>3.9921764953749161E-2</v>
      </c>
      <c r="M182" s="3">
        <f t="shared" si="118"/>
        <v>3.9921764761925937E-2</v>
      </c>
      <c r="N182" s="3">
        <f t="shared" si="118"/>
        <v>3.9921762843693739E-2</v>
      </c>
      <c r="O182" s="3">
        <f t="shared" si="118"/>
        <v>3.992174366137681E-2</v>
      </c>
      <c r="P182" s="3">
        <f t="shared" si="118"/>
        <v>3.9921551838714465E-2</v>
      </c>
      <c r="Q182" s="3">
        <f t="shared" si="118"/>
        <v>3.9919633662783872E-2</v>
      </c>
      <c r="R182" s="3">
        <f t="shared" si="118"/>
        <v>3.9900456971862369E-2</v>
      </c>
      <c r="S182" s="3">
        <f t="shared" si="118"/>
        <v>3.9709196001169199E-2</v>
      </c>
      <c r="T182" s="3">
        <f t="shared" si="118"/>
        <v>3.784629211129778E-2</v>
      </c>
      <c r="U182" s="3">
        <f t="shared" si="118"/>
        <v>2.3407000734358707E-2</v>
      </c>
      <c r="V182" s="3">
        <f t="shared" si="118"/>
        <v>1.9167703620055478E-4</v>
      </c>
      <c r="W182" s="3">
        <f t="shared" si="118"/>
        <v>2.5990417319394461E-25</v>
      </c>
      <c r="X182" s="3">
        <f t="shared" si="118"/>
        <v>5.4606573596115387E-234</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2.7869370271088295E-2</v>
      </c>
      <c r="C183" s="3">
        <f t="shared" si="119"/>
        <v>2.7869370271088295E-2</v>
      </c>
      <c r="D183" s="3">
        <f t="shared" si="119"/>
        <v>2.7869370271088295E-2</v>
      </c>
      <c r="E183" s="3">
        <f t="shared" si="119"/>
        <v>2.7869370271088295E-2</v>
      </c>
      <c r="F183" s="3">
        <f t="shared" si="119"/>
        <v>2.7869370271088295E-2</v>
      </c>
      <c r="G183" s="3">
        <f t="shared" si="119"/>
        <v>2.7869370271088281E-2</v>
      </c>
      <c r="H183" s="3">
        <f t="shared" si="119"/>
        <v>2.7869370271088163E-2</v>
      </c>
      <c r="I183" s="3">
        <f t="shared" si="119"/>
        <v>2.7869370271086952E-2</v>
      </c>
      <c r="J183" s="3">
        <f t="shared" si="119"/>
        <v>2.7869370271074872E-2</v>
      </c>
      <c r="K183" s="3">
        <f t="shared" si="119"/>
        <v>2.7869370270954073E-2</v>
      </c>
      <c r="L183" s="3">
        <f t="shared" si="119"/>
        <v>2.7869370269746077E-2</v>
      </c>
      <c r="M183" s="3">
        <f t="shared" si="119"/>
        <v>2.7869370257666125E-2</v>
      </c>
      <c r="N183" s="3">
        <f t="shared" si="119"/>
        <v>2.7869370136866609E-2</v>
      </c>
      <c r="O183" s="3">
        <f t="shared" si="119"/>
        <v>2.7869368928871457E-2</v>
      </c>
      <c r="P183" s="3">
        <f t="shared" si="119"/>
        <v>2.7869356848922826E-2</v>
      </c>
      <c r="Q183" s="3">
        <f t="shared" si="119"/>
        <v>2.786923604972448E-2</v>
      </c>
      <c r="R183" s="3">
        <f t="shared" si="119"/>
        <v>2.7868028086538741E-2</v>
      </c>
      <c r="S183" s="3">
        <f t="shared" si="119"/>
        <v>2.785595133399222E-2</v>
      </c>
      <c r="T183" s="3">
        <f t="shared" si="119"/>
        <v>2.7735471278373065E-2</v>
      </c>
      <c r="U183" s="3">
        <f t="shared" si="119"/>
        <v>2.6558961970199697E-2</v>
      </c>
      <c r="V183" s="3">
        <f t="shared" si="119"/>
        <v>1.7217360390918944E-2</v>
      </c>
      <c r="W183" s="3">
        <f t="shared" si="119"/>
        <v>2.2569466891642466E-4</v>
      </c>
      <c r="X183" s="3">
        <f t="shared" si="119"/>
        <v>3.381182462134769E-23</v>
      </c>
      <c r="Y183" s="3">
        <f t="shared" si="119"/>
        <v>1.9254918116090216E-211</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3.1710520537561716E-2</v>
      </c>
      <c r="C184" s="3">
        <f t="shared" si="120"/>
        <v>3.1710520537561716E-2</v>
      </c>
      <c r="D184" s="3">
        <f t="shared" si="120"/>
        <v>3.1710520537561716E-2</v>
      </c>
      <c r="E184" s="3">
        <f t="shared" si="120"/>
        <v>3.1710520537561716E-2</v>
      </c>
      <c r="F184" s="3">
        <f t="shared" si="120"/>
        <v>3.1710520537561716E-2</v>
      </c>
      <c r="G184" s="3">
        <f t="shared" si="120"/>
        <v>3.1710520537561716E-2</v>
      </c>
      <c r="H184" s="3">
        <f t="shared" si="120"/>
        <v>3.1710520537561702E-2</v>
      </c>
      <c r="I184" s="3">
        <f t="shared" si="120"/>
        <v>3.1710520537561578E-2</v>
      </c>
      <c r="J184" s="3">
        <f t="shared" si="120"/>
        <v>3.1710520537560342E-2</v>
      </c>
      <c r="K184" s="3">
        <f t="shared" si="120"/>
        <v>3.1710520537547943E-2</v>
      </c>
      <c r="L184" s="3">
        <f t="shared" si="120"/>
        <v>3.1710520537423952E-2</v>
      </c>
      <c r="M184" s="3">
        <f t="shared" si="120"/>
        <v>3.1710520536184048E-2</v>
      </c>
      <c r="N184" s="3">
        <f t="shared" si="120"/>
        <v>3.1710520523785007E-2</v>
      </c>
      <c r="O184" s="3">
        <f t="shared" si="120"/>
        <v>3.171052039979462E-2</v>
      </c>
      <c r="P184" s="3">
        <f t="shared" si="120"/>
        <v>3.1710519159890801E-2</v>
      </c>
      <c r="Q184" s="3">
        <f t="shared" si="120"/>
        <v>3.1710506760855246E-2</v>
      </c>
      <c r="R184" s="3">
        <f t="shared" si="120"/>
        <v>3.171038277076637E-2</v>
      </c>
      <c r="S184" s="3">
        <f t="shared" si="120"/>
        <v>3.1709142896541767E-2</v>
      </c>
      <c r="T184" s="3">
        <f t="shared" si="120"/>
        <v>3.1696746820328761E-2</v>
      </c>
      <c r="U184" s="3">
        <f t="shared" si="120"/>
        <v>3.1573052276203523E-2</v>
      </c>
      <c r="V184" s="3">
        <f t="shared" si="120"/>
        <v>3.0362347485847159E-2</v>
      </c>
      <c r="W184" s="3">
        <f t="shared" si="120"/>
        <v>2.0536343625038388E-2</v>
      </c>
      <c r="X184" s="3">
        <f t="shared" si="120"/>
        <v>4.1152941731637172E-4</v>
      </c>
      <c r="Y184" s="3">
        <f t="shared" si="120"/>
        <v>4.2971301975539699E-21</v>
      </c>
      <c r="Z184" s="3">
        <f t="shared" si="120"/>
        <v>6.6214756162681641E-191</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2.7458471996856346E-2</v>
      </c>
      <c r="C185" s="3">
        <f t="shared" si="121"/>
        <v>2.7458471996856346E-2</v>
      </c>
      <c r="D185" s="3">
        <f t="shared" si="121"/>
        <v>2.7458471996856346E-2</v>
      </c>
      <c r="E185" s="3">
        <f t="shared" si="121"/>
        <v>2.7458471996856346E-2</v>
      </c>
      <c r="F185" s="3">
        <f t="shared" si="121"/>
        <v>2.7458471996856346E-2</v>
      </c>
      <c r="G185" s="3">
        <f t="shared" si="121"/>
        <v>2.7458471996856346E-2</v>
      </c>
      <c r="H185" s="3">
        <f t="shared" si="121"/>
        <v>2.7458471996856346E-2</v>
      </c>
      <c r="I185" s="3">
        <f t="shared" si="121"/>
        <v>2.7458471996856332E-2</v>
      </c>
      <c r="J185" s="3">
        <f t="shared" si="121"/>
        <v>2.7458471996856238E-2</v>
      </c>
      <c r="K185" s="3">
        <f t="shared" si="121"/>
        <v>2.745847199685527E-2</v>
      </c>
      <c r="L185" s="3">
        <f t="shared" si="121"/>
        <v>2.7458471996845583E-2</v>
      </c>
      <c r="M185" s="3">
        <f t="shared" si="121"/>
        <v>2.7458471996748734E-2</v>
      </c>
      <c r="N185" s="3">
        <f t="shared" si="121"/>
        <v>2.7458471995780213E-2</v>
      </c>
      <c r="O185" s="3">
        <f t="shared" si="121"/>
        <v>2.7458471986095037E-2</v>
      </c>
      <c r="P185" s="3">
        <f t="shared" si="121"/>
        <v>2.7458471889243257E-2</v>
      </c>
      <c r="Q185" s="3">
        <f t="shared" si="121"/>
        <v>2.7458470920725508E-2</v>
      </c>
      <c r="R185" s="3">
        <f t="shared" si="121"/>
        <v>2.7458461235549861E-2</v>
      </c>
      <c r="S185" s="3">
        <f t="shared" si="121"/>
        <v>2.7458364383981301E-2</v>
      </c>
      <c r="T185" s="3">
        <f t="shared" si="121"/>
        <v>2.7457395887084301E-2</v>
      </c>
      <c r="U185" s="3">
        <f t="shared" si="121"/>
        <v>2.7447712796732589E-2</v>
      </c>
      <c r="V185" s="3">
        <f t="shared" si="121"/>
        <v>2.7351069510100075E-2</v>
      </c>
      <c r="W185" s="3">
        <f t="shared" si="121"/>
        <v>2.6403155772513332E-2</v>
      </c>
      <c r="X185" s="3">
        <f t="shared" si="121"/>
        <v>1.8555432652314286E-2</v>
      </c>
      <c r="Y185" s="3">
        <f t="shared" si="121"/>
        <v>5.4528500741580111E-4</v>
      </c>
      <c r="Z185" s="3">
        <f t="shared" si="121"/>
        <v>2.6190770500852304E-19</v>
      </c>
      <c r="AA185" s="3">
        <f t="shared" si="121"/>
        <v>1.7115731143450834E-172</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4.6480285004782129E-2</v>
      </c>
      <c r="C186" s="3">
        <f t="shared" si="122"/>
        <v>4.6480285004782129E-2</v>
      </c>
      <c r="D186" s="3">
        <f t="shared" si="122"/>
        <v>4.6480285004782129E-2</v>
      </c>
      <c r="E186" s="3">
        <f t="shared" si="122"/>
        <v>4.6480285004782129E-2</v>
      </c>
      <c r="F186" s="3">
        <f t="shared" si="122"/>
        <v>4.6480285004782129E-2</v>
      </c>
      <c r="G186" s="3">
        <f t="shared" si="122"/>
        <v>4.6480285004782129E-2</v>
      </c>
      <c r="H186" s="3">
        <f t="shared" si="122"/>
        <v>4.6480285004782129E-2</v>
      </c>
      <c r="I186" s="3">
        <f t="shared" si="122"/>
        <v>4.6480285004782129E-2</v>
      </c>
      <c r="J186" s="3">
        <f t="shared" si="122"/>
        <v>4.6480285004782115E-2</v>
      </c>
      <c r="K186" s="3">
        <f t="shared" si="122"/>
        <v>4.6480285004781963E-2</v>
      </c>
      <c r="L186" s="3">
        <f t="shared" si="122"/>
        <v>4.6480285004780492E-2</v>
      </c>
      <c r="M186" s="3">
        <f t="shared" si="122"/>
        <v>4.6480285004765698E-2</v>
      </c>
      <c r="N186" s="3">
        <f t="shared" si="122"/>
        <v>4.6480285004617802E-2</v>
      </c>
      <c r="O186" s="3">
        <f t="shared" si="122"/>
        <v>4.6480285003138881E-2</v>
      </c>
      <c r="P186" s="3">
        <f t="shared" si="122"/>
        <v>4.6480284988349614E-2</v>
      </c>
      <c r="Q186" s="3">
        <f t="shared" si="122"/>
        <v>4.6480284840456958E-2</v>
      </c>
      <c r="R186" s="3">
        <f t="shared" si="122"/>
        <v>4.6480283361530449E-2</v>
      </c>
      <c r="S186" s="3">
        <f t="shared" si="122"/>
        <v>4.648026857226794E-2</v>
      </c>
      <c r="T186" s="3">
        <f t="shared" si="122"/>
        <v>4.6480120679901676E-2</v>
      </c>
      <c r="U186" s="3">
        <f t="shared" si="122"/>
        <v>4.6478641782120106E-2</v>
      </c>
      <c r="V186" s="3">
        <f t="shared" si="122"/>
        <v>4.6463855392101891E-2</v>
      </c>
      <c r="W186" s="3">
        <f t="shared" si="122"/>
        <v>4.6316249967281328E-2</v>
      </c>
      <c r="X186" s="3">
        <f t="shared" si="122"/>
        <v>4.4865741530014193E-2</v>
      </c>
      <c r="Y186" s="3">
        <f t="shared" si="122"/>
        <v>3.2638444990784339E-2</v>
      </c>
      <c r="Z186" s="3">
        <f t="shared" si="122"/>
        <v>1.3548011337460877E-3</v>
      </c>
      <c r="AA186" s="3">
        <f t="shared" si="122"/>
        <v>2.0574840290234128E-17</v>
      </c>
      <c r="AB186" s="3">
        <f t="shared" si="122"/>
        <v>1.3425970421275033E-155</v>
      </c>
      <c r="AC186" s="3">
        <f t="shared" si="122"/>
        <v>0</v>
      </c>
      <c r="AD186" s="3">
        <f t="shared" si="122"/>
        <v>0</v>
      </c>
      <c r="AE186" s="3">
        <f t="shared" si="122"/>
        <v>0</v>
      </c>
      <c r="AF186" s="3">
        <f t="shared" si="122"/>
        <v>0</v>
      </c>
      <c r="AG186" s="3"/>
      <c r="AH186" s="3"/>
    </row>
    <row r="187" spans="2:34" x14ac:dyDescent="0.25">
      <c r="B187" s="3">
        <f t="shared" ref="B187:AF187" si="123">$C34*EXP(-B$168/$A34/EXP(-$C$126))</f>
        <v>5.1673883446399775E-2</v>
      </c>
      <c r="C187" s="3">
        <f t="shared" si="123"/>
        <v>5.1673883446399775E-2</v>
      </c>
      <c r="D187" s="3">
        <f t="shared" si="123"/>
        <v>5.1673883446399775E-2</v>
      </c>
      <c r="E187" s="3">
        <f t="shared" si="123"/>
        <v>5.1673883446399775E-2</v>
      </c>
      <c r="F187" s="3">
        <f t="shared" si="123"/>
        <v>5.1673883446399775E-2</v>
      </c>
      <c r="G187" s="3">
        <f t="shared" si="123"/>
        <v>5.1673883446399775E-2</v>
      </c>
      <c r="H187" s="3">
        <f t="shared" si="123"/>
        <v>5.1673883446399775E-2</v>
      </c>
      <c r="I187" s="3">
        <f t="shared" si="123"/>
        <v>5.1673883446399775E-2</v>
      </c>
      <c r="J187" s="3">
        <f t="shared" si="123"/>
        <v>5.1673883446399775E-2</v>
      </c>
      <c r="K187" s="3">
        <f t="shared" si="123"/>
        <v>5.1673883446399761E-2</v>
      </c>
      <c r="L187" s="3">
        <f t="shared" si="123"/>
        <v>5.1673883446399609E-2</v>
      </c>
      <c r="M187" s="3">
        <f t="shared" si="123"/>
        <v>5.1673883446398131E-2</v>
      </c>
      <c r="N187" s="3">
        <f t="shared" si="123"/>
        <v>5.1673883446383295E-2</v>
      </c>
      <c r="O187" s="3">
        <f t="shared" si="123"/>
        <v>5.1673883446234976E-2</v>
      </c>
      <c r="P187" s="3">
        <f t="shared" si="123"/>
        <v>5.1673883444751788E-2</v>
      </c>
      <c r="Q187" s="3">
        <f t="shared" si="123"/>
        <v>5.1673883429919937E-2</v>
      </c>
      <c r="R187" s="3">
        <f t="shared" si="123"/>
        <v>5.1673883281601371E-2</v>
      </c>
      <c r="S187" s="3">
        <f t="shared" si="123"/>
        <v>5.1673881798415755E-2</v>
      </c>
      <c r="T187" s="3">
        <f t="shared" si="123"/>
        <v>5.1673866966561961E-2</v>
      </c>
      <c r="U187" s="3">
        <f t="shared" si="123"/>
        <v>5.1673718648258142E-2</v>
      </c>
      <c r="V187" s="3">
        <f t="shared" si="123"/>
        <v>5.1672235488634047E-2</v>
      </c>
      <c r="W187" s="3">
        <f t="shared" si="123"/>
        <v>5.1657406233554561E-2</v>
      </c>
      <c r="X187" s="3">
        <f t="shared" si="123"/>
        <v>5.1509347550464282E-2</v>
      </c>
      <c r="Y187" s="3">
        <f t="shared" si="123"/>
        <v>5.0051901016936684E-2</v>
      </c>
      <c r="Z187" s="3">
        <f t="shared" si="123"/>
        <v>3.756348335127619E-2</v>
      </c>
      <c r="AA187" s="3">
        <f t="shared" si="123"/>
        <v>2.1292108695065127E-3</v>
      </c>
      <c r="AB187" s="3">
        <f t="shared" si="123"/>
        <v>7.2903240675003082E-16</v>
      </c>
      <c r="AC187" s="3">
        <f t="shared" si="123"/>
        <v>1.614464229798388E-140</v>
      </c>
      <c r="AD187" s="3">
        <f t="shared" si="123"/>
        <v>0</v>
      </c>
      <c r="AE187" s="3">
        <f t="shared" si="123"/>
        <v>0</v>
      </c>
      <c r="AF187" s="3">
        <f t="shared" si="123"/>
        <v>0</v>
      </c>
      <c r="AG187" s="3"/>
      <c r="AH187" s="3"/>
    </row>
    <row r="188" spans="2:34" x14ac:dyDescent="0.25">
      <c r="B188" s="3">
        <f t="shared" ref="B188:AF188" si="124">$C35*EXP(-B$168/$A35/EXP(-$C$126))</f>
        <v>5.2830746228017506E-2</v>
      </c>
      <c r="C188" s="3">
        <f t="shared" si="124"/>
        <v>5.2830746228017506E-2</v>
      </c>
      <c r="D188" s="3">
        <f t="shared" si="124"/>
        <v>5.2830746228017506E-2</v>
      </c>
      <c r="E188" s="3">
        <f t="shared" si="124"/>
        <v>5.2830746228017506E-2</v>
      </c>
      <c r="F188" s="3">
        <f t="shared" si="124"/>
        <v>5.2830746228017506E-2</v>
      </c>
      <c r="G188" s="3">
        <f t="shared" si="124"/>
        <v>5.2830746228017506E-2</v>
      </c>
      <c r="H188" s="3">
        <f t="shared" si="124"/>
        <v>5.2830746228017506E-2</v>
      </c>
      <c r="I188" s="3">
        <f t="shared" si="124"/>
        <v>5.2830746228017506E-2</v>
      </c>
      <c r="J188" s="3">
        <f t="shared" si="124"/>
        <v>5.2830746228017506E-2</v>
      </c>
      <c r="K188" s="3">
        <f t="shared" si="124"/>
        <v>5.2830746228017506E-2</v>
      </c>
      <c r="L188" s="3">
        <f t="shared" si="124"/>
        <v>5.2830746228017485E-2</v>
      </c>
      <c r="M188" s="3">
        <f t="shared" si="124"/>
        <v>5.2830746228017353E-2</v>
      </c>
      <c r="N188" s="3">
        <f t="shared" si="124"/>
        <v>5.2830746228015986E-2</v>
      </c>
      <c r="O188" s="3">
        <f t="shared" si="124"/>
        <v>5.2830746228002309E-2</v>
      </c>
      <c r="P188" s="3">
        <f t="shared" si="124"/>
        <v>5.2830746227865516E-2</v>
      </c>
      <c r="Q188" s="3">
        <f t="shared" si="124"/>
        <v>5.2830746226497603E-2</v>
      </c>
      <c r="R188" s="3">
        <f t="shared" si="124"/>
        <v>5.2830746212818497E-2</v>
      </c>
      <c r="S188" s="3">
        <f t="shared" si="124"/>
        <v>5.2830746076027425E-2</v>
      </c>
      <c r="T188" s="3">
        <f t="shared" si="124"/>
        <v>5.2830744708116752E-2</v>
      </c>
      <c r="U188" s="3">
        <f t="shared" si="124"/>
        <v>5.2830731029011917E-2</v>
      </c>
      <c r="V188" s="3">
        <f t="shared" si="124"/>
        <v>5.2830594238158356E-2</v>
      </c>
      <c r="W188" s="3">
        <f t="shared" si="124"/>
        <v>5.2829226349102656E-2</v>
      </c>
      <c r="X188" s="3">
        <f t="shared" si="124"/>
        <v>5.281554940634945E-2</v>
      </c>
      <c r="Y188" s="3">
        <f t="shared" si="124"/>
        <v>5.2678974572724295E-2</v>
      </c>
      <c r="Z188" s="3">
        <f t="shared" si="124"/>
        <v>5.1332500487203898E-2</v>
      </c>
      <c r="AA188" s="3">
        <f t="shared" si="124"/>
        <v>3.9622647762361324E-2</v>
      </c>
      <c r="AB188" s="3">
        <f t="shared" si="124"/>
        <v>2.9747757389728203E-3</v>
      </c>
      <c r="AC188" s="3">
        <f t="shared" si="124"/>
        <v>1.6926283212416968E-14</v>
      </c>
      <c r="AD188" s="3">
        <f t="shared" si="124"/>
        <v>6.0205383457735666E-127</v>
      </c>
      <c r="AE188" s="3">
        <f t="shared" si="124"/>
        <v>0</v>
      </c>
      <c r="AF188" s="3">
        <f t="shared" si="124"/>
        <v>0</v>
      </c>
      <c r="AG188" s="3"/>
      <c r="AH188" s="3"/>
    </row>
    <row r="189" spans="2:34" x14ac:dyDescent="0.25">
      <c r="B189" s="3">
        <f t="shared" ref="B189:AF189" si="125">$C36*EXP(-B$168/$A36/EXP(-$C$126))</f>
        <v>4.2289160639644607E-2</v>
      </c>
      <c r="C189" s="3">
        <f t="shared" si="125"/>
        <v>4.2289160639644607E-2</v>
      </c>
      <c r="D189" s="3">
        <f t="shared" si="125"/>
        <v>4.2289160639644607E-2</v>
      </c>
      <c r="E189" s="3">
        <f t="shared" si="125"/>
        <v>4.2289160639644607E-2</v>
      </c>
      <c r="F189" s="3">
        <f t="shared" si="125"/>
        <v>4.2289160639644607E-2</v>
      </c>
      <c r="G189" s="3">
        <f t="shared" si="125"/>
        <v>4.2289160639644607E-2</v>
      </c>
      <c r="H189" s="3">
        <f t="shared" si="125"/>
        <v>4.2289160639644607E-2</v>
      </c>
      <c r="I189" s="3">
        <f t="shared" si="125"/>
        <v>4.2289160639644607E-2</v>
      </c>
      <c r="J189" s="3">
        <f t="shared" si="125"/>
        <v>4.2289160639644607E-2</v>
      </c>
      <c r="K189" s="3">
        <f t="shared" si="125"/>
        <v>4.2289160639644607E-2</v>
      </c>
      <c r="L189" s="3">
        <f t="shared" si="125"/>
        <v>4.2289160639644607E-2</v>
      </c>
      <c r="M189" s="3">
        <f t="shared" si="125"/>
        <v>4.22891606396446E-2</v>
      </c>
      <c r="N189" s="3">
        <f t="shared" si="125"/>
        <v>4.2289160639644496E-2</v>
      </c>
      <c r="O189" s="3">
        <f t="shared" si="125"/>
        <v>4.2289160639643511E-2</v>
      </c>
      <c r="P189" s="3">
        <f t="shared" si="125"/>
        <v>4.228916063963363E-2</v>
      </c>
      <c r="Q189" s="3">
        <f t="shared" si="125"/>
        <v>4.2289160639534855E-2</v>
      </c>
      <c r="R189" s="3">
        <f t="shared" si="125"/>
        <v>4.228916063854711E-2</v>
      </c>
      <c r="S189" s="3">
        <f t="shared" si="125"/>
        <v>4.2289160628669616E-2</v>
      </c>
      <c r="T189" s="3">
        <f t="shared" si="125"/>
        <v>4.2289160529894704E-2</v>
      </c>
      <c r="U189" s="3">
        <f t="shared" si="125"/>
        <v>4.2289159542145585E-2</v>
      </c>
      <c r="V189" s="3">
        <f t="shared" si="125"/>
        <v>4.2289149664655648E-2</v>
      </c>
      <c r="W189" s="3">
        <f t="shared" si="125"/>
        <v>4.2289050889883183E-2</v>
      </c>
      <c r="X189" s="3">
        <f t="shared" si="125"/>
        <v>4.2288063154847358E-2</v>
      </c>
      <c r="Y189" s="3">
        <f t="shared" si="125"/>
        <v>4.2278187073265951E-2</v>
      </c>
      <c r="Z189" s="3">
        <f t="shared" si="125"/>
        <v>4.2179553025554178E-2</v>
      </c>
      <c r="AA189" s="3">
        <f t="shared" si="125"/>
        <v>4.1205780485487432E-2</v>
      </c>
      <c r="AB189" s="3">
        <f t="shared" si="125"/>
        <v>3.2622696688011585E-2</v>
      </c>
      <c r="AC189" s="3">
        <f t="shared" si="125"/>
        <v>3.1560000014596115E-3</v>
      </c>
      <c r="AD189" s="3">
        <f t="shared" si="125"/>
        <v>2.2662528311524098E-13</v>
      </c>
      <c r="AE189" s="3">
        <f t="shared" si="125"/>
        <v>8.2607981187967563E-115</v>
      </c>
      <c r="AF189" s="3">
        <f t="shared" si="125"/>
        <v>0</v>
      </c>
      <c r="AG189" s="3"/>
      <c r="AH189" s="3"/>
    </row>
    <row r="190" spans="2:34" x14ac:dyDescent="0.25">
      <c r="B190" s="3">
        <f t="shared" ref="B190:AF190" si="126">$C37*EXP(-B$168/$A37/EXP(-$C$126))</f>
        <v>5.3722068085000706E-2</v>
      </c>
      <c r="C190" s="3">
        <f t="shared" si="126"/>
        <v>5.3722068085000706E-2</v>
      </c>
      <c r="D190" s="3">
        <f t="shared" si="126"/>
        <v>5.3722068085000706E-2</v>
      </c>
      <c r="E190" s="3">
        <f t="shared" si="126"/>
        <v>5.3722068085000706E-2</v>
      </c>
      <c r="F190" s="3">
        <f t="shared" si="126"/>
        <v>5.3722068085000706E-2</v>
      </c>
      <c r="G190" s="3">
        <f t="shared" si="126"/>
        <v>5.3722068085000706E-2</v>
      </c>
      <c r="H190" s="3">
        <f t="shared" si="126"/>
        <v>5.3722068085000706E-2</v>
      </c>
      <c r="I190" s="3">
        <f t="shared" si="126"/>
        <v>5.3722068085000706E-2</v>
      </c>
      <c r="J190" s="3">
        <f t="shared" si="126"/>
        <v>5.3722068085000706E-2</v>
      </c>
      <c r="K190" s="3">
        <f t="shared" si="126"/>
        <v>5.3722068085000706E-2</v>
      </c>
      <c r="L190" s="3">
        <f t="shared" si="126"/>
        <v>5.3722068085000706E-2</v>
      </c>
      <c r="M190" s="3">
        <f t="shared" si="126"/>
        <v>5.3722068085000706E-2</v>
      </c>
      <c r="N190" s="3">
        <f t="shared" si="126"/>
        <v>5.3722068085000692E-2</v>
      </c>
      <c r="O190" s="3">
        <f t="shared" si="126"/>
        <v>5.3722068085000581E-2</v>
      </c>
      <c r="P190" s="3">
        <f t="shared" si="126"/>
        <v>5.372206808499945E-2</v>
      </c>
      <c r="Q190" s="3">
        <f t="shared" si="126"/>
        <v>5.3722068084988125E-2</v>
      </c>
      <c r="R190" s="3">
        <f t="shared" si="126"/>
        <v>5.3722068084874938E-2</v>
      </c>
      <c r="S190" s="3">
        <f t="shared" si="126"/>
        <v>5.3722068083743017E-2</v>
      </c>
      <c r="T190" s="3">
        <f t="shared" si="126"/>
        <v>5.372206807242378E-2</v>
      </c>
      <c r="U190" s="3">
        <f t="shared" si="126"/>
        <v>5.3722067959231477E-2</v>
      </c>
      <c r="V190" s="3">
        <f t="shared" si="126"/>
        <v>5.3722066827308436E-2</v>
      </c>
      <c r="W190" s="3">
        <f t="shared" si="126"/>
        <v>5.3722055508079326E-2</v>
      </c>
      <c r="X190" s="3">
        <f t="shared" si="126"/>
        <v>5.3721942315919397E-2</v>
      </c>
      <c r="Y190" s="3">
        <f t="shared" si="126"/>
        <v>5.3720810407437293E-2</v>
      </c>
      <c r="Z190" s="3">
        <f t="shared" si="126"/>
        <v>5.3709492634230561E-2</v>
      </c>
      <c r="AA190" s="3">
        <f t="shared" si="126"/>
        <v>5.3596445961404247E-2</v>
      </c>
      <c r="AB190" s="3">
        <f t="shared" si="126"/>
        <v>5.2478983558131576E-2</v>
      </c>
      <c r="AC190" s="3">
        <f t="shared" si="126"/>
        <v>4.2508877952493938E-2</v>
      </c>
      <c r="AD190" s="3">
        <f t="shared" si="126"/>
        <v>5.1691830340582293E-3</v>
      </c>
      <c r="AE190" s="3">
        <f t="shared" si="126"/>
        <v>3.6546399401371724E-12</v>
      </c>
      <c r="AF190" s="3">
        <f t="shared" si="126"/>
        <v>1.1404374101386923E-103</v>
      </c>
      <c r="AG190" s="3"/>
      <c r="AH190" s="3"/>
    </row>
    <row r="191" spans="2:34" x14ac:dyDescent="0.25">
      <c r="B191" s="3">
        <f t="shared" ref="B191:AF191" si="127">$C38*EXP(-B$168/$A38/EXP(-$C$126))</f>
        <v>0</v>
      </c>
      <c r="C191" s="3">
        <f t="shared" si="127"/>
        <v>0</v>
      </c>
      <c r="D191" s="3">
        <f t="shared" si="127"/>
        <v>0</v>
      </c>
      <c r="E191" s="3">
        <f t="shared" si="127"/>
        <v>0</v>
      </c>
      <c r="F191" s="3">
        <f t="shared" si="127"/>
        <v>0</v>
      </c>
      <c r="G191" s="3">
        <f t="shared" si="127"/>
        <v>0</v>
      </c>
      <c r="H191" s="3">
        <f t="shared" si="127"/>
        <v>0</v>
      </c>
      <c r="I191" s="3">
        <f t="shared" si="127"/>
        <v>0</v>
      </c>
      <c r="J191" s="3">
        <f t="shared" si="127"/>
        <v>0</v>
      </c>
      <c r="K191" s="3">
        <f t="shared" si="127"/>
        <v>0</v>
      </c>
      <c r="L191" s="3">
        <f t="shared" si="127"/>
        <v>0</v>
      </c>
      <c r="M191" s="3">
        <f t="shared" si="127"/>
        <v>0</v>
      </c>
      <c r="N191" s="3">
        <f t="shared" si="127"/>
        <v>0</v>
      </c>
      <c r="O191" s="3">
        <f t="shared" si="127"/>
        <v>0</v>
      </c>
      <c r="P191" s="3">
        <f t="shared" si="127"/>
        <v>0</v>
      </c>
      <c r="Q191" s="3">
        <f t="shared" si="127"/>
        <v>0</v>
      </c>
      <c r="R191" s="3">
        <f t="shared" si="127"/>
        <v>0</v>
      </c>
      <c r="S191" s="3">
        <f t="shared" si="127"/>
        <v>0</v>
      </c>
      <c r="T191" s="3">
        <f t="shared" si="127"/>
        <v>0</v>
      </c>
      <c r="U191" s="3">
        <f t="shared" si="127"/>
        <v>0</v>
      </c>
      <c r="V191" s="3">
        <f t="shared" si="127"/>
        <v>0</v>
      </c>
      <c r="W191" s="3">
        <f t="shared" si="127"/>
        <v>0</v>
      </c>
      <c r="X191" s="3">
        <f t="shared" si="127"/>
        <v>0</v>
      </c>
      <c r="Y191" s="3">
        <f t="shared" si="127"/>
        <v>0</v>
      </c>
      <c r="Z191" s="3">
        <f t="shared" si="127"/>
        <v>0</v>
      </c>
      <c r="AA191" s="3">
        <f t="shared" si="127"/>
        <v>0</v>
      </c>
      <c r="AB191" s="3">
        <f t="shared" si="127"/>
        <v>0</v>
      </c>
      <c r="AC191" s="3">
        <f t="shared" si="127"/>
        <v>0</v>
      </c>
      <c r="AD191" s="3">
        <f t="shared" si="127"/>
        <v>0</v>
      </c>
      <c r="AE191" s="3">
        <f t="shared" si="127"/>
        <v>0</v>
      </c>
      <c r="AF191" s="3">
        <f t="shared" si="127"/>
        <v>0</v>
      </c>
      <c r="AG191" s="3"/>
      <c r="AH191" s="3"/>
    </row>
    <row r="192" spans="2:34" x14ac:dyDescent="0.25">
      <c r="B192" s="3">
        <f t="shared" ref="B192:AF192" si="128">$C39*EXP(-B$168/$A39/EXP(-$C$126))</f>
        <v>7.2679477102325196E-2</v>
      </c>
      <c r="C192" s="3">
        <f t="shared" si="128"/>
        <v>7.2679477102325196E-2</v>
      </c>
      <c r="D192" s="3">
        <f t="shared" si="128"/>
        <v>7.2679477102325196E-2</v>
      </c>
      <c r="E192" s="3">
        <f t="shared" si="128"/>
        <v>7.2679477102325196E-2</v>
      </c>
      <c r="F192" s="3">
        <f t="shared" si="128"/>
        <v>7.2679477102325196E-2</v>
      </c>
      <c r="G192" s="3">
        <f t="shared" si="128"/>
        <v>7.2679477102325196E-2</v>
      </c>
      <c r="H192" s="3">
        <f t="shared" si="128"/>
        <v>7.2679477102325196E-2</v>
      </c>
      <c r="I192" s="3">
        <f t="shared" si="128"/>
        <v>7.2679477102325196E-2</v>
      </c>
      <c r="J192" s="3">
        <f t="shared" si="128"/>
        <v>7.2679477102325196E-2</v>
      </c>
      <c r="K192" s="3">
        <f t="shared" si="128"/>
        <v>7.2679477102325196E-2</v>
      </c>
      <c r="L192" s="3">
        <f t="shared" si="128"/>
        <v>7.2679477102325196E-2</v>
      </c>
      <c r="M192" s="3">
        <f t="shared" si="128"/>
        <v>7.2679477102325196E-2</v>
      </c>
      <c r="N192" s="3">
        <f t="shared" si="128"/>
        <v>7.2679477102325196E-2</v>
      </c>
      <c r="O192" s="3">
        <f t="shared" si="128"/>
        <v>7.2679477102325182E-2</v>
      </c>
      <c r="P192" s="3">
        <f t="shared" si="128"/>
        <v>7.2679477102325155E-2</v>
      </c>
      <c r="Q192" s="3">
        <f t="shared" si="128"/>
        <v>7.2679477102324766E-2</v>
      </c>
      <c r="R192" s="3">
        <f t="shared" si="128"/>
        <v>7.267947710232095E-2</v>
      </c>
      <c r="S192" s="3">
        <f t="shared" si="128"/>
        <v>7.2679477102282744E-2</v>
      </c>
      <c r="T192" s="3">
        <f t="shared" si="128"/>
        <v>7.2679477101900689E-2</v>
      </c>
      <c r="U192" s="3">
        <f t="shared" si="128"/>
        <v>7.267947709808005E-2</v>
      </c>
      <c r="V192" s="3">
        <f t="shared" si="128"/>
        <v>7.2679477059873709E-2</v>
      </c>
      <c r="W192" s="3">
        <f t="shared" si="128"/>
        <v>7.2679476677810315E-2</v>
      </c>
      <c r="X192" s="3">
        <f t="shared" si="128"/>
        <v>7.2679472857176491E-2</v>
      </c>
      <c r="Y192" s="3">
        <f t="shared" si="128"/>
        <v>7.2679434650849278E-2</v>
      </c>
      <c r="Z192" s="3">
        <f t="shared" si="128"/>
        <v>7.2679052588681875E-2</v>
      </c>
      <c r="AA192" s="3">
        <f t="shared" si="128"/>
        <v>7.2675232077469606E-2</v>
      </c>
      <c r="AB192" s="3">
        <f t="shared" si="128"/>
        <v>7.263703800938523E-2</v>
      </c>
      <c r="AC192" s="3">
        <f t="shared" si="128"/>
        <v>7.2256199587290876E-2</v>
      </c>
      <c r="AD192" s="3">
        <f t="shared" si="128"/>
        <v>6.8555927132176245E-2</v>
      </c>
      <c r="AE192" s="3">
        <f t="shared" si="128"/>
        <v>4.0526951645206331E-2</v>
      </c>
      <c r="AF192" s="3">
        <f t="shared" si="128"/>
        <v>2.1121912319987203E-4</v>
      </c>
      <c r="AG192" s="3"/>
      <c r="AH192" s="3"/>
    </row>
    <row r="193" spans="1:34" x14ac:dyDescent="0.25">
      <c r="B193" s="3">
        <f t="shared" ref="B193:AF193" si="129">$C40*EXP(-B$168/$A40/EXP(-$C$126))</f>
        <v>2.5051354607062454E-2</v>
      </c>
      <c r="C193" s="3">
        <f t="shared" si="129"/>
        <v>2.5051354607062454E-2</v>
      </c>
      <c r="D193" s="3">
        <f t="shared" si="129"/>
        <v>2.5051354607062454E-2</v>
      </c>
      <c r="E193" s="3">
        <f t="shared" si="129"/>
        <v>2.5051354607062454E-2</v>
      </c>
      <c r="F193" s="3">
        <f t="shared" si="129"/>
        <v>2.5051354607062454E-2</v>
      </c>
      <c r="G193" s="3">
        <f t="shared" si="129"/>
        <v>2.5051354607062454E-2</v>
      </c>
      <c r="H193" s="3">
        <f t="shared" si="129"/>
        <v>2.5051354607062454E-2</v>
      </c>
      <c r="I193" s="3">
        <f t="shared" si="129"/>
        <v>2.5051354607062454E-2</v>
      </c>
      <c r="J193" s="3">
        <f t="shared" si="129"/>
        <v>2.5051354607062454E-2</v>
      </c>
      <c r="K193" s="3">
        <f t="shared" si="129"/>
        <v>2.5051354607062454E-2</v>
      </c>
      <c r="L193" s="3">
        <f t="shared" si="129"/>
        <v>2.5051354607062454E-2</v>
      </c>
      <c r="M193" s="3">
        <f t="shared" si="129"/>
        <v>2.5051354607062454E-2</v>
      </c>
      <c r="N193" s="3">
        <f t="shared" si="129"/>
        <v>2.5051354607062454E-2</v>
      </c>
      <c r="O193" s="3">
        <f t="shared" si="129"/>
        <v>2.5051354607062454E-2</v>
      </c>
      <c r="P193" s="3">
        <f t="shared" si="129"/>
        <v>2.505135460706245E-2</v>
      </c>
      <c r="Q193" s="3">
        <f t="shared" si="129"/>
        <v>2.505135460706244E-2</v>
      </c>
      <c r="R193" s="3">
        <f t="shared" si="129"/>
        <v>2.5051354607062308E-2</v>
      </c>
      <c r="S193" s="3">
        <f t="shared" si="129"/>
        <v>2.505135460706099E-2</v>
      </c>
      <c r="T193" s="3">
        <f t="shared" si="129"/>
        <v>2.5051354607047823E-2</v>
      </c>
      <c r="U193" s="3">
        <f t="shared" si="129"/>
        <v>2.5051354606916133E-2</v>
      </c>
      <c r="V193" s="3">
        <f t="shared" si="129"/>
        <v>2.5051354605599225E-2</v>
      </c>
      <c r="W193" s="3">
        <f t="shared" si="129"/>
        <v>2.5051354592430162E-2</v>
      </c>
      <c r="X193" s="3">
        <f t="shared" si="129"/>
        <v>2.5051354460739542E-2</v>
      </c>
      <c r="Y193" s="3">
        <f t="shared" si="129"/>
        <v>2.5051353143833357E-2</v>
      </c>
      <c r="Z193" s="3">
        <f t="shared" si="129"/>
        <v>2.5051339974775332E-2</v>
      </c>
      <c r="AA193" s="3">
        <f t="shared" si="129"/>
        <v>2.5051208284575854E-2</v>
      </c>
      <c r="AB193" s="3">
        <f t="shared" si="129"/>
        <v>2.5049891420655328E-2</v>
      </c>
      <c r="AC193" s="3">
        <f t="shared" si="129"/>
        <v>2.5036726588138429E-2</v>
      </c>
      <c r="AD193" s="3">
        <f t="shared" si="129"/>
        <v>2.490545819243371E-2</v>
      </c>
      <c r="AE193" s="3">
        <f t="shared" si="129"/>
        <v>2.3630038485088892E-2</v>
      </c>
      <c r="AF193" s="3">
        <f t="shared" si="129"/>
        <v>1.3968936999614935E-2</v>
      </c>
      <c r="AG193" s="3"/>
      <c r="AH193" s="3"/>
    </row>
    <row r="194" spans="1:34" x14ac:dyDescent="0.25">
      <c r="B194" s="3">
        <f t="shared" ref="B194:AF194" si="130">$C41*EXP(-B$168/$A41/EXP(-$C$126))</f>
        <v>6.9730699512145403E-2</v>
      </c>
      <c r="C194" s="3">
        <f t="shared" si="130"/>
        <v>6.9730699512145403E-2</v>
      </c>
      <c r="D194" s="3">
        <f t="shared" si="130"/>
        <v>6.9730699512145403E-2</v>
      </c>
      <c r="E194" s="3">
        <f t="shared" si="130"/>
        <v>6.9730699512145403E-2</v>
      </c>
      <c r="F194" s="3">
        <f t="shared" si="130"/>
        <v>6.9730699512145403E-2</v>
      </c>
      <c r="G194" s="3">
        <f t="shared" si="130"/>
        <v>6.9730699512145403E-2</v>
      </c>
      <c r="H194" s="3">
        <f t="shared" si="130"/>
        <v>6.9730699512145403E-2</v>
      </c>
      <c r="I194" s="3">
        <f t="shared" si="130"/>
        <v>6.9730699512145403E-2</v>
      </c>
      <c r="J194" s="3">
        <f t="shared" si="130"/>
        <v>6.9730699512145403E-2</v>
      </c>
      <c r="K194" s="3">
        <f t="shared" si="130"/>
        <v>6.9730699512145403E-2</v>
      </c>
      <c r="L194" s="3">
        <f t="shared" si="130"/>
        <v>6.9730699512145403E-2</v>
      </c>
      <c r="M194" s="3">
        <f t="shared" si="130"/>
        <v>6.9730699512145403E-2</v>
      </c>
      <c r="N194" s="3">
        <f t="shared" si="130"/>
        <v>6.9730699512145403E-2</v>
      </c>
      <c r="O194" s="3">
        <f t="shared" si="130"/>
        <v>6.9730699512145403E-2</v>
      </c>
      <c r="P194" s="3">
        <f t="shared" si="130"/>
        <v>6.9730699512145403E-2</v>
      </c>
      <c r="Q194" s="3">
        <f t="shared" si="130"/>
        <v>6.9730699512145389E-2</v>
      </c>
      <c r="R194" s="3">
        <f t="shared" si="130"/>
        <v>6.9730699512145361E-2</v>
      </c>
      <c r="S194" s="3">
        <f t="shared" si="130"/>
        <v>6.9730699512144986E-2</v>
      </c>
      <c r="T194" s="3">
        <f t="shared" si="130"/>
        <v>6.9730699512141336E-2</v>
      </c>
      <c r="U194" s="3">
        <f t="shared" si="130"/>
        <v>6.9730699512104671E-2</v>
      </c>
      <c r="V194" s="3">
        <f t="shared" si="130"/>
        <v>6.9730699511738117E-2</v>
      </c>
      <c r="W194" s="3">
        <f t="shared" si="130"/>
        <v>6.9730699508072494E-2</v>
      </c>
      <c r="X194" s="3">
        <f t="shared" si="130"/>
        <v>6.9730699471416274E-2</v>
      </c>
      <c r="Y194" s="3">
        <f t="shared" si="130"/>
        <v>6.9730699104854091E-2</v>
      </c>
      <c r="Z194" s="3">
        <f t="shared" si="130"/>
        <v>6.9730695439232382E-2</v>
      </c>
      <c r="AA194" s="3">
        <f t="shared" si="130"/>
        <v>6.9730658783025867E-2</v>
      </c>
      <c r="AB194" s="3">
        <f t="shared" si="130"/>
        <v>6.9730292222020582E-2</v>
      </c>
      <c r="AC194" s="3">
        <f t="shared" si="130"/>
        <v>6.9726626717947812E-2</v>
      </c>
      <c r="AD194" s="3">
        <f t="shared" si="130"/>
        <v>6.9689982273175757E-2</v>
      </c>
      <c r="AE194" s="3">
        <f t="shared" si="130"/>
        <v>6.9324595362970642E-2</v>
      </c>
      <c r="AF194" s="3">
        <f t="shared" si="130"/>
        <v>6.577445167774025E-2</v>
      </c>
      <c r="AG194" s="3"/>
      <c r="AH194" s="3"/>
    </row>
    <row r="195" spans="1:34" x14ac:dyDescent="0.25">
      <c r="B195" s="3">
        <f t="shared" ref="B195:AF195" si="131">$C42*EXP(-B$168/$A42/EXP(-$C$126))</f>
        <v>3.3620821697873268E-2</v>
      </c>
      <c r="C195" s="3">
        <f t="shared" si="131"/>
        <v>3.3620821697873268E-2</v>
      </c>
      <c r="D195" s="3">
        <f t="shared" si="131"/>
        <v>3.3620821697873268E-2</v>
      </c>
      <c r="E195" s="3">
        <f t="shared" si="131"/>
        <v>3.3620821697873268E-2</v>
      </c>
      <c r="F195" s="3">
        <f t="shared" si="131"/>
        <v>3.3620821697873268E-2</v>
      </c>
      <c r="G195" s="3">
        <f t="shared" si="131"/>
        <v>3.3620821697873268E-2</v>
      </c>
      <c r="H195" s="3">
        <f t="shared" si="131"/>
        <v>3.3620821697873268E-2</v>
      </c>
      <c r="I195" s="3">
        <f t="shared" si="131"/>
        <v>3.3620821697873268E-2</v>
      </c>
      <c r="J195" s="3">
        <f t="shared" si="131"/>
        <v>3.3620821697873268E-2</v>
      </c>
      <c r="K195" s="3">
        <f t="shared" si="131"/>
        <v>3.3620821697873268E-2</v>
      </c>
      <c r="L195" s="3">
        <f t="shared" si="131"/>
        <v>3.3620821697873268E-2</v>
      </c>
      <c r="M195" s="3">
        <f t="shared" si="131"/>
        <v>3.3620821697873268E-2</v>
      </c>
      <c r="N195" s="3">
        <f t="shared" si="131"/>
        <v>3.3620821697873268E-2</v>
      </c>
      <c r="O195" s="3">
        <f t="shared" si="131"/>
        <v>3.3620821697873268E-2</v>
      </c>
      <c r="P195" s="3">
        <f t="shared" si="131"/>
        <v>3.3620821697873268E-2</v>
      </c>
      <c r="Q195" s="3">
        <f t="shared" si="131"/>
        <v>3.3620821697873268E-2</v>
      </c>
      <c r="R195" s="3">
        <f t="shared" si="131"/>
        <v>3.3620821697873261E-2</v>
      </c>
      <c r="S195" s="3">
        <f t="shared" si="131"/>
        <v>3.3620821697873247E-2</v>
      </c>
      <c r="T195" s="3">
        <f t="shared" si="131"/>
        <v>3.3620821697873067E-2</v>
      </c>
      <c r="U195" s="3">
        <f t="shared" si="131"/>
        <v>3.3620821697871305E-2</v>
      </c>
      <c r="V195" s="3">
        <f t="shared" si="131"/>
        <v>3.3620821697853631E-2</v>
      </c>
      <c r="W195" s="3">
        <f t="shared" si="131"/>
        <v>3.3620821697676891E-2</v>
      </c>
      <c r="X195" s="3">
        <f t="shared" si="131"/>
        <v>3.3620821695909506E-2</v>
      </c>
      <c r="Y195" s="3">
        <f t="shared" si="131"/>
        <v>3.3620821678235623E-2</v>
      </c>
      <c r="Z195" s="3">
        <f t="shared" si="131"/>
        <v>3.3620821501496798E-2</v>
      </c>
      <c r="AA195" s="3">
        <f t="shared" si="131"/>
        <v>3.3620819734108624E-2</v>
      </c>
      <c r="AB195" s="3">
        <f t="shared" si="131"/>
        <v>3.362080206023195E-2</v>
      </c>
      <c r="AC195" s="3">
        <f t="shared" si="131"/>
        <v>3.3620625321976252E-2</v>
      </c>
      <c r="AD195" s="3">
        <f t="shared" si="131"/>
        <v>3.3618857990517864E-2</v>
      </c>
      <c r="AE195" s="3">
        <f t="shared" si="131"/>
        <v>3.3601189784799028E-2</v>
      </c>
      <c r="AF195" s="3">
        <f t="shared" si="131"/>
        <v>3.3425017621825058E-2</v>
      </c>
      <c r="AG195" s="3"/>
      <c r="AH195" s="3"/>
    </row>
    <row r="196" spans="1:34" x14ac:dyDescent="0.25">
      <c r="B196" s="3">
        <f t="shared" ref="B196:AF196" si="132">$C43*EXP(-B$168/$A43/EXP(-$C$126))</f>
        <v>4.4529414265274125E-2</v>
      </c>
      <c r="C196" s="3">
        <f t="shared" si="132"/>
        <v>4.4529414265274125E-2</v>
      </c>
      <c r="D196" s="3">
        <f t="shared" si="132"/>
        <v>4.4529414265274125E-2</v>
      </c>
      <c r="E196" s="3">
        <f t="shared" si="132"/>
        <v>4.4529414265274125E-2</v>
      </c>
      <c r="F196" s="3">
        <f t="shared" si="132"/>
        <v>4.4529414265274125E-2</v>
      </c>
      <c r="G196" s="3">
        <f t="shared" si="132"/>
        <v>4.4529414265274125E-2</v>
      </c>
      <c r="H196" s="3">
        <f t="shared" si="132"/>
        <v>4.4529414265274125E-2</v>
      </c>
      <c r="I196" s="3">
        <f t="shared" si="132"/>
        <v>4.4529414265274125E-2</v>
      </c>
      <c r="J196" s="3">
        <f t="shared" si="132"/>
        <v>4.4529414265274125E-2</v>
      </c>
      <c r="K196" s="3">
        <f t="shared" si="132"/>
        <v>4.4529414265274125E-2</v>
      </c>
      <c r="L196" s="3">
        <f t="shared" si="132"/>
        <v>4.4529414265274125E-2</v>
      </c>
      <c r="M196" s="3">
        <f t="shared" si="132"/>
        <v>4.4529414265274125E-2</v>
      </c>
      <c r="N196" s="3">
        <f t="shared" si="132"/>
        <v>4.4529414265274125E-2</v>
      </c>
      <c r="O196" s="3">
        <f t="shared" si="132"/>
        <v>4.4529414265274125E-2</v>
      </c>
      <c r="P196" s="3">
        <f t="shared" si="132"/>
        <v>4.4529414265274125E-2</v>
      </c>
      <c r="Q196" s="3">
        <f t="shared" si="132"/>
        <v>4.4529414265274125E-2</v>
      </c>
      <c r="R196" s="3">
        <f t="shared" si="132"/>
        <v>4.4529414265274125E-2</v>
      </c>
      <c r="S196" s="3">
        <f t="shared" si="132"/>
        <v>4.4529414265274118E-2</v>
      </c>
      <c r="T196" s="3">
        <f t="shared" si="132"/>
        <v>4.4529414265274098E-2</v>
      </c>
      <c r="U196" s="3">
        <f t="shared" si="132"/>
        <v>4.4529414265273862E-2</v>
      </c>
      <c r="V196" s="3">
        <f t="shared" si="132"/>
        <v>4.4529414265271523E-2</v>
      </c>
      <c r="W196" s="3">
        <f t="shared" si="132"/>
        <v>4.4529414265248118E-2</v>
      </c>
      <c r="X196" s="3">
        <f t="shared" si="132"/>
        <v>4.4529414265014035E-2</v>
      </c>
      <c r="Y196" s="3">
        <f t="shared" si="132"/>
        <v>4.4529414262673199E-2</v>
      </c>
      <c r="Z196" s="3">
        <f t="shared" si="132"/>
        <v>4.4529414239264861E-2</v>
      </c>
      <c r="AA196" s="3">
        <f t="shared" si="132"/>
        <v>4.4529414005181463E-2</v>
      </c>
      <c r="AB196" s="3">
        <f t="shared" si="132"/>
        <v>4.4529411664347526E-2</v>
      </c>
      <c r="AC196" s="3">
        <f t="shared" si="132"/>
        <v>4.4529388256014941E-2</v>
      </c>
      <c r="AD196" s="3">
        <f t="shared" si="132"/>
        <v>4.4529154173365948E-2</v>
      </c>
      <c r="AE196" s="3">
        <f t="shared" si="132"/>
        <v>4.4526813414553987E-2</v>
      </c>
      <c r="AF196" s="3">
        <f t="shared" si="132"/>
        <v>4.4503412592918866E-2</v>
      </c>
      <c r="AG196" s="3"/>
      <c r="AH196" s="3"/>
    </row>
    <row r="197" spans="1:34" x14ac:dyDescent="0.25">
      <c r="B197" s="3">
        <f t="shared" ref="B197:AF197" si="133">$C44*EXP(-B$168/$A44/EXP(-$C$126))</f>
        <v>1.2215661921031389E-2</v>
      </c>
      <c r="C197" s="3">
        <f t="shared" si="133"/>
        <v>1.2215661921031389E-2</v>
      </c>
      <c r="D197" s="3">
        <f t="shared" si="133"/>
        <v>1.2215661921031389E-2</v>
      </c>
      <c r="E197" s="3">
        <f t="shared" si="133"/>
        <v>1.2215661921031389E-2</v>
      </c>
      <c r="F197" s="3">
        <f t="shared" si="133"/>
        <v>1.2215661921031389E-2</v>
      </c>
      <c r="G197" s="3">
        <f t="shared" si="133"/>
        <v>1.2215661921031389E-2</v>
      </c>
      <c r="H197" s="3">
        <f t="shared" si="133"/>
        <v>1.2215661921031389E-2</v>
      </c>
      <c r="I197" s="3">
        <f t="shared" si="133"/>
        <v>1.2215661921031389E-2</v>
      </c>
      <c r="J197" s="3">
        <f t="shared" si="133"/>
        <v>1.2215661921031389E-2</v>
      </c>
      <c r="K197" s="3">
        <f t="shared" si="133"/>
        <v>1.2215661921031389E-2</v>
      </c>
      <c r="L197" s="3">
        <f t="shared" si="133"/>
        <v>1.2215661921031389E-2</v>
      </c>
      <c r="M197" s="3">
        <f t="shared" si="133"/>
        <v>1.2215661921031389E-2</v>
      </c>
      <c r="N197" s="3">
        <f t="shared" si="133"/>
        <v>1.2215661921031389E-2</v>
      </c>
      <c r="O197" s="3">
        <f t="shared" si="133"/>
        <v>1.2215661921031389E-2</v>
      </c>
      <c r="P197" s="3">
        <f t="shared" si="133"/>
        <v>1.2215661921031389E-2</v>
      </c>
      <c r="Q197" s="3">
        <f t="shared" si="133"/>
        <v>1.2215661921031389E-2</v>
      </c>
      <c r="R197" s="3">
        <f t="shared" si="133"/>
        <v>1.2215661921031389E-2</v>
      </c>
      <c r="S197" s="3">
        <f t="shared" si="133"/>
        <v>1.2215661921031389E-2</v>
      </c>
      <c r="T197" s="3">
        <f t="shared" si="133"/>
        <v>1.2215661921031387E-2</v>
      </c>
      <c r="U197" s="3">
        <f t="shared" si="133"/>
        <v>1.2215661921031382E-2</v>
      </c>
      <c r="V197" s="3">
        <f t="shared" si="133"/>
        <v>1.2215661921031318E-2</v>
      </c>
      <c r="W197" s="3">
        <f t="shared" si="133"/>
        <v>1.2215661921030676E-2</v>
      </c>
      <c r="X197" s="3">
        <f t="shared" si="133"/>
        <v>1.2215661921024254E-2</v>
      </c>
      <c r="Y197" s="3">
        <f t="shared" si="133"/>
        <v>1.2215661920960038E-2</v>
      </c>
      <c r="Z197" s="3">
        <f t="shared" si="133"/>
        <v>1.2215661920317882E-2</v>
      </c>
      <c r="AA197" s="3">
        <f t="shared" si="133"/>
        <v>1.2215661913896322E-2</v>
      </c>
      <c r="AB197" s="3">
        <f t="shared" si="133"/>
        <v>1.2215661849680707E-2</v>
      </c>
      <c r="AC197" s="3">
        <f t="shared" si="133"/>
        <v>1.2215661207524585E-2</v>
      </c>
      <c r="AD197" s="3">
        <f t="shared" si="133"/>
        <v>1.2215654785965226E-2</v>
      </c>
      <c r="AE197" s="3">
        <f t="shared" si="133"/>
        <v>1.2215590570557301E-2</v>
      </c>
      <c r="AF197" s="3">
        <f t="shared" si="133"/>
        <v>1.2214948435044014E-2</v>
      </c>
      <c r="AG197" s="3"/>
      <c r="AH197" s="3"/>
    </row>
    <row r="198" spans="1:34" x14ac:dyDescent="0.25">
      <c r="B198" s="3">
        <f t="shared" ref="B198:AF198" si="134">$C45*EXP(-B$168/$A45/EXP(-$C$126))</f>
        <v>1.4917700620223399E-2</v>
      </c>
      <c r="C198" s="3">
        <f t="shared" si="134"/>
        <v>1.4917700620223399E-2</v>
      </c>
      <c r="D198" s="3">
        <f t="shared" si="134"/>
        <v>1.4917700620223399E-2</v>
      </c>
      <c r="E198" s="3">
        <f t="shared" si="134"/>
        <v>1.4917700620223399E-2</v>
      </c>
      <c r="F198" s="3">
        <f t="shared" si="134"/>
        <v>1.4917700620223399E-2</v>
      </c>
      <c r="G198" s="3">
        <f t="shared" si="134"/>
        <v>1.4917700620223399E-2</v>
      </c>
      <c r="H198" s="3">
        <f t="shared" si="134"/>
        <v>1.4917700620223399E-2</v>
      </c>
      <c r="I198" s="3">
        <f t="shared" si="134"/>
        <v>1.4917700620223399E-2</v>
      </c>
      <c r="J198" s="3">
        <f t="shared" si="134"/>
        <v>1.4917700620223399E-2</v>
      </c>
      <c r="K198" s="3">
        <f t="shared" si="134"/>
        <v>1.4917700620223399E-2</v>
      </c>
      <c r="L198" s="3">
        <f t="shared" si="134"/>
        <v>1.4917700620223399E-2</v>
      </c>
      <c r="M198" s="3">
        <f t="shared" si="134"/>
        <v>1.4917700620223399E-2</v>
      </c>
      <c r="N198" s="3">
        <f t="shared" si="134"/>
        <v>1.4917700620223399E-2</v>
      </c>
      <c r="O198" s="3">
        <f t="shared" si="134"/>
        <v>1.4917700620223399E-2</v>
      </c>
      <c r="P198" s="3">
        <f t="shared" si="134"/>
        <v>1.4917700620223399E-2</v>
      </c>
      <c r="Q198" s="3">
        <f t="shared" si="134"/>
        <v>1.4917700620223399E-2</v>
      </c>
      <c r="R198" s="3">
        <f t="shared" si="134"/>
        <v>1.4917700620223399E-2</v>
      </c>
      <c r="S198" s="3">
        <f t="shared" si="134"/>
        <v>1.4917700620223399E-2</v>
      </c>
      <c r="T198" s="3">
        <f t="shared" si="134"/>
        <v>1.4917700620223399E-2</v>
      </c>
      <c r="U198" s="3">
        <f t="shared" si="134"/>
        <v>1.4917700620223398E-2</v>
      </c>
      <c r="V198" s="3">
        <f t="shared" si="134"/>
        <v>1.4917700620223391E-2</v>
      </c>
      <c r="W198" s="3">
        <f t="shared" si="134"/>
        <v>1.4917700620223311E-2</v>
      </c>
      <c r="X198" s="3">
        <f t="shared" si="134"/>
        <v>1.4917700620222529E-2</v>
      </c>
      <c r="Y198" s="3">
        <f t="shared" si="134"/>
        <v>1.4917700620214686E-2</v>
      </c>
      <c r="Z198" s="3">
        <f t="shared" si="134"/>
        <v>1.4917700620136268E-2</v>
      </c>
      <c r="AA198" s="3">
        <f t="shared" si="134"/>
        <v>1.4917700619352069E-2</v>
      </c>
      <c r="AB198" s="3">
        <f t="shared" si="134"/>
        <v>1.4917700611510093E-2</v>
      </c>
      <c r="AC198" s="3">
        <f t="shared" si="134"/>
        <v>1.4917700533090331E-2</v>
      </c>
      <c r="AD198" s="3">
        <f t="shared" si="134"/>
        <v>1.491769974889273E-2</v>
      </c>
      <c r="AE198" s="3">
        <f t="shared" si="134"/>
        <v>1.4917691906918986E-2</v>
      </c>
      <c r="AF198" s="3">
        <f t="shared" si="134"/>
        <v>1.4917613487408294E-2</v>
      </c>
      <c r="AG198" s="3"/>
      <c r="AH198" s="3"/>
    </row>
    <row r="199" spans="1:34" x14ac:dyDescent="0.25">
      <c r="B199" s="3">
        <f t="shared" ref="B199:AF199" si="135">$C46*EXP(-B$168/$A46/EXP(-$C$126))</f>
        <v>7.6434223584492019E-4</v>
      </c>
      <c r="C199" s="3">
        <f t="shared" si="135"/>
        <v>7.6434223584492019E-4</v>
      </c>
      <c r="D199" s="3">
        <f t="shared" si="135"/>
        <v>7.6434223584492019E-4</v>
      </c>
      <c r="E199" s="3">
        <f t="shared" si="135"/>
        <v>7.6434223584492019E-4</v>
      </c>
      <c r="F199" s="3">
        <f t="shared" si="135"/>
        <v>7.6434223584492019E-4</v>
      </c>
      <c r="G199" s="3">
        <f t="shared" si="135"/>
        <v>7.6434223584492019E-4</v>
      </c>
      <c r="H199" s="3">
        <f t="shared" si="135"/>
        <v>7.6434223584492019E-4</v>
      </c>
      <c r="I199" s="3">
        <f t="shared" si="135"/>
        <v>7.6434223584492019E-4</v>
      </c>
      <c r="J199" s="3">
        <f t="shared" si="135"/>
        <v>7.6434223584492019E-4</v>
      </c>
      <c r="K199" s="3">
        <f t="shared" si="135"/>
        <v>7.6434223584492019E-4</v>
      </c>
      <c r="L199" s="3">
        <f t="shared" si="135"/>
        <v>7.6434223584492019E-4</v>
      </c>
      <c r="M199" s="3">
        <f t="shared" si="135"/>
        <v>7.6434223584492019E-4</v>
      </c>
      <c r="N199" s="3">
        <f t="shared" si="135"/>
        <v>7.6434223584492019E-4</v>
      </c>
      <c r="O199" s="3">
        <f t="shared" si="135"/>
        <v>7.6434223584492019E-4</v>
      </c>
      <c r="P199" s="3">
        <f t="shared" si="135"/>
        <v>7.6434223584492019E-4</v>
      </c>
      <c r="Q199" s="3">
        <f t="shared" si="135"/>
        <v>7.6434223584492019E-4</v>
      </c>
      <c r="R199" s="3">
        <f t="shared" si="135"/>
        <v>7.6434223584492019E-4</v>
      </c>
      <c r="S199" s="3">
        <f t="shared" si="135"/>
        <v>7.6434223584492019E-4</v>
      </c>
      <c r="T199" s="3">
        <f t="shared" si="135"/>
        <v>7.6434223584492019E-4</v>
      </c>
      <c r="U199" s="3">
        <f t="shared" si="135"/>
        <v>7.6434223584492019E-4</v>
      </c>
      <c r="V199" s="3">
        <f t="shared" si="135"/>
        <v>7.6434223584492009E-4</v>
      </c>
      <c r="W199" s="3">
        <f t="shared" si="135"/>
        <v>7.6434223584491976E-4</v>
      </c>
      <c r="X199" s="3">
        <f t="shared" si="135"/>
        <v>7.6434223584491575E-4</v>
      </c>
      <c r="Y199" s="3">
        <f t="shared" si="135"/>
        <v>7.6434223584487552E-4</v>
      </c>
      <c r="Z199" s="3">
        <f t="shared" si="135"/>
        <v>7.6434223584447372E-4</v>
      </c>
      <c r="AA199" s="3">
        <f t="shared" si="135"/>
        <v>7.6434223584045577E-4</v>
      </c>
      <c r="AB199" s="3">
        <f t="shared" si="135"/>
        <v>7.6434223580027557E-4</v>
      </c>
      <c r="AC199" s="3">
        <f t="shared" si="135"/>
        <v>7.6434223539847415E-4</v>
      </c>
      <c r="AD199" s="3">
        <f t="shared" si="135"/>
        <v>7.6434223138045971E-4</v>
      </c>
      <c r="AE199" s="3">
        <f t="shared" si="135"/>
        <v>7.6434219120031653E-4</v>
      </c>
      <c r="AF199" s="3">
        <f t="shared" si="135"/>
        <v>7.6434178939900025E-4</v>
      </c>
      <c r="AG199" s="3"/>
      <c r="AH199" s="3"/>
    </row>
    <row r="200" spans="1:34" x14ac:dyDescent="0.25">
      <c r="B200" s="3">
        <f t="shared" ref="B200:AF200" si="136">$C47*EXP(-B$168/$A47/EXP(-$C$126))</f>
        <v>3.2171693394281238E-3</v>
      </c>
      <c r="C200" s="3">
        <f t="shared" si="136"/>
        <v>3.2171693394281238E-3</v>
      </c>
      <c r="D200" s="3">
        <f t="shared" si="136"/>
        <v>3.2171693394281238E-3</v>
      </c>
      <c r="E200" s="3">
        <f t="shared" si="136"/>
        <v>3.2171693394281238E-3</v>
      </c>
      <c r="F200" s="3">
        <f t="shared" si="136"/>
        <v>3.2171693394281238E-3</v>
      </c>
      <c r="G200" s="3">
        <f t="shared" si="136"/>
        <v>3.2171693394281238E-3</v>
      </c>
      <c r="H200" s="3">
        <f t="shared" si="136"/>
        <v>3.2171693394281238E-3</v>
      </c>
      <c r="I200" s="3">
        <f t="shared" si="136"/>
        <v>3.2171693394281238E-3</v>
      </c>
      <c r="J200" s="3">
        <f t="shared" si="136"/>
        <v>3.2171693394281238E-3</v>
      </c>
      <c r="K200" s="3">
        <f t="shared" si="136"/>
        <v>3.2171693394281238E-3</v>
      </c>
      <c r="L200" s="3">
        <f t="shared" si="136"/>
        <v>3.2171693394281238E-3</v>
      </c>
      <c r="M200" s="3">
        <f t="shared" si="136"/>
        <v>3.2171693394281238E-3</v>
      </c>
      <c r="N200" s="3">
        <f t="shared" si="136"/>
        <v>3.2171693394281238E-3</v>
      </c>
      <c r="O200" s="3">
        <f t="shared" si="136"/>
        <v>3.2171693394281238E-3</v>
      </c>
      <c r="P200" s="3">
        <f t="shared" si="136"/>
        <v>3.2171693394281238E-3</v>
      </c>
      <c r="Q200" s="3">
        <f t="shared" si="136"/>
        <v>3.2171693394281238E-3</v>
      </c>
      <c r="R200" s="3">
        <f t="shared" si="136"/>
        <v>3.2171693394281238E-3</v>
      </c>
      <c r="S200" s="3">
        <f t="shared" si="136"/>
        <v>3.2171693394281238E-3</v>
      </c>
      <c r="T200" s="3">
        <f t="shared" si="136"/>
        <v>3.2171693394281238E-3</v>
      </c>
      <c r="U200" s="3">
        <f t="shared" si="136"/>
        <v>3.2171693394281238E-3</v>
      </c>
      <c r="V200" s="3">
        <f t="shared" si="136"/>
        <v>3.2171693394281238E-3</v>
      </c>
      <c r="W200" s="3">
        <f t="shared" si="136"/>
        <v>3.2171693394281234E-3</v>
      </c>
      <c r="X200" s="3">
        <f t="shared" si="136"/>
        <v>3.2171693394281221E-3</v>
      </c>
      <c r="Y200" s="3">
        <f t="shared" si="136"/>
        <v>3.2171693394281047E-3</v>
      </c>
      <c r="Z200" s="3">
        <f t="shared" si="136"/>
        <v>3.217169339427936E-3</v>
      </c>
      <c r="AA200" s="3">
        <f t="shared" si="136"/>
        <v>3.2171693394262447E-3</v>
      </c>
      <c r="AB200" s="3">
        <f t="shared" si="136"/>
        <v>3.2171693394093329E-3</v>
      </c>
      <c r="AC200" s="3">
        <f t="shared" si="136"/>
        <v>3.2171693392402116E-3</v>
      </c>
      <c r="AD200" s="3">
        <f t="shared" si="136"/>
        <v>3.2171693375490015E-3</v>
      </c>
      <c r="AE200" s="3">
        <f t="shared" si="136"/>
        <v>3.2171693206369009E-3</v>
      </c>
      <c r="AF200" s="3">
        <f t="shared" si="136"/>
        <v>3.217169151515899E-3</v>
      </c>
      <c r="AG200" s="3"/>
      <c r="AH200" s="3"/>
    </row>
    <row r="201" spans="1:34" x14ac:dyDescent="0.25">
      <c r="B201" s="3">
        <f t="shared" ref="B201:AF201" si="137">$C48*EXP(-B$168/$A48/EXP(-$C$126))</f>
        <v>1.3215886936532927E-2</v>
      </c>
      <c r="C201" s="3">
        <f t="shared" si="137"/>
        <v>1.3215886936532927E-2</v>
      </c>
      <c r="D201" s="3">
        <f t="shared" si="137"/>
        <v>1.3215886936532927E-2</v>
      </c>
      <c r="E201" s="3">
        <f t="shared" si="137"/>
        <v>1.3215886936532927E-2</v>
      </c>
      <c r="F201" s="3">
        <f t="shared" si="137"/>
        <v>1.3215886936532927E-2</v>
      </c>
      <c r="G201" s="3">
        <f t="shared" si="137"/>
        <v>1.3215886936532927E-2</v>
      </c>
      <c r="H201" s="3">
        <f t="shared" si="137"/>
        <v>1.3215886936532927E-2</v>
      </c>
      <c r="I201" s="3">
        <f t="shared" si="137"/>
        <v>1.3215886936532927E-2</v>
      </c>
      <c r="J201" s="3">
        <f t="shared" si="137"/>
        <v>1.3215886936532927E-2</v>
      </c>
      <c r="K201" s="3">
        <f t="shared" si="137"/>
        <v>1.3215886936532927E-2</v>
      </c>
      <c r="L201" s="3">
        <f t="shared" si="137"/>
        <v>1.3215886936532927E-2</v>
      </c>
      <c r="M201" s="3">
        <f t="shared" si="137"/>
        <v>1.3215886936532927E-2</v>
      </c>
      <c r="N201" s="3">
        <f t="shared" si="137"/>
        <v>1.3215886936532927E-2</v>
      </c>
      <c r="O201" s="3">
        <f t="shared" si="137"/>
        <v>1.3215886936532927E-2</v>
      </c>
      <c r="P201" s="3">
        <f t="shared" si="137"/>
        <v>1.3215886936532927E-2</v>
      </c>
      <c r="Q201" s="3">
        <f t="shared" si="137"/>
        <v>1.3215886936532927E-2</v>
      </c>
      <c r="R201" s="3">
        <f t="shared" si="137"/>
        <v>1.3215886936532927E-2</v>
      </c>
      <c r="S201" s="3">
        <f t="shared" si="137"/>
        <v>1.3215886936532927E-2</v>
      </c>
      <c r="T201" s="3">
        <f t="shared" si="137"/>
        <v>1.3215886936532927E-2</v>
      </c>
      <c r="U201" s="3">
        <f t="shared" si="137"/>
        <v>1.3215886936532927E-2</v>
      </c>
      <c r="V201" s="3">
        <f t="shared" si="137"/>
        <v>1.3215886936532927E-2</v>
      </c>
      <c r="W201" s="3">
        <f t="shared" si="137"/>
        <v>1.3215886936532927E-2</v>
      </c>
      <c r="X201" s="3">
        <f t="shared" si="137"/>
        <v>1.3215886936532925E-2</v>
      </c>
      <c r="Y201" s="3">
        <f t="shared" si="137"/>
        <v>1.321588693653292E-2</v>
      </c>
      <c r="Z201" s="3">
        <f t="shared" si="137"/>
        <v>1.3215886936532849E-2</v>
      </c>
      <c r="AA201" s="3">
        <f t="shared" si="137"/>
        <v>1.3215886936532155E-2</v>
      </c>
      <c r="AB201" s="3">
        <f t="shared" si="137"/>
        <v>1.3215886936525208E-2</v>
      </c>
      <c r="AC201" s="3">
        <f t="shared" si="137"/>
        <v>1.3215886936455735E-2</v>
      </c>
      <c r="AD201" s="3">
        <f t="shared" si="137"/>
        <v>1.3215886935760998E-2</v>
      </c>
      <c r="AE201" s="3">
        <f t="shared" si="137"/>
        <v>1.3215886928813637E-2</v>
      </c>
      <c r="AF201" s="3">
        <f t="shared" si="137"/>
        <v>1.3215886859340012E-2</v>
      </c>
      <c r="AG201" s="3"/>
      <c r="AH201" s="3"/>
    </row>
    <row r="202" spans="1:34" x14ac:dyDescent="0.25">
      <c r="A202" s="79">
        <f>AVERAGE(B202:AF202)</f>
        <v>4.6665889395846427E-2</v>
      </c>
      <c r="B202" s="80">
        <f>IF($A$64&lt;=B168,IF($B$64&gt;=B168,ABS((B170-B169)/B169),0),0)</f>
        <v>3.0403113398978499E-3</v>
      </c>
      <c r="C202" s="80">
        <f t="shared" ref="C202:AF202" si="138">IF($A$64&lt;=C168,IF($B$64&gt;=C168,ABS((C170-C169)/C169),0),0)</f>
        <v>4.3462519815068946E-3</v>
      </c>
      <c r="D202" s="80">
        <f t="shared" si="138"/>
        <v>1.417288551102701E-2</v>
      </c>
      <c r="E202" s="80">
        <f t="shared" si="138"/>
        <v>2.8312788256058392E-2</v>
      </c>
      <c r="F202" s="80">
        <f t="shared" si="138"/>
        <v>2.8385552807986283E-2</v>
      </c>
      <c r="G202" s="80">
        <f t="shared" si="138"/>
        <v>2.8376531822058577E-2</v>
      </c>
      <c r="H202" s="80">
        <f t="shared" si="138"/>
        <v>2.8288995326723181E-2</v>
      </c>
      <c r="I202" s="80">
        <f t="shared" si="138"/>
        <v>2.7463015559668978E-2</v>
      </c>
      <c r="J202" s="80">
        <f t="shared" si="138"/>
        <v>2.1755059368074495E-2</v>
      </c>
      <c r="K202" s="80">
        <f t="shared" si="138"/>
        <v>2.6103380589137262E-2</v>
      </c>
      <c r="L202" s="80">
        <f t="shared" si="138"/>
        <v>2.6648588537697582E-2</v>
      </c>
      <c r="M202" s="80">
        <f t="shared" si="138"/>
        <v>2.755604925713253E-2</v>
      </c>
      <c r="N202" s="80">
        <f t="shared" si="138"/>
        <v>2.9455513233409308E-2</v>
      </c>
      <c r="O202" s="80">
        <f t="shared" si="138"/>
        <v>3.2234314854111733E-2</v>
      </c>
      <c r="P202" s="80">
        <f t="shared" si="138"/>
        <v>3.4850424822608979E-2</v>
      </c>
      <c r="Q202" s="80">
        <f t="shared" si="138"/>
        <v>3.6347911188106589E-2</v>
      </c>
      <c r="R202" s="80">
        <f t="shared" si="138"/>
        <v>3.6210665212659074E-2</v>
      </c>
      <c r="S202" s="80">
        <f t="shared" si="138"/>
        <v>3.8322690546912598E-2</v>
      </c>
      <c r="T202" s="80">
        <f t="shared" si="138"/>
        <v>3.9147291886478031E-2</v>
      </c>
      <c r="U202" s="80">
        <f t="shared" si="138"/>
        <v>1.5037561580032105E-2</v>
      </c>
      <c r="V202" s="80">
        <f t="shared" si="138"/>
        <v>3.8647827695495428E-2</v>
      </c>
      <c r="W202" s="80">
        <f t="shared" si="138"/>
        <v>9.6965504557125298E-2</v>
      </c>
      <c r="X202" s="80">
        <f t="shared" si="138"/>
        <v>0.13511378459847953</v>
      </c>
      <c r="Y202" s="80">
        <f t="shared" si="138"/>
        <v>0.15711933369308917</v>
      </c>
      <c r="Z202" s="80">
        <f t="shared" si="138"/>
        <v>0.13475815999626162</v>
      </c>
      <c r="AA202" s="80">
        <f t="shared" si="138"/>
        <v>9.1718922331592845E-2</v>
      </c>
      <c r="AB202" s="80">
        <f t="shared" si="138"/>
        <v>4.1016598389167179E-2</v>
      </c>
      <c r="AC202" s="80">
        <f t="shared" si="138"/>
        <v>3.8285525403323941E-3</v>
      </c>
      <c r="AD202" s="80">
        <f t="shared" si="138"/>
        <v>4.0943780592286275E-2</v>
      </c>
      <c r="AE202" s="80">
        <f t="shared" si="138"/>
        <v>5.3457698252094149E-2</v>
      </c>
      <c r="AF202" s="80">
        <f t="shared" si="138"/>
        <v>0.1270166249440276</v>
      </c>
    </row>
    <row r="203" spans="1:34" x14ac:dyDescent="0.25">
      <c r="B203" s="21">
        <f>(B170-B169)^2</f>
        <v>356.34119306267667</v>
      </c>
      <c r="C203" s="21">
        <f t="shared" ref="C203:AF203" si="139">(C170-C169)^2</f>
        <v>728.22686171246346</v>
      </c>
      <c r="D203" s="21">
        <f t="shared" si="139"/>
        <v>7743.70975559404</v>
      </c>
      <c r="E203" s="21">
        <f t="shared" si="139"/>
        <v>30902.694944587925</v>
      </c>
      <c r="F203" s="21">
        <f t="shared" si="139"/>
        <v>31061.613891876565</v>
      </c>
      <c r="G203" s="21">
        <f t="shared" si="139"/>
        <v>31040.879648689159</v>
      </c>
      <c r="H203" s="21">
        <f t="shared" si="139"/>
        <v>30839.954895400591</v>
      </c>
      <c r="I203" s="21">
        <f t="shared" si="139"/>
        <v>28977.211993961795</v>
      </c>
      <c r="J203" s="21">
        <f t="shared" si="139"/>
        <v>17749.087970194647</v>
      </c>
      <c r="K203" s="21">
        <f t="shared" si="139"/>
        <v>24120.406800782548</v>
      </c>
      <c r="L203" s="21">
        <f t="shared" si="139"/>
        <v>24155.898908973701</v>
      </c>
      <c r="M203" s="21">
        <f t="shared" si="139"/>
        <v>24831.124836274364</v>
      </c>
      <c r="N203" s="21">
        <f t="shared" si="139"/>
        <v>27118.277703657703</v>
      </c>
      <c r="O203" s="21">
        <f t="shared" si="139"/>
        <v>30925.106933105202</v>
      </c>
      <c r="P203" s="21">
        <f t="shared" si="139"/>
        <v>34155.756384848581</v>
      </c>
      <c r="Q203" s="21">
        <f t="shared" si="139"/>
        <v>34881.479342503408</v>
      </c>
      <c r="R203" s="21">
        <f t="shared" si="139"/>
        <v>32370.884610144938</v>
      </c>
      <c r="S203" s="21">
        <f t="shared" si="139"/>
        <v>33864.079201943678</v>
      </c>
      <c r="T203" s="21">
        <f t="shared" si="139"/>
        <v>32310.960383279918</v>
      </c>
      <c r="U203" s="21">
        <f t="shared" si="139"/>
        <v>4073.5242515683663</v>
      </c>
      <c r="V203" s="21">
        <f t="shared" si="139"/>
        <v>21822.940293378502</v>
      </c>
      <c r="W203" s="21">
        <f t="shared" si="139"/>
        <v>112589.63659538642</v>
      </c>
      <c r="X203" s="21">
        <f t="shared" si="139"/>
        <v>184789.86647525281</v>
      </c>
      <c r="Y203" s="21">
        <f t="shared" si="139"/>
        <v>214612.85937892235</v>
      </c>
      <c r="Z203" s="21">
        <f t="shared" si="139"/>
        <v>138018.22364727137</v>
      </c>
      <c r="AA203" s="21">
        <f t="shared" si="139"/>
        <v>56183.697071193208</v>
      </c>
      <c r="AB203" s="21">
        <f t="shared" si="139"/>
        <v>9866.0457774648166</v>
      </c>
      <c r="AC203" s="21">
        <f t="shared" si="139"/>
        <v>74.030220368612845</v>
      </c>
      <c r="AD203" s="21">
        <f t="shared" si="139"/>
        <v>7154.5242578518737</v>
      </c>
      <c r="AE203" s="21">
        <f t="shared" si="139"/>
        <v>9941.7379831393391</v>
      </c>
      <c r="AF203" s="21">
        <f t="shared" si="139"/>
        <v>43462.06886426331</v>
      </c>
      <c r="AG203" s="3"/>
      <c r="AH203" s="3"/>
    </row>
    <row r="204" spans="1:34" x14ac:dyDescent="0.25">
      <c r="A204" s="71">
        <f>SUM(B204:AF204)</f>
        <v>1280722.8510766546</v>
      </c>
      <c r="B204" s="60">
        <f>IF($A$64&lt;=B168,IF($B$64&gt;=B168,ABS(B203),0),0)</f>
        <v>356.34119306267667</v>
      </c>
      <c r="C204" s="60">
        <f t="shared" ref="C204" si="140">IF($A$64&lt;=C168,IF($B$64&gt;=C168,ABS(C203),0),0)</f>
        <v>728.22686171246346</v>
      </c>
      <c r="D204" s="60">
        <f t="shared" ref="D204" si="141">IF($A$64&lt;=D168,IF($B$64&gt;=D168,ABS(D203),0),0)</f>
        <v>7743.70975559404</v>
      </c>
      <c r="E204" s="60">
        <f t="shared" ref="E204" si="142">IF($A$64&lt;=E168,IF($B$64&gt;=E168,ABS(E203),0),0)</f>
        <v>30902.694944587925</v>
      </c>
      <c r="F204" s="60">
        <f t="shared" ref="F204" si="143">IF($A$64&lt;=F168,IF($B$64&gt;=F168,ABS(F203),0),0)</f>
        <v>31061.613891876565</v>
      </c>
      <c r="G204" s="60">
        <f t="shared" ref="G204" si="144">IF($A$64&lt;=G168,IF($B$64&gt;=G168,ABS(G203),0),0)</f>
        <v>31040.879648689159</v>
      </c>
      <c r="H204" s="60">
        <f t="shared" ref="H204" si="145">IF($A$64&lt;=H168,IF($B$64&gt;=H168,ABS(H203),0),0)</f>
        <v>30839.954895400591</v>
      </c>
      <c r="I204" s="60">
        <f t="shared" ref="I204" si="146">IF($A$64&lt;=I168,IF($B$64&gt;=I168,ABS(I203),0),0)</f>
        <v>28977.211993961795</v>
      </c>
      <c r="J204" s="60">
        <f t="shared" ref="J204" si="147">IF($A$64&lt;=J168,IF($B$64&gt;=J168,ABS(J203),0),0)</f>
        <v>17749.087970194647</v>
      </c>
      <c r="K204" s="60">
        <f t="shared" ref="K204" si="148">IF($A$64&lt;=K168,IF($B$64&gt;=K168,ABS(K203),0),0)</f>
        <v>24120.406800782548</v>
      </c>
      <c r="L204" s="60">
        <f t="shared" ref="L204" si="149">IF($A$64&lt;=L168,IF($B$64&gt;=L168,ABS(L203),0),0)</f>
        <v>24155.898908973701</v>
      </c>
      <c r="M204" s="60">
        <f t="shared" ref="M204" si="150">IF($A$64&lt;=M168,IF($B$64&gt;=M168,ABS(M203),0),0)</f>
        <v>24831.124836274364</v>
      </c>
      <c r="N204" s="60">
        <f t="shared" ref="N204" si="151">IF($A$64&lt;=N168,IF($B$64&gt;=N168,ABS(N203),0),0)</f>
        <v>27118.277703657703</v>
      </c>
      <c r="O204" s="60">
        <f t="shared" ref="O204" si="152">IF($A$64&lt;=O168,IF($B$64&gt;=O168,ABS(O203),0),0)</f>
        <v>30925.106933105202</v>
      </c>
      <c r="P204" s="60">
        <f t="shared" ref="P204" si="153">IF($A$64&lt;=P168,IF($B$64&gt;=P168,ABS(P203),0),0)</f>
        <v>34155.756384848581</v>
      </c>
      <c r="Q204" s="60">
        <f t="shared" ref="Q204" si="154">IF($A$64&lt;=Q168,IF($B$64&gt;=Q168,ABS(Q203),0),0)</f>
        <v>34881.479342503408</v>
      </c>
      <c r="R204" s="60">
        <f t="shared" ref="R204" si="155">IF($A$64&lt;=R168,IF($B$64&gt;=R168,ABS(R203),0),0)</f>
        <v>32370.884610144938</v>
      </c>
      <c r="S204" s="60">
        <f t="shared" ref="S204" si="156">IF($A$64&lt;=S168,IF($B$64&gt;=S168,ABS(S203),0),0)</f>
        <v>33864.079201943678</v>
      </c>
      <c r="T204" s="60">
        <f t="shared" ref="T204" si="157">IF($A$64&lt;=T168,IF($B$64&gt;=T168,ABS(T203),0),0)</f>
        <v>32310.960383279918</v>
      </c>
      <c r="U204" s="60">
        <f t="shared" ref="U204" si="158">IF($A$64&lt;=U168,IF($B$64&gt;=U168,ABS(U203),0),0)</f>
        <v>4073.5242515683663</v>
      </c>
      <c r="V204" s="60">
        <f t="shared" ref="V204" si="159">IF($A$64&lt;=V168,IF($B$64&gt;=V168,ABS(V203),0),0)</f>
        <v>21822.940293378502</v>
      </c>
      <c r="W204" s="60">
        <f t="shared" ref="W204" si="160">IF($A$64&lt;=W168,IF($B$64&gt;=W168,ABS(W203),0),0)</f>
        <v>112589.63659538642</v>
      </c>
      <c r="X204" s="60">
        <f t="shared" ref="X204" si="161">IF($A$64&lt;=X168,IF($B$64&gt;=X168,ABS(X203),0),0)</f>
        <v>184789.86647525281</v>
      </c>
      <c r="Y204" s="60">
        <f t="shared" ref="Y204" si="162">IF($A$64&lt;=Y168,IF($B$64&gt;=Y168,ABS(Y203),0),0)</f>
        <v>214612.85937892235</v>
      </c>
      <c r="Z204" s="60">
        <f t="shared" ref="Z204" si="163">IF($A$64&lt;=Z168,IF($B$64&gt;=Z168,ABS(Z203),0),0)</f>
        <v>138018.22364727137</v>
      </c>
      <c r="AA204" s="60">
        <f t="shared" ref="AA204" si="164">IF($A$64&lt;=AA168,IF($B$64&gt;=AA168,ABS(AA203),0),0)</f>
        <v>56183.697071193208</v>
      </c>
      <c r="AB204" s="60">
        <f t="shared" ref="AB204" si="165">IF($A$64&lt;=AB168,IF($B$64&gt;=AB168,ABS(AB203),0),0)</f>
        <v>9866.0457774648166</v>
      </c>
      <c r="AC204" s="60">
        <f t="shared" ref="AC204" si="166">IF($A$64&lt;=AC168,IF($B$64&gt;=AC168,ABS(AC203),0),0)</f>
        <v>74.030220368612845</v>
      </c>
      <c r="AD204" s="60">
        <f t="shared" ref="AD204" si="167">IF($A$64&lt;=AD168,IF($B$64&gt;=AD168,ABS(AD203),0),0)</f>
        <v>7154.5242578518737</v>
      </c>
      <c r="AE204" s="60">
        <f t="shared" ref="AE204" si="168">IF($A$64&lt;=AE168,IF($B$64&gt;=AE168,ABS(AE203),0),0)</f>
        <v>9941.7379831393391</v>
      </c>
      <c r="AF204" s="60">
        <f t="shared" ref="AF204" si="169">IF($A$64&lt;=AF168,IF($B$64&gt;=AF168,ABS(AF203),0),0)</f>
        <v>43462.06886426331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6064.8914276628147</v>
      </c>
      <c r="C209" s="27">
        <f t="shared" ref="C209:AF209" si="170">($C$17+SUM(C210:C240))*$B$51</f>
        <v>6032.66006093534</v>
      </c>
      <c r="D209" s="27">
        <f t="shared" si="170"/>
        <v>6032.648971339052</v>
      </c>
      <c r="E209" s="27">
        <f t="shared" si="170"/>
        <v>6032.5382911891611</v>
      </c>
      <c r="F209" s="27">
        <f t="shared" si="170"/>
        <v>6031.4336763432702</v>
      </c>
      <c r="G209" s="27">
        <f t="shared" si="170"/>
        <v>6020.603257872438</v>
      </c>
      <c r="H209" s="27">
        <f t="shared" si="170"/>
        <v>5931.2136212747109</v>
      </c>
      <c r="I209" s="27">
        <f t="shared" si="170"/>
        <v>5719.6755986024327</v>
      </c>
      <c r="J209" s="27">
        <f t="shared" si="170"/>
        <v>5636.0066623728171</v>
      </c>
      <c r="K209" s="27">
        <f t="shared" si="170"/>
        <v>5498.6401337727248</v>
      </c>
      <c r="L209" s="27">
        <f t="shared" si="170"/>
        <v>5361.796436996201</v>
      </c>
      <c r="M209" s="27">
        <f t="shared" si="170"/>
        <v>5205.0454522713417</v>
      </c>
      <c r="N209" s="27">
        <f t="shared" si="170"/>
        <v>5038.8938267932117</v>
      </c>
      <c r="O209" s="27">
        <f t="shared" si="170"/>
        <v>4872.1736087994695</v>
      </c>
      <c r="P209" s="27">
        <f t="shared" si="170"/>
        <v>4711.6175215563389</v>
      </c>
      <c r="Q209" s="27">
        <f t="shared" si="170"/>
        <v>4525.9184230715919</v>
      </c>
      <c r="R209" s="27">
        <f t="shared" si="170"/>
        <v>4303.5573891908307</v>
      </c>
      <c r="S209" s="27">
        <f t="shared" si="170"/>
        <v>4077.9302623979515</v>
      </c>
      <c r="T209" s="27">
        <f t="shared" si="170"/>
        <v>3893.8499455942992</v>
      </c>
      <c r="U209" s="27">
        <f t="shared" si="170"/>
        <v>3714.9288474098898</v>
      </c>
      <c r="V209" s="27">
        <f t="shared" si="170"/>
        <v>3534.0832042248776</v>
      </c>
      <c r="W209" s="27">
        <f t="shared" si="170"/>
        <v>3297.7959413512062</v>
      </c>
      <c r="X209" s="27">
        <f t="shared" si="170"/>
        <v>3004.9101510878186</v>
      </c>
      <c r="Y209" s="27">
        <f t="shared" si="170"/>
        <v>2699.7189461835442</v>
      </c>
      <c r="Z209" s="27">
        <f t="shared" si="170"/>
        <v>2416.4839548552422</v>
      </c>
      <c r="AA209" s="27">
        <f t="shared" si="170"/>
        <v>2144.5194398224239</v>
      </c>
      <c r="AB209" s="27">
        <f t="shared" si="170"/>
        <v>1907.1672044177378</v>
      </c>
      <c r="AC209" s="27">
        <f t="shared" si="170"/>
        <v>1587.631404607471</v>
      </c>
      <c r="AD209" s="27">
        <f t="shared" si="170"/>
        <v>1335.2563775608839</v>
      </c>
      <c r="AE209" s="27">
        <f t="shared" si="170"/>
        <v>992.02208723594322</v>
      </c>
      <c r="AF209" s="27">
        <f t="shared" si="170"/>
        <v>731.56671746457368</v>
      </c>
      <c r="AG209" s="27"/>
      <c r="AH209" s="27"/>
    </row>
    <row r="210" spans="1:34" x14ac:dyDescent="0.25">
      <c r="B210" s="3">
        <f t="shared" ref="B210:AF210" si="171">$C18*EXP(-B$207/$A18/EXP(-$D$126))</f>
        <v>5.2060320763091051E-3</v>
      </c>
      <c r="C210" s="3">
        <f t="shared" si="171"/>
        <v>3.1322629585484734E-9</v>
      </c>
      <c r="D210" s="3">
        <f t="shared" si="171"/>
        <v>1.9470269582376846E-71</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4.769973499960501E-2</v>
      </c>
      <c r="C211" s="3">
        <f t="shared" si="172"/>
        <v>4.7699559987358475E-2</v>
      </c>
      <c r="D211" s="3">
        <f t="shared" si="172"/>
        <v>4.7697809900209685E-2</v>
      </c>
      <c r="E211" s="3">
        <f t="shared" si="172"/>
        <v>4.768031255990187E-2</v>
      </c>
      <c r="F211" s="3">
        <f t="shared" si="172"/>
        <v>4.7505691795927861E-2</v>
      </c>
      <c r="G211" s="3">
        <f t="shared" si="172"/>
        <v>4.5794274004273557E-2</v>
      </c>
      <c r="H211" s="3">
        <f t="shared" si="172"/>
        <v>3.1729738550886469E-2</v>
      </c>
      <c r="I211" s="3">
        <f t="shared" si="172"/>
        <v>8.0913250043258898E-4</v>
      </c>
      <c r="J211" s="3">
        <f t="shared" si="172"/>
        <v>9.4091668180402057E-20</v>
      </c>
      <c r="K211" s="3">
        <f t="shared" si="172"/>
        <v>4.254675019679945E-179</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9.1412607285849112E-3</v>
      </c>
      <c r="C212" s="3">
        <f t="shared" si="173"/>
        <v>9.1412577030241075E-3</v>
      </c>
      <c r="D212" s="3">
        <f t="shared" si="173"/>
        <v>9.1412274474711435E-3</v>
      </c>
      <c r="E212" s="3">
        <f t="shared" si="173"/>
        <v>9.1409248974491063E-3</v>
      </c>
      <c r="F212" s="3">
        <f t="shared" si="173"/>
        <v>9.137899947921569E-3</v>
      </c>
      <c r="G212" s="3">
        <f t="shared" si="173"/>
        <v>9.1077054545510346E-3</v>
      </c>
      <c r="H212" s="3">
        <f t="shared" si="173"/>
        <v>8.8111939470218673E-3</v>
      </c>
      <c r="I212" s="3">
        <f t="shared" si="173"/>
        <v>6.3283807225681292E-3</v>
      </c>
      <c r="J212" s="3">
        <f t="shared" si="173"/>
        <v>2.3113780263888631E-4</v>
      </c>
      <c r="K212" s="3">
        <f t="shared" si="173"/>
        <v>9.7646075557280065E-19</v>
      </c>
      <c r="L212" s="3">
        <f t="shared" si="173"/>
        <v>1.7680434175538413E-162</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2.3869773075080671E-2</v>
      </c>
      <c r="C213" s="3">
        <f t="shared" si="174"/>
        <v>2.3869772362400402E-2</v>
      </c>
      <c r="D213" s="3">
        <f t="shared" si="174"/>
        <v>2.3869765235598875E-2</v>
      </c>
      <c r="E213" s="3">
        <f t="shared" si="174"/>
        <v>2.3869693967700629E-2</v>
      </c>
      <c r="F213" s="3">
        <f t="shared" si="174"/>
        <v>2.3868981300421206E-2</v>
      </c>
      <c r="G213" s="3">
        <f t="shared" si="174"/>
        <v>2.3861855797801354E-2</v>
      </c>
      <c r="H213" s="3">
        <f t="shared" si="174"/>
        <v>2.3790717659871858E-2</v>
      </c>
      <c r="I213" s="3">
        <f t="shared" si="174"/>
        <v>2.3090897004645086E-2</v>
      </c>
      <c r="J213" s="3">
        <f t="shared" si="174"/>
        <v>1.7130633193799285E-2</v>
      </c>
      <c r="K213" s="3">
        <f t="shared" si="174"/>
        <v>8.6516617947492841E-4</v>
      </c>
      <c r="L213" s="3">
        <f t="shared" si="174"/>
        <v>9.3402975990399477E-17</v>
      </c>
      <c r="M213" s="3">
        <f t="shared" si="174"/>
        <v>2.0089656598388898E-146</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2.1808492678783965E-2</v>
      </c>
      <c r="C214" s="3">
        <f t="shared" si="175"/>
        <v>2.1808492620046031E-2</v>
      </c>
      <c r="D214" s="3">
        <f t="shared" si="175"/>
        <v>2.1808492032666667E-2</v>
      </c>
      <c r="E214" s="3">
        <f t="shared" si="175"/>
        <v>2.1808486158873881E-2</v>
      </c>
      <c r="F214" s="3">
        <f t="shared" si="175"/>
        <v>2.1808427421033061E-2</v>
      </c>
      <c r="G214" s="3">
        <f t="shared" si="175"/>
        <v>2.1807840051325862E-2</v>
      </c>
      <c r="H214" s="3">
        <f t="shared" si="175"/>
        <v>2.1801967224268078E-2</v>
      </c>
      <c r="I214" s="3">
        <f t="shared" si="175"/>
        <v>2.1743325868471663E-2</v>
      </c>
      <c r="J214" s="3">
        <f t="shared" si="175"/>
        <v>2.116551779504789E-2</v>
      </c>
      <c r="K214" s="3">
        <f t="shared" si="175"/>
        <v>1.616806796415169E-2</v>
      </c>
      <c r="L214" s="3">
        <f t="shared" si="175"/>
        <v>1.0938314639828228E-3</v>
      </c>
      <c r="M214" s="3">
        <f t="shared" si="175"/>
        <v>2.1972186022172025E-15</v>
      </c>
      <c r="N214" s="3">
        <f t="shared" si="175"/>
        <v>2.3501837694620921E-132</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2.6175540520494839E-2</v>
      </c>
      <c r="C215" s="3">
        <f t="shared" si="176"/>
        <v>2.6175540514135159E-2</v>
      </c>
      <c r="D215" s="3">
        <f t="shared" si="176"/>
        <v>2.6175540450538354E-2</v>
      </c>
      <c r="E215" s="3">
        <f t="shared" si="176"/>
        <v>2.6175539814570322E-2</v>
      </c>
      <c r="F215" s="3">
        <f t="shared" si="176"/>
        <v>2.6175533454890852E-2</v>
      </c>
      <c r="G215" s="3">
        <f t="shared" si="176"/>
        <v>2.6175469858181092E-2</v>
      </c>
      <c r="H215" s="3">
        <f t="shared" si="176"/>
        <v>2.6174833899581865E-2</v>
      </c>
      <c r="I215" s="3">
        <f t="shared" si="176"/>
        <v>2.6168475163345563E-2</v>
      </c>
      <c r="J215" s="3">
        <f t="shared" si="176"/>
        <v>2.6104972700241782E-2</v>
      </c>
      <c r="K215" s="3">
        <f t="shared" si="176"/>
        <v>2.547836216738638E-2</v>
      </c>
      <c r="L215" s="3">
        <f t="shared" si="176"/>
        <v>1.9982698686175131E-2</v>
      </c>
      <c r="M215" s="3">
        <f t="shared" si="176"/>
        <v>1.7598695259557048E-3</v>
      </c>
      <c r="N215" s="3">
        <f t="shared" si="176"/>
        <v>4.9401914954296749E-14</v>
      </c>
      <c r="O215" s="3">
        <f t="shared" si="176"/>
        <v>1.5009869277214423E-119</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2.8073646092319333E-2</v>
      </c>
      <c r="C216" s="3">
        <f t="shared" si="177"/>
        <v>2.8073646091704034E-2</v>
      </c>
      <c r="D216" s="3">
        <f t="shared" si="177"/>
        <v>2.807364608555106E-2</v>
      </c>
      <c r="E216" s="3">
        <f t="shared" si="177"/>
        <v>2.8073646024021327E-2</v>
      </c>
      <c r="F216" s="3">
        <f t="shared" si="177"/>
        <v>2.8073645408723983E-2</v>
      </c>
      <c r="G216" s="3">
        <f t="shared" si="177"/>
        <v>2.8073639255751296E-2</v>
      </c>
      <c r="H216" s="3">
        <f t="shared" si="177"/>
        <v>2.8073577726098597E-2</v>
      </c>
      <c r="I216" s="3">
        <f t="shared" si="177"/>
        <v>2.8072962436988608E-2</v>
      </c>
      <c r="J216" s="3">
        <f t="shared" si="177"/>
        <v>2.8066810287531635E-2</v>
      </c>
      <c r="K216" s="3">
        <f t="shared" si="177"/>
        <v>2.8005362897141891E-2</v>
      </c>
      <c r="L216" s="3">
        <f t="shared" si="177"/>
        <v>2.7398239667989783E-2</v>
      </c>
      <c r="M216" s="3">
        <f t="shared" si="177"/>
        <v>2.2005802822541221E-2</v>
      </c>
      <c r="N216" s="3">
        <f t="shared" si="177"/>
        <v>2.4585711780493063E-3</v>
      </c>
      <c r="O216" s="3">
        <f t="shared" si="177"/>
        <v>7.4496946838872109E-13</v>
      </c>
      <c r="P216" s="3">
        <f t="shared" si="177"/>
        <v>4.860661243920345E-108</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2.8599886104252643E-2</v>
      </c>
      <c r="C217" s="3">
        <f t="shared" si="178"/>
        <v>2.8599886104196098E-2</v>
      </c>
      <c r="D217" s="3">
        <f t="shared" si="178"/>
        <v>2.8599886103630644E-2</v>
      </c>
      <c r="E217" s="3">
        <f t="shared" si="178"/>
        <v>2.8599886097976104E-2</v>
      </c>
      <c r="F217" s="3">
        <f t="shared" si="178"/>
        <v>2.8599886041430725E-2</v>
      </c>
      <c r="G217" s="3">
        <f t="shared" si="178"/>
        <v>2.8599885475976944E-2</v>
      </c>
      <c r="H217" s="3">
        <f t="shared" si="178"/>
        <v>2.859987982143973E-2</v>
      </c>
      <c r="I217" s="3">
        <f t="shared" si="178"/>
        <v>2.8599823276129057E-2</v>
      </c>
      <c r="J217" s="3">
        <f t="shared" si="178"/>
        <v>2.8599257829171103E-2</v>
      </c>
      <c r="K217" s="3">
        <f t="shared" si="178"/>
        <v>2.85936039744248E-2</v>
      </c>
      <c r="L217" s="3">
        <f t="shared" si="178"/>
        <v>2.8537126865330394E-2</v>
      </c>
      <c r="M217" s="3">
        <f t="shared" si="178"/>
        <v>2.7978454903692818E-2</v>
      </c>
      <c r="N217" s="3">
        <f t="shared" si="178"/>
        <v>2.2959294497840552E-2</v>
      </c>
      <c r="O217" s="3">
        <f t="shared" si="178"/>
        <v>3.179118052324079E-3</v>
      </c>
      <c r="P217" s="3">
        <f t="shared" si="178"/>
        <v>8.237355688223041E-12</v>
      </c>
      <c r="Q217" s="3">
        <f t="shared" si="178"/>
        <v>1.1235682527176548E-97</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2.5827803399316392E-2</v>
      </c>
      <c r="C218" s="3">
        <f t="shared" si="179"/>
        <v>2.5827803399311785E-2</v>
      </c>
      <c r="D218" s="3">
        <f t="shared" si="179"/>
        <v>2.5827803399265718E-2</v>
      </c>
      <c r="E218" s="3">
        <f t="shared" si="179"/>
        <v>2.5827803398805076E-2</v>
      </c>
      <c r="F218" s="3">
        <f t="shared" si="179"/>
        <v>2.5827803394198618E-2</v>
      </c>
      <c r="G218" s="3">
        <f t="shared" si="179"/>
        <v>2.5827803348134063E-2</v>
      </c>
      <c r="H218" s="3">
        <f t="shared" si="179"/>
        <v>2.5827802887488521E-2</v>
      </c>
      <c r="I218" s="3">
        <f t="shared" si="179"/>
        <v>2.5827798281033539E-2</v>
      </c>
      <c r="J218" s="3">
        <f t="shared" si="179"/>
        <v>2.5827752216528915E-2</v>
      </c>
      <c r="K218" s="3">
        <f t="shared" si="179"/>
        <v>2.5827291576001291E-2</v>
      </c>
      <c r="L218" s="3">
        <f t="shared" si="179"/>
        <v>2.5822685622557219E-2</v>
      </c>
      <c r="M218" s="3">
        <f t="shared" si="179"/>
        <v>2.5776671241529242E-2</v>
      </c>
      <c r="N218" s="3">
        <f t="shared" si="179"/>
        <v>2.5321013117202956E-2</v>
      </c>
      <c r="O218" s="3">
        <f t="shared" si="179"/>
        <v>2.1184759352932462E-2</v>
      </c>
      <c r="P218" s="3">
        <f t="shared" si="179"/>
        <v>3.5599844670536366E-3</v>
      </c>
      <c r="Q218" s="3">
        <f t="shared" si="179"/>
        <v>6.3928392404951744E-11</v>
      </c>
      <c r="R218" s="3">
        <f t="shared" si="179"/>
        <v>2.2292079712901559E-88</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3.0895531862387648E-2</v>
      </c>
      <c r="C219" s="3">
        <f t="shared" si="180"/>
        <v>3.0895531862387152E-2</v>
      </c>
      <c r="D219" s="3">
        <f t="shared" si="180"/>
        <v>3.089553186238218E-2</v>
      </c>
      <c r="E219" s="3">
        <f t="shared" si="180"/>
        <v>3.0895531862332473E-2</v>
      </c>
      <c r="F219" s="3">
        <f t="shared" si="180"/>
        <v>3.0895531861835395E-2</v>
      </c>
      <c r="G219" s="3">
        <f t="shared" si="180"/>
        <v>3.0895531856864649E-2</v>
      </c>
      <c r="H219" s="3">
        <f t="shared" si="180"/>
        <v>3.0895531807157178E-2</v>
      </c>
      <c r="I219" s="3">
        <f t="shared" si="180"/>
        <v>3.0895531310082467E-2</v>
      </c>
      <c r="J219" s="3">
        <f t="shared" si="180"/>
        <v>3.0895526339335792E-2</v>
      </c>
      <c r="K219" s="3">
        <f t="shared" si="180"/>
        <v>3.089547663191302E-2</v>
      </c>
      <c r="L219" s="3">
        <f t="shared" si="180"/>
        <v>3.0894979562083827E-2</v>
      </c>
      <c r="M219" s="3">
        <f t="shared" si="180"/>
        <v>3.0890009303618644E-2</v>
      </c>
      <c r="N219" s="3">
        <f t="shared" si="180"/>
        <v>3.0840350675470262E-2</v>
      </c>
      <c r="O219" s="3">
        <f t="shared" si="180"/>
        <v>3.0348133989746666E-2</v>
      </c>
      <c r="P219" s="3">
        <f t="shared" si="180"/>
        <v>2.5837997092975247E-2</v>
      </c>
      <c r="Q219" s="3">
        <f t="shared" si="180"/>
        <v>5.1704383830684202E-3</v>
      </c>
      <c r="R219" s="3">
        <f t="shared" si="180"/>
        <v>5.3236878856830275E-10</v>
      </c>
      <c r="S219" s="3">
        <f t="shared" si="180"/>
        <v>7.1295936207102982E-80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3.9212264865174387E-2</v>
      </c>
      <c r="C220" s="3">
        <f t="shared" si="181"/>
        <v>3.9212264865174332E-2</v>
      </c>
      <c r="D220" s="3">
        <f t="shared" si="181"/>
        <v>3.9212264865173763E-2</v>
      </c>
      <c r="E220" s="3">
        <f t="shared" si="181"/>
        <v>3.9212264865168066E-2</v>
      </c>
      <c r="F220" s="3">
        <f t="shared" si="181"/>
        <v>3.921226486511116E-2</v>
      </c>
      <c r="G220" s="3">
        <f t="shared" si="181"/>
        <v>3.9212264864542053E-2</v>
      </c>
      <c r="H220" s="3">
        <f t="shared" si="181"/>
        <v>3.9212264858850973E-2</v>
      </c>
      <c r="I220" s="3">
        <f t="shared" si="181"/>
        <v>3.9212264801940198E-2</v>
      </c>
      <c r="J220" s="3">
        <f t="shared" si="181"/>
        <v>3.9212264232832431E-2</v>
      </c>
      <c r="K220" s="3">
        <f t="shared" si="181"/>
        <v>3.9212258541755224E-2</v>
      </c>
      <c r="L220" s="3">
        <f t="shared" si="181"/>
        <v>3.9212201631028586E-2</v>
      </c>
      <c r="M220" s="3">
        <f t="shared" si="181"/>
        <v>3.9211632528305035E-2</v>
      </c>
      <c r="N220" s="3">
        <f t="shared" si="181"/>
        <v>3.9205941955328928E-2</v>
      </c>
      <c r="O220" s="3">
        <f t="shared" si="181"/>
        <v>3.914908162711922E-2</v>
      </c>
      <c r="P220" s="3">
        <f t="shared" si="181"/>
        <v>3.8584994213887121E-2</v>
      </c>
      <c r="Q220" s="3">
        <f t="shared" si="181"/>
        <v>3.3372369791107567E-2</v>
      </c>
      <c r="R220" s="3">
        <f t="shared" si="181"/>
        <v>7.8175942371421399E-3</v>
      </c>
      <c r="S220" s="3">
        <f t="shared" si="181"/>
        <v>3.8898594017437169E-9</v>
      </c>
      <c r="T220" s="3">
        <f t="shared" si="181"/>
        <v>3.6186092898521607E-72</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3.9921764975062855E-2</v>
      </c>
      <c r="C221" s="3">
        <f t="shared" si="182"/>
        <v>3.9921764975062848E-2</v>
      </c>
      <c r="D221" s="3">
        <f t="shared" si="182"/>
        <v>3.99217649750628E-2</v>
      </c>
      <c r="E221" s="3">
        <f t="shared" si="182"/>
        <v>3.9921764975062272E-2</v>
      </c>
      <c r="F221" s="3">
        <f t="shared" si="182"/>
        <v>3.9921764975057047E-2</v>
      </c>
      <c r="G221" s="3">
        <f t="shared" si="182"/>
        <v>3.9921764975004777E-2</v>
      </c>
      <c r="H221" s="3">
        <f t="shared" si="182"/>
        <v>3.9921764974482105E-2</v>
      </c>
      <c r="I221" s="3">
        <f t="shared" si="182"/>
        <v>3.992176496925539E-2</v>
      </c>
      <c r="J221" s="3">
        <f t="shared" si="182"/>
        <v>3.9921764916988234E-2</v>
      </c>
      <c r="K221" s="3">
        <f t="shared" si="182"/>
        <v>3.9921764394316626E-2</v>
      </c>
      <c r="L221" s="3">
        <f t="shared" si="182"/>
        <v>3.992175916760092E-2</v>
      </c>
      <c r="M221" s="3">
        <f t="shared" si="182"/>
        <v>3.9921706900481517E-2</v>
      </c>
      <c r="N221" s="3">
        <f t="shared" si="182"/>
        <v>3.9921184233051174E-2</v>
      </c>
      <c r="O221" s="3">
        <f t="shared" si="182"/>
        <v>3.9915957935093761E-2</v>
      </c>
      <c r="P221" s="3">
        <f t="shared" si="182"/>
        <v>3.9863732571903961E-2</v>
      </c>
      <c r="Q221" s="3">
        <f t="shared" si="182"/>
        <v>3.9345222419996398E-2</v>
      </c>
      <c r="R221" s="3">
        <f t="shared" si="182"/>
        <v>3.4516952528415142E-2</v>
      </c>
      <c r="S221" s="3">
        <f t="shared" si="182"/>
        <v>9.320449344346891E-3</v>
      </c>
      <c r="T221" s="3">
        <f t="shared" si="182"/>
        <v>1.9207944952123257E-8</v>
      </c>
      <c r="U221" s="3">
        <f t="shared" si="182"/>
        <v>2.6541253009142383E-65</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2.7869370271088295E-2</v>
      </c>
      <c r="C222" s="3">
        <f t="shared" si="183"/>
        <v>2.7869370271088295E-2</v>
      </c>
      <c r="D222" s="3">
        <f t="shared" si="183"/>
        <v>2.7869370271088292E-2</v>
      </c>
      <c r="E222" s="3">
        <f t="shared" si="183"/>
        <v>2.7869370271088257E-2</v>
      </c>
      <c r="F222" s="3">
        <f t="shared" si="183"/>
        <v>2.7869370271087931E-2</v>
      </c>
      <c r="G222" s="3">
        <f t="shared" si="183"/>
        <v>2.7869370271084638E-2</v>
      </c>
      <c r="H222" s="3">
        <f t="shared" si="183"/>
        <v>2.7869370271051724E-2</v>
      </c>
      <c r="I222" s="3">
        <f t="shared" si="183"/>
        <v>2.7869370270722574E-2</v>
      </c>
      <c r="J222" s="3">
        <f t="shared" si="183"/>
        <v>2.7869370267431082E-2</v>
      </c>
      <c r="K222" s="3">
        <f t="shared" si="183"/>
        <v>2.7869370234516151E-2</v>
      </c>
      <c r="L222" s="3">
        <f t="shared" si="183"/>
        <v>2.7869369905366863E-2</v>
      </c>
      <c r="M222" s="3">
        <f t="shared" si="183"/>
        <v>2.7869366613874177E-2</v>
      </c>
      <c r="N222" s="3">
        <f t="shared" si="183"/>
        <v>2.7869333698968681E-2</v>
      </c>
      <c r="O222" s="3">
        <f t="shared" si="183"/>
        <v>2.7869004552051803E-2</v>
      </c>
      <c r="P222" s="3">
        <f t="shared" si="183"/>
        <v>2.7865713296679383E-2</v>
      </c>
      <c r="Q222" s="3">
        <f t="shared" si="183"/>
        <v>2.7832822113251134E-2</v>
      </c>
      <c r="R222" s="3">
        <f t="shared" si="183"/>
        <v>2.7506037999475236E-2</v>
      </c>
      <c r="S222" s="3">
        <f t="shared" si="183"/>
        <v>2.4441957562650485E-2</v>
      </c>
      <c r="T222" s="3">
        <f t="shared" si="183"/>
        <v>7.5026632953051706E-3</v>
      </c>
      <c r="U222" s="3">
        <f t="shared" si="183"/>
        <v>5.5719879110285605E-8</v>
      </c>
      <c r="V222" s="3">
        <f t="shared" si="183"/>
        <v>2.8441811546949702E-59</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3.1710520537561716E-2</v>
      </c>
      <c r="C223" s="3">
        <f t="shared" si="184"/>
        <v>3.1710520537561716E-2</v>
      </c>
      <c r="D223" s="3">
        <f t="shared" si="184"/>
        <v>3.1710520537561716E-2</v>
      </c>
      <c r="E223" s="3">
        <f t="shared" si="184"/>
        <v>3.1710520537561709E-2</v>
      </c>
      <c r="F223" s="3">
        <f t="shared" si="184"/>
        <v>3.1710520537561675E-2</v>
      </c>
      <c r="G223" s="3">
        <f t="shared" si="184"/>
        <v>3.1710520537561342E-2</v>
      </c>
      <c r="H223" s="3">
        <f t="shared" si="184"/>
        <v>3.1710520537557962E-2</v>
      </c>
      <c r="I223" s="3">
        <f t="shared" si="184"/>
        <v>3.1710520537524177E-2</v>
      </c>
      <c r="J223" s="3">
        <f t="shared" si="184"/>
        <v>3.1710520537186336E-2</v>
      </c>
      <c r="K223" s="3">
        <f t="shared" si="184"/>
        <v>3.17105205338079E-2</v>
      </c>
      <c r="L223" s="3">
        <f t="shared" si="184"/>
        <v>3.1710520500023535E-2</v>
      </c>
      <c r="M223" s="3">
        <f t="shared" si="184"/>
        <v>3.1710520162179907E-2</v>
      </c>
      <c r="N223" s="3">
        <f t="shared" si="184"/>
        <v>3.1710516783743849E-2</v>
      </c>
      <c r="O223" s="3">
        <f t="shared" si="184"/>
        <v>3.1710482999403031E-2</v>
      </c>
      <c r="P223" s="3">
        <f t="shared" si="184"/>
        <v>3.1710145157974497E-2</v>
      </c>
      <c r="Q223" s="3">
        <f t="shared" si="184"/>
        <v>3.1706766941646612E-2</v>
      </c>
      <c r="R223" s="3">
        <f t="shared" si="184"/>
        <v>3.1673004566307429E-2</v>
      </c>
      <c r="S223" s="3">
        <f t="shared" si="184"/>
        <v>3.1337351828706179E-2</v>
      </c>
      <c r="T223" s="3">
        <f t="shared" si="184"/>
        <v>2.817037282107519E-2</v>
      </c>
      <c r="U223" s="3">
        <f t="shared" si="184"/>
        <v>9.7072364100985759E-3</v>
      </c>
      <c r="V223" s="3">
        <f t="shared" si="184"/>
        <v>2.2915309389354684E-7</v>
      </c>
      <c r="W223" s="3">
        <f t="shared" si="184"/>
        <v>1.2314787203327121E-53</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2.7458471996856346E-2</v>
      </c>
      <c r="C224" s="3">
        <f t="shared" si="185"/>
        <v>2.7458471996856346E-2</v>
      </c>
      <c r="D224" s="3">
        <f t="shared" si="185"/>
        <v>2.7458471996856346E-2</v>
      </c>
      <c r="E224" s="3">
        <f t="shared" si="185"/>
        <v>2.7458471996856346E-2</v>
      </c>
      <c r="F224" s="3">
        <f t="shared" si="185"/>
        <v>2.7458471996856342E-2</v>
      </c>
      <c r="G224" s="3">
        <f t="shared" si="185"/>
        <v>2.7458471996856314E-2</v>
      </c>
      <c r="H224" s="3">
        <f t="shared" si="185"/>
        <v>2.7458471996856054E-2</v>
      </c>
      <c r="I224" s="3">
        <f t="shared" si="185"/>
        <v>2.7458471996853414E-2</v>
      </c>
      <c r="J224" s="3">
        <f t="shared" si="185"/>
        <v>2.7458471996827025E-2</v>
      </c>
      <c r="K224" s="3">
        <f t="shared" si="185"/>
        <v>2.7458471996563125E-2</v>
      </c>
      <c r="L224" s="3">
        <f t="shared" si="185"/>
        <v>2.7458471993924153E-2</v>
      </c>
      <c r="M224" s="3">
        <f t="shared" si="185"/>
        <v>2.7458471967534398E-2</v>
      </c>
      <c r="N224" s="3">
        <f t="shared" si="185"/>
        <v>2.7458471703636873E-2</v>
      </c>
      <c r="O224" s="3">
        <f t="shared" si="185"/>
        <v>2.7458469064661772E-2</v>
      </c>
      <c r="P224" s="3">
        <f t="shared" si="185"/>
        <v>2.7458442674924706E-2</v>
      </c>
      <c r="Q224" s="3">
        <f t="shared" si="185"/>
        <v>2.7458178778949002E-2</v>
      </c>
      <c r="R224" s="3">
        <f t="shared" si="185"/>
        <v>2.7455539958680875E-2</v>
      </c>
      <c r="S224" s="3">
        <f t="shared" si="185"/>
        <v>2.7429165699935521E-2</v>
      </c>
      <c r="T224" s="3">
        <f t="shared" si="185"/>
        <v>2.7166812560343447E-2</v>
      </c>
      <c r="U224" s="3">
        <f t="shared" si="185"/>
        <v>2.4677409547210864E-2</v>
      </c>
      <c r="V224" s="3">
        <f t="shared" si="185"/>
        <v>9.4386176320491941E-3</v>
      </c>
      <c r="W224" s="3">
        <f t="shared" si="185"/>
        <v>6.3240694835306078E-7</v>
      </c>
      <c r="X224" s="3">
        <f t="shared" si="185"/>
        <v>1.1531320288013736E-48</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4.6480285004782129E-2</v>
      </c>
      <c r="C225" s="3">
        <f t="shared" si="186"/>
        <v>4.6480285004782129E-2</v>
      </c>
      <c r="D225" s="3">
        <f t="shared" si="186"/>
        <v>4.6480285004782129E-2</v>
      </c>
      <c r="E225" s="3">
        <f t="shared" si="186"/>
        <v>4.6480285004782129E-2</v>
      </c>
      <c r="F225" s="3">
        <f t="shared" si="186"/>
        <v>4.6480285004782129E-2</v>
      </c>
      <c r="G225" s="3">
        <f t="shared" si="186"/>
        <v>4.6480285004782122E-2</v>
      </c>
      <c r="H225" s="3">
        <f t="shared" si="186"/>
        <v>4.6480285004782081E-2</v>
      </c>
      <c r="I225" s="3">
        <f t="shared" si="186"/>
        <v>4.6480285004781678E-2</v>
      </c>
      <c r="J225" s="3">
        <f t="shared" si="186"/>
        <v>4.6480285004777647E-2</v>
      </c>
      <c r="K225" s="3">
        <f t="shared" si="186"/>
        <v>4.6480285004737353E-2</v>
      </c>
      <c r="L225" s="3">
        <f t="shared" si="186"/>
        <v>4.6480285004334383E-2</v>
      </c>
      <c r="M225" s="3">
        <f t="shared" si="186"/>
        <v>4.6480285000304669E-2</v>
      </c>
      <c r="N225" s="3">
        <f t="shared" si="186"/>
        <v>4.6480284960007522E-2</v>
      </c>
      <c r="O225" s="3">
        <f t="shared" si="186"/>
        <v>4.6480284557036032E-2</v>
      </c>
      <c r="P225" s="3">
        <f t="shared" si="186"/>
        <v>4.6480280527321303E-2</v>
      </c>
      <c r="Q225" s="3">
        <f t="shared" si="186"/>
        <v>4.6480240230193252E-2</v>
      </c>
      <c r="R225" s="3">
        <f t="shared" si="186"/>
        <v>4.647983726083426E-2</v>
      </c>
      <c r="S225" s="3">
        <f t="shared" si="186"/>
        <v>4.6475807759388442E-2</v>
      </c>
      <c r="T225" s="3">
        <f t="shared" si="186"/>
        <v>4.643553195317926E-2</v>
      </c>
      <c r="U225" s="3">
        <f t="shared" si="186"/>
        <v>4.6034688568624298E-2</v>
      </c>
      <c r="V225" s="3">
        <f t="shared" si="186"/>
        <v>4.2211720417575177E-2</v>
      </c>
      <c r="W225" s="3">
        <f t="shared" si="186"/>
        <v>1.7738279292576879E-2</v>
      </c>
      <c r="X225" s="3">
        <f t="shared" si="186"/>
        <v>3.0457611679814918E-6</v>
      </c>
      <c r="Y225" s="3">
        <f t="shared" si="186"/>
        <v>6.7848368963648172E-44</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5.1673883446399775E-2</v>
      </c>
      <c r="C226" s="3">
        <f t="shared" si="187"/>
        <v>5.1673883446399775E-2</v>
      </c>
      <c r="D226" s="3">
        <f t="shared" si="187"/>
        <v>5.1673883446399775E-2</v>
      </c>
      <c r="E226" s="3">
        <f t="shared" si="187"/>
        <v>5.1673883446399775E-2</v>
      </c>
      <c r="F226" s="3">
        <f t="shared" si="187"/>
        <v>5.1673883446399775E-2</v>
      </c>
      <c r="G226" s="3">
        <f t="shared" si="187"/>
        <v>5.1673883446399775E-2</v>
      </c>
      <c r="H226" s="3">
        <f t="shared" si="187"/>
        <v>5.1673883446399768E-2</v>
      </c>
      <c r="I226" s="3">
        <f t="shared" si="187"/>
        <v>5.1673883446399727E-2</v>
      </c>
      <c r="J226" s="3">
        <f t="shared" si="187"/>
        <v>5.1673883446399331E-2</v>
      </c>
      <c r="K226" s="3">
        <f t="shared" si="187"/>
        <v>5.1673883446395286E-2</v>
      </c>
      <c r="L226" s="3">
        <f t="shared" si="187"/>
        <v>5.1673883446354874E-2</v>
      </c>
      <c r="M226" s="3">
        <f t="shared" si="187"/>
        <v>5.1673883445950738E-2</v>
      </c>
      <c r="N226" s="3">
        <f t="shared" si="187"/>
        <v>5.1673883441909423E-2</v>
      </c>
      <c r="O226" s="3">
        <f t="shared" si="187"/>
        <v>5.1673883401496222E-2</v>
      </c>
      <c r="P226" s="3">
        <f t="shared" si="187"/>
        <v>5.1673882997364223E-2</v>
      </c>
      <c r="Q226" s="3">
        <f t="shared" si="187"/>
        <v>5.1673878956044465E-2</v>
      </c>
      <c r="R226" s="3">
        <f t="shared" si="187"/>
        <v>5.1673838542864232E-2</v>
      </c>
      <c r="S226" s="3">
        <f t="shared" si="187"/>
        <v>5.1673434412800215E-2</v>
      </c>
      <c r="T226" s="3">
        <f t="shared" si="187"/>
        <v>5.1669393285989823E-2</v>
      </c>
      <c r="U226" s="3">
        <f t="shared" si="187"/>
        <v>5.1628999395831474E-2</v>
      </c>
      <c r="V226" s="3">
        <f t="shared" si="187"/>
        <v>5.122679327064325E-2</v>
      </c>
      <c r="W226" s="3">
        <f t="shared" si="187"/>
        <v>4.7373098690593834E-2</v>
      </c>
      <c r="X226" s="3">
        <f t="shared" si="187"/>
        <v>2.1670953407401907E-2</v>
      </c>
      <c r="Y226" s="3">
        <f t="shared" si="187"/>
        <v>8.6964153180484403E-6</v>
      </c>
      <c r="Z226" s="3">
        <f t="shared" si="187"/>
        <v>9.4180894679593611E-40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5.2830746228017506E-2</v>
      </c>
      <c r="C227" s="3">
        <f t="shared" si="188"/>
        <v>5.2830746228017506E-2</v>
      </c>
      <c r="D227" s="3">
        <f t="shared" si="188"/>
        <v>5.2830746228017506E-2</v>
      </c>
      <c r="E227" s="3">
        <f t="shared" si="188"/>
        <v>5.2830746228017506E-2</v>
      </c>
      <c r="F227" s="3">
        <f t="shared" si="188"/>
        <v>5.2830746228017506E-2</v>
      </c>
      <c r="G227" s="3">
        <f t="shared" si="188"/>
        <v>5.2830746228017506E-2</v>
      </c>
      <c r="H227" s="3">
        <f t="shared" si="188"/>
        <v>5.2830746228017506E-2</v>
      </c>
      <c r="I227" s="3">
        <f t="shared" si="188"/>
        <v>5.2830746228017499E-2</v>
      </c>
      <c r="J227" s="3">
        <f t="shared" si="188"/>
        <v>5.2830746228017464E-2</v>
      </c>
      <c r="K227" s="3">
        <f t="shared" si="188"/>
        <v>5.2830746228017089E-2</v>
      </c>
      <c r="L227" s="3">
        <f t="shared" si="188"/>
        <v>5.2830746228013363E-2</v>
      </c>
      <c r="M227" s="3">
        <f t="shared" si="188"/>
        <v>5.2830746227976087E-2</v>
      </c>
      <c r="N227" s="3">
        <f t="shared" si="188"/>
        <v>5.2830746227603365E-2</v>
      </c>
      <c r="O227" s="3">
        <f t="shared" si="188"/>
        <v>5.2830746223876145E-2</v>
      </c>
      <c r="P227" s="3">
        <f t="shared" si="188"/>
        <v>5.2830746186603911E-2</v>
      </c>
      <c r="Q227" s="3">
        <f t="shared" si="188"/>
        <v>5.283074581388153E-2</v>
      </c>
      <c r="R227" s="3">
        <f t="shared" si="188"/>
        <v>5.2830742086657896E-2</v>
      </c>
      <c r="S227" s="3">
        <f t="shared" si="188"/>
        <v>5.2830704814436018E-2</v>
      </c>
      <c r="T227" s="3">
        <f t="shared" si="188"/>
        <v>5.2830332093663473E-2</v>
      </c>
      <c r="U227" s="3">
        <f t="shared" si="188"/>
        <v>5.2826605030560018E-2</v>
      </c>
      <c r="V227" s="3">
        <f t="shared" si="188"/>
        <v>5.278934885794858E-2</v>
      </c>
      <c r="W227" s="3">
        <f t="shared" si="188"/>
        <v>5.2418229207083132E-2</v>
      </c>
      <c r="X227" s="3">
        <f t="shared" si="188"/>
        <v>4.8847545871734399E-2</v>
      </c>
      <c r="Y227" s="3">
        <f t="shared" si="188"/>
        <v>2.4123859378281758E-2</v>
      </c>
      <c r="Z227" s="3">
        <f t="shared" si="188"/>
        <v>2.0820309281029539E-5</v>
      </c>
      <c r="AA227" s="3">
        <f t="shared" si="188"/>
        <v>4.7740950340104414E-36</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4.2289160639644607E-2</v>
      </c>
      <c r="C228" s="3">
        <f t="shared" si="189"/>
        <v>4.2289160639644607E-2</v>
      </c>
      <c r="D228" s="3">
        <f t="shared" si="189"/>
        <v>4.2289160639644607E-2</v>
      </c>
      <c r="E228" s="3">
        <f t="shared" si="189"/>
        <v>4.2289160639644607E-2</v>
      </c>
      <c r="F228" s="3">
        <f t="shared" si="189"/>
        <v>4.2289160639644607E-2</v>
      </c>
      <c r="G228" s="3">
        <f t="shared" si="189"/>
        <v>4.2289160639644607E-2</v>
      </c>
      <c r="H228" s="3">
        <f t="shared" si="189"/>
        <v>4.2289160639644607E-2</v>
      </c>
      <c r="I228" s="3">
        <f t="shared" si="189"/>
        <v>4.2289160639644607E-2</v>
      </c>
      <c r="J228" s="3">
        <f t="shared" si="189"/>
        <v>4.22891606396446E-2</v>
      </c>
      <c r="K228" s="3">
        <f t="shared" si="189"/>
        <v>4.228916063964458E-2</v>
      </c>
      <c r="L228" s="3">
        <f t="shared" si="189"/>
        <v>4.2289160639644309E-2</v>
      </c>
      <c r="M228" s="3">
        <f t="shared" si="189"/>
        <v>4.2289160639641617E-2</v>
      </c>
      <c r="N228" s="3">
        <f t="shared" si="189"/>
        <v>4.2289160639614708E-2</v>
      </c>
      <c r="O228" s="3">
        <f t="shared" si="189"/>
        <v>4.2289160639345569E-2</v>
      </c>
      <c r="P228" s="3">
        <f t="shared" si="189"/>
        <v>4.2289160636654194E-2</v>
      </c>
      <c r="Q228" s="3">
        <f t="shared" si="189"/>
        <v>4.2289160609740431E-2</v>
      </c>
      <c r="R228" s="3">
        <f t="shared" si="189"/>
        <v>4.2289160340602823E-2</v>
      </c>
      <c r="S228" s="3">
        <f t="shared" si="189"/>
        <v>4.2289157649226895E-2</v>
      </c>
      <c r="T228" s="3">
        <f t="shared" si="189"/>
        <v>4.2289130735477E-2</v>
      </c>
      <c r="U228" s="3">
        <f t="shared" si="189"/>
        <v>4.2288861598920119E-2</v>
      </c>
      <c r="V228" s="3">
        <f t="shared" si="189"/>
        <v>4.2286170327555661E-2</v>
      </c>
      <c r="W228" s="3">
        <f t="shared" si="189"/>
        <v>4.2259267032129615E-2</v>
      </c>
      <c r="X228" s="3">
        <f t="shared" si="189"/>
        <v>4.1991173685726073E-2</v>
      </c>
      <c r="Y228" s="3">
        <f t="shared" si="189"/>
        <v>3.9402025615385534E-2</v>
      </c>
      <c r="Z228" s="3">
        <f t="shared" si="189"/>
        <v>2.085085664215923E-2</v>
      </c>
      <c r="AA228" s="3">
        <f t="shared" si="189"/>
        <v>3.5906860606842251E-5</v>
      </c>
      <c r="AB228" s="3">
        <f t="shared" si="189"/>
        <v>8.2359323308012866E-33</v>
      </c>
      <c r="AC228" s="3">
        <f t="shared" si="189"/>
        <v>0</v>
      </c>
      <c r="AD228" s="3">
        <f t="shared" si="189"/>
        <v>0</v>
      </c>
      <c r="AE228" s="3">
        <f t="shared" si="189"/>
        <v>0</v>
      </c>
      <c r="AF228" s="3">
        <f t="shared" si="189"/>
        <v>0</v>
      </c>
      <c r="AG228" s="3"/>
      <c r="AH228" s="3"/>
    </row>
    <row r="229" spans="2:34" x14ac:dyDescent="0.25">
      <c r="B229" s="3">
        <f t="shared" ref="B229:AF229" si="190">$C37*EXP(-B$207/$A37/EXP(-$D$126))</f>
        <v>5.3722068085000706E-2</v>
      </c>
      <c r="C229" s="3">
        <f t="shared" si="190"/>
        <v>5.3722068085000706E-2</v>
      </c>
      <c r="D229" s="3">
        <f t="shared" si="190"/>
        <v>5.3722068085000706E-2</v>
      </c>
      <c r="E229" s="3">
        <f t="shared" si="190"/>
        <v>5.3722068085000706E-2</v>
      </c>
      <c r="F229" s="3">
        <f t="shared" si="190"/>
        <v>5.3722068085000706E-2</v>
      </c>
      <c r="G229" s="3">
        <f t="shared" si="190"/>
        <v>5.3722068085000706E-2</v>
      </c>
      <c r="H229" s="3">
        <f t="shared" si="190"/>
        <v>5.3722068085000706E-2</v>
      </c>
      <c r="I229" s="3">
        <f t="shared" si="190"/>
        <v>5.3722068085000706E-2</v>
      </c>
      <c r="J229" s="3">
        <f t="shared" si="190"/>
        <v>5.3722068085000706E-2</v>
      </c>
      <c r="K229" s="3">
        <f t="shared" si="190"/>
        <v>5.3722068085000699E-2</v>
      </c>
      <c r="L229" s="3">
        <f t="shared" si="190"/>
        <v>5.3722068085000671E-2</v>
      </c>
      <c r="M229" s="3">
        <f t="shared" si="190"/>
        <v>5.3722068085000366E-2</v>
      </c>
      <c r="N229" s="3">
        <f t="shared" si="190"/>
        <v>5.3722068084997278E-2</v>
      </c>
      <c r="O229" s="3">
        <f t="shared" si="190"/>
        <v>5.3722068084966434E-2</v>
      </c>
      <c r="P229" s="3">
        <f t="shared" si="190"/>
        <v>5.3722068084658021E-2</v>
      </c>
      <c r="Q229" s="3">
        <f t="shared" si="190"/>
        <v>5.3722068081573801E-2</v>
      </c>
      <c r="R229" s="3">
        <f t="shared" si="190"/>
        <v>5.3722068050731653E-2</v>
      </c>
      <c r="S229" s="3">
        <f t="shared" si="190"/>
        <v>5.3722067742310163E-2</v>
      </c>
      <c r="T229" s="3">
        <f t="shared" si="190"/>
        <v>5.3722064658095384E-2</v>
      </c>
      <c r="U229" s="3">
        <f t="shared" si="190"/>
        <v>5.372203381595729E-2</v>
      </c>
      <c r="V229" s="3">
        <f t="shared" si="190"/>
        <v>5.3721725395550222E-2</v>
      </c>
      <c r="W229" s="3">
        <f t="shared" si="190"/>
        <v>5.3718641288863882E-2</v>
      </c>
      <c r="X229" s="3">
        <f t="shared" si="190"/>
        <v>5.3687809958362788E-2</v>
      </c>
      <c r="Y229" s="3">
        <f t="shared" si="190"/>
        <v>5.3380468224568163E-2</v>
      </c>
      <c r="Z229" s="3">
        <f t="shared" si="190"/>
        <v>5.0402175514984153E-2</v>
      </c>
      <c r="AA229" s="3">
        <f t="shared" si="190"/>
        <v>2.8386922837323379E-2</v>
      </c>
      <c r="AB229" s="3">
        <f t="shared" si="190"/>
        <v>9.1160913014204037E-5</v>
      </c>
      <c r="AC229" s="3">
        <f t="shared" si="190"/>
        <v>1.0634379520771542E-29</v>
      </c>
      <c r="AD229" s="3">
        <f t="shared" si="190"/>
        <v>4.9630316834623793E-279</v>
      </c>
      <c r="AE229" s="3">
        <f t="shared" si="190"/>
        <v>0</v>
      </c>
      <c r="AF229" s="3">
        <f t="shared" si="190"/>
        <v>0</v>
      </c>
      <c r="AG229" s="3"/>
      <c r="AH229" s="3"/>
    </row>
    <row r="230" spans="2:34" x14ac:dyDescent="0.25">
      <c r="B230" s="3">
        <f t="shared" ref="B230:AF230" si="191">$C38*EXP(-B$207/$A38/EXP(-$D$126))</f>
        <v>0</v>
      </c>
      <c r="C230" s="3">
        <f t="shared" si="191"/>
        <v>0</v>
      </c>
      <c r="D230" s="3">
        <f t="shared" si="191"/>
        <v>0</v>
      </c>
      <c r="E230" s="3">
        <f t="shared" si="191"/>
        <v>0</v>
      </c>
      <c r="F230" s="3">
        <f t="shared" si="191"/>
        <v>0</v>
      </c>
      <c r="G230" s="3">
        <f t="shared" si="191"/>
        <v>0</v>
      </c>
      <c r="H230" s="3">
        <f t="shared" si="191"/>
        <v>0</v>
      </c>
      <c r="I230" s="3">
        <f t="shared" si="191"/>
        <v>0</v>
      </c>
      <c r="J230" s="3">
        <f t="shared" si="191"/>
        <v>0</v>
      </c>
      <c r="K230" s="3">
        <f t="shared" si="191"/>
        <v>0</v>
      </c>
      <c r="L230" s="3">
        <f t="shared" si="191"/>
        <v>0</v>
      </c>
      <c r="M230" s="3">
        <f t="shared" si="191"/>
        <v>0</v>
      </c>
      <c r="N230" s="3">
        <f t="shared" si="191"/>
        <v>0</v>
      </c>
      <c r="O230" s="3">
        <f t="shared" si="191"/>
        <v>0</v>
      </c>
      <c r="P230" s="3">
        <f t="shared" si="191"/>
        <v>0</v>
      </c>
      <c r="Q230" s="3">
        <f t="shared" si="191"/>
        <v>0</v>
      </c>
      <c r="R230" s="3">
        <f t="shared" si="191"/>
        <v>0</v>
      </c>
      <c r="S230" s="3">
        <f t="shared" si="191"/>
        <v>0</v>
      </c>
      <c r="T230" s="3">
        <f t="shared" si="191"/>
        <v>0</v>
      </c>
      <c r="U230" s="3">
        <f t="shared" si="191"/>
        <v>0</v>
      </c>
      <c r="V230" s="3">
        <f t="shared" si="191"/>
        <v>0</v>
      </c>
      <c r="W230" s="3">
        <f t="shared" si="191"/>
        <v>0</v>
      </c>
      <c r="X230" s="3">
        <f t="shared" si="191"/>
        <v>0</v>
      </c>
      <c r="Y230" s="3">
        <f t="shared" si="191"/>
        <v>0</v>
      </c>
      <c r="Z230" s="3">
        <f t="shared" si="191"/>
        <v>0</v>
      </c>
      <c r="AA230" s="3">
        <f t="shared" si="191"/>
        <v>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7.2679477102325196E-2</v>
      </c>
      <c r="C231" s="3">
        <f t="shared" si="192"/>
        <v>7.2679477102325196E-2</v>
      </c>
      <c r="D231" s="3">
        <f t="shared" si="192"/>
        <v>7.2679477102325196E-2</v>
      </c>
      <c r="E231" s="3">
        <f t="shared" si="192"/>
        <v>7.2679477102325196E-2</v>
      </c>
      <c r="F231" s="3">
        <f t="shared" si="192"/>
        <v>7.2679477102325196E-2</v>
      </c>
      <c r="G231" s="3">
        <f t="shared" si="192"/>
        <v>7.2679477102325196E-2</v>
      </c>
      <c r="H231" s="3">
        <f t="shared" si="192"/>
        <v>7.2679477102325196E-2</v>
      </c>
      <c r="I231" s="3">
        <f t="shared" si="192"/>
        <v>7.2679477102325196E-2</v>
      </c>
      <c r="J231" s="3">
        <f t="shared" si="192"/>
        <v>7.2679477102325196E-2</v>
      </c>
      <c r="K231" s="3">
        <f t="shared" si="192"/>
        <v>7.2679477102325196E-2</v>
      </c>
      <c r="L231" s="3">
        <f t="shared" si="192"/>
        <v>7.2679477102325196E-2</v>
      </c>
      <c r="M231" s="3">
        <f t="shared" si="192"/>
        <v>7.2679477102325182E-2</v>
      </c>
      <c r="N231" s="3">
        <f t="shared" si="192"/>
        <v>7.2679477102325085E-2</v>
      </c>
      <c r="O231" s="3">
        <f t="shared" si="192"/>
        <v>7.2679477102324044E-2</v>
      </c>
      <c r="P231" s="3">
        <f t="shared" si="192"/>
        <v>7.2679477102313622E-2</v>
      </c>
      <c r="Q231" s="3">
        <f t="shared" si="192"/>
        <v>7.2679477102209525E-2</v>
      </c>
      <c r="R231" s="3">
        <f t="shared" si="192"/>
        <v>7.2679477101168496E-2</v>
      </c>
      <c r="S231" s="3">
        <f t="shared" si="192"/>
        <v>7.2679477090758199E-2</v>
      </c>
      <c r="T231" s="3">
        <f t="shared" si="192"/>
        <v>7.2679476986655223E-2</v>
      </c>
      <c r="U231" s="3">
        <f t="shared" si="192"/>
        <v>7.2679475945625446E-2</v>
      </c>
      <c r="V231" s="3">
        <f t="shared" si="192"/>
        <v>7.2679465535328558E-2</v>
      </c>
      <c r="W231" s="3">
        <f t="shared" si="192"/>
        <v>7.2679361432441594E-2</v>
      </c>
      <c r="X231" s="3">
        <f t="shared" si="192"/>
        <v>7.2678320411773176E-2</v>
      </c>
      <c r="Y231" s="3">
        <f t="shared" si="192"/>
        <v>7.2667911025160348E-2</v>
      </c>
      <c r="Z231" s="3">
        <f t="shared" si="192"/>
        <v>7.2563899122720196E-2</v>
      </c>
      <c r="AA231" s="3">
        <f t="shared" si="192"/>
        <v>7.1531933194587047E-2</v>
      </c>
      <c r="AB231" s="3">
        <f t="shared" si="192"/>
        <v>6.1985980603341442E-2</v>
      </c>
      <c r="AC231" s="3">
        <f t="shared" si="192"/>
        <v>1.4798871989054356E-2</v>
      </c>
      <c r="AD231" s="3">
        <f t="shared" si="192"/>
        <v>8.903894152046559E-9</v>
      </c>
      <c r="AE231" s="3">
        <f t="shared" si="192"/>
        <v>5.53469557848467E-71</v>
      </c>
      <c r="AF231" s="3">
        <f t="shared" si="192"/>
        <v>0</v>
      </c>
      <c r="AG231" s="3"/>
      <c r="AH231" s="3"/>
    </row>
    <row r="232" spans="2:34" x14ac:dyDescent="0.25">
      <c r="B232" s="3">
        <f t="shared" ref="B232:AF232" si="193">$C40*EXP(-B$207/$A40/EXP(-$D$126))</f>
        <v>2.5051354607062454E-2</v>
      </c>
      <c r="C232" s="3">
        <f t="shared" si="193"/>
        <v>2.5051354607062454E-2</v>
      </c>
      <c r="D232" s="3">
        <f t="shared" si="193"/>
        <v>2.5051354607062454E-2</v>
      </c>
      <c r="E232" s="3">
        <f t="shared" si="193"/>
        <v>2.5051354607062454E-2</v>
      </c>
      <c r="F232" s="3">
        <f t="shared" si="193"/>
        <v>2.5051354607062454E-2</v>
      </c>
      <c r="G232" s="3">
        <f t="shared" si="193"/>
        <v>2.5051354607062454E-2</v>
      </c>
      <c r="H232" s="3">
        <f t="shared" si="193"/>
        <v>2.5051354607062454E-2</v>
      </c>
      <c r="I232" s="3">
        <f t="shared" si="193"/>
        <v>2.5051354607062454E-2</v>
      </c>
      <c r="J232" s="3">
        <f t="shared" si="193"/>
        <v>2.5051354607062454E-2</v>
      </c>
      <c r="K232" s="3">
        <f t="shared" si="193"/>
        <v>2.5051354607062454E-2</v>
      </c>
      <c r="L232" s="3">
        <f t="shared" si="193"/>
        <v>2.5051354607062454E-2</v>
      </c>
      <c r="M232" s="3">
        <f t="shared" si="193"/>
        <v>2.5051354607062454E-2</v>
      </c>
      <c r="N232" s="3">
        <f t="shared" si="193"/>
        <v>2.505135460706245E-2</v>
      </c>
      <c r="O232" s="3">
        <f t="shared" si="193"/>
        <v>2.5051354607062416E-2</v>
      </c>
      <c r="P232" s="3">
        <f t="shared" si="193"/>
        <v>2.5051354607062055E-2</v>
      </c>
      <c r="Q232" s="3">
        <f t="shared" si="193"/>
        <v>2.5051354607058464E-2</v>
      </c>
      <c r="R232" s="3">
        <f t="shared" si="193"/>
        <v>2.5051354607022583E-2</v>
      </c>
      <c r="S232" s="3">
        <f t="shared" si="193"/>
        <v>2.5051354606663759E-2</v>
      </c>
      <c r="T232" s="3">
        <f t="shared" si="193"/>
        <v>2.5051354603075511E-2</v>
      </c>
      <c r="U232" s="3">
        <f t="shared" si="193"/>
        <v>2.5051354567193023E-2</v>
      </c>
      <c r="V232" s="3">
        <f t="shared" si="193"/>
        <v>2.5051354208368119E-2</v>
      </c>
      <c r="W232" s="3">
        <f t="shared" si="193"/>
        <v>2.5051350620119425E-2</v>
      </c>
      <c r="X232" s="3">
        <f t="shared" si="193"/>
        <v>2.5051314737660705E-2</v>
      </c>
      <c r="Y232" s="3">
        <f t="shared" si="193"/>
        <v>2.5050955915900321E-2</v>
      </c>
      <c r="Z232" s="3">
        <f t="shared" si="193"/>
        <v>2.504736798096082E-2</v>
      </c>
      <c r="AA232" s="3">
        <f t="shared" si="193"/>
        <v>2.5011516883026875E-2</v>
      </c>
      <c r="AB232" s="3">
        <f t="shared" si="193"/>
        <v>2.4655816134496824E-2</v>
      </c>
      <c r="AC232" s="3">
        <f t="shared" si="193"/>
        <v>2.1365491919741984E-2</v>
      </c>
      <c r="AD232" s="3">
        <f t="shared" si="193"/>
        <v>5.1009143813785596E-3</v>
      </c>
      <c r="AE232" s="3">
        <f t="shared" si="193"/>
        <v>3.0690178119007401E-9</v>
      </c>
      <c r="AF232" s="3">
        <f t="shared" si="193"/>
        <v>1.9077135266610818E-71</v>
      </c>
      <c r="AG232" s="3"/>
      <c r="AH232" s="3"/>
    </row>
    <row r="233" spans="2:34" x14ac:dyDescent="0.25">
      <c r="B233" s="3">
        <f t="shared" ref="B233:AF233" si="194">$C41*EXP(-B$207/$A41/EXP(-$D$126))</f>
        <v>6.9730699512145403E-2</v>
      </c>
      <c r="C233" s="3">
        <f t="shared" si="194"/>
        <v>6.9730699512145403E-2</v>
      </c>
      <c r="D233" s="3">
        <f t="shared" si="194"/>
        <v>6.9730699512145403E-2</v>
      </c>
      <c r="E233" s="3">
        <f t="shared" si="194"/>
        <v>6.9730699512145403E-2</v>
      </c>
      <c r="F233" s="3">
        <f t="shared" si="194"/>
        <v>6.9730699512145403E-2</v>
      </c>
      <c r="G233" s="3">
        <f t="shared" si="194"/>
        <v>6.9730699512145403E-2</v>
      </c>
      <c r="H233" s="3">
        <f t="shared" si="194"/>
        <v>6.9730699512145403E-2</v>
      </c>
      <c r="I233" s="3">
        <f t="shared" si="194"/>
        <v>6.9730699512145403E-2</v>
      </c>
      <c r="J233" s="3">
        <f t="shared" si="194"/>
        <v>6.9730699512145403E-2</v>
      </c>
      <c r="K233" s="3">
        <f t="shared" si="194"/>
        <v>6.9730699512145403E-2</v>
      </c>
      <c r="L233" s="3">
        <f t="shared" si="194"/>
        <v>6.9730699512145403E-2</v>
      </c>
      <c r="M233" s="3">
        <f t="shared" si="194"/>
        <v>6.9730699512145403E-2</v>
      </c>
      <c r="N233" s="3">
        <f t="shared" si="194"/>
        <v>6.9730699512145403E-2</v>
      </c>
      <c r="O233" s="3">
        <f t="shared" si="194"/>
        <v>6.9730699512145389E-2</v>
      </c>
      <c r="P233" s="3">
        <f t="shared" si="194"/>
        <v>6.9730699512145292E-2</v>
      </c>
      <c r="Q233" s="3">
        <f t="shared" si="194"/>
        <v>6.9730699512144292E-2</v>
      </c>
      <c r="R233" s="3">
        <f t="shared" si="194"/>
        <v>6.97306995121343E-2</v>
      </c>
      <c r="S233" s="3">
        <f t="shared" si="194"/>
        <v>6.9730699512034422E-2</v>
      </c>
      <c r="T233" s="3">
        <f t="shared" si="194"/>
        <v>6.9730699511035638E-2</v>
      </c>
      <c r="U233" s="3">
        <f t="shared" si="194"/>
        <v>6.973069950104771E-2</v>
      </c>
      <c r="V233" s="3">
        <f t="shared" si="194"/>
        <v>6.9730699401168439E-2</v>
      </c>
      <c r="W233" s="3">
        <f t="shared" si="194"/>
        <v>6.9730698402375682E-2</v>
      </c>
      <c r="X233" s="3">
        <f t="shared" si="194"/>
        <v>6.9730688414449057E-2</v>
      </c>
      <c r="Y233" s="3">
        <f t="shared" si="194"/>
        <v>6.9730588535261456E-2</v>
      </c>
      <c r="Z233" s="3">
        <f t="shared" si="194"/>
        <v>6.972958975125379E-2</v>
      </c>
      <c r="AA233" s="3">
        <f t="shared" si="194"/>
        <v>6.9719602697976252E-2</v>
      </c>
      <c r="AB233" s="3">
        <f t="shared" si="194"/>
        <v>6.961981080342905E-2</v>
      </c>
      <c r="AC233" s="3">
        <f t="shared" si="194"/>
        <v>6.8629714163904343E-2</v>
      </c>
      <c r="AD233" s="3">
        <f t="shared" si="194"/>
        <v>5.9471063355779064E-2</v>
      </c>
      <c r="AE233" s="3">
        <f t="shared" si="194"/>
        <v>1.4198446892161813E-2</v>
      </c>
      <c r="AF233" s="3">
        <f t="shared" si="194"/>
        <v>8.5426421922405934E-9</v>
      </c>
      <c r="AG233" s="3"/>
      <c r="AH233" s="3"/>
    </row>
    <row r="234" spans="2:34" x14ac:dyDescent="0.25">
      <c r="B234" s="3">
        <f t="shared" ref="B234:AF234" si="195">$C42*EXP(-B$207/$A42/EXP(-$D$126))</f>
        <v>3.3620821697873268E-2</v>
      </c>
      <c r="C234" s="3">
        <f t="shared" si="195"/>
        <v>3.3620821697873268E-2</v>
      </c>
      <c r="D234" s="3">
        <f t="shared" si="195"/>
        <v>3.3620821697873268E-2</v>
      </c>
      <c r="E234" s="3">
        <f t="shared" si="195"/>
        <v>3.3620821697873268E-2</v>
      </c>
      <c r="F234" s="3">
        <f t="shared" si="195"/>
        <v>3.3620821697873268E-2</v>
      </c>
      <c r="G234" s="3">
        <f t="shared" si="195"/>
        <v>3.3620821697873268E-2</v>
      </c>
      <c r="H234" s="3">
        <f t="shared" si="195"/>
        <v>3.3620821697873268E-2</v>
      </c>
      <c r="I234" s="3">
        <f t="shared" si="195"/>
        <v>3.3620821697873268E-2</v>
      </c>
      <c r="J234" s="3">
        <f t="shared" si="195"/>
        <v>3.3620821697873268E-2</v>
      </c>
      <c r="K234" s="3">
        <f t="shared" si="195"/>
        <v>3.3620821697873268E-2</v>
      </c>
      <c r="L234" s="3">
        <f t="shared" si="195"/>
        <v>3.3620821697873268E-2</v>
      </c>
      <c r="M234" s="3">
        <f t="shared" si="195"/>
        <v>3.3620821697873268E-2</v>
      </c>
      <c r="N234" s="3">
        <f t="shared" si="195"/>
        <v>3.3620821697873268E-2</v>
      </c>
      <c r="O234" s="3">
        <f t="shared" si="195"/>
        <v>3.3620821697873268E-2</v>
      </c>
      <c r="P234" s="3">
        <f t="shared" si="195"/>
        <v>3.3620821697873261E-2</v>
      </c>
      <c r="Q234" s="3">
        <f t="shared" si="195"/>
        <v>3.3620821697873213E-2</v>
      </c>
      <c r="R234" s="3">
        <f t="shared" si="195"/>
        <v>3.3620821697872734E-2</v>
      </c>
      <c r="S234" s="3">
        <f t="shared" si="195"/>
        <v>3.3620821697867918E-2</v>
      </c>
      <c r="T234" s="3">
        <f t="shared" si="195"/>
        <v>3.3620821697819762E-2</v>
      </c>
      <c r="U234" s="3">
        <f t="shared" si="195"/>
        <v>3.3620821697338189E-2</v>
      </c>
      <c r="V234" s="3">
        <f t="shared" si="195"/>
        <v>3.3620821692522486E-2</v>
      </c>
      <c r="W234" s="3">
        <f t="shared" si="195"/>
        <v>3.3620821644365459E-2</v>
      </c>
      <c r="X234" s="3">
        <f t="shared" si="195"/>
        <v>3.3620821162795175E-2</v>
      </c>
      <c r="Y234" s="3">
        <f t="shared" si="195"/>
        <v>3.3620816347092727E-2</v>
      </c>
      <c r="Z234" s="3">
        <f t="shared" si="195"/>
        <v>3.3620768190106183E-2</v>
      </c>
      <c r="AA234" s="3">
        <f t="shared" si="195"/>
        <v>3.3620286624034552E-2</v>
      </c>
      <c r="AB234" s="3">
        <f t="shared" si="195"/>
        <v>3.3615471342675257E-2</v>
      </c>
      <c r="AC234" s="3">
        <f t="shared" si="195"/>
        <v>3.3567356444690048E-2</v>
      </c>
      <c r="AD234" s="3">
        <f t="shared" si="195"/>
        <v>3.3089979008151846E-2</v>
      </c>
      <c r="AE234" s="3">
        <f t="shared" si="195"/>
        <v>2.8674113858836506E-2</v>
      </c>
      <c r="AF234" s="3">
        <f t="shared" si="195"/>
        <v>6.8458147514345521E-3</v>
      </c>
      <c r="AG234" s="3"/>
      <c r="AH234" s="3"/>
    </row>
    <row r="235" spans="2:34" x14ac:dyDescent="0.25">
      <c r="B235" s="3">
        <f t="shared" ref="B235:AF235" si="196">$C43*EXP(-B$207/$A43/EXP(-$D$126))</f>
        <v>4.4529414265274125E-2</v>
      </c>
      <c r="C235" s="3">
        <f t="shared" si="196"/>
        <v>4.4529414265274125E-2</v>
      </c>
      <c r="D235" s="3">
        <f t="shared" si="196"/>
        <v>4.4529414265274125E-2</v>
      </c>
      <c r="E235" s="3">
        <f t="shared" si="196"/>
        <v>4.4529414265274125E-2</v>
      </c>
      <c r="F235" s="3">
        <f t="shared" si="196"/>
        <v>4.4529414265274125E-2</v>
      </c>
      <c r="G235" s="3">
        <f t="shared" si="196"/>
        <v>4.4529414265274125E-2</v>
      </c>
      <c r="H235" s="3">
        <f t="shared" si="196"/>
        <v>4.4529414265274125E-2</v>
      </c>
      <c r="I235" s="3">
        <f t="shared" si="196"/>
        <v>4.4529414265274125E-2</v>
      </c>
      <c r="J235" s="3">
        <f t="shared" si="196"/>
        <v>4.4529414265274125E-2</v>
      </c>
      <c r="K235" s="3">
        <f t="shared" si="196"/>
        <v>4.4529414265274125E-2</v>
      </c>
      <c r="L235" s="3">
        <f t="shared" si="196"/>
        <v>4.4529414265274125E-2</v>
      </c>
      <c r="M235" s="3">
        <f t="shared" si="196"/>
        <v>4.4529414265274125E-2</v>
      </c>
      <c r="N235" s="3">
        <f t="shared" si="196"/>
        <v>4.4529414265274125E-2</v>
      </c>
      <c r="O235" s="3">
        <f t="shared" si="196"/>
        <v>4.4529414265274125E-2</v>
      </c>
      <c r="P235" s="3">
        <f t="shared" si="196"/>
        <v>4.4529414265274125E-2</v>
      </c>
      <c r="Q235" s="3">
        <f t="shared" si="196"/>
        <v>4.4529414265274118E-2</v>
      </c>
      <c r="R235" s="3">
        <f t="shared" si="196"/>
        <v>4.4529414265274056E-2</v>
      </c>
      <c r="S235" s="3">
        <f t="shared" si="196"/>
        <v>4.4529414265273418E-2</v>
      </c>
      <c r="T235" s="3">
        <f t="shared" si="196"/>
        <v>4.4529414265267034E-2</v>
      </c>
      <c r="U235" s="3">
        <f t="shared" si="196"/>
        <v>4.4529414265203258E-2</v>
      </c>
      <c r="V235" s="3">
        <f t="shared" si="196"/>
        <v>4.4529414264565435E-2</v>
      </c>
      <c r="W235" s="3">
        <f t="shared" si="196"/>
        <v>4.4529414258187232E-2</v>
      </c>
      <c r="X235" s="3">
        <f t="shared" si="196"/>
        <v>4.4529414194405204E-2</v>
      </c>
      <c r="Y235" s="3">
        <f t="shared" si="196"/>
        <v>4.45294135565849E-2</v>
      </c>
      <c r="Z235" s="3">
        <f t="shared" si="196"/>
        <v>4.4529407178382392E-2</v>
      </c>
      <c r="AA235" s="3">
        <f t="shared" si="196"/>
        <v>4.4529343396407559E-2</v>
      </c>
      <c r="AB235" s="3">
        <f t="shared" si="196"/>
        <v>4.4528705581683918E-2</v>
      </c>
      <c r="AC235" s="3">
        <f t="shared" si="196"/>
        <v>4.4522327936890496E-2</v>
      </c>
      <c r="AD235" s="3">
        <f t="shared" si="196"/>
        <v>4.4458601706640441E-2</v>
      </c>
      <c r="AE235" s="3">
        <f t="shared" si="196"/>
        <v>4.3826334660238983E-2</v>
      </c>
      <c r="AF235" s="3">
        <f t="shared" si="196"/>
        <v>3.7977700431710067E-2</v>
      </c>
      <c r="AG235" s="3"/>
      <c r="AH235" s="3"/>
    </row>
    <row r="236" spans="2:34" x14ac:dyDescent="0.25">
      <c r="B236" s="3">
        <f t="shared" ref="B236:AF236" si="197">$C44*EXP(-B$207/$A44/EXP(-$D$126))</f>
        <v>1.2215661921031389E-2</v>
      </c>
      <c r="C236" s="3">
        <f t="shared" si="197"/>
        <v>1.2215661921031389E-2</v>
      </c>
      <c r="D236" s="3">
        <f t="shared" si="197"/>
        <v>1.2215661921031389E-2</v>
      </c>
      <c r="E236" s="3">
        <f t="shared" si="197"/>
        <v>1.2215661921031389E-2</v>
      </c>
      <c r="F236" s="3">
        <f t="shared" si="197"/>
        <v>1.2215661921031389E-2</v>
      </c>
      <c r="G236" s="3">
        <f t="shared" si="197"/>
        <v>1.2215661921031389E-2</v>
      </c>
      <c r="H236" s="3">
        <f t="shared" si="197"/>
        <v>1.2215661921031389E-2</v>
      </c>
      <c r="I236" s="3">
        <f t="shared" si="197"/>
        <v>1.2215661921031389E-2</v>
      </c>
      <c r="J236" s="3">
        <f t="shared" si="197"/>
        <v>1.2215661921031389E-2</v>
      </c>
      <c r="K236" s="3">
        <f t="shared" si="197"/>
        <v>1.2215661921031389E-2</v>
      </c>
      <c r="L236" s="3">
        <f t="shared" si="197"/>
        <v>1.2215661921031389E-2</v>
      </c>
      <c r="M236" s="3">
        <f t="shared" si="197"/>
        <v>1.2215661921031389E-2</v>
      </c>
      <c r="N236" s="3">
        <f t="shared" si="197"/>
        <v>1.2215661921031389E-2</v>
      </c>
      <c r="O236" s="3">
        <f t="shared" si="197"/>
        <v>1.2215661921031389E-2</v>
      </c>
      <c r="P236" s="3">
        <f t="shared" si="197"/>
        <v>1.2215661921031389E-2</v>
      </c>
      <c r="Q236" s="3">
        <f t="shared" si="197"/>
        <v>1.2215661921031389E-2</v>
      </c>
      <c r="R236" s="3">
        <f t="shared" si="197"/>
        <v>1.2215661921031387E-2</v>
      </c>
      <c r="S236" s="3">
        <f t="shared" si="197"/>
        <v>1.221566192103137E-2</v>
      </c>
      <c r="T236" s="3">
        <f t="shared" si="197"/>
        <v>1.2215661921031195E-2</v>
      </c>
      <c r="U236" s="3">
        <f t="shared" si="197"/>
        <v>1.2215661921029445E-2</v>
      </c>
      <c r="V236" s="3">
        <f t="shared" si="197"/>
        <v>1.2215661921011948E-2</v>
      </c>
      <c r="W236" s="3">
        <f t="shared" si="197"/>
        <v>1.2215661920836977E-2</v>
      </c>
      <c r="X236" s="3">
        <f t="shared" si="197"/>
        <v>1.2215661919087257E-2</v>
      </c>
      <c r="Y236" s="3">
        <f t="shared" si="197"/>
        <v>1.2215661901590066E-2</v>
      </c>
      <c r="Z236" s="3">
        <f t="shared" si="197"/>
        <v>1.2215661726618143E-2</v>
      </c>
      <c r="AA236" s="3">
        <f t="shared" si="197"/>
        <v>1.2215659976899069E-2</v>
      </c>
      <c r="AB236" s="3">
        <f t="shared" si="197"/>
        <v>1.2215642479722112E-2</v>
      </c>
      <c r="AC236" s="3">
        <f t="shared" si="197"/>
        <v>1.2215467509330948E-2</v>
      </c>
      <c r="AD236" s="3">
        <f t="shared" si="197"/>
        <v>1.2213717943253462E-2</v>
      </c>
      <c r="AE236" s="3">
        <f t="shared" si="197"/>
        <v>1.2196236058591808E-2</v>
      </c>
      <c r="AF236" s="3">
        <f t="shared" si="197"/>
        <v>1.2022787550227476E-2</v>
      </c>
      <c r="AG236" s="3"/>
      <c r="AH236" s="3"/>
    </row>
    <row r="237" spans="2:34" x14ac:dyDescent="0.25">
      <c r="B237" s="3">
        <f t="shared" ref="B237:AF237" si="198">$C45*EXP(-B$207/$A45/EXP(-$D$126))</f>
        <v>1.4917700620223399E-2</v>
      </c>
      <c r="C237" s="3">
        <f t="shared" si="198"/>
        <v>1.4917700620223399E-2</v>
      </c>
      <c r="D237" s="3">
        <f t="shared" si="198"/>
        <v>1.4917700620223399E-2</v>
      </c>
      <c r="E237" s="3">
        <f t="shared" si="198"/>
        <v>1.4917700620223399E-2</v>
      </c>
      <c r="F237" s="3">
        <f t="shared" si="198"/>
        <v>1.4917700620223399E-2</v>
      </c>
      <c r="G237" s="3">
        <f t="shared" si="198"/>
        <v>1.4917700620223399E-2</v>
      </c>
      <c r="H237" s="3">
        <f t="shared" si="198"/>
        <v>1.4917700620223399E-2</v>
      </c>
      <c r="I237" s="3">
        <f t="shared" si="198"/>
        <v>1.4917700620223399E-2</v>
      </c>
      <c r="J237" s="3">
        <f t="shared" si="198"/>
        <v>1.4917700620223399E-2</v>
      </c>
      <c r="K237" s="3">
        <f t="shared" si="198"/>
        <v>1.4917700620223399E-2</v>
      </c>
      <c r="L237" s="3">
        <f t="shared" si="198"/>
        <v>1.4917700620223399E-2</v>
      </c>
      <c r="M237" s="3">
        <f t="shared" si="198"/>
        <v>1.4917700620223399E-2</v>
      </c>
      <c r="N237" s="3">
        <f t="shared" si="198"/>
        <v>1.4917700620223399E-2</v>
      </c>
      <c r="O237" s="3">
        <f t="shared" si="198"/>
        <v>1.4917700620223399E-2</v>
      </c>
      <c r="P237" s="3">
        <f t="shared" si="198"/>
        <v>1.4917700620223399E-2</v>
      </c>
      <c r="Q237" s="3">
        <f t="shared" si="198"/>
        <v>1.4917700620223399E-2</v>
      </c>
      <c r="R237" s="3">
        <f t="shared" si="198"/>
        <v>1.4917700620223399E-2</v>
      </c>
      <c r="S237" s="3">
        <f t="shared" si="198"/>
        <v>1.4917700620223398E-2</v>
      </c>
      <c r="T237" s="3">
        <f t="shared" si="198"/>
        <v>1.4917700620223377E-2</v>
      </c>
      <c r="U237" s="3">
        <f t="shared" si="198"/>
        <v>1.4917700620223162E-2</v>
      </c>
      <c r="V237" s="3">
        <f t="shared" si="198"/>
        <v>1.4917700620221025E-2</v>
      </c>
      <c r="W237" s="3">
        <f t="shared" si="198"/>
        <v>1.4917700620199658E-2</v>
      </c>
      <c r="X237" s="3">
        <f t="shared" si="198"/>
        <v>1.4917700619985983E-2</v>
      </c>
      <c r="Y237" s="3">
        <f t="shared" si="198"/>
        <v>1.4917700617849236E-2</v>
      </c>
      <c r="Z237" s="3">
        <f t="shared" si="198"/>
        <v>1.4917700596481759E-2</v>
      </c>
      <c r="AA237" s="3">
        <f t="shared" si="198"/>
        <v>1.4917700382806988E-2</v>
      </c>
      <c r="AB237" s="3">
        <f t="shared" si="198"/>
        <v>1.491769824605947E-2</v>
      </c>
      <c r="AC237" s="3">
        <f t="shared" si="198"/>
        <v>1.4917676878601099E-2</v>
      </c>
      <c r="AD237" s="3">
        <f t="shared" si="198"/>
        <v>1.4917463205700716E-2</v>
      </c>
      <c r="AE237" s="3">
        <f t="shared" si="198"/>
        <v>1.4915326645019194E-2</v>
      </c>
      <c r="AF237" s="3">
        <f t="shared" si="198"/>
        <v>1.4893977861519313E-2</v>
      </c>
      <c r="AG237" s="3"/>
      <c r="AH237" s="3"/>
    </row>
    <row r="238" spans="2:34" x14ac:dyDescent="0.25">
      <c r="B238" s="3">
        <f t="shared" ref="B238:AF238" si="199">$C46*EXP(-B$207/$A46/EXP(-$D$126))</f>
        <v>7.6434223584492019E-4</v>
      </c>
      <c r="C238" s="3">
        <f t="shared" si="199"/>
        <v>7.6434223584492019E-4</v>
      </c>
      <c r="D238" s="3">
        <f t="shared" si="199"/>
        <v>7.6434223584492019E-4</v>
      </c>
      <c r="E238" s="3">
        <f t="shared" si="199"/>
        <v>7.6434223584492019E-4</v>
      </c>
      <c r="F238" s="3">
        <f t="shared" si="199"/>
        <v>7.6434223584492019E-4</v>
      </c>
      <c r="G238" s="3">
        <f t="shared" si="199"/>
        <v>7.6434223584492019E-4</v>
      </c>
      <c r="H238" s="3">
        <f t="shared" si="199"/>
        <v>7.6434223584492019E-4</v>
      </c>
      <c r="I238" s="3">
        <f t="shared" si="199"/>
        <v>7.6434223584492019E-4</v>
      </c>
      <c r="J238" s="3">
        <f t="shared" si="199"/>
        <v>7.6434223584492019E-4</v>
      </c>
      <c r="K238" s="3">
        <f t="shared" si="199"/>
        <v>7.6434223584492019E-4</v>
      </c>
      <c r="L238" s="3">
        <f t="shared" si="199"/>
        <v>7.6434223584492019E-4</v>
      </c>
      <c r="M238" s="3">
        <f t="shared" si="199"/>
        <v>7.6434223584492019E-4</v>
      </c>
      <c r="N238" s="3">
        <f t="shared" si="199"/>
        <v>7.6434223584492019E-4</v>
      </c>
      <c r="O238" s="3">
        <f t="shared" si="199"/>
        <v>7.6434223584492019E-4</v>
      </c>
      <c r="P238" s="3">
        <f t="shared" si="199"/>
        <v>7.6434223584492019E-4</v>
      </c>
      <c r="Q238" s="3">
        <f t="shared" si="199"/>
        <v>7.6434223584492019E-4</v>
      </c>
      <c r="R238" s="3">
        <f t="shared" si="199"/>
        <v>7.6434223584492019E-4</v>
      </c>
      <c r="S238" s="3">
        <f t="shared" si="199"/>
        <v>7.6434223584492019E-4</v>
      </c>
      <c r="T238" s="3">
        <f t="shared" si="199"/>
        <v>7.6434223584492009E-4</v>
      </c>
      <c r="U238" s="3">
        <f t="shared" si="199"/>
        <v>7.64342235844919E-4</v>
      </c>
      <c r="V238" s="3">
        <f t="shared" si="199"/>
        <v>7.6434223584490805E-4</v>
      </c>
      <c r="W238" s="3">
        <f t="shared" si="199"/>
        <v>7.6434223584479855E-4</v>
      </c>
      <c r="X238" s="3">
        <f t="shared" si="199"/>
        <v>7.6434223584370372E-4</v>
      </c>
      <c r="Y238" s="3">
        <f t="shared" si="199"/>
        <v>7.6434223583275566E-4</v>
      </c>
      <c r="Z238" s="3">
        <f t="shared" si="199"/>
        <v>7.6434223572327455E-4</v>
      </c>
      <c r="AA238" s="3">
        <f t="shared" si="199"/>
        <v>7.6434223462846335E-4</v>
      </c>
      <c r="AB238" s="3">
        <f t="shared" si="199"/>
        <v>7.643422236803518E-4</v>
      </c>
      <c r="AC238" s="3">
        <f t="shared" si="199"/>
        <v>7.6434211419924489E-4</v>
      </c>
      <c r="AD238" s="3">
        <f t="shared" si="199"/>
        <v>7.6434101938903777E-4</v>
      </c>
      <c r="AE238" s="3">
        <f t="shared" si="199"/>
        <v>7.6433007137321574E-4</v>
      </c>
      <c r="AF238" s="3">
        <f t="shared" si="199"/>
        <v>7.6422059983937102E-4</v>
      </c>
      <c r="AG238" s="3"/>
      <c r="AH238" s="3"/>
    </row>
    <row r="239" spans="2:34" x14ac:dyDescent="0.25">
      <c r="B239" s="3">
        <f t="shared" ref="B239:AF239" si="200">$C47*EXP(-B$207/$A47/EXP(-$D$126))</f>
        <v>3.2171693394281238E-3</v>
      </c>
      <c r="C239" s="3">
        <f t="shared" si="200"/>
        <v>3.2171693394281238E-3</v>
      </c>
      <c r="D239" s="3">
        <f t="shared" si="200"/>
        <v>3.2171693394281238E-3</v>
      </c>
      <c r="E239" s="3">
        <f t="shared" si="200"/>
        <v>3.2171693394281238E-3</v>
      </c>
      <c r="F239" s="3">
        <f t="shared" si="200"/>
        <v>3.2171693394281238E-3</v>
      </c>
      <c r="G239" s="3">
        <f t="shared" si="200"/>
        <v>3.2171693394281238E-3</v>
      </c>
      <c r="H239" s="3">
        <f t="shared" si="200"/>
        <v>3.2171693394281238E-3</v>
      </c>
      <c r="I239" s="3">
        <f t="shared" si="200"/>
        <v>3.2171693394281238E-3</v>
      </c>
      <c r="J239" s="3">
        <f t="shared" si="200"/>
        <v>3.2171693394281238E-3</v>
      </c>
      <c r="K239" s="3">
        <f t="shared" si="200"/>
        <v>3.2171693394281238E-3</v>
      </c>
      <c r="L239" s="3">
        <f t="shared" si="200"/>
        <v>3.2171693394281238E-3</v>
      </c>
      <c r="M239" s="3">
        <f t="shared" si="200"/>
        <v>3.2171693394281238E-3</v>
      </c>
      <c r="N239" s="3">
        <f t="shared" si="200"/>
        <v>3.2171693394281238E-3</v>
      </c>
      <c r="O239" s="3">
        <f t="shared" si="200"/>
        <v>3.2171693394281238E-3</v>
      </c>
      <c r="P239" s="3">
        <f t="shared" si="200"/>
        <v>3.2171693394281238E-3</v>
      </c>
      <c r="Q239" s="3">
        <f t="shared" si="200"/>
        <v>3.2171693394281238E-3</v>
      </c>
      <c r="R239" s="3">
        <f t="shared" si="200"/>
        <v>3.2171693394281238E-3</v>
      </c>
      <c r="S239" s="3">
        <f t="shared" si="200"/>
        <v>3.2171693394281238E-3</v>
      </c>
      <c r="T239" s="3">
        <f t="shared" si="200"/>
        <v>3.2171693394281238E-3</v>
      </c>
      <c r="U239" s="3">
        <f t="shared" si="200"/>
        <v>3.2171693394281234E-3</v>
      </c>
      <c r="V239" s="3">
        <f t="shared" si="200"/>
        <v>3.2171693394281186E-3</v>
      </c>
      <c r="W239" s="3">
        <f t="shared" si="200"/>
        <v>3.2171693394280726E-3</v>
      </c>
      <c r="X239" s="3">
        <f t="shared" si="200"/>
        <v>3.2171693394276116E-3</v>
      </c>
      <c r="Y239" s="3">
        <f t="shared" si="200"/>
        <v>3.2171693394230038E-3</v>
      </c>
      <c r="Z239" s="3">
        <f t="shared" si="200"/>
        <v>3.2171693393769226E-3</v>
      </c>
      <c r="AA239" s="3">
        <f t="shared" si="200"/>
        <v>3.2171693389161089E-3</v>
      </c>
      <c r="AB239" s="3">
        <f t="shared" si="200"/>
        <v>3.217169334307973E-3</v>
      </c>
      <c r="AC239" s="3">
        <f t="shared" si="200"/>
        <v>3.2171692882266138E-3</v>
      </c>
      <c r="AD239" s="3">
        <f t="shared" si="200"/>
        <v>3.2171688274130624E-3</v>
      </c>
      <c r="AE239" s="3">
        <f t="shared" si="200"/>
        <v>3.2171642192811737E-3</v>
      </c>
      <c r="AF239" s="3">
        <f t="shared" si="200"/>
        <v>3.2171181383253158E-3</v>
      </c>
      <c r="AG239" s="3"/>
      <c r="AH239" s="3"/>
    </row>
    <row r="240" spans="2:34" x14ac:dyDescent="0.25">
      <c r="B240" s="3">
        <f t="shared" ref="B240:AF240" si="201">$C48*EXP(-B$207/$A48/EXP(-$D$126))</f>
        <v>1.3215886936532927E-2</v>
      </c>
      <c r="C240" s="3">
        <f t="shared" si="201"/>
        <v>1.3215886936532927E-2</v>
      </c>
      <c r="D240" s="3">
        <f t="shared" si="201"/>
        <v>1.3215886936532927E-2</v>
      </c>
      <c r="E240" s="3">
        <f t="shared" si="201"/>
        <v>1.3215886936532927E-2</v>
      </c>
      <c r="F240" s="3">
        <f t="shared" si="201"/>
        <v>1.3215886936532927E-2</v>
      </c>
      <c r="G240" s="3">
        <f t="shared" si="201"/>
        <v>1.3215886936532927E-2</v>
      </c>
      <c r="H240" s="3">
        <f t="shared" si="201"/>
        <v>1.3215886936532927E-2</v>
      </c>
      <c r="I240" s="3">
        <f t="shared" si="201"/>
        <v>1.3215886936532927E-2</v>
      </c>
      <c r="J240" s="3">
        <f t="shared" si="201"/>
        <v>1.3215886936532927E-2</v>
      </c>
      <c r="K240" s="3">
        <f t="shared" si="201"/>
        <v>1.3215886936532927E-2</v>
      </c>
      <c r="L240" s="3">
        <f t="shared" si="201"/>
        <v>1.3215886936532927E-2</v>
      </c>
      <c r="M240" s="3">
        <f t="shared" si="201"/>
        <v>1.3215886936532927E-2</v>
      </c>
      <c r="N240" s="3">
        <f t="shared" si="201"/>
        <v>1.3215886936532927E-2</v>
      </c>
      <c r="O240" s="3">
        <f t="shared" si="201"/>
        <v>1.3215886936532927E-2</v>
      </c>
      <c r="P240" s="3">
        <f t="shared" si="201"/>
        <v>1.3215886936532927E-2</v>
      </c>
      <c r="Q240" s="3">
        <f t="shared" si="201"/>
        <v>1.3215886936532927E-2</v>
      </c>
      <c r="R240" s="3">
        <f t="shared" si="201"/>
        <v>1.3215886936532927E-2</v>
      </c>
      <c r="S240" s="3">
        <f t="shared" si="201"/>
        <v>1.3215886936532927E-2</v>
      </c>
      <c r="T240" s="3">
        <f t="shared" si="201"/>
        <v>1.3215886936532927E-2</v>
      </c>
      <c r="U240" s="3">
        <f t="shared" si="201"/>
        <v>1.3215886936532927E-2</v>
      </c>
      <c r="V240" s="3">
        <f t="shared" si="201"/>
        <v>1.3215886936532925E-2</v>
      </c>
      <c r="W240" s="3">
        <f t="shared" si="201"/>
        <v>1.3215886936532906E-2</v>
      </c>
      <c r="X240" s="3">
        <f t="shared" si="201"/>
        <v>1.3215886936532717E-2</v>
      </c>
      <c r="Y240" s="3">
        <f t="shared" si="201"/>
        <v>1.3215886936530823E-2</v>
      </c>
      <c r="Z240" s="3">
        <f t="shared" si="201"/>
        <v>1.3215886936511894E-2</v>
      </c>
      <c r="AA240" s="3">
        <f t="shared" si="201"/>
        <v>1.3215886936322595E-2</v>
      </c>
      <c r="AB240" s="3">
        <f t="shared" si="201"/>
        <v>1.3215886934429608E-2</v>
      </c>
      <c r="AC240" s="3">
        <f t="shared" si="201"/>
        <v>1.3215886915499736E-2</v>
      </c>
      <c r="AD240" s="3">
        <f t="shared" si="201"/>
        <v>1.3215886726201019E-2</v>
      </c>
      <c r="AE240" s="3">
        <f t="shared" si="201"/>
        <v>1.3215884833214E-2</v>
      </c>
      <c r="AF240" s="3">
        <f t="shared" si="201"/>
        <v>1.3215865903358713E-2</v>
      </c>
      <c r="AG240" s="3"/>
      <c r="AH240" s="3"/>
    </row>
    <row r="241" spans="1:34" x14ac:dyDescent="0.25">
      <c r="A241" s="79">
        <f>AVERAGE(B241:AF241)</f>
        <v>4.3544612583434963E-2</v>
      </c>
      <c r="B241" s="80">
        <f>IF($A$64&lt;=B207,IF($B$64&gt;=B207,ABS((B209-B208)/B208),0),0)</f>
        <v>2.0361404597925643E-2</v>
      </c>
      <c r="C241" s="80">
        <f t="shared" ref="C241:AF241" si="202">IF($A$64&lt;=C207,IF($B$64&gt;=C207,ABS((C209-C208)/C208),0),0)</f>
        <v>2.5574400954000064E-2</v>
      </c>
      <c r="D241" s="80">
        <f t="shared" si="202"/>
        <v>2.5562044777731534E-2</v>
      </c>
      <c r="E241" s="80">
        <f t="shared" si="202"/>
        <v>2.5485508256851166E-2</v>
      </c>
      <c r="F241" s="80">
        <f t="shared" si="202"/>
        <v>2.4757361116245089E-2</v>
      </c>
      <c r="G241" s="80">
        <f t="shared" si="202"/>
        <v>1.8639683887889821E-2</v>
      </c>
      <c r="H241" s="80">
        <f t="shared" si="202"/>
        <v>4.8533392193846128E-3</v>
      </c>
      <c r="I241" s="80">
        <f t="shared" si="202"/>
        <v>2.0187490750260145E-2</v>
      </c>
      <c r="J241" s="80">
        <f t="shared" si="202"/>
        <v>1.5786140424180181E-2</v>
      </c>
      <c r="K241" s="80">
        <f t="shared" si="202"/>
        <v>1.8170333569085016E-2</v>
      </c>
      <c r="L241" s="80">
        <f t="shared" si="202"/>
        <v>1.9553037684161528E-2</v>
      </c>
      <c r="M241" s="80">
        <f t="shared" si="202"/>
        <v>2.1551118208996099E-2</v>
      </c>
      <c r="N241" s="80">
        <f t="shared" si="202"/>
        <v>2.3056178178942201E-2</v>
      </c>
      <c r="O241" s="80">
        <f t="shared" si="202"/>
        <v>2.3304311275702552E-2</v>
      </c>
      <c r="P241" s="80">
        <f t="shared" si="202"/>
        <v>2.3737233886883622E-2</v>
      </c>
      <c r="Q241" s="80">
        <f t="shared" si="202"/>
        <v>2.8198882455844041E-2</v>
      </c>
      <c r="R241" s="80">
        <f t="shared" si="202"/>
        <v>3.2430577394312717E-2</v>
      </c>
      <c r="S241" s="80">
        <f t="shared" si="202"/>
        <v>2.6661708682619599E-2</v>
      </c>
      <c r="T241" s="80">
        <f t="shared" si="202"/>
        <v>6.1920529864133642E-3</v>
      </c>
      <c r="U241" s="80">
        <f t="shared" si="202"/>
        <v>5.3799558361659817E-2</v>
      </c>
      <c r="V241" s="80">
        <f t="shared" si="202"/>
        <v>0.10449212008265969</v>
      </c>
      <c r="W241" s="80">
        <f t="shared" si="202"/>
        <v>0.1236047187141843</v>
      </c>
      <c r="X241" s="80">
        <f t="shared" si="202"/>
        <v>0.10873352920741025</v>
      </c>
      <c r="Y241" s="80">
        <f t="shared" si="202"/>
        <v>7.2937530007120707E-2</v>
      </c>
      <c r="Z241" s="80">
        <f t="shared" si="202"/>
        <v>4.1264524122294186E-2</v>
      </c>
      <c r="AA241" s="80">
        <f t="shared" si="202"/>
        <v>7.8004285808534199E-3</v>
      </c>
      <c r="AB241" s="80">
        <f t="shared" si="202"/>
        <v>7.86787330567317E-3</v>
      </c>
      <c r="AC241" s="80">
        <f t="shared" si="202"/>
        <v>6.567914519298966E-2</v>
      </c>
      <c r="AD241" s="80">
        <f t="shared" si="202"/>
        <v>7.430193553507855E-2</v>
      </c>
      <c r="AE241" s="80">
        <f t="shared" si="202"/>
        <v>0.13937342066704944</v>
      </c>
      <c r="AF241" s="80">
        <f t="shared" si="202"/>
        <v>0.14596539800208175</v>
      </c>
    </row>
    <row r="242" spans="1:34" x14ac:dyDescent="0.25">
      <c r="B242" s="21">
        <f>(B209-B208)^2</f>
        <v>15890.214324557583</v>
      </c>
      <c r="C242" s="21">
        <f t="shared" ref="C242:AF242" si="203">(C209-C208)^2</f>
        <v>25068.669064918646</v>
      </c>
      <c r="D242" s="21">
        <f t="shared" si="203"/>
        <v>25043.724036287931</v>
      </c>
      <c r="E242" s="21">
        <f t="shared" si="203"/>
        <v>24889.155967388626</v>
      </c>
      <c r="F242" s="21">
        <f t="shared" si="203"/>
        <v>23443.608166634669</v>
      </c>
      <c r="G242" s="21">
        <f t="shared" si="203"/>
        <v>13076.758999560063</v>
      </c>
      <c r="H242" s="21">
        <f t="shared" si="203"/>
        <v>836.74715792188101</v>
      </c>
      <c r="I242" s="21">
        <f t="shared" si="203"/>
        <v>13887.418307933682</v>
      </c>
      <c r="J242" s="21">
        <f t="shared" si="203"/>
        <v>8171.7668314713883</v>
      </c>
      <c r="K242" s="21">
        <f t="shared" si="203"/>
        <v>10355.333607555562</v>
      </c>
      <c r="L242" s="21">
        <f t="shared" si="203"/>
        <v>11434.071602129097</v>
      </c>
      <c r="M242" s="21">
        <f t="shared" si="203"/>
        <v>13143.541118292405</v>
      </c>
      <c r="N242" s="21">
        <f t="shared" si="203"/>
        <v>14141.838491092016</v>
      </c>
      <c r="O242" s="21">
        <f t="shared" si="203"/>
        <v>13514.485407732251</v>
      </c>
      <c r="P242" s="21">
        <f t="shared" si="203"/>
        <v>13124.01815074701</v>
      </c>
      <c r="Q242" s="21">
        <f t="shared" si="203"/>
        <v>17247.352905065862</v>
      </c>
      <c r="R242" s="21">
        <f t="shared" si="203"/>
        <v>20806.560279029156</v>
      </c>
      <c r="S242" s="21">
        <f t="shared" si="203"/>
        <v>12477.510064390895</v>
      </c>
      <c r="T242" s="21">
        <f t="shared" si="203"/>
        <v>574.20369795299803</v>
      </c>
      <c r="U242" s="21">
        <f t="shared" si="203"/>
        <v>35970.162253796319</v>
      </c>
      <c r="V242" s="21">
        <f t="shared" si="203"/>
        <v>111788.04941301294</v>
      </c>
      <c r="W242" s="21">
        <f t="shared" si="203"/>
        <v>131610.50355973883</v>
      </c>
      <c r="X242" s="21">
        <f t="shared" si="203"/>
        <v>86843.153985921817</v>
      </c>
      <c r="Y242" s="21">
        <f t="shared" si="203"/>
        <v>33681.4158592936</v>
      </c>
      <c r="Z242" s="21">
        <f t="shared" si="203"/>
        <v>9170.634172020913</v>
      </c>
      <c r="AA242" s="21">
        <f t="shared" si="203"/>
        <v>275.51663603297698</v>
      </c>
      <c r="AB242" s="21">
        <f t="shared" si="203"/>
        <v>228.74585336863854</v>
      </c>
      <c r="AC242" s="21">
        <f t="shared" si="203"/>
        <v>12455.531379449058</v>
      </c>
      <c r="AD242" s="21">
        <f t="shared" si="203"/>
        <v>11486.583257183258</v>
      </c>
      <c r="AE242" s="21">
        <f t="shared" si="203"/>
        <v>25809.113806747726</v>
      </c>
      <c r="AF242" s="21">
        <f t="shared" si="203"/>
        <v>15633.520087080335</v>
      </c>
      <c r="AG242" s="3"/>
      <c r="AH242" s="3"/>
    </row>
    <row r="243" spans="1:34" x14ac:dyDescent="0.25">
      <c r="A243" s="71">
        <f>SUM(B243:AF243)</f>
        <v>752079.90844430809</v>
      </c>
      <c r="B243" s="60">
        <f>IF($A$64&lt;=B207,IF($B$64&gt;=B207,ABS(B242),0),0)</f>
        <v>15890.214324557583</v>
      </c>
      <c r="C243" s="60">
        <f t="shared" ref="C243" si="204">IF($A$64&lt;=C207,IF($B$64&gt;=C207,ABS(C242),0),0)</f>
        <v>25068.669064918646</v>
      </c>
      <c r="D243" s="60">
        <f t="shared" ref="D243" si="205">IF($A$64&lt;=D207,IF($B$64&gt;=D207,ABS(D242),0),0)</f>
        <v>25043.724036287931</v>
      </c>
      <c r="E243" s="60">
        <f t="shared" ref="E243" si="206">IF($A$64&lt;=E207,IF($B$64&gt;=E207,ABS(E242),0),0)</f>
        <v>24889.155967388626</v>
      </c>
      <c r="F243" s="60">
        <f t="shared" ref="F243" si="207">IF($A$64&lt;=F207,IF($B$64&gt;=F207,ABS(F242),0),0)</f>
        <v>23443.608166634669</v>
      </c>
      <c r="G243" s="60">
        <f t="shared" ref="G243" si="208">IF($A$64&lt;=G207,IF($B$64&gt;=G207,ABS(G242),0),0)</f>
        <v>13076.758999560063</v>
      </c>
      <c r="H243" s="60">
        <f t="shared" ref="H243" si="209">IF($A$64&lt;=H207,IF($B$64&gt;=H207,ABS(H242),0),0)</f>
        <v>836.74715792188101</v>
      </c>
      <c r="I243" s="60">
        <f t="shared" ref="I243" si="210">IF($A$64&lt;=I207,IF($B$64&gt;=I207,ABS(I242),0),0)</f>
        <v>13887.418307933682</v>
      </c>
      <c r="J243" s="60">
        <f t="shared" ref="J243" si="211">IF($A$64&lt;=J207,IF($B$64&gt;=J207,ABS(J242),0),0)</f>
        <v>8171.7668314713883</v>
      </c>
      <c r="K243" s="60">
        <f t="shared" ref="K243" si="212">IF($A$64&lt;=K207,IF($B$64&gt;=K207,ABS(K242),0),0)</f>
        <v>10355.333607555562</v>
      </c>
      <c r="L243" s="60">
        <f t="shared" ref="L243" si="213">IF($A$64&lt;=L207,IF($B$64&gt;=L207,ABS(L242),0),0)</f>
        <v>11434.071602129097</v>
      </c>
      <c r="M243" s="60">
        <f t="shared" ref="M243" si="214">IF($A$64&lt;=M207,IF($B$64&gt;=M207,ABS(M242),0),0)</f>
        <v>13143.541118292405</v>
      </c>
      <c r="N243" s="60">
        <f t="shared" ref="N243" si="215">IF($A$64&lt;=N207,IF($B$64&gt;=N207,ABS(N242),0),0)</f>
        <v>14141.838491092016</v>
      </c>
      <c r="O243" s="60">
        <f t="shared" ref="O243" si="216">IF($A$64&lt;=O207,IF($B$64&gt;=O207,ABS(O242),0),0)</f>
        <v>13514.485407732251</v>
      </c>
      <c r="P243" s="60">
        <f t="shared" ref="P243" si="217">IF($A$64&lt;=P207,IF($B$64&gt;=P207,ABS(P242),0),0)</f>
        <v>13124.01815074701</v>
      </c>
      <c r="Q243" s="60">
        <f t="shared" ref="Q243" si="218">IF($A$64&lt;=Q207,IF($B$64&gt;=Q207,ABS(Q242),0),0)</f>
        <v>17247.352905065862</v>
      </c>
      <c r="R243" s="60">
        <f t="shared" ref="R243" si="219">IF($A$64&lt;=R207,IF($B$64&gt;=R207,ABS(R242),0),0)</f>
        <v>20806.560279029156</v>
      </c>
      <c r="S243" s="60">
        <f t="shared" ref="S243" si="220">IF($A$64&lt;=S207,IF($B$64&gt;=S207,ABS(S242),0),0)</f>
        <v>12477.510064390895</v>
      </c>
      <c r="T243" s="60">
        <f t="shared" ref="T243" si="221">IF($A$64&lt;=T207,IF($B$64&gt;=T207,ABS(T242),0),0)</f>
        <v>574.20369795299803</v>
      </c>
      <c r="U243" s="60">
        <f t="shared" ref="U243" si="222">IF($A$64&lt;=U207,IF($B$64&gt;=U207,ABS(U242),0),0)</f>
        <v>35970.162253796319</v>
      </c>
      <c r="V243" s="60">
        <f t="shared" ref="V243" si="223">IF($A$64&lt;=V207,IF($B$64&gt;=V207,ABS(V242),0),0)</f>
        <v>111788.04941301294</v>
      </c>
      <c r="W243" s="60">
        <f t="shared" ref="W243" si="224">IF($A$64&lt;=W207,IF($B$64&gt;=W207,ABS(W242),0),0)</f>
        <v>131610.50355973883</v>
      </c>
      <c r="X243" s="60">
        <f t="shared" ref="X243" si="225">IF($A$64&lt;=X207,IF($B$64&gt;=X207,ABS(X242),0),0)</f>
        <v>86843.153985921817</v>
      </c>
      <c r="Y243" s="60">
        <f t="shared" ref="Y243" si="226">IF($A$64&lt;=Y207,IF($B$64&gt;=Y207,ABS(Y242),0),0)</f>
        <v>33681.4158592936</v>
      </c>
      <c r="Z243" s="60">
        <f t="shared" ref="Z243" si="227">IF($A$64&lt;=Z207,IF($B$64&gt;=Z207,ABS(Z242),0),0)</f>
        <v>9170.634172020913</v>
      </c>
      <c r="AA243" s="60">
        <f t="shared" ref="AA243" si="228">IF($A$64&lt;=AA207,IF($B$64&gt;=AA207,ABS(AA242),0),0)</f>
        <v>275.51663603297698</v>
      </c>
      <c r="AB243" s="60">
        <f t="shared" ref="AB243" si="229">IF($A$64&lt;=AB207,IF($B$64&gt;=AB207,ABS(AB242),0),0)</f>
        <v>228.74585336863854</v>
      </c>
      <c r="AC243" s="60">
        <f t="shared" ref="AC243" si="230">IF($A$64&lt;=AC207,IF($B$64&gt;=AC207,ABS(AC242),0),0)</f>
        <v>12455.531379449058</v>
      </c>
      <c r="AD243" s="60">
        <f t="shared" ref="AD243" si="231">IF($A$64&lt;=AD207,IF($B$64&gt;=AD207,ABS(AD242),0),0)</f>
        <v>11486.583257183258</v>
      </c>
      <c r="AE243" s="60">
        <f t="shared" ref="AE243" si="232">IF($A$64&lt;=AE207,IF($B$64&gt;=AE207,ABS(AE242),0),0)</f>
        <v>25809.113806747726</v>
      </c>
      <c r="AF243" s="60">
        <f t="shared" ref="AF243" si="233">IF($A$64&lt;=AF207,IF($B$64&gt;=AF207,ABS(AF242),0),0)</f>
        <v>15633.520087080335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6032.6427641377641</v>
      </c>
      <c r="C248" s="27">
        <f t="shared" ref="C248:AF248" si="234">($C$17+SUM(C249:C279))*$B$51</f>
        <v>6032.4762471286012</v>
      </c>
      <c r="D248" s="27">
        <f t="shared" si="234"/>
        <v>6030.8160238336104</v>
      </c>
      <c r="E248" s="27">
        <f t="shared" si="234"/>
        <v>6014.6985279411829</v>
      </c>
      <c r="F248" s="27">
        <f t="shared" si="234"/>
        <v>5893.4138285719955</v>
      </c>
      <c r="G248" s="27">
        <f t="shared" si="234"/>
        <v>5706.0692343922437</v>
      </c>
      <c r="H248" s="27">
        <f t="shared" si="234"/>
        <v>5616.2431185765217</v>
      </c>
      <c r="I248" s="27">
        <f t="shared" si="234"/>
        <v>5477.8886262308442</v>
      </c>
      <c r="J248" s="27">
        <f t="shared" si="234"/>
        <v>5338.4783295568886</v>
      </c>
      <c r="K248" s="27">
        <f t="shared" si="234"/>
        <v>5179.0963182388314</v>
      </c>
      <c r="L248" s="27">
        <f t="shared" si="234"/>
        <v>5011.4568203774033</v>
      </c>
      <c r="M248" s="27">
        <f t="shared" si="234"/>
        <v>4844.6013233785998</v>
      </c>
      <c r="N248" s="27">
        <f t="shared" si="234"/>
        <v>4681.7561125790808</v>
      </c>
      <c r="O248" s="27">
        <f t="shared" si="234"/>
        <v>4488.8383331519562</v>
      </c>
      <c r="P248" s="27">
        <f t="shared" si="234"/>
        <v>4260.2299076360778</v>
      </c>
      <c r="Q248" s="27">
        <f t="shared" si="234"/>
        <v>4036.961629756875</v>
      </c>
      <c r="R248" s="27">
        <f t="shared" si="234"/>
        <v>3860.1817240484197</v>
      </c>
      <c r="S248" s="27">
        <f t="shared" si="234"/>
        <v>3678.3478031692612</v>
      </c>
      <c r="T248" s="27">
        <f t="shared" si="234"/>
        <v>3495.8096273940314</v>
      </c>
      <c r="U248" s="27">
        <f t="shared" si="234"/>
        <v>3241.5430750678802</v>
      </c>
      <c r="V248" s="27">
        <f t="shared" si="234"/>
        <v>2944.4941080528429</v>
      </c>
      <c r="W248" s="27">
        <f t="shared" si="234"/>
        <v>2641.2186615671317</v>
      </c>
      <c r="X248" s="27">
        <f t="shared" si="234"/>
        <v>2367.3530048923599</v>
      </c>
      <c r="Y248" s="27">
        <f t="shared" si="234"/>
        <v>2092.228410377516</v>
      </c>
      <c r="Z248" s="27">
        <f t="shared" si="234"/>
        <v>1875.4230153044014</v>
      </c>
      <c r="AA248" s="27">
        <f t="shared" si="234"/>
        <v>1523.2527130978797</v>
      </c>
      <c r="AB248" s="27">
        <f t="shared" si="234"/>
        <v>1287.5403522542961</v>
      </c>
      <c r="AC248" s="27">
        <f t="shared" si="234"/>
        <v>927.55355245831288</v>
      </c>
      <c r="AD248" s="27">
        <f t="shared" si="234"/>
        <v>689.3525086693021</v>
      </c>
      <c r="AE248" s="27">
        <f t="shared" si="234"/>
        <v>462.24314502005336</v>
      </c>
      <c r="AF248" s="27">
        <f t="shared" si="234"/>
        <v>366.83311205052428</v>
      </c>
      <c r="AG248" s="27"/>
      <c r="AH248" s="27"/>
    </row>
    <row r="249" spans="1:34" x14ac:dyDescent="0.25">
      <c r="B249" s="3">
        <f t="shared" ref="B249:AF249" si="235">$C18*EXP(-B$246/$A18/EXP(-$E$126))</f>
        <v>2.561197665885505E-106</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4.7696828605151481E-2</v>
      </c>
      <c r="C250" s="3">
        <f t="shared" si="236"/>
        <v>4.7670504117169665E-2</v>
      </c>
      <c r="D250" s="3">
        <f t="shared" si="236"/>
        <v>4.7408057000869759E-2</v>
      </c>
      <c r="E250" s="3">
        <f t="shared" si="236"/>
        <v>4.4861756429049465E-2</v>
      </c>
      <c r="F250" s="3">
        <f t="shared" si="236"/>
        <v>2.5829585740320165E-2</v>
      </c>
      <c r="G250" s="3">
        <f t="shared" si="236"/>
        <v>1.0340204294952454E-4</v>
      </c>
      <c r="H250" s="3">
        <f t="shared" si="236"/>
        <v>1.0930647862904112E-28</v>
      </c>
      <c r="I250" s="3">
        <f t="shared" si="236"/>
        <v>1.9046437013115834E-268</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9.1412104823742762E-3</v>
      </c>
      <c r="C251" s="3">
        <f t="shared" si="237"/>
        <v>9.1407552535122082E-3</v>
      </c>
      <c r="D251" s="3">
        <f t="shared" si="237"/>
        <v>9.1362042115677514E-3</v>
      </c>
      <c r="E251" s="3">
        <f t="shared" si="237"/>
        <v>9.0908182303347917E-3</v>
      </c>
      <c r="F251" s="3">
        <f t="shared" si="237"/>
        <v>8.6491759677236168E-3</v>
      </c>
      <c r="G251" s="3">
        <f t="shared" si="237"/>
        <v>5.2564473687600746E-3</v>
      </c>
      <c r="H251" s="3">
        <f t="shared" si="237"/>
        <v>3.6130019345324098E-5</v>
      </c>
      <c r="I251" s="3">
        <f t="shared" si="237"/>
        <v>8.5040720695706864E-27</v>
      </c>
      <c r="J251" s="3">
        <f t="shared" si="237"/>
        <v>4.4382760573727311E-243</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2.3869761239401464E-2</v>
      </c>
      <c r="C252" s="3">
        <f t="shared" si="238"/>
        <v>2.3869654005875953E-2</v>
      </c>
      <c r="D252" s="3">
        <f t="shared" si="238"/>
        <v>2.3868581697116191E-2</v>
      </c>
      <c r="E252" s="3">
        <f t="shared" si="238"/>
        <v>2.3857861258614853E-2</v>
      </c>
      <c r="F252" s="3">
        <f t="shared" si="238"/>
        <v>2.3750921343424356E-2</v>
      </c>
      <c r="G252" s="3">
        <f t="shared" si="238"/>
        <v>2.2707534802690665E-2</v>
      </c>
      <c r="H252" s="3">
        <f t="shared" si="238"/>
        <v>1.4489895698534603E-2</v>
      </c>
      <c r="I252" s="3">
        <f t="shared" si="238"/>
        <v>1.6218771971401581E-4</v>
      </c>
      <c r="J252" s="3">
        <f t="shared" si="238"/>
        <v>5.0066248791096519E-24</v>
      </c>
      <c r="K252" s="3">
        <f t="shared" si="238"/>
        <v>3.9338328801028072E-219</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2.180849170330652E-2</v>
      </c>
      <c r="C253" s="3">
        <f t="shared" si="239"/>
        <v>2.1808482865273527E-2</v>
      </c>
      <c r="D253" s="3">
        <f t="shared" si="239"/>
        <v>2.1808394485140603E-2</v>
      </c>
      <c r="E253" s="3">
        <f t="shared" si="239"/>
        <v>2.1807510703510242E-2</v>
      </c>
      <c r="F253" s="3">
        <f t="shared" si="239"/>
        <v>2.1798674856797998E-2</v>
      </c>
      <c r="G253" s="3">
        <f t="shared" si="239"/>
        <v>2.1710513053804524E-2</v>
      </c>
      <c r="H253" s="3">
        <f t="shared" si="239"/>
        <v>2.08482697181658E-2</v>
      </c>
      <c r="I253" s="3">
        <f t="shared" si="239"/>
        <v>1.3901745068610936E-2</v>
      </c>
      <c r="J253" s="3">
        <f t="shared" si="239"/>
        <v>2.4158076473410322E-4</v>
      </c>
      <c r="K253" s="3">
        <f t="shared" si="239"/>
        <v>6.0672608591915984E-22</v>
      </c>
      <c r="L253" s="3">
        <f t="shared" si="239"/>
        <v>6.0575335332406481E-198</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2.6175540414877838E-2</v>
      </c>
      <c r="C254" s="3">
        <f t="shared" si="240"/>
        <v>2.6175539457965143E-2</v>
      </c>
      <c r="D254" s="3">
        <f t="shared" si="240"/>
        <v>2.6175529888840126E-2</v>
      </c>
      <c r="E254" s="3">
        <f t="shared" si="240"/>
        <v>2.6175434197782364E-2</v>
      </c>
      <c r="F254" s="3">
        <f t="shared" si="240"/>
        <v>2.6174477306444746E-2</v>
      </c>
      <c r="G254" s="3">
        <f t="shared" si="240"/>
        <v>2.6164910316808735E-2</v>
      </c>
      <c r="H254" s="3">
        <f t="shared" si="240"/>
        <v>2.6069432534509007E-2</v>
      </c>
      <c r="I254" s="3">
        <f t="shared" si="240"/>
        <v>2.5133608780166242E-2</v>
      </c>
      <c r="J254" s="3">
        <f t="shared" si="240"/>
        <v>1.7437634897961581E-2</v>
      </c>
      <c r="K254" s="3">
        <f t="shared" si="240"/>
        <v>4.5062457904665763E-4</v>
      </c>
      <c r="L254" s="3">
        <f t="shared" si="240"/>
        <v>5.9853263677061487E-20</v>
      </c>
      <c r="M254" s="3">
        <f t="shared" si="240"/>
        <v>1.0228629284427064E-178</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2.8073646082100917E-2</v>
      </c>
      <c r="C255" s="3">
        <f t="shared" si="241"/>
        <v>2.8073645989519874E-2</v>
      </c>
      <c r="D255" s="3">
        <f t="shared" si="241"/>
        <v>2.8073645063709442E-2</v>
      </c>
      <c r="E255" s="3">
        <f t="shared" si="241"/>
        <v>2.8073635805606803E-2</v>
      </c>
      <c r="F255" s="3">
        <f t="shared" si="241"/>
        <v>2.8073543224748369E-2</v>
      </c>
      <c r="G255" s="3">
        <f t="shared" si="241"/>
        <v>2.8072617432956019E-2</v>
      </c>
      <c r="H255" s="3">
        <f t="shared" si="241"/>
        <v>2.8063361194026522E-2</v>
      </c>
      <c r="I255" s="3">
        <f t="shared" si="241"/>
        <v>2.7970966499445461E-2</v>
      </c>
      <c r="J255" s="3">
        <f t="shared" si="241"/>
        <v>2.7063586199203404E-2</v>
      </c>
      <c r="K255" s="3">
        <f t="shared" si="241"/>
        <v>1.9460950967301782E-2</v>
      </c>
      <c r="L255" s="3">
        <f t="shared" si="241"/>
        <v>7.1936813717802324E-4</v>
      </c>
      <c r="M255" s="3">
        <f t="shared" si="241"/>
        <v>3.4262779509557017E-18</v>
      </c>
      <c r="N255" s="3">
        <f t="shared" si="241"/>
        <v>2.058432016015964E-161</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2.8599886103313578E-2</v>
      </c>
      <c r="C256" s="3">
        <f t="shared" si="242"/>
        <v>2.859988609480545E-2</v>
      </c>
      <c r="D256" s="3">
        <f t="shared" si="242"/>
        <v>2.859988600972414E-2</v>
      </c>
      <c r="E256" s="3">
        <f t="shared" si="242"/>
        <v>2.8599885158911088E-2</v>
      </c>
      <c r="F256" s="3">
        <f t="shared" si="242"/>
        <v>2.8599876650781942E-2</v>
      </c>
      <c r="G256" s="3">
        <f t="shared" si="242"/>
        <v>2.8599791569629697E-2</v>
      </c>
      <c r="H256" s="3">
        <f t="shared" si="242"/>
        <v>2.8598940772027962E-2</v>
      </c>
      <c r="I256" s="3">
        <f t="shared" si="242"/>
        <v>2.8590434187928386E-2</v>
      </c>
      <c r="J256" s="3">
        <f t="shared" si="242"/>
        <v>2.8505507385621531E-2</v>
      </c>
      <c r="K256" s="3">
        <f t="shared" si="242"/>
        <v>2.7669991400814574E-2</v>
      </c>
      <c r="L256" s="3">
        <f t="shared" si="242"/>
        <v>2.0549985003375081E-2</v>
      </c>
      <c r="M256" s="3">
        <f t="shared" si="242"/>
        <v>1.0491470416421969E-3</v>
      </c>
      <c r="N256" s="3">
        <f t="shared" si="242"/>
        <v>1.2620741487706461E-16</v>
      </c>
      <c r="O256" s="3">
        <f t="shared" si="242"/>
        <v>8.0088466624002939E-146</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2.5827803399239891E-2</v>
      </c>
      <c r="C257" s="3">
        <f t="shared" si="243"/>
        <v>2.5827803398546775E-2</v>
      </c>
      <c r="D257" s="3">
        <f t="shared" si="243"/>
        <v>2.582780339161565E-2</v>
      </c>
      <c r="E257" s="3">
        <f t="shared" si="243"/>
        <v>2.5827803322304371E-2</v>
      </c>
      <c r="F257" s="3">
        <f t="shared" si="243"/>
        <v>2.5827802629191595E-2</v>
      </c>
      <c r="G257" s="3">
        <f t="shared" si="243"/>
        <v>2.5827795698064853E-2</v>
      </c>
      <c r="H257" s="3">
        <f t="shared" si="243"/>
        <v>2.582772638689973E-2</v>
      </c>
      <c r="I257" s="3">
        <f t="shared" si="243"/>
        <v>2.5827033285478567E-2</v>
      </c>
      <c r="J257" s="3">
        <f t="shared" si="243"/>
        <v>2.5820103294171524E-2</v>
      </c>
      <c r="K257" s="3">
        <f t="shared" si="243"/>
        <v>2.5750905570065982E-2</v>
      </c>
      <c r="L257" s="3">
        <f t="shared" si="243"/>
        <v>2.5069046483352533E-2</v>
      </c>
      <c r="M257" s="3">
        <f t="shared" si="243"/>
        <v>1.9168622692197108E-2</v>
      </c>
      <c r="N257" s="3">
        <f t="shared" si="243"/>
        <v>1.3095492696098981E-3</v>
      </c>
      <c r="O257" s="3">
        <f t="shared" si="243"/>
        <v>2.900221579137062E-15</v>
      </c>
      <c r="P257" s="3">
        <f t="shared" si="243"/>
        <v>8.2323636962122033E-132</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3.0895531862379391E-2</v>
      </c>
      <c r="C258" s="3">
        <f t="shared" si="244"/>
        <v>3.08955318623046E-2</v>
      </c>
      <c r="D258" s="3">
        <f t="shared" si="244"/>
        <v>3.0895531861556674E-2</v>
      </c>
      <c r="E258" s="3">
        <f t="shared" si="244"/>
        <v>3.0895531854077413E-2</v>
      </c>
      <c r="F258" s="3">
        <f t="shared" si="244"/>
        <v>3.08955317792848E-2</v>
      </c>
      <c r="G258" s="3">
        <f t="shared" si="244"/>
        <v>3.089553103135868E-2</v>
      </c>
      <c r="H258" s="3">
        <f t="shared" si="244"/>
        <v>3.0895523552098483E-2</v>
      </c>
      <c r="I258" s="3">
        <f t="shared" si="244"/>
        <v>3.0895448759596073E-2</v>
      </c>
      <c r="J258" s="3">
        <f t="shared" si="244"/>
        <v>3.0894700844530151E-2</v>
      </c>
      <c r="K258" s="3">
        <f t="shared" si="244"/>
        <v>3.0887222689600067E-2</v>
      </c>
      <c r="L258" s="3">
        <f t="shared" si="244"/>
        <v>3.0812540624080415E-2</v>
      </c>
      <c r="M258" s="3">
        <f t="shared" si="244"/>
        <v>3.0075579812997754E-2</v>
      </c>
      <c r="N258" s="3">
        <f t="shared" si="244"/>
        <v>2.3609076700598114E-2</v>
      </c>
      <c r="O258" s="3">
        <f t="shared" si="244"/>
        <v>2.0976302994553954E-3</v>
      </c>
      <c r="P258" s="3">
        <f t="shared" si="244"/>
        <v>6.4302579149849579E-14</v>
      </c>
      <c r="Q258" s="3">
        <f t="shared" si="244"/>
        <v>4.7121905396464969E-119</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3.9212264865173443E-2</v>
      </c>
      <c r="C259" s="3">
        <f t="shared" si="245"/>
        <v>3.9212264865164881E-2</v>
      </c>
      <c r="D259" s="3">
        <f t="shared" si="245"/>
        <v>3.9212264865079248E-2</v>
      </c>
      <c r="E259" s="3">
        <f t="shared" si="245"/>
        <v>3.921226486422294E-2</v>
      </c>
      <c r="F259" s="3">
        <f t="shared" si="245"/>
        <v>3.9212264855659824E-2</v>
      </c>
      <c r="G259" s="3">
        <f t="shared" si="245"/>
        <v>3.9212264770028718E-2</v>
      </c>
      <c r="H259" s="3">
        <f t="shared" si="245"/>
        <v>3.9212263913717682E-2</v>
      </c>
      <c r="I259" s="3">
        <f t="shared" si="245"/>
        <v>3.9212255350608308E-2</v>
      </c>
      <c r="J259" s="3">
        <f t="shared" si="245"/>
        <v>3.9212169719617426E-2</v>
      </c>
      <c r="K259" s="3">
        <f t="shared" si="245"/>
        <v>3.9211313419993524E-2</v>
      </c>
      <c r="L259" s="3">
        <f t="shared" si="245"/>
        <v>3.9202751452161143E-2</v>
      </c>
      <c r="M259" s="3">
        <f t="shared" si="245"/>
        <v>3.9117234531454291E-2</v>
      </c>
      <c r="N259" s="3">
        <f t="shared" si="245"/>
        <v>3.8272258540697428E-2</v>
      </c>
      <c r="O259" s="3">
        <f t="shared" si="245"/>
        <v>3.076405438100455E-2</v>
      </c>
      <c r="P259" s="3">
        <f t="shared" si="245"/>
        <v>3.4644823761911599E-3</v>
      </c>
      <c r="Q259" s="3">
        <f t="shared" si="245"/>
        <v>1.1365439038360339E-12</v>
      </c>
      <c r="R259" s="3">
        <f t="shared" si="245"/>
        <v>1.6408346598409243E-107</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3.9921764975062765E-2</v>
      </c>
      <c r="C260" s="3">
        <f t="shared" si="246"/>
        <v>3.9921764975061981E-2</v>
      </c>
      <c r="D260" s="3">
        <f t="shared" si="246"/>
        <v>3.9921764975054112E-2</v>
      </c>
      <c r="E260" s="3">
        <f t="shared" si="246"/>
        <v>3.9921764974975474E-2</v>
      </c>
      <c r="F260" s="3">
        <f t="shared" si="246"/>
        <v>3.9921764974189033E-2</v>
      </c>
      <c r="G260" s="3">
        <f t="shared" si="246"/>
        <v>3.992176496632463E-2</v>
      </c>
      <c r="H260" s="3">
        <f t="shared" si="246"/>
        <v>3.9921764887680559E-2</v>
      </c>
      <c r="I260" s="3">
        <f t="shared" si="246"/>
        <v>3.9921764101239932E-2</v>
      </c>
      <c r="J260" s="3">
        <f t="shared" si="246"/>
        <v>3.992175623683452E-2</v>
      </c>
      <c r="K260" s="3">
        <f t="shared" si="246"/>
        <v>3.992167759286553E-2</v>
      </c>
      <c r="L260" s="3">
        <f t="shared" si="246"/>
        <v>3.9920891161696483E-2</v>
      </c>
      <c r="M260" s="3">
        <f t="shared" si="246"/>
        <v>3.9913027702025781E-2</v>
      </c>
      <c r="N260" s="3">
        <f t="shared" si="246"/>
        <v>3.9834478245227033E-2</v>
      </c>
      <c r="O260" s="3">
        <f t="shared" si="246"/>
        <v>3.9057435936664352E-2</v>
      </c>
      <c r="P260" s="3">
        <f t="shared" si="246"/>
        <v>3.2073746238347078E-2</v>
      </c>
      <c r="Q260" s="3">
        <f t="shared" si="246"/>
        <v>4.4731069915594935E-3</v>
      </c>
      <c r="R260" s="3">
        <f t="shared" si="246"/>
        <v>1.2451029414228307E-11</v>
      </c>
      <c r="S260" s="3">
        <f t="shared" si="246"/>
        <v>3.4766821583190386E-97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2.7869370271088288E-2</v>
      </c>
      <c r="C261" s="3">
        <f t="shared" si="247"/>
        <v>2.786937027108824E-2</v>
      </c>
      <c r="D261" s="3">
        <f t="shared" si="247"/>
        <v>2.7869370271087743E-2</v>
      </c>
      <c r="E261" s="3">
        <f t="shared" si="247"/>
        <v>2.7869370271082793E-2</v>
      </c>
      <c r="F261" s="3">
        <f t="shared" si="247"/>
        <v>2.7869370271033266E-2</v>
      </c>
      <c r="G261" s="3">
        <f t="shared" si="247"/>
        <v>2.7869370270538013E-2</v>
      </c>
      <c r="H261" s="3">
        <f t="shared" si="247"/>
        <v>2.786937026558545E-2</v>
      </c>
      <c r="I261" s="3">
        <f t="shared" si="247"/>
        <v>2.7869370216059824E-2</v>
      </c>
      <c r="J261" s="3">
        <f t="shared" si="247"/>
        <v>2.7869369720803585E-2</v>
      </c>
      <c r="K261" s="3">
        <f t="shared" si="247"/>
        <v>2.786936476824169E-2</v>
      </c>
      <c r="L261" s="3">
        <f t="shared" si="247"/>
        <v>2.7869315242671142E-2</v>
      </c>
      <c r="M261" s="3">
        <f t="shared" si="247"/>
        <v>2.7868819991806182E-2</v>
      </c>
      <c r="N261" s="3">
        <f t="shared" si="247"/>
        <v>2.786386796717704E-2</v>
      </c>
      <c r="O261" s="3">
        <f t="shared" si="247"/>
        <v>2.7814396091122216E-2</v>
      </c>
      <c r="P261" s="3">
        <f t="shared" si="247"/>
        <v>2.7324482700773627E-2</v>
      </c>
      <c r="Q261" s="3">
        <f t="shared" si="247"/>
        <v>2.28757365872071E-2</v>
      </c>
      <c r="R261" s="3">
        <f t="shared" si="247"/>
        <v>3.8690689536403393E-3</v>
      </c>
      <c r="S261" s="3">
        <f t="shared" si="247"/>
        <v>7.4117420508259132E-11</v>
      </c>
      <c r="T261" s="3">
        <f t="shared" si="247"/>
        <v>4.9324030994756759E-88</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3.1710520537561716E-2</v>
      </c>
      <c r="C262" s="3">
        <f t="shared" si="248"/>
        <v>3.1710520537561709E-2</v>
      </c>
      <c r="D262" s="3">
        <f t="shared" si="248"/>
        <v>3.1710520537561661E-2</v>
      </c>
      <c r="E262" s="3">
        <f t="shared" si="248"/>
        <v>3.1710520537561154E-2</v>
      </c>
      <c r="F262" s="3">
        <f t="shared" si="248"/>
        <v>3.1710520537556068E-2</v>
      </c>
      <c r="G262" s="3">
        <f t="shared" si="248"/>
        <v>3.1710520537505234E-2</v>
      </c>
      <c r="H262" s="3">
        <f t="shared" si="248"/>
        <v>3.1710520536996897E-2</v>
      </c>
      <c r="I262" s="3">
        <f t="shared" si="248"/>
        <v>3.1710520531913512E-2</v>
      </c>
      <c r="J262" s="3">
        <f t="shared" si="248"/>
        <v>3.1710520481079689E-2</v>
      </c>
      <c r="K262" s="3">
        <f t="shared" si="248"/>
        <v>3.171051997274147E-2</v>
      </c>
      <c r="L262" s="3">
        <f t="shared" si="248"/>
        <v>3.1710514889359755E-2</v>
      </c>
      <c r="M262" s="3">
        <f t="shared" si="248"/>
        <v>3.1710464055587355E-2</v>
      </c>
      <c r="N262" s="3">
        <f t="shared" si="248"/>
        <v>3.1709955722345293E-2</v>
      </c>
      <c r="O262" s="3">
        <f t="shared" si="248"/>
        <v>3.1704872838087907E-2</v>
      </c>
      <c r="P262" s="3">
        <f t="shared" si="248"/>
        <v>3.1654088785267098E-2</v>
      </c>
      <c r="Q262" s="3">
        <f t="shared" si="248"/>
        <v>3.1150700779679883E-2</v>
      </c>
      <c r="R262" s="3">
        <f t="shared" si="248"/>
        <v>2.653675845577343E-2</v>
      </c>
      <c r="S262" s="3">
        <f t="shared" si="248"/>
        <v>5.3413172467792472E-3</v>
      </c>
      <c r="T262" s="3">
        <f t="shared" si="248"/>
        <v>5.829796504882789E-10</v>
      </c>
      <c r="U262" s="3">
        <f t="shared" si="248"/>
        <v>1.3986324970679128E-79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2.7458471996856346E-2</v>
      </c>
      <c r="C263" s="3">
        <f t="shared" si="249"/>
        <v>2.7458471996856346E-2</v>
      </c>
      <c r="D263" s="3">
        <f t="shared" si="249"/>
        <v>2.7458471996856342E-2</v>
      </c>
      <c r="E263" s="3">
        <f t="shared" si="249"/>
        <v>2.7458471996856304E-2</v>
      </c>
      <c r="F263" s="3">
        <f t="shared" si="249"/>
        <v>2.7458471996855905E-2</v>
      </c>
      <c r="G263" s="3">
        <f t="shared" si="249"/>
        <v>2.7458471996851936E-2</v>
      </c>
      <c r="H263" s="3">
        <f t="shared" si="249"/>
        <v>2.7458471996812228E-2</v>
      </c>
      <c r="I263" s="3">
        <f t="shared" si="249"/>
        <v>2.745847199641515E-2</v>
      </c>
      <c r="J263" s="3">
        <f t="shared" si="249"/>
        <v>2.7458471992444403E-2</v>
      </c>
      <c r="K263" s="3">
        <f t="shared" si="249"/>
        <v>2.7458471952736919E-2</v>
      </c>
      <c r="L263" s="3">
        <f t="shared" si="249"/>
        <v>2.7458471555662101E-2</v>
      </c>
      <c r="M263" s="3">
        <f t="shared" si="249"/>
        <v>2.7458467584914222E-2</v>
      </c>
      <c r="N263" s="3">
        <f t="shared" si="249"/>
        <v>2.7458427877466975E-2</v>
      </c>
      <c r="O263" s="3">
        <f t="shared" si="249"/>
        <v>2.7458030806152656E-2</v>
      </c>
      <c r="P263" s="3">
        <f t="shared" si="249"/>
        <v>2.7454060408804458E-2</v>
      </c>
      <c r="Q263" s="3">
        <f t="shared" si="249"/>
        <v>2.7414387997929189E-2</v>
      </c>
      <c r="R263" s="3">
        <f t="shared" si="249"/>
        <v>2.7020803327272646E-2</v>
      </c>
      <c r="S263" s="3">
        <f t="shared" si="249"/>
        <v>2.3382732961867051E-2</v>
      </c>
      <c r="T263" s="3">
        <f t="shared" si="249"/>
        <v>5.5063701807348949E-3</v>
      </c>
      <c r="U263" s="3">
        <f t="shared" si="249"/>
        <v>2.887797607527418E-9</v>
      </c>
      <c r="V263" s="3">
        <f t="shared" si="249"/>
        <v>4.5454849918096105E-72</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4.6480285004782129E-2</v>
      </c>
      <c r="C264" s="3">
        <f t="shared" si="250"/>
        <v>4.6480285004782129E-2</v>
      </c>
      <c r="D264" s="3">
        <f t="shared" si="250"/>
        <v>4.6480285004782129E-2</v>
      </c>
      <c r="E264" s="3">
        <f t="shared" si="250"/>
        <v>4.6480285004782122E-2</v>
      </c>
      <c r="F264" s="3">
        <f t="shared" si="250"/>
        <v>4.648028500478206E-2</v>
      </c>
      <c r="G264" s="3">
        <f t="shared" si="250"/>
        <v>4.6480285004781456E-2</v>
      </c>
      <c r="H264" s="3">
        <f t="shared" si="250"/>
        <v>4.6480285004775392E-2</v>
      </c>
      <c r="I264" s="3">
        <f t="shared" si="250"/>
        <v>4.6480285004714759E-2</v>
      </c>
      <c r="J264" s="3">
        <f t="shared" si="250"/>
        <v>4.6480285004108425E-2</v>
      </c>
      <c r="K264" s="3">
        <f t="shared" si="250"/>
        <v>4.6480284998045095E-2</v>
      </c>
      <c r="L264" s="3">
        <f t="shared" si="250"/>
        <v>4.648028493741177E-2</v>
      </c>
      <c r="M264" s="3">
        <f t="shared" si="250"/>
        <v>4.6480284331078564E-2</v>
      </c>
      <c r="N264" s="3">
        <f t="shared" si="250"/>
        <v>4.6480278267746908E-2</v>
      </c>
      <c r="O264" s="3">
        <f t="shared" si="250"/>
        <v>4.6480217634473887E-2</v>
      </c>
      <c r="P264" s="3">
        <f t="shared" si="250"/>
        <v>4.6479611306093876E-2</v>
      </c>
      <c r="Q264" s="3">
        <f t="shared" si="250"/>
        <v>4.6473548457297842E-2</v>
      </c>
      <c r="R264" s="3">
        <f t="shared" si="250"/>
        <v>4.641296344875713E-2</v>
      </c>
      <c r="S264" s="3">
        <f t="shared" si="250"/>
        <v>4.5811440392416962E-2</v>
      </c>
      <c r="T264" s="3">
        <f t="shared" si="250"/>
        <v>4.0208736700750917E-2</v>
      </c>
      <c r="U264" s="3">
        <f t="shared" si="250"/>
        <v>1.0909007565108647E-2</v>
      </c>
      <c r="V264" s="3">
        <f t="shared" si="250"/>
        <v>2.3574005902433089E-8</v>
      </c>
      <c r="W264" s="3">
        <f t="shared" si="250"/>
        <v>5.2349777241955129E-65</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5.1673883446399775E-2</v>
      </c>
      <c r="C265" s="3">
        <f t="shared" si="251"/>
        <v>5.1673883446399775E-2</v>
      </c>
      <c r="D265" s="3">
        <f t="shared" si="251"/>
        <v>5.1673883446399775E-2</v>
      </c>
      <c r="E265" s="3">
        <f t="shared" si="251"/>
        <v>5.1673883446399775E-2</v>
      </c>
      <c r="F265" s="3">
        <f t="shared" si="251"/>
        <v>5.1673883446399768E-2</v>
      </c>
      <c r="G265" s="3">
        <f t="shared" si="251"/>
        <v>5.1673883446399706E-2</v>
      </c>
      <c r="H265" s="3">
        <f t="shared" si="251"/>
        <v>5.1673883446399095E-2</v>
      </c>
      <c r="I265" s="3">
        <f t="shared" si="251"/>
        <v>5.1673883446393017E-2</v>
      </c>
      <c r="J265" s="3">
        <f t="shared" si="251"/>
        <v>5.1673883446332211E-2</v>
      </c>
      <c r="K265" s="3">
        <f t="shared" si="251"/>
        <v>5.1673883445724135E-2</v>
      </c>
      <c r="L265" s="3">
        <f t="shared" si="251"/>
        <v>5.1673883439643339E-2</v>
      </c>
      <c r="M265" s="3">
        <f t="shared" si="251"/>
        <v>5.1673883378835397E-2</v>
      </c>
      <c r="N265" s="3">
        <f t="shared" si="251"/>
        <v>5.1673882770756033E-2</v>
      </c>
      <c r="O265" s="3">
        <f t="shared" si="251"/>
        <v>5.1673876689962789E-2</v>
      </c>
      <c r="P265" s="3">
        <f t="shared" si="251"/>
        <v>5.1673815882069672E-2</v>
      </c>
      <c r="Q265" s="3">
        <f t="shared" si="251"/>
        <v>5.1673207807074122E-2</v>
      </c>
      <c r="R265" s="3">
        <f t="shared" si="251"/>
        <v>5.1667127450660585E-2</v>
      </c>
      <c r="S265" s="3">
        <f t="shared" si="251"/>
        <v>5.1606363223598122E-2</v>
      </c>
      <c r="T265" s="3">
        <f t="shared" si="251"/>
        <v>5.1002637586582383E-2</v>
      </c>
      <c r="U265" s="3">
        <f t="shared" si="251"/>
        <v>4.5340515051238373E-2</v>
      </c>
      <c r="V265" s="3">
        <f t="shared" si="251"/>
        <v>1.3977341647380143E-2</v>
      </c>
      <c r="W265" s="3">
        <f t="shared" si="251"/>
        <v>1.0834425700588782E-7</v>
      </c>
      <c r="X265" s="3">
        <f t="shared" si="251"/>
        <v>8.4843591621949489E-59</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5.2830746228017506E-2</v>
      </c>
      <c r="C266" s="3">
        <f t="shared" si="252"/>
        <v>5.2830746228017506E-2</v>
      </c>
      <c r="D266" s="3">
        <f t="shared" si="252"/>
        <v>5.2830746228017506E-2</v>
      </c>
      <c r="E266" s="3">
        <f t="shared" si="252"/>
        <v>5.2830746228017506E-2</v>
      </c>
      <c r="F266" s="3">
        <f t="shared" si="252"/>
        <v>5.2830746228017506E-2</v>
      </c>
      <c r="G266" s="3">
        <f t="shared" si="252"/>
        <v>5.2830746228017499E-2</v>
      </c>
      <c r="H266" s="3">
        <f t="shared" si="252"/>
        <v>5.2830746228017443E-2</v>
      </c>
      <c r="I266" s="3">
        <f t="shared" si="252"/>
        <v>5.2830746228016881E-2</v>
      </c>
      <c r="J266" s="3">
        <f t="shared" si="252"/>
        <v>5.2830746228011274E-2</v>
      </c>
      <c r="K266" s="3">
        <f t="shared" si="252"/>
        <v>5.2830746227955194E-2</v>
      </c>
      <c r="L266" s="3">
        <f t="shared" si="252"/>
        <v>5.2830746227394372E-2</v>
      </c>
      <c r="M266" s="3">
        <f t="shared" si="252"/>
        <v>5.2830746221786185E-2</v>
      </c>
      <c r="N266" s="3">
        <f t="shared" si="252"/>
        <v>5.2830746165704309E-2</v>
      </c>
      <c r="O266" s="3">
        <f t="shared" si="252"/>
        <v>5.2830745604885591E-2</v>
      </c>
      <c r="P266" s="3">
        <f t="shared" si="252"/>
        <v>5.2830739996698746E-2</v>
      </c>
      <c r="Q266" s="3">
        <f t="shared" si="252"/>
        <v>5.2830683914862953E-2</v>
      </c>
      <c r="R266" s="3">
        <f t="shared" si="252"/>
        <v>5.2830123099779358E-2</v>
      </c>
      <c r="S266" s="3">
        <f t="shared" si="252"/>
        <v>5.2824515276360978E-2</v>
      </c>
      <c r="T266" s="3">
        <f t="shared" si="252"/>
        <v>5.2768469771079178E-2</v>
      </c>
      <c r="U266" s="3">
        <f t="shared" si="252"/>
        <v>5.2211274789971979E-2</v>
      </c>
      <c r="V266" s="3">
        <f t="shared" si="252"/>
        <v>4.6952883101983318E-2</v>
      </c>
      <c r="W266" s="3">
        <f t="shared" si="252"/>
        <v>1.6242091144562643E-2</v>
      </c>
      <c r="X266" s="3">
        <f t="shared" si="252"/>
        <v>3.9850954393097669E-7</v>
      </c>
      <c r="Y266" s="3">
        <f t="shared" si="252"/>
        <v>3.1506964400039003E-53</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4.2289160639644607E-2</v>
      </c>
      <c r="C267" s="3">
        <f t="shared" si="253"/>
        <v>4.2289160639644607E-2</v>
      </c>
      <c r="D267" s="3">
        <f t="shared" si="253"/>
        <v>4.2289160639644607E-2</v>
      </c>
      <c r="E267" s="3">
        <f t="shared" si="253"/>
        <v>4.2289160639644607E-2</v>
      </c>
      <c r="F267" s="3">
        <f t="shared" si="253"/>
        <v>4.2289160639644607E-2</v>
      </c>
      <c r="G267" s="3">
        <f t="shared" si="253"/>
        <v>4.2289160639644607E-2</v>
      </c>
      <c r="H267" s="3">
        <f t="shared" si="253"/>
        <v>4.22891606396446E-2</v>
      </c>
      <c r="I267" s="3">
        <f t="shared" si="253"/>
        <v>4.2289160639644559E-2</v>
      </c>
      <c r="J267" s="3">
        <f t="shared" si="253"/>
        <v>4.2289160639644156E-2</v>
      </c>
      <c r="K267" s="3">
        <f t="shared" si="253"/>
        <v>4.2289160639640111E-2</v>
      </c>
      <c r="L267" s="3">
        <f t="shared" si="253"/>
        <v>4.2289160639599609E-2</v>
      </c>
      <c r="M267" s="3">
        <f t="shared" si="253"/>
        <v>4.2289160639194655E-2</v>
      </c>
      <c r="N267" s="3">
        <f t="shared" si="253"/>
        <v>4.2289160635145061E-2</v>
      </c>
      <c r="O267" s="3">
        <f t="shared" si="253"/>
        <v>4.2289160594649121E-2</v>
      </c>
      <c r="P267" s="3">
        <f t="shared" si="253"/>
        <v>4.2289160189689791E-2</v>
      </c>
      <c r="Q267" s="3">
        <f t="shared" si="253"/>
        <v>4.2289156140096686E-2</v>
      </c>
      <c r="R267" s="3">
        <f t="shared" si="253"/>
        <v>4.2289115644186914E-2</v>
      </c>
      <c r="S267" s="3">
        <f t="shared" si="253"/>
        <v>4.2288710687222016E-2</v>
      </c>
      <c r="T267" s="3">
        <f t="shared" si="253"/>
        <v>4.228466133084776E-2</v>
      </c>
      <c r="U267" s="3">
        <f t="shared" si="253"/>
        <v>4.2244189087021378E-2</v>
      </c>
      <c r="V267" s="3">
        <f t="shared" si="253"/>
        <v>4.1841591105814084E-2</v>
      </c>
      <c r="W267" s="3">
        <f t="shared" si="253"/>
        <v>3.8020718761365528E-2</v>
      </c>
      <c r="X267" s="3">
        <f t="shared" si="253"/>
        <v>1.4592901108112394E-2</v>
      </c>
      <c r="Y267" s="3">
        <f t="shared" si="253"/>
        <v>1.0124062234558723E-6</v>
      </c>
      <c r="Z267" s="3">
        <f t="shared" si="253"/>
        <v>2.6150890013329089E-48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5.3722068085000706E-2</v>
      </c>
      <c r="C268" s="3">
        <f t="shared" si="254"/>
        <v>5.3722068085000706E-2</v>
      </c>
      <c r="D268" s="3">
        <f t="shared" si="254"/>
        <v>5.3722068085000706E-2</v>
      </c>
      <c r="E268" s="3">
        <f t="shared" si="254"/>
        <v>5.3722068085000706E-2</v>
      </c>
      <c r="F268" s="3">
        <f t="shared" si="254"/>
        <v>5.3722068085000706E-2</v>
      </c>
      <c r="G268" s="3">
        <f t="shared" si="254"/>
        <v>5.3722068085000706E-2</v>
      </c>
      <c r="H268" s="3">
        <f t="shared" si="254"/>
        <v>5.3722068085000706E-2</v>
      </c>
      <c r="I268" s="3">
        <f t="shared" si="254"/>
        <v>5.3722068085000699E-2</v>
      </c>
      <c r="J268" s="3">
        <f t="shared" si="254"/>
        <v>5.372206808500065E-2</v>
      </c>
      <c r="K268" s="3">
        <f t="shared" si="254"/>
        <v>5.3722068085000192E-2</v>
      </c>
      <c r="L268" s="3">
        <f t="shared" si="254"/>
        <v>5.3722068084995543E-2</v>
      </c>
      <c r="M268" s="3">
        <f t="shared" si="254"/>
        <v>5.3722068084949143E-2</v>
      </c>
      <c r="N268" s="3">
        <f t="shared" si="254"/>
        <v>5.3722068084485076E-2</v>
      </c>
      <c r="O268" s="3">
        <f t="shared" si="254"/>
        <v>5.3722068079844393E-2</v>
      </c>
      <c r="P268" s="3">
        <f t="shared" si="254"/>
        <v>5.3722068033437591E-2</v>
      </c>
      <c r="Q268" s="3">
        <f t="shared" si="254"/>
        <v>5.372206756936955E-2</v>
      </c>
      <c r="R268" s="3">
        <f t="shared" si="254"/>
        <v>5.3722062928689363E-2</v>
      </c>
      <c r="S268" s="3">
        <f t="shared" si="254"/>
        <v>5.3722016521909548E-2</v>
      </c>
      <c r="T268" s="3">
        <f t="shared" si="254"/>
        <v>5.3721552456316199E-2</v>
      </c>
      <c r="U268" s="3">
        <f t="shared" si="254"/>
        <v>5.3716912020857002E-2</v>
      </c>
      <c r="V268" s="3">
        <f t="shared" si="254"/>
        <v>5.3670529706644654E-2</v>
      </c>
      <c r="W268" s="3">
        <f t="shared" si="254"/>
        <v>5.3208903574241177E-2</v>
      </c>
      <c r="X268" s="3">
        <f t="shared" si="254"/>
        <v>4.8805480506561624E-2</v>
      </c>
      <c r="Y268" s="3">
        <f t="shared" si="254"/>
        <v>2.0573653574582001E-2</v>
      </c>
      <c r="Z268" s="3">
        <f t="shared" si="254"/>
        <v>3.6453541048406499E-6</v>
      </c>
      <c r="AA268" s="3">
        <f t="shared" si="254"/>
        <v>1.1117898596063363E-43</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0</v>
      </c>
      <c r="C269" s="3">
        <f t="shared" si="255"/>
        <v>0</v>
      </c>
      <c r="D269" s="3">
        <f t="shared" si="255"/>
        <v>0</v>
      </c>
      <c r="E269" s="3">
        <f t="shared" si="255"/>
        <v>0</v>
      </c>
      <c r="F269" s="3">
        <f t="shared" si="255"/>
        <v>0</v>
      </c>
      <c r="G269" s="3">
        <f t="shared" si="255"/>
        <v>0</v>
      </c>
      <c r="H269" s="3">
        <f t="shared" si="255"/>
        <v>0</v>
      </c>
      <c r="I269" s="3">
        <f t="shared" si="255"/>
        <v>0</v>
      </c>
      <c r="J269" s="3">
        <f t="shared" si="255"/>
        <v>0</v>
      </c>
      <c r="K269" s="3">
        <f t="shared" si="255"/>
        <v>0</v>
      </c>
      <c r="L269" s="3">
        <f t="shared" si="255"/>
        <v>0</v>
      </c>
      <c r="M269" s="3">
        <f t="shared" si="255"/>
        <v>0</v>
      </c>
      <c r="N269" s="3">
        <f t="shared" si="255"/>
        <v>0</v>
      </c>
      <c r="O269" s="3">
        <f t="shared" si="255"/>
        <v>0</v>
      </c>
      <c r="P269" s="3">
        <f t="shared" si="255"/>
        <v>0</v>
      </c>
      <c r="Q269" s="3">
        <f t="shared" si="255"/>
        <v>0</v>
      </c>
      <c r="R269" s="3">
        <f t="shared" si="255"/>
        <v>0</v>
      </c>
      <c r="S269" s="3">
        <f t="shared" si="255"/>
        <v>0</v>
      </c>
      <c r="T269" s="3">
        <f t="shared" si="255"/>
        <v>0</v>
      </c>
      <c r="U269" s="3">
        <f t="shared" si="255"/>
        <v>0</v>
      </c>
      <c r="V269" s="3">
        <f t="shared" si="255"/>
        <v>0</v>
      </c>
      <c r="W269" s="3">
        <f t="shared" si="255"/>
        <v>0</v>
      </c>
      <c r="X269" s="3">
        <f t="shared" si="255"/>
        <v>0</v>
      </c>
      <c r="Y269" s="3">
        <f t="shared" si="255"/>
        <v>0</v>
      </c>
      <c r="Z269" s="3">
        <f t="shared" si="255"/>
        <v>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7.2679477102325196E-2</v>
      </c>
      <c r="C270" s="3">
        <f t="shared" si="256"/>
        <v>7.2679477102325196E-2</v>
      </c>
      <c r="D270" s="3">
        <f t="shared" si="256"/>
        <v>7.2679477102325196E-2</v>
      </c>
      <c r="E270" s="3">
        <f t="shared" si="256"/>
        <v>7.2679477102325196E-2</v>
      </c>
      <c r="F270" s="3">
        <f t="shared" si="256"/>
        <v>7.2679477102325196E-2</v>
      </c>
      <c r="G270" s="3">
        <f t="shared" si="256"/>
        <v>7.2679477102325196E-2</v>
      </c>
      <c r="H270" s="3">
        <f t="shared" si="256"/>
        <v>7.2679477102325196E-2</v>
      </c>
      <c r="I270" s="3">
        <f t="shared" si="256"/>
        <v>7.2679477102325196E-2</v>
      </c>
      <c r="J270" s="3">
        <f t="shared" si="256"/>
        <v>7.2679477102325196E-2</v>
      </c>
      <c r="K270" s="3">
        <f t="shared" si="256"/>
        <v>7.2679477102325182E-2</v>
      </c>
      <c r="L270" s="3">
        <f t="shared" si="256"/>
        <v>7.2679477102325016E-2</v>
      </c>
      <c r="M270" s="3">
        <f t="shared" si="256"/>
        <v>7.2679477102323448E-2</v>
      </c>
      <c r="N270" s="3">
        <f t="shared" si="256"/>
        <v>7.2679477102307793E-2</v>
      </c>
      <c r="O270" s="3">
        <f t="shared" si="256"/>
        <v>7.2679477102151155E-2</v>
      </c>
      <c r="P270" s="3">
        <f t="shared" si="256"/>
        <v>7.2679477100584755E-2</v>
      </c>
      <c r="Q270" s="3">
        <f t="shared" si="256"/>
        <v>7.2679477084920854E-2</v>
      </c>
      <c r="R270" s="3">
        <f t="shared" si="256"/>
        <v>7.267947692828175E-2</v>
      </c>
      <c r="S270" s="3">
        <f t="shared" si="256"/>
        <v>7.2679475361890747E-2</v>
      </c>
      <c r="T270" s="3">
        <f t="shared" si="256"/>
        <v>7.2679459697982535E-2</v>
      </c>
      <c r="U270" s="3">
        <f t="shared" si="256"/>
        <v>7.2679303059086098E-2</v>
      </c>
      <c r="V270" s="3">
        <f t="shared" si="256"/>
        <v>7.2677736688689029E-2</v>
      </c>
      <c r="W270" s="3">
        <f t="shared" si="256"/>
        <v>7.2662074841294555E-2</v>
      </c>
      <c r="X270" s="3">
        <f t="shared" si="256"/>
        <v>7.2505641877011653E-2</v>
      </c>
      <c r="Y270" s="3">
        <f t="shared" si="256"/>
        <v>7.0959716119169042E-2</v>
      </c>
      <c r="Z270" s="3">
        <f t="shared" si="256"/>
        <v>5.7202175640501909E-2</v>
      </c>
      <c r="AA270" s="3">
        <f t="shared" si="256"/>
        <v>6.6285620314826387E-3</v>
      </c>
      <c r="AB270" s="3">
        <f t="shared" si="256"/>
        <v>2.893923868571902E-12</v>
      </c>
      <c r="AC270" s="3">
        <f t="shared" si="256"/>
        <v>7.2805614411381382E-106</v>
      </c>
      <c r="AD270" s="3">
        <f t="shared" si="256"/>
        <v>0</v>
      </c>
      <c r="AE270" s="3">
        <f t="shared" si="256"/>
        <v>0</v>
      </c>
      <c r="AF270" s="3">
        <f t="shared" si="256"/>
        <v>0</v>
      </c>
      <c r="AG270" s="3"/>
      <c r="AH270" s="3"/>
    </row>
    <row r="271" spans="2:34" x14ac:dyDescent="0.25">
      <c r="B271" s="3">
        <f t="shared" ref="B271:AF271" si="257">$C40*EXP(-B$246/$A40/EXP(-$E$126))</f>
        <v>2.5051354607062454E-2</v>
      </c>
      <c r="C271" s="3">
        <f t="shared" si="257"/>
        <v>2.5051354607062454E-2</v>
      </c>
      <c r="D271" s="3">
        <f t="shared" si="257"/>
        <v>2.5051354607062454E-2</v>
      </c>
      <c r="E271" s="3">
        <f t="shared" si="257"/>
        <v>2.5051354607062454E-2</v>
      </c>
      <c r="F271" s="3">
        <f t="shared" si="257"/>
        <v>2.5051354607062454E-2</v>
      </c>
      <c r="G271" s="3">
        <f t="shared" si="257"/>
        <v>2.5051354607062454E-2</v>
      </c>
      <c r="H271" s="3">
        <f t="shared" si="257"/>
        <v>2.5051354607062454E-2</v>
      </c>
      <c r="I271" s="3">
        <f t="shared" si="257"/>
        <v>2.5051354607062454E-2</v>
      </c>
      <c r="J271" s="3">
        <f t="shared" si="257"/>
        <v>2.5051354607062454E-2</v>
      </c>
      <c r="K271" s="3">
        <f t="shared" si="257"/>
        <v>2.5051354607062454E-2</v>
      </c>
      <c r="L271" s="3">
        <f t="shared" si="257"/>
        <v>2.5051354607062447E-2</v>
      </c>
      <c r="M271" s="3">
        <f t="shared" si="257"/>
        <v>2.5051354607062391E-2</v>
      </c>
      <c r="N271" s="3">
        <f t="shared" si="257"/>
        <v>2.5051354607061854E-2</v>
      </c>
      <c r="O271" s="3">
        <f t="shared" si="257"/>
        <v>2.5051354607056455E-2</v>
      </c>
      <c r="P271" s="3">
        <f t="shared" si="257"/>
        <v>2.5051354607002464E-2</v>
      </c>
      <c r="Q271" s="3">
        <f t="shared" si="257"/>
        <v>2.5051354606462555E-2</v>
      </c>
      <c r="R271" s="3">
        <f t="shared" si="257"/>
        <v>2.5051354601063478E-2</v>
      </c>
      <c r="S271" s="3">
        <f t="shared" si="257"/>
        <v>2.5051354547072698E-2</v>
      </c>
      <c r="T271" s="3">
        <f t="shared" si="257"/>
        <v>2.5051354007164899E-2</v>
      </c>
      <c r="U271" s="3">
        <f t="shared" si="257"/>
        <v>2.5051348608087543E-2</v>
      </c>
      <c r="V271" s="3">
        <f t="shared" si="257"/>
        <v>2.5051294617377973E-2</v>
      </c>
      <c r="W271" s="3">
        <f t="shared" si="257"/>
        <v>2.5050754716682104E-2</v>
      </c>
      <c r="X271" s="3">
        <f t="shared" si="257"/>
        <v>2.5045356349653013E-2</v>
      </c>
      <c r="Y271" s="3">
        <f t="shared" si="257"/>
        <v>2.499143662132355E-2</v>
      </c>
      <c r="Z271" s="3">
        <f t="shared" si="257"/>
        <v>2.4458582837835502E-2</v>
      </c>
      <c r="AA271" s="3">
        <f t="shared" si="257"/>
        <v>1.9716597358676348E-2</v>
      </c>
      <c r="AB271" s="3">
        <f t="shared" si="257"/>
        <v>2.2847503120006535E-3</v>
      </c>
      <c r="AC271" s="3">
        <f t="shared" si="257"/>
        <v>9.974853414997583E-13</v>
      </c>
      <c r="AD271" s="3">
        <f t="shared" si="257"/>
        <v>2.5094831948732071E-106</v>
      </c>
      <c r="AE271" s="3">
        <f t="shared" si="257"/>
        <v>0</v>
      </c>
      <c r="AF271" s="3">
        <f t="shared" si="257"/>
        <v>0</v>
      </c>
      <c r="AG271" s="3"/>
      <c r="AH271" s="3"/>
    </row>
    <row r="272" spans="2:34" x14ac:dyDescent="0.25">
      <c r="B272" s="3">
        <f t="shared" ref="B272:AF272" si="258">$C41*EXP(-B$246/$A41/EXP(-$E$126))</f>
        <v>6.9730699512145403E-2</v>
      </c>
      <c r="C272" s="3">
        <f t="shared" si="258"/>
        <v>6.9730699512145403E-2</v>
      </c>
      <c r="D272" s="3">
        <f t="shared" si="258"/>
        <v>6.9730699512145403E-2</v>
      </c>
      <c r="E272" s="3">
        <f t="shared" si="258"/>
        <v>6.9730699512145403E-2</v>
      </c>
      <c r="F272" s="3">
        <f t="shared" si="258"/>
        <v>6.9730699512145403E-2</v>
      </c>
      <c r="G272" s="3">
        <f t="shared" si="258"/>
        <v>6.9730699512145403E-2</v>
      </c>
      <c r="H272" s="3">
        <f t="shared" si="258"/>
        <v>6.9730699512145403E-2</v>
      </c>
      <c r="I272" s="3">
        <f t="shared" si="258"/>
        <v>6.9730699512145403E-2</v>
      </c>
      <c r="J272" s="3">
        <f t="shared" si="258"/>
        <v>6.9730699512145403E-2</v>
      </c>
      <c r="K272" s="3">
        <f t="shared" si="258"/>
        <v>6.9730699512145403E-2</v>
      </c>
      <c r="L272" s="3">
        <f t="shared" si="258"/>
        <v>6.9730699512145403E-2</v>
      </c>
      <c r="M272" s="3">
        <f t="shared" si="258"/>
        <v>6.9730699512145389E-2</v>
      </c>
      <c r="N272" s="3">
        <f t="shared" si="258"/>
        <v>6.9730699512145236E-2</v>
      </c>
      <c r="O272" s="3">
        <f t="shared" si="258"/>
        <v>6.9730699512143737E-2</v>
      </c>
      <c r="P272" s="3">
        <f t="shared" si="258"/>
        <v>6.9730699512128708E-2</v>
      </c>
      <c r="Q272" s="3">
        <f t="shared" si="258"/>
        <v>6.9730699511978425E-2</v>
      </c>
      <c r="R272" s="3">
        <f t="shared" si="258"/>
        <v>6.9730699510475586E-2</v>
      </c>
      <c r="S272" s="3">
        <f t="shared" si="258"/>
        <v>6.973069949544719E-2</v>
      </c>
      <c r="T272" s="3">
        <f t="shared" si="258"/>
        <v>6.9730699345163308E-2</v>
      </c>
      <c r="U272" s="3">
        <f t="shared" si="258"/>
        <v>6.9730697842324468E-2</v>
      </c>
      <c r="V272" s="3">
        <f t="shared" si="258"/>
        <v>6.9730682813937919E-2</v>
      </c>
      <c r="W272" s="3">
        <f t="shared" si="258"/>
        <v>6.9730532530250494E-2</v>
      </c>
      <c r="X272" s="3">
        <f t="shared" si="258"/>
        <v>6.9729029711190188E-2</v>
      </c>
      <c r="Y272" s="3">
        <f t="shared" si="258"/>
        <v>6.9714003301837621E-2</v>
      </c>
      <c r="Z272" s="3">
        <f t="shared" si="258"/>
        <v>6.956391719140996E-2</v>
      </c>
      <c r="AA272" s="3">
        <f t="shared" si="258"/>
        <v>6.8080713283153432E-2</v>
      </c>
      <c r="AB272" s="3">
        <f t="shared" si="258"/>
        <v>5.4881348629036743E-2</v>
      </c>
      <c r="AC272" s="3">
        <f t="shared" si="258"/>
        <v>6.3596256555916329E-3</v>
      </c>
      <c r="AD272" s="3">
        <f t="shared" si="258"/>
        <v>2.7765105602824529E-12</v>
      </c>
      <c r="AE272" s="3">
        <f t="shared" si="258"/>
        <v>6.9851719133443497E-106</v>
      </c>
      <c r="AF272" s="3">
        <f t="shared" si="258"/>
        <v>0</v>
      </c>
      <c r="AG272" s="3"/>
      <c r="AH272" s="3"/>
    </row>
    <row r="273" spans="1:34" x14ac:dyDescent="0.25">
      <c r="B273" s="3">
        <f t="shared" ref="B273:AF273" si="259">$C42*EXP(-B$246/$A42/EXP(-$E$126))</f>
        <v>3.3620821697873268E-2</v>
      </c>
      <c r="C273" s="3">
        <f t="shared" si="259"/>
        <v>3.3620821697873268E-2</v>
      </c>
      <c r="D273" s="3">
        <f t="shared" si="259"/>
        <v>3.3620821697873268E-2</v>
      </c>
      <c r="E273" s="3">
        <f t="shared" si="259"/>
        <v>3.3620821697873268E-2</v>
      </c>
      <c r="F273" s="3">
        <f t="shared" si="259"/>
        <v>3.3620821697873268E-2</v>
      </c>
      <c r="G273" s="3">
        <f t="shared" si="259"/>
        <v>3.3620821697873268E-2</v>
      </c>
      <c r="H273" s="3">
        <f t="shared" si="259"/>
        <v>3.3620821697873268E-2</v>
      </c>
      <c r="I273" s="3">
        <f t="shared" si="259"/>
        <v>3.3620821697873268E-2</v>
      </c>
      <c r="J273" s="3">
        <f t="shared" si="259"/>
        <v>3.3620821697873268E-2</v>
      </c>
      <c r="K273" s="3">
        <f t="shared" si="259"/>
        <v>3.3620821697873268E-2</v>
      </c>
      <c r="L273" s="3">
        <f t="shared" si="259"/>
        <v>3.3620821697873268E-2</v>
      </c>
      <c r="M273" s="3">
        <f t="shared" si="259"/>
        <v>3.3620821697873268E-2</v>
      </c>
      <c r="N273" s="3">
        <f t="shared" si="259"/>
        <v>3.3620821697873261E-2</v>
      </c>
      <c r="O273" s="3">
        <f t="shared" si="259"/>
        <v>3.3620821697873185E-2</v>
      </c>
      <c r="P273" s="3">
        <f t="shared" si="259"/>
        <v>3.3620821697872463E-2</v>
      </c>
      <c r="Q273" s="3">
        <f t="shared" si="259"/>
        <v>3.3620821697865219E-2</v>
      </c>
      <c r="R273" s="3">
        <f t="shared" si="259"/>
        <v>3.3620821697792756E-2</v>
      </c>
      <c r="S273" s="3">
        <f t="shared" si="259"/>
        <v>3.3620821697068162E-2</v>
      </c>
      <c r="T273" s="3">
        <f t="shared" si="259"/>
        <v>3.3620821689822188E-2</v>
      </c>
      <c r="U273" s="3">
        <f t="shared" si="259"/>
        <v>3.3620821617362455E-2</v>
      </c>
      <c r="V273" s="3">
        <f t="shared" si="259"/>
        <v>3.3620820892765156E-2</v>
      </c>
      <c r="W273" s="3">
        <f t="shared" si="259"/>
        <v>3.3620813646793035E-2</v>
      </c>
      <c r="X273" s="3">
        <f t="shared" si="259"/>
        <v>3.3620741187157688E-2</v>
      </c>
      <c r="Y273" s="3">
        <f t="shared" si="259"/>
        <v>3.3620016599393267E-2</v>
      </c>
      <c r="Z273" s="3">
        <f t="shared" si="259"/>
        <v>3.3612771580583248E-2</v>
      </c>
      <c r="AA273" s="3">
        <f t="shared" si="259"/>
        <v>3.3540407207454638E-2</v>
      </c>
      <c r="AB273" s="3">
        <f t="shared" si="259"/>
        <v>3.2825276934992709E-2</v>
      </c>
      <c r="AC273" s="3">
        <f t="shared" si="259"/>
        <v>2.6461172047675847E-2</v>
      </c>
      <c r="AD273" s="3">
        <f t="shared" si="259"/>
        <v>3.0663085517251285E-3</v>
      </c>
      <c r="AE273" s="3">
        <f t="shared" si="259"/>
        <v>1.3387011336844471E-12</v>
      </c>
      <c r="AF273" s="3">
        <f t="shared" si="259"/>
        <v>3.3679171594519562E-106</v>
      </c>
      <c r="AG273" s="3"/>
      <c r="AH273" s="3"/>
    </row>
    <row r="274" spans="1:34" x14ac:dyDescent="0.25">
      <c r="B274" s="3">
        <f t="shared" ref="B274:AF274" si="260">$C43*EXP(-B$246/$A43/EXP(-$E$126))</f>
        <v>4.4529414265274125E-2</v>
      </c>
      <c r="C274" s="3">
        <f t="shared" si="260"/>
        <v>4.4529414265274125E-2</v>
      </c>
      <c r="D274" s="3">
        <f t="shared" si="260"/>
        <v>4.4529414265274125E-2</v>
      </c>
      <c r="E274" s="3">
        <f t="shared" si="260"/>
        <v>4.4529414265274125E-2</v>
      </c>
      <c r="F274" s="3">
        <f t="shared" si="260"/>
        <v>4.4529414265274125E-2</v>
      </c>
      <c r="G274" s="3">
        <f t="shared" si="260"/>
        <v>4.4529414265274125E-2</v>
      </c>
      <c r="H274" s="3">
        <f t="shared" si="260"/>
        <v>4.4529414265274125E-2</v>
      </c>
      <c r="I274" s="3">
        <f t="shared" si="260"/>
        <v>4.4529414265274125E-2</v>
      </c>
      <c r="J274" s="3">
        <f t="shared" si="260"/>
        <v>4.4529414265274125E-2</v>
      </c>
      <c r="K274" s="3">
        <f t="shared" si="260"/>
        <v>4.4529414265274125E-2</v>
      </c>
      <c r="L274" s="3">
        <f t="shared" si="260"/>
        <v>4.4529414265274125E-2</v>
      </c>
      <c r="M274" s="3">
        <f t="shared" si="260"/>
        <v>4.4529414265274125E-2</v>
      </c>
      <c r="N274" s="3">
        <f t="shared" si="260"/>
        <v>4.4529414265274125E-2</v>
      </c>
      <c r="O274" s="3">
        <f t="shared" si="260"/>
        <v>4.4529414265274118E-2</v>
      </c>
      <c r="P274" s="3">
        <f t="shared" si="260"/>
        <v>4.4529414265274014E-2</v>
      </c>
      <c r="Q274" s="3">
        <f t="shared" si="260"/>
        <v>4.4529414265273057E-2</v>
      </c>
      <c r="R274" s="3">
        <f t="shared" si="260"/>
        <v>4.452941426526346E-2</v>
      </c>
      <c r="S274" s="3">
        <f t="shared" si="260"/>
        <v>4.4529414265167495E-2</v>
      </c>
      <c r="T274" s="3">
        <f t="shared" si="260"/>
        <v>4.4529414264207791E-2</v>
      </c>
      <c r="U274" s="3">
        <f t="shared" si="260"/>
        <v>4.4529414254610794E-2</v>
      </c>
      <c r="V274" s="3">
        <f t="shared" si="260"/>
        <v>4.4529414158640826E-2</v>
      </c>
      <c r="W274" s="3">
        <f t="shared" si="260"/>
        <v>4.4529413198941097E-2</v>
      </c>
      <c r="X274" s="3">
        <f t="shared" si="260"/>
        <v>4.452940360194501E-2</v>
      </c>
      <c r="Y274" s="3">
        <f t="shared" si="260"/>
        <v>4.4529307632097843E-2</v>
      </c>
      <c r="Z274" s="3">
        <f t="shared" si="260"/>
        <v>4.4528347945002052E-2</v>
      </c>
      <c r="AA274" s="3">
        <f t="shared" si="260"/>
        <v>4.4518752211535145E-2</v>
      </c>
      <c r="AB274" s="3">
        <f t="shared" si="260"/>
        <v>4.4422908535314269E-2</v>
      </c>
      <c r="AC274" s="3">
        <f t="shared" si="260"/>
        <v>4.3475747503907654E-2</v>
      </c>
      <c r="AD274" s="3">
        <f t="shared" si="260"/>
        <v>3.5046748786933569E-2</v>
      </c>
      <c r="AE274" s="3">
        <f t="shared" si="260"/>
        <v>4.0612012696155508E-3</v>
      </c>
      <c r="AF274" s="3">
        <f t="shared" si="260"/>
        <v>1.7730553374011578E-12</v>
      </c>
      <c r="AG274" s="3"/>
      <c r="AH274" s="3"/>
    </row>
    <row r="275" spans="1:34" x14ac:dyDescent="0.25">
      <c r="B275" s="3">
        <f t="shared" ref="B275:AF275" si="261">$C44*EXP(-B$246/$A44/EXP(-$E$126))</f>
        <v>1.2215661921031389E-2</v>
      </c>
      <c r="C275" s="3">
        <f t="shared" si="261"/>
        <v>1.2215661921031389E-2</v>
      </c>
      <c r="D275" s="3">
        <f t="shared" si="261"/>
        <v>1.2215661921031389E-2</v>
      </c>
      <c r="E275" s="3">
        <f t="shared" si="261"/>
        <v>1.2215661921031389E-2</v>
      </c>
      <c r="F275" s="3">
        <f t="shared" si="261"/>
        <v>1.2215661921031389E-2</v>
      </c>
      <c r="G275" s="3">
        <f t="shared" si="261"/>
        <v>1.2215661921031389E-2</v>
      </c>
      <c r="H275" s="3">
        <f t="shared" si="261"/>
        <v>1.2215661921031389E-2</v>
      </c>
      <c r="I275" s="3">
        <f t="shared" si="261"/>
        <v>1.2215661921031389E-2</v>
      </c>
      <c r="J275" s="3">
        <f t="shared" si="261"/>
        <v>1.2215661921031389E-2</v>
      </c>
      <c r="K275" s="3">
        <f t="shared" si="261"/>
        <v>1.2215661921031389E-2</v>
      </c>
      <c r="L275" s="3">
        <f t="shared" si="261"/>
        <v>1.2215661921031389E-2</v>
      </c>
      <c r="M275" s="3">
        <f t="shared" si="261"/>
        <v>1.2215661921031389E-2</v>
      </c>
      <c r="N275" s="3">
        <f t="shared" si="261"/>
        <v>1.2215661921031389E-2</v>
      </c>
      <c r="O275" s="3">
        <f t="shared" si="261"/>
        <v>1.2215661921031389E-2</v>
      </c>
      <c r="P275" s="3">
        <f t="shared" si="261"/>
        <v>1.2215661921031386E-2</v>
      </c>
      <c r="Q275" s="3">
        <f t="shared" si="261"/>
        <v>1.221566192103136E-2</v>
      </c>
      <c r="R275" s="3">
        <f t="shared" si="261"/>
        <v>1.2215661921031096E-2</v>
      </c>
      <c r="S275" s="3">
        <f t="shared" si="261"/>
        <v>1.2215661921028464E-2</v>
      </c>
      <c r="T275" s="3">
        <f t="shared" si="261"/>
        <v>1.2215661921002137E-2</v>
      </c>
      <c r="U275" s="3">
        <f t="shared" si="261"/>
        <v>1.2215661920738865E-2</v>
      </c>
      <c r="V275" s="3">
        <f t="shared" si="261"/>
        <v>1.2215661918106141E-2</v>
      </c>
      <c r="W275" s="3">
        <f t="shared" si="261"/>
        <v>1.2215661891778896E-2</v>
      </c>
      <c r="X275" s="3">
        <f t="shared" si="261"/>
        <v>1.221566162850646E-2</v>
      </c>
      <c r="Y275" s="3">
        <f t="shared" si="261"/>
        <v>1.2215658995782414E-2</v>
      </c>
      <c r="Z275" s="3">
        <f t="shared" si="261"/>
        <v>1.2215632668573156E-2</v>
      </c>
      <c r="AA275" s="3">
        <f t="shared" si="261"/>
        <v>1.2215369399601271E-2</v>
      </c>
      <c r="AB275" s="3">
        <f t="shared" si="261"/>
        <v>1.2212737021927994E-2</v>
      </c>
      <c r="AC275" s="3">
        <f t="shared" si="261"/>
        <v>1.218644442488173E-2</v>
      </c>
      <c r="AD275" s="3">
        <f t="shared" si="261"/>
        <v>1.1926611702279278E-2</v>
      </c>
      <c r="AE275" s="3">
        <f t="shared" si="261"/>
        <v>9.6143019547050828E-3</v>
      </c>
      <c r="AF275" s="3">
        <f t="shared" si="261"/>
        <v>1.1141009268018857E-3</v>
      </c>
      <c r="AG275" s="3"/>
      <c r="AH275" s="3"/>
    </row>
    <row r="276" spans="1:34" x14ac:dyDescent="0.25">
      <c r="B276" s="3">
        <f t="shared" ref="B276:AF276" si="262">$C45*EXP(-B$246/$A45/EXP(-$E$126))</f>
        <v>1.4917700620223399E-2</v>
      </c>
      <c r="C276" s="3">
        <f t="shared" si="262"/>
        <v>1.4917700620223399E-2</v>
      </c>
      <c r="D276" s="3">
        <f t="shared" si="262"/>
        <v>1.4917700620223399E-2</v>
      </c>
      <c r="E276" s="3">
        <f t="shared" si="262"/>
        <v>1.4917700620223399E-2</v>
      </c>
      <c r="F276" s="3">
        <f t="shared" si="262"/>
        <v>1.4917700620223399E-2</v>
      </c>
      <c r="G276" s="3">
        <f t="shared" si="262"/>
        <v>1.4917700620223399E-2</v>
      </c>
      <c r="H276" s="3">
        <f t="shared" si="262"/>
        <v>1.4917700620223399E-2</v>
      </c>
      <c r="I276" s="3">
        <f t="shared" si="262"/>
        <v>1.4917700620223399E-2</v>
      </c>
      <c r="J276" s="3">
        <f t="shared" si="262"/>
        <v>1.4917700620223399E-2</v>
      </c>
      <c r="K276" s="3">
        <f t="shared" si="262"/>
        <v>1.4917700620223399E-2</v>
      </c>
      <c r="L276" s="3">
        <f t="shared" si="262"/>
        <v>1.4917700620223399E-2</v>
      </c>
      <c r="M276" s="3">
        <f t="shared" si="262"/>
        <v>1.4917700620223399E-2</v>
      </c>
      <c r="N276" s="3">
        <f t="shared" si="262"/>
        <v>1.4917700620223399E-2</v>
      </c>
      <c r="O276" s="3">
        <f t="shared" si="262"/>
        <v>1.4917700620223399E-2</v>
      </c>
      <c r="P276" s="3">
        <f t="shared" si="262"/>
        <v>1.4917700620223399E-2</v>
      </c>
      <c r="Q276" s="3">
        <f t="shared" si="262"/>
        <v>1.4917700620223396E-2</v>
      </c>
      <c r="R276" s="3">
        <f t="shared" si="262"/>
        <v>1.4917700620223363E-2</v>
      </c>
      <c r="S276" s="3">
        <f t="shared" si="262"/>
        <v>1.4917700620223042E-2</v>
      </c>
      <c r="T276" s="3">
        <f t="shared" si="262"/>
        <v>1.4917700620219828E-2</v>
      </c>
      <c r="U276" s="3">
        <f t="shared" si="262"/>
        <v>1.4917700620187676E-2</v>
      </c>
      <c r="V276" s="3">
        <f t="shared" si="262"/>
        <v>1.491770061986617E-2</v>
      </c>
      <c r="W276" s="3">
        <f t="shared" si="262"/>
        <v>1.4917700616651101E-2</v>
      </c>
      <c r="X276" s="3">
        <f t="shared" si="262"/>
        <v>1.4917700584500412E-2</v>
      </c>
      <c r="Y276" s="3">
        <f t="shared" si="262"/>
        <v>1.491770026299353E-2</v>
      </c>
      <c r="Z276" s="3">
        <f t="shared" si="262"/>
        <v>1.4917697047925088E-2</v>
      </c>
      <c r="AA276" s="3">
        <f t="shared" si="262"/>
        <v>1.4917664897278776E-2</v>
      </c>
      <c r="AB276" s="3">
        <f t="shared" si="262"/>
        <v>1.4917343394626645E-2</v>
      </c>
      <c r="AC276" s="3">
        <f t="shared" si="262"/>
        <v>1.4914128749173685E-2</v>
      </c>
      <c r="AD276" s="3">
        <f t="shared" si="262"/>
        <v>1.4882020371109535E-2</v>
      </c>
      <c r="AE276" s="3">
        <f t="shared" si="262"/>
        <v>1.4564714048113846E-2</v>
      </c>
      <c r="AF276" s="3">
        <f t="shared" si="262"/>
        <v>1.174093382412548E-2</v>
      </c>
      <c r="AG276" s="3"/>
      <c r="AH276" s="3"/>
    </row>
    <row r="277" spans="1:34" x14ac:dyDescent="0.25">
      <c r="B277" s="3">
        <f t="shared" ref="B277:AF277" si="263">$C46*EXP(-B$246/$A46/EXP(-$E$126))</f>
        <v>7.6434223584492019E-4</v>
      </c>
      <c r="C277" s="3">
        <f t="shared" si="263"/>
        <v>7.6434223584492019E-4</v>
      </c>
      <c r="D277" s="3">
        <f t="shared" si="263"/>
        <v>7.6434223584492019E-4</v>
      </c>
      <c r="E277" s="3">
        <f t="shared" si="263"/>
        <v>7.6434223584492019E-4</v>
      </c>
      <c r="F277" s="3">
        <f t="shared" si="263"/>
        <v>7.6434223584492019E-4</v>
      </c>
      <c r="G277" s="3">
        <f t="shared" si="263"/>
        <v>7.6434223584492019E-4</v>
      </c>
      <c r="H277" s="3">
        <f t="shared" si="263"/>
        <v>7.6434223584492019E-4</v>
      </c>
      <c r="I277" s="3">
        <f t="shared" si="263"/>
        <v>7.6434223584492019E-4</v>
      </c>
      <c r="J277" s="3">
        <f t="shared" si="263"/>
        <v>7.6434223584492019E-4</v>
      </c>
      <c r="K277" s="3">
        <f t="shared" si="263"/>
        <v>7.6434223584492019E-4</v>
      </c>
      <c r="L277" s="3">
        <f t="shared" si="263"/>
        <v>7.6434223584492019E-4</v>
      </c>
      <c r="M277" s="3">
        <f t="shared" si="263"/>
        <v>7.6434223584492019E-4</v>
      </c>
      <c r="N277" s="3">
        <f t="shared" si="263"/>
        <v>7.6434223584492019E-4</v>
      </c>
      <c r="O277" s="3">
        <f t="shared" si="263"/>
        <v>7.6434223584492019E-4</v>
      </c>
      <c r="P277" s="3">
        <f t="shared" si="263"/>
        <v>7.6434223584492019E-4</v>
      </c>
      <c r="Q277" s="3">
        <f t="shared" si="263"/>
        <v>7.6434223584492019E-4</v>
      </c>
      <c r="R277" s="3">
        <f t="shared" si="263"/>
        <v>7.6434223584491998E-4</v>
      </c>
      <c r="S277" s="3">
        <f t="shared" si="263"/>
        <v>7.6434223584491835E-4</v>
      </c>
      <c r="T277" s="3">
        <f t="shared" si="263"/>
        <v>7.6434223584490187E-4</v>
      </c>
      <c r="U277" s="3">
        <f t="shared" si="263"/>
        <v>7.6434223584473718E-4</v>
      </c>
      <c r="V277" s="3">
        <f t="shared" si="263"/>
        <v>7.6434223584308984E-4</v>
      </c>
      <c r="W277" s="3">
        <f t="shared" si="263"/>
        <v>7.6434223582661669E-4</v>
      </c>
      <c r="X277" s="3">
        <f t="shared" si="263"/>
        <v>7.643422356618854E-4</v>
      </c>
      <c r="Y277" s="3">
        <f t="shared" si="263"/>
        <v>7.6434223401457193E-4</v>
      </c>
      <c r="Z277" s="3">
        <f t="shared" si="263"/>
        <v>7.6434221754143733E-4</v>
      </c>
      <c r="AA277" s="3">
        <f t="shared" si="263"/>
        <v>7.6434205281011153E-4</v>
      </c>
      <c r="AB277" s="3">
        <f t="shared" si="263"/>
        <v>7.6434040549880594E-4</v>
      </c>
      <c r="AC277" s="3">
        <f t="shared" si="263"/>
        <v>7.6432393258101406E-4</v>
      </c>
      <c r="AD277" s="3">
        <f t="shared" si="263"/>
        <v>7.6415922292799739E-4</v>
      </c>
      <c r="AE277" s="3">
        <f t="shared" si="263"/>
        <v>7.6251407733192369E-4</v>
      </c>
      <c r="AF277" s="3">
        <f t="shared" si="263"/>
        <v>7.4625616798378556E-4</v>
      </c>
      <c r="AG277" s="3"/>
      <c r="AH277" s="3"/>
    </row>
    <row r="278" spans="1:34" x14ac:dyDescent="0.25">
      <c r="B278" s="3">
        <f t="shared" ref="B278:AF278" si="264">$C47*EXP(-B$246/$A47/EXP(-$E$126))</f>
        <v>3.2171693394281238E-3</v>
      </c>
      <c r="C278" s="3">
        <f t="shared" si="264"/>
        <v>3.2171693394281238E-3</v>
      </c>
      <c r="D278" s="3">
        <f t="shared" si="264"/>
        <v>3.2171693394281238E-3</v>
      </c>
      <c r="E278" s="3">
        <f t="shared" si="264"/>
        <v>3.2171693394281238E-3</v>
      </c>
      <c r="F278" s="3">
        <f t="shared" si="264"/>
        <v>3.2171693394281238E-3</v>
      </c>
      <c r="G278" s="3">
        <f t="shared" si="264"/>
        <v>3.2171693394281238E-3</v>
      </c>
      <c r="H278" s="3">
        <f t="shared" si="264"/>
        <v>3.2171693394281238E-3</v>
      </c>
      <c r="I278" s="3">
        <f t="shared" si="264"/>
        <v>3.2171693394281238E-3</v>
      </c>
      <c r="J278" s="3">
        <f t="shared" si="264"/>
        <v>3.2171693394281238E-3</v>
      </c>
      <c r="K278" s="3">
        <f t="shared" si="264"/>
        <v>3.2171693394281238E-3</v>
      </c>
      <c r="L278" s="3">
        <f t="shared" si="264"/>
        <v>3.2171693394281238E-3</v>
      </c>
      <c r="M278" s="3">
        <f t="shared" si="264"/>
        <v>3.2171693394281238E-3</v>
      </c>
      <c r="N278" s="3">
        <f t="shared" si="264"/>
        <v>3.2171693394281238E-3</v>
      </c>
      <c r="O278" s="3">
        <f t="shared" si="264"/>
        <v>3.2171693394281238E-3</v>
      </c>
      <c r="P278" s="3">
        <f t="shared" si="264"/>
        <v>3.2171693394281238E-3</v>
      </c>
      <c r="Q278" s="3">
        <f t="shared" si="264"/>
        <v>3.2171693394281238E-3</v>
      </c>
      <c r="R278" s="3">
        <f t="shared" si="264"/>
        <v>3.2171693394281238E-3</v>
      </c>
      <c r="S278" s="3">
        <f t="shared" si="264"/>
        <v>3.217169339428123E-3</v>
      </c>
      <c r="T278" s="3">
        <f t="shared" si="264"/>
        <v>3.217169339428116E-3</v>
      </c>
      <c r="U278" s="3">
        <f t="shared" si="264"/>
        <v>3.2171693394280466E-3</v>
      </c>
      <c r="V278" s="3">
        <f t="shared" si="264"/>
        <v>3.2171693394273536E-3</v>
      </c>
      <c r="W278" s="3">
        <f t="shared" si="264"/>
        <v>3.2171693394204199E-3</v>
      </c>
      <c r="X278" s="3">
        <f t="shared" si="264"/>
        <v>3.217169339351083E-3</v>
      </c>
      <c r="Y278" s="3">
        <f t="shared" si="264"/>
        <v>3.2171693386577175E-3</v>
      </c>
      <c r="Z278" s="3">
        <f t="shared" si="264"/>
        <v>3.2171693317240612E-3</v>
      </c>
      <c r="AA278" s="3">
        <f t="shared" si="264"/>
        <v>3.2171692623874986E-3</v>
      </c>
      <c r="AB278" s="3">
        <f t="shared" si="264"/>
        <v>3.217168569021954E-3</v>
      </c>
      <c r="AC278" s="3">
        <f t="shared" si="264"/>
        <v>3.2171616353747256E-3</v>
      </c>
      <c r="AD278" s="3">
        <f t="shared" si="264"/>
        <v>3.2170922997243252E-3</v>
      </c>
      <c r="AE278" s="3">
        <f t="shared" si="264"/>
        <v>3.216399025401983E-3</v>
      </c>
      <c r="AF278" s="3">
        <f t="shared" si="264"/>
        <v>3.2094744937950998E-3</v>
      </c>
      <c r="AG278" s="3"/>
      <c r="AH278" s="3"/>
    </row>
    <row r="279" spans="1:34" x14ac:dyDescent="0.25">
      <c r="B279" s="3">
        <f t="shared" ref="B279:AF279" si="265">$C48*EXP(-B$246/$A48/EXP(-$E$126))</f>
        <v>1.3215886936532927E-2</v>
      </c>
      <c r="C279" s="3">
        <f t="shared" si="265"/>
        <v>1.3215886936532927E-2</v>
      </c>
      <c r="D279" s="3">
        <f t="shared" si="265"/>
        <v>1.3215886936532927E-2</v>
      </c>
      <c r="E279" s="3">
        <f t="shared" si="265"/>
        <v>1.3215886936532927E-2</v>
      </c>
      <c r="F279" s="3">
        <f t="shared" si="265"/>
        <v>1.3215886936532927E-2</v>
      </c>
      <c r="G279" s="3">
        <f t="shared" si="265"/>
        <v>1.3215886936532927E-2</v>
      </c>
      <c r="H279" s="3">
        <f t="shared" si="265"/>
        <v>1.3215886936532927E-2</v>
      </c>
      <c r="I279" s="3">
        <f t="shared" si="265"/>
        <v>1.3215886936532927E-2</v>
      </c>
      <c r="J279" s="3">
        <f t="shared" si="265"/>
        <v>1.3215886936532927E-2</v>
      </c>
      <c r="K279" s="3">
        <f t="shared" si="265"/>
        <v>1.3215886936532927E-2</v>
      </c>
      <c r="L279" s="3">
        <f t="shared" si="265"/>
        <v>1.3215886936532927E-2</v>
      </c>
      <c r="M279" s="3">
        <f t="shared" si="265"/>
        <v>1.3215886936532927E-2</v>
      </c>
      <c r="N279" s="3">
        <f t="shared" si="265"/>
        <v>1.3215886936532927E-2</v>
      </c>
      <c r="O279" s="3">
        <f t="shared" si="265"/>
        <v>1.3215886936532927E-2</v>
      </c>
      <c r="P279" s="3">
        <f t="shared" si="265"/>
        <v>1.3215886936532927E-2</v>
      </c>
      <c r="Q279" s="3">
        <f t="shared" si="265"/>
        <v>1.3215886936532927E-2</v>
      </c>
      <c r="R279" s="3">
        <f t="shared" si="265"/>
        <v>1.3215886936532927E-2</v>
      </c>
      <c r="S279" s="3">
        <f t="shared" si="265"/>
        <v>1.3215886936532927E-2</v>
      </c>
      <c r="T279" s="3">
        <f t="shared" si="265"/>
        <v>1.3215886936532924E-2</v>
      </c>
      <c r="U279" s="3">
        <f t="shared" si="265"/>
        <v>1.3215886936532894E-2</v>
      </c>
      <c r="V279" s="3">
        <f t="shared" si="265"/>
        <v>1.321588693653261E-2</v>
      </c>
      <c r="W279" s="3">
        <f t="shared" si="265"/>
        <v>1.3215886936529763E-2</v>
      </c>
      <c r="X279" s="3">
        <f t="shared" si="265"/>
        <v>1.3215886936501281E-2</v>
      </c>
      <c r="Y279" s="3">
        <f t="shared" si="265"/>
        <v>1.3215886936216449E-2</v>
      </c>
      <c r="Z279" s="3">
        <f t="shared" si="265"/>
        <v>1.3215886933368157E-2</v>
      </c>
      <c r="AA279" s="3">
        <f t="shared" si="265"/>
        <v>1.3215886904885224E-2</v>
      </c>
      <c r="AB279" s="3">
        <f t="shared" si="265"/>
        <v>1.3215886620055899E-2</v>
      </c>
      <c r="AC279" s="3">
        <f t="shared" si="265"/>
        <v>1.3215883771762981E-2</v>
      </c>
      <c r="AD279" s="3">
        <f t="shared" si="265"/>
        <v>1.3215855288867566E-2</v>
      </c>
      <c r="AE279" s="3">
        <f t="shared" si="265"/>
        <v>1.3215570463289649E-2</v>
      </c>
      <c r="AF279" s="3">
        <f t="shared" si="265"/>
        <v>1.3212722545106484E-2</v>
      </c>
      <c r="AG279" s="3"/>
      <c r="AH279" s="3"/>
    </row>
    <row r="280" spans="1:34" x14ac:dyDescent="0.25">
      <c r="A280" s="79">
        <f>AVERAGE(B280:AF280)</f>
        <v>1.7189411038638237E-2</v>
      </c>
      <c r="B280" s="80">
        <f>IF($D$61&lt;=B246,IF($E$61&gt;=B246,ABS((B248-B247)/B247),0),0)</f>
        <v>2.2651511309796528E-2</v>
      </c>
      <c r="C280" s="80">
        <f t="shared" ref="C280:AF280" si="266">IF($D$61&lt;=C246,IF($E$61&gt;=C246,ABS((C248-C247)/C247),0),0)</f>
        <v>2.2513740081528621E-2</v>
      </c>
      <c r="D280" s="80">
        <f t="shared" si="266"/>
        <v>2.1114913636644594E-2</v>
      </c>
      <c r="E280" s="80">
        <f t="shared" si="266"/>
        <v>1.0764688090071924E-2</v>
      </c>
      <c r="F280" s="80">
        <f t="shared" si="266"/>
        <v>2.7174952872400602E-3</v>
      </c>
      <c r="G280" s="80">
        <f t="shared" si="266"/>
        <v>1.5150937808218065E-2</v>
      </c>
      <c r="H280" s="80">
        <f t="shared" si="266"/>
        <v>1.1265203269431047E-2</v>
      </c>
      <c r="I280" s="80">
        <f t="shared" si="266"/>
        <v>1.3577290995092981E-2</v>
      </c>
      <c r="J280" s="80">
        <f t="shared" si="266"/>
        <v>1.4750210170154231E-2</v>
      </c>
      <c r="K280" s="80">
        <f t="shared" si="266"/>
        <v>1.6596360699757461E-2</v>
      </c>
      <c r="L280" s="80">
        <f t="shared" si="266"/>
        <v>1.7867899678925325E-2</v>
      </c>
      <c r="M280" s="80">
        <f t="shared" si="266"/>
        <v>1.8351749576574303E-2</v>
      </c>
      <c r="N280" s="80">
        <f t="shared" si="266"/>
        <v>1.9304494477546015E-2</v>
      </c>
      <c r="O280" s="80">
        <f t="shared" si="266"/>
        <v>2.377156903737895E-2</v>
      </c>
      <c r="P280" s="80">
        <f t="shared" si="266"/>
        <v>2.8220841178774114E-2</v>
      </c>
      <c r="Q280" s="80">
        <f t="shared" si="266"/>
        <v>2.7920447208201742E-2</v>
      </c>
      <c r="R280" s="80">
        <f t="shared" si="266"/>
        <v>1.9606199696721751E-2</v>
      </c>
      <c r="S280" s="80">
        <f t="shared" si="266"/>
        <v>2.5520109380099709E-3</v>
      </c>
      <c r="T280" s="80">
        <f t="shared" si="266"/>
        <v>3.9757039415350547E-2</v>
      </c>
      <c r="U280" s="80">
        <f t="shared" si="266"/>
        <v>6.2165032650520362E-2</v>
      </c>
      <c r="V280" s="80">
        <f t="shared" si="266"/>
        <v>5.8472154097740904E-2</v>
      </c>
      <c r="W280" s="80">
        <f t="shared" si="266"/>
        <v>3.6584931173226337E-2</v>
      </c>
      <c r="X280" s="80">
        <f t="shared" si="266"/>
        <v>1.8349172221703805E-2</v>
      </c>
      <c r="Y280" s="80">
        <f t="shared" si="266"/>
        <v>8.8458494991756863E-3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19548.376380463054</v>
      </c>
      <c r="C281" s="21">
        <f t="shared" ref="C281:AF281" si="267">(C248-C247)^2</f>
        <v>19304.795884077565</v>
      </c>
      <c r="D281" s="21">
        <f t="shared" si="267"/>
        <v>16922.61036520209</v>
      </c>
      <c r="E281" s="21">
        <f t="shared" si="267"/>
        <v>4283.8219163002132</v>
      </c>
      <c r="F281" s="21">
        <f t="shared" si="267"/>
        <v>257.89033969300834</v>
      </c>
      <c r="G281" s="21">
        <f t="shared" si="267"/>
        <v>7705.7293887508504</v>
      </c>
      <c r="H281" s="21">
        <f t="shared" si="267"/>
        <v>4094.5881645677796</v>
      </c>
      <c r="I281" s="21">
        <f t="shared" si="267"/>
        <v>5684.9483698160975</v>
      </c>
      <c r="J281" s="21">
        <f t="shared" si="267"/>
        <v>6387.614283978799</v>
      </c>
      <c r="K281" s="21">
        <f t="shared" si="267"/>
        <v>7639.5905632756849</v>
      </c>
      <c r="L281" s="21">
        <f t="shared" si="267"/>
        <v>8312.5674932310521</v>
      </c>
      <c r="M281" s="21">
        <f t="shared" si="267"/>
        <v>8202.7455863860105</v>
      </c>
      <c r="N281" s="21">
        <f t="shared" si="267"/>
        <v>8493.0967051185362</v>
      </c>
      <c r="O281" s="21">
        <f t="shared" si="267"/>
        <v>11947.601317617848</v>
      </c>
      <c r="P281" s="21">
        <f t="shared" si="267"/>
        <v>15306.321158096323</v>
      </c>
      <c r="Q281" s="21">
        <f t="shared" si="267"/>
        <v>13444.676826895298</v>
      </c>
      <c r="R281" s="21">
        <f t="shared" si="267"/>
        <v>5959.3820917718695</v>
      </c>
      <c r="S281" s="21">
        <f t="shared" si="267"/>
        <v>88.570710213887196</v>
      </c>
      <c r="T281" s="21">
        <f t="shared" si="267"/>
        <v>17867.339195874491</v>
      </c>
      <c r="U281" s="21">
        <f t="shared" si="267"/>
        <v>35992.492792272904</v>
      </c>
      <c r="V281" s="21">
        <f t="shared" si="267"/>
        <v>26458.22416228128</v>
      </c>
      <c r="W281" s="21">
        <f t="shared" si="267"/>
        <v>8689.6726523095731</v>
      </c>
      <c r="X281" s="21">
        <f t="shared" si="267"/>
        <v>1819.5565955396469</v>
      </c>
      <c r="Y281" s="21">
        <f t="shared" si="267"/>
        <v>348.67023508459454</v>
      </c>
      <c r="Z281" s="21">
        <f t="shared" si="267"/>
        <v>187.1331643342985</v>
      </c>
      <c r="AA281" s="21">
        <f t="shared" si="267"/>
        <v>16349.832875335089</v>
      </c>
      <c r="AB281" s="21">
        <f t="shared" si="267"/>
        <v>8630.620536209155</v>
      </c>
      <c r="AC281" s="21">
        <f t="shared" si="267"/>
        <v>23697.125246080879</v>
      </c>
      <c r="AD281" s="21">
        <f t="shared" si="267"/>
        <v>10080.717935459645</v>
      </c>
      <c r="AE281" s="21">
        <f t="shared" si="267"/>
        <v>8907.2364346512968</v>
      </c>
      <c r="AF281" s="21">
        <f t="shared" si="267"/>
        <v>1323.6547171127022</v>
      </c>
      <c r="AG281" s="3"/>
      <c r="AH281" s="3"/>
    </row>
    <row r="282" spans="1:34" s="3" customFormat="1" x14ac:dyDescent="0.25">
      <c r="A282" s="71">
        <f>SUM(B282:AF282)</f>
        <v>254760.88317881848</v>
      </c>
      <c r="B282" s="21">
        <f>IF($D$61&lt;=B246,IF($E$61&gt;=B246,ABS(B281),0),0)</f>
        <v>19548.376380463054</v>
      </c>
      <c r="C282" s="21">
        <f t="shared" ref="C282:AF282" si="268">IF($D$61&lt;=C246,IF($E$61&gt;=C246,ABS(C281),0),0)</f>
        <v>19304.795884077565</v>
      </c>
      <c r="D282" s="21">
        <f t="shared" si="268"/>
        <v>16922.61036520209</v>
      </c>
      <c r="E282" s="21">
        <f t="shared" si="268"/>
        <v>4283.8219163002132</v>
      </c>
      <c r="F282" s="21">
        <f t="shared" si="268"/>
        <v>257.89033969300834</v>
      </c>
      <c r="G282" s="21">
        <f t="shared" si="268"/>
        <v>7705.7293887508504</v>
      </c>
      <c r="H282" s="21">
        <f t="shared" si="268"/>
        <v>4094.5881645677796</v>
      </c>
      <c r="I282" s="21">
        <f t="shared" si="268"/>
        <v>5684.9483698160975</v>
      </c>
      <c r="J282" s="21">
        <f t="shared" si="268"/>
        <v>6387.614283978799</v>
      </c>
      <c r="K282" s="21">
        <f t="shared" si="268"/>
        <v>7639.5905632756849</v>
      </c>
      <c r="L282" s="21">
        <f t="shared" si="268"/>
        <v>8312.5674932310521</v>
      </c>
      <c r="M282" s="21">
        <f t="shared" si="268"/>
        <v>8202.7455863860105</v>
      </c>
      <c r="N282" s="21">
        <f t="shared" si="268"/>
        <v>8493.0967051185362</v>
      </c>
      <c r="O282" s="21">
        <f t="shared" si="268"/>
        <v>11947.601317617848</v>
      </c>
      <c r="P282" s="21">
        <f t="shared" si="268"/>
        <v>15306.321158096323</v>
      </c>
      <c r="Q282" s="21">
        <f t="shared" si="268"/>
        <v>13444.676826895298</v>
      </c>
      <c r="R282" s="21">
        <f t="shared" si="268"/>
        <v>5959.3820917718695</v>
      </c>
      <c r="S282" s="21">
        <f t="shared" si="268"/>
        <v>88.570710213887196</v>
      </c>
      <c r="T282" s="21">
        <f t="shared" si="268"/>
        <v>17867.339195874491</v>
      </c>
      <c r="U282" s="21">
        <f t="shared" si="268"/>
        <v>35992.492792272904</v>
      </c>
      <c r="V282" s="21">
        <f t="shared" si="268"/>
        <v>26458.22416228128</v>
      </c>
      <c r="W282" s="21">
        <f t="shared" si="268"/>
        <v>8689.6726523095731</v>
      </c>
      <c r="X282" s="21">
        <f t="shared" si="268"/>
        <v>1819.5565955396469</v>
      </c>
      <c r="Y282" s="21">
        <f t="shared" si="268"/>
        <v>348.67023508459454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6024.9425057145299</v>
      </c>
      <c r="C287" s="27">
        <f t="shared" ref="C287:AF287" si="269">($C$17+SUM(C288:C318))*$B$51</f>
        <v>5963.6129198988856</v>
      </c>
      <c r="D287" s="27">
        <f t="shared" si="269"/>
        <v>5744.3252138079333</v>
      </c>
      <c r="E287" s="27">
        <f t="shared" si="269"/>
        <v>5655.2870760457399</v>
      </c>
      <c r="F287" s="27">
        <f t="shared" si="269"/>
        <v>5524.4954231370684</v>
      </c>
      <c r="G287" s="27">
        <f t="shared" si="269"/>
        <v>5389.6395155323389</v>
      </c>
      <c r="H287" s="27">
        <f t="shared" si="269"/>
        <v>5237.462245196959</v>
      </c>
      <c r="I287" s="27">
        <f t="shared" si="269"/>
        <v>5073.774738582767</v>
      </c>
      <c r="J287" s="27">
        <f t="shared" si="269"/>
        <v>4907.5332250660449</v>
      </c>
      <c r="K287" s="27">
        <f t="shared" si="269"/>
        <v>4747.2788830809304</v>
      </c>
      <c r="L287" s="27">
        <f t="shared" si="269"/>
        <v>4569.2158996424796</v>
      </c>
      <c r="M287" s="27">
        <f t="shared" si="269"/>
        <v>4354.8216119557592</v>
      </c>
      <c r="N287" s="27">
        <f t="shared" si="269"/>
        <v>4126.6198005012284</v>
      </c>
      <c r="O287" s="27">
        <f t="shared" si="269"/>
        <v>3930.8194490746632</v>
      </c>
      <c r="P287" s="27">
        <f t="shared" si="269"/>
        <v>3754.5701271347521</v>
      </c>
      <c r="Q287" s="27">
        <f t="shared" si="269"/>
        <v>3572.4378051947656</v>
      </c>
      <c r="R287" s="27">
        <f t="shared" si="269"/>
        <v>3354.6189689579137</v>
      </c>
      <c r="S287" s="27">
        <f t="shared" si="269"/>
        <v>3065.0318612299338</v>
      </c>
      <c r="T287" s="27">
        <f t="shared" si="269"/>
        <v>2757.5006244781616</v>
      </c>
      <c r="U287" s="27">
        <f t="shared" si="269"/>
        <v>2464.1631160350198</v>
      </c>
      <c r="V287" s="27">
        <f t="shared" si="269"/>
        <v>2195.9166567805219</v>
      </c>
      <c r="W287" s="27">
        <f t="shared" si="269"/>
        <v>1936.4452764203659</v>
      </c>
      <c r="X287" s="27">
        <f t="shared" si="269"/>
        <v>1670.1686443860517</v>
      </c>
      <c r="Y287" s="27">
        <f t="shared" si="269"/>
        <v>1383.4469774775453</v>
      </c>
      <c r="Z287" s="27">
        <f t="shared" si="269"/>
        <v>1073.3643410158686</v>
      </c>
      <c r="AA287" s="27">
        <f t="shared" si="269"/>
        <v>779.43283156200482</v>
      </c>
      <c r="AB287" s="27">
        <f t="shared" si="269"/>
        <v>547.46912973547182</v>
      </c>
      <c r="AC287" s="27">
        <f t="shared" si="269"/>
        <v>398.33833449075871</v>
      </c>
      <c r="AD287" s="27">
        <f t="shared" si="269"/>
        <v>320.28138482628867</v>
      </c>
      <c r="AE287" s="27">
        <f t="shared" si="269"/>
        <v>281.68085690870549</v>
      </c>
      <c r="AF287" s="27">
        <f t="shared" si="269"/>
        <v>262.1515171278557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4.6479807954809861E-2</v>
      </c>
      <c r="C289" s="3">
        <f t="shared" si="271"/>
        <v>3.6812724418710516E-2</v>
      </c>
      <c r="D289" s="3">
        <f t="shared" si="271"/>
        <v>3.5754796203572108E-3</v>
      </c>
      <c r="E289" s="3">
        <f t="shared" si="271"/>
        <v>2.6711469432548521E-13</v>
      </c>
      <c r="F289" s="3">
        <f t="shared" si="271"/>
        <v>1.4465468630009448E-114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9.1199215912822224E-3</v>
      </c>
      <c r="C290" s="3">
        <f t="shared" si="272"/>
        <v>8.9300941131057483E-3</v>
      </c>
      <c r="D290" s="3">
        <f t="shared" si="272"/>
        <v>7.2361131603809132E-3</v>
      </c>
      <c r="E290" s="3">
        <f t="shared" si="272"/>
        <v>8.8307682924123937E-4</v>
      </c>
      <c r="F290" s="3">
        <f t="shared" si="272"/>
        <v>6.4703814883996086E-13</v>
      </c>
      <c r="G290" s="3">
        <f t="shared" si="272"/>
        <v>2.885651377149011E-104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2.3864741230015689E-2</v>
      </c>
      <c r="C291" s="3">
        <f t="shared" si="273"/>
        <v>2.3819501619430087E-2</v>
      </c>
      <c r="D291" s="3">
        <f t="shared" si="273"/>
        <v>2.3371795549667389E-2</v>
      </c>
      <c r="E291" s="3">
        <f t="shared" si="273"/>
        <v>1.9332417259353443E-2</v>
      </c>
      <c r="F291" s="3">
        <f t="shared" si="273"/>
        <v>2.8988582247928105E-3</v>
      </c>
      <c r="G291" s="3">
        <f t="shared" si="273"/>
        <v>1.6658470793328724E-11</v>
      </c>
      <c r="H291" s="3">
        <f t="shared" si="273"/>
        <v>6.5420926724447289E-94</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2.1808077922609033E-2</v>
      </c>
      <c r="C292" s="3">
        <f t="shared" si="274"/>
        <v>2.1804345413244292E-2</v>
      </c>
      <c r="D292" s="3">
        <f t="shared" si="274"/>
        <v>2.1767055437141133E-2</v>
      </c>
      <c r="E292" s="3">
        <f t="shared" si="274"/>
        <v>2.1397645291395744E-2</v>
      </c>
      <c r="F292" s="3">
        <f t="shared" si="274"/>
        <v>1.8031380998187675E-2</v>
      </c>
      <c r="G292" s="3">
        <f t="shared" si="274"/>
        <v>3.2558099836046944E-3</v>
      </c>
      <c r="H292" s="3">
        <f t="shared" si="274"/>
        <v>1.1993878804532198E-10</v>
      </c>
      <c r="I292" s="3">
        <f t="shared" si="274"/>
        <v>5.5203385301077567E-85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2.6175495613580214E-2</v>
      </c>
      <c r="C293" s="3">
        <f t="shared" si="275"/>
        <v>2.6175091448455905E-2</v>
      </c>
      <c r="D293" s="3">
        <f t="shared" si="275"/>
        <v>2.6171050140427112E-2</v>
      </c>
      <c r="E293" s="3">
        <f t="shared" si="275"/>
        <v>2.6130671361965629E-2</v>
      </c>
      <c r="F293" s="3">
        <f t="shared" si="275"/>
        <v>2.5730294243827084E-2</v>
      </c>
      <c r="G293" s="3">
        <f t="shared" si="275"/>
        <v>2.2048883354680068E-2</v>
      </c>
      <c r="H293" s="3">
        <f t="shared" si="275"/>
        <v>4.7076598128871815E-3</v>
      </c>
      <c r="I293" s="3">
        <f t="shared" si="275"/>
        <v>9.2680804313150478E-10</v>
      </c>
      <c r="J293" s="3">
        <f t="shared" si="275"/>
        <v>8.1065676955288084E-77</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2.8073641747584165E-2</v>
      </c>
      <c r="C294" s="3">
        <f t="shared" si="276"/>
        <v>2.8073602644382595E-2</v>
      </c>
      <c r="D294" s="3">
        <f t="shared" si="276"/>
        <v>2.8073211615362546E-2</v>
      </c>
      <c r="E294" s="3">
        <f t="shared" si="276"/>
        <v>2.8069301624708661E-2</v>
      </c>
      <c r="F294" s="3">
        <f t="shared" si="276"/>
        <v>2.8030231657396425E-2</v>
      </c>
      <c r="G294" s="3">
        <f t="shared" si="276"/>
        <v>2.7642510534604318E-2</v>
      </c>
      <c r="H294" s="3">
        <f t="shared" si="276"/>
        <v>2.4048359261185051E-2</v>
      </c>
      <c r="I294" s="3">
        <f t="shared" si="276"/>
        <v>5.9726233275563369E-3</v>
      </c>
      <c r="J294" s="3">
        <f t="shared" si="276"/>
        <v>5.3328807854153125E-9</v>
      </c>
      <c r="K294" s="3">
        <f t="shared" si="276"/>
        <v>1.7176290098665847E-69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2.8599885704974612E-2</v>
      </c>
      <c r="C295" s="3">
        <f t="shared" si="277"/>
        <v>2.859988211141605E-2</v>
      </c>
      <c r="D295" s="3">
        <f t="shared" si="277"/>
        <v>2.8599846175855256E-2</v>
      </c>
      <c r="E295" s="3">
        <f t="shared" si="277"/>
        <v>2.8599486822730721E-2</v>
      </c>
      <c r="F295" s="3">
        <f t="shared" si="277"/>
        <v>2.8595893539813247E-2</v>
      </c>
      <c r="G295" s="3">
        <f t="shared" si="277"/>
        <v>2.8559985531885039E-2</v>
      </c>
      <c r="H295" s="3">
        <f t="shared" si="277"/>
        <v>2.8203376076473375E-2</v>
      </c>
      <c r="I295" s="3">
        <f t="shared" si="277"/>
        <v>2.4873233836549675E-2</v>
      </c>
      <c r="J295" s="3">
        <f t="shared" si="277"/>
        <v>7.0801717843537726E-3</v>
      </c>
      <c r="K295" s="3">
        <f t="shared" si="277"/>
        <v>2.472630474282037E-8</v>
      </c>
      <c r="L295" s="3">
        <f t="shared" si="277"/>
        <v>6.6728819559944358E-63</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2.5827803366789304E-2</v>
      </c>
      <c r="C296" s="3">
        <f t="shared" si="278"/>
        <v>2.5827803074040912E-2</v>
      </c>
      <c r="D296" s="3">
        <f t="shared" si="278"/>
        <v>2.5827800146557188E-2</v>
      </c>
      <c r="E296" s="3">
        <f t="shared" si="278"/>
        <v>2.5827770871738192E-2</v>
      </c>
      <c r="F296" s="3">
        <f t="shared" si="278"/>
        <v>2.5827478125373247E-2</v>
      </c>
      <c r="G296" s="3">
        <f t="shared" si="278"/>
        <v>2.5824550844215872E-2</v>
      </c>
      <c r="H296" s="3">
        <f t="shared" si="278"/>
        <v>2.5795296274198978E-2</v>
      </c>
      <c r="I296" s="3">
        <f t="shared" si="278"/>
        <v>2.5504567102693273E-2</v>
      </c>
      <c r="J296" s="3">
        <f t="shared" si="278"/>
        <v>2.2771535581587024E-2</v>
      </c>
      <c r="K296" s="3">
        <f t="shared" si="278"/>
        <v>7.3305393966870518E-3</v>
      </c>
      <c r="L296" s="3">
        <f t="shared" si="278"/>
        <v>8.7613710650351857E-8</v>
      </c>
      <c r="M296" s="3">
        <f t="shared" si="278"/>
        <v>5.211149039143701E-57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3.0895531858877705E-2</v>
      </c>
      <c r="C297" s="3">
        <f t="shared" si="279"/>
        <v>3.0895531827287728E-2</v>
      </c>
      <c r="D297" s="3">
        <f t="shared" si="279"/>
        <v>3.089553151138796E-2</v>
      </c>
      <c r="E297" s="3">
        <f t="shared" si="279"/>
        <v>3.0895528352390421E-2</v>
      </c>
      <c r="F297" s="3">
        <f t="shared" si="279"/>
        <v>3.0895496762432827E-2</v>
      </c>
      <c r="G297" s="3">
        <f t="shared" si="279"/>
        <v>3.089518086463337E-2</v>
      </c>
      <c r="H297" s="3">
        <f t="shared" si="279"/>
        <v>3.0892022064281495E-2</v>
      </c>
      <c r="I297" s="3">
        <f t="shared" si="279"/>
        <v>3.0860451818314968E-2</v>
      </c>
      <c r="J297" s="3">
        <f t="shared" si="279"/>
        <v>3.0546518414226786E-2</v>
      </c>
      <c r="K297" s="3">
        <f t="shared" si="279"/>
        <v>2.7577576427426351E-2</v>
      </c>
      <c r="L297" s="3">
        <f t="shared" si="279"/>
        <v>9.9197307673088847E-3</v>
      </c>
      <c r="M297" s="3">
        <f t="shared" si="279"/>
        <v>3.5969778817423187E-7</v>
      </c>
      <c r="N297" s="3">
        <f t="shared" si="279"/>
        <v>1.4135676236994029E-51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3.9212264864772528E-2</v>
      </c>
      <c r="C298" s="3">
        <f t="shared" si="280"/>
        <v>3.9212264861155748E-2</v>
      </c>
      <c r="D298" s="3">
        <f t="shared" si="280"/>
        <v>3.9212264824987943E-2</v>
      </c>
      <c r="E298" s="3">
        <f t="shared" si="280"/>
        <v>3.9212264463309887E-2</v>
      </c>
      <c r="F298" s="3">
        <f t="shared" si="280"/>
        <v>3.9212260846529561E-2</v>
      </c>
      <c r="G298" s="3">
        <f t="shared" si="280"/>
        <v>3.9212224678744592E-2</v>
      </c>
      <c r="H298" s="3">
        <f t="shared" si="280"/>
        <v>3.9211863002729691E-2</v>
      </c>
      <c r="I298" s="3">
        <f t="shared" si="280"/>
        <v>3.9208246426052168E-2</v>
      </c>
      <c r="J298" s="3">
        <f t="shared" si="280"/>
        <v>3.9172099000166952E-2</v>
      </c>
      <c r="K298" s="3">
        <f t="shared" si="280"/>
        <v>3.8812452586475615E-2</v>
      </c>
      <c r="L298" s="3">
        <f t="shared" si="280"/>
        <v>3.539268595042086E-2</v>
      </c>
      <c r="M298" s="3">
        <f t="shared" si="280"/>
        <v>1.4071418432139533E-2</v>
      </c>
      <c r="N298" s="3">
        <f t="shared" si="280"/>
        <v>1.3886136439253068E-6</v>
      </c>
      <c r="O298" s="3">
        <f t="shared" si="280"/>
        <v>1.2162334230265289E-46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3.9921764975025947E-2</v>
      </c>
      <c r="C299" s="3">
        <f t="shared" si="281"/>
        <v>3.9921764974693782E-2</v>
      </c>
      <c r="D299" s="3">
        <f t="shared" si="281"/>
        <v>3.9921764971372106E-2</v>
      </c>
      <c r="E299" s="3">
        <f t="shared" si="281"/>
        <v>3.9921764938155406E-2</v>
      </c>
      <c r="F299" s="3">
        <f t="shared" si="281"/>
        <v>3.9921764605988355E-2</v>
      </c>
      <c r="G299" s="3">
        <f t="shared" si="281"/>
        <v>3.9921761284317993E-2</v>
      </c>
      <c r="H299" s="3">
        <f t="shared" si="281"/>
        <v>3.9921728067629551E-2</v>
      </c>
      <c r="I299" s="3">
        <f t="shared" si="281"/>
        <v>3.9921395902265254E-2</v>
      </c>
      <c r="J299" s="3">
        <f t="shared" si="281"/>
        <v>3.991807440062492E-2</v>
      </c>
      <c r="K299" s="3">
        <f t="shared" si="281"/>
        <v>3.9884874579809833E-2</v>
      </c>
      <c r="L299" s="3">
        <f t="shared" si="281"/>
        <v>3.9554391262813259E-2</v>
      </c>
      <c r="M299" s="3">
        <f t="shared" si="281"/>
        <v>3.6396485498512987E-2</v>
      </c>
      <c r="N299" s="3">
        <f t="shared" si="281"/>
        <v>1.5838239032459765E-2</v>
      </c>
      <c r="O299" s="3">
        <f t="shared" si="281"/>
        <v>3.8563933820040208E-6</v>
      </c>
      <c r="P299" s="3">
        <f t="shared" si="281"/>
        <v>2.8243966442400364E-42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2.7869370271085971E-2</v>
      </c>
      <c r="C300" s="3">
        <f t="shared" si="282"/>
        <v>2.7869370271065053E-2</v>
      </c>
      <c r="D300" s="3">
        <f t="shared" si="282"/>
        <v>2.7869370270855873E-2</v>
      </c>
      <c r="E300" s="3">
        <f t="shared" si="282"/>
        <v>2.7869370268764071E-2</v>
      </c>
      <c r="F300" s="3">
        <f t="shared" si="282"/>
        <v>2.786937024784605E-2</v>
      </c>
      <c r="G300" s="3">
        <f t="shared" si="282"/>
        <v>2.7869370038665856E-2</v>
      </c>
      <c r="H300" s="3">
        <f t="shared" si="282"/>
        <v>2.7869367946863986E-2</v>
      </c>
      <c r="I300" s="3">
        <f t="shared" si="282"/>
        <v>2.7869347028853925E-2</v>
      </c>
      <c r="J300" s="3">
        <f t="shared" si="282"/>
        <v>2.786913784961683E-2</v>
      </c>
      <c r="K300" s="3">
        <f t="shared" si="282"/>
        <v>2.7867046143596079E-2</v>
      </c>
      <c r="L300" s="3">
        <f t="shared" si="282"/>
        <v>2.7846137716009398E-2</v>
      </c>
      <c r="M300" s="3">
        <f t="shared" si="282"/>
        <v>2.7637914309644598E-2</v>
      </c>
      <c r="N300" s="3">
        <f t="shared" si="282"/>
        <v>2.5639423697336308E-2</v>
      </c>
      <c r="O300" s="3">
        <f t="shared" si="282"/>
        <v>1.2104258548533576E-2</v>
      </c>
      <c r="P300" s="3">
        <f t="shared" si="282"/>
        <v>6.6563709477374278E-6</v>
      </c>
      <c r="Q300" s="3">
        <f t="shared" si="282"/>
        <v>1.6835683922185614E-38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3.1710520537561473E-2</v>
      </c>
      <c r="C301" s="3">
        <f t="shared" si="283"/>
        <v>3.1710520537559329E-2</v>
      </c>
      <c r="D301" s="3">
        <f t="shared" si="283"/>
        <v>3.171052053753786E-2</v>
      </c>
      <c r="E301" s="3">
        <f t="shared" si="283"/>
        <v>3.1710520537323157E-2</v>
      </c>
      <c r="F301" s="3">
        <f t="shared" si="283"/>
        <v>3.1710520535176097E-2</v>
      </c>
      <c r="G301" s="3">
        <f t="shared" si="283"/>
        <v>3.1710520513705542E-2</v>
      </c>
      <c r="H301" s="3">
        <f t="shared" si="283"/>
        <v>3.1710520298999942E-2</v>
      </c>
      <c r="I301" s="3">
        <f t="shared" si="283"/>
        <v>3.171051815194402E-2</v>
      </c>
      <c r="J301" s="3">
        <f t="shared" si="283"/>
        <v>3.1710496681392843E-2</v>
      </c>
      <c r="K301" s="3">
        <f t="shared" si="283"/>
        <v>3.1710281976680597E-2</v>
      </c>
      <c r="L301" s="3">
        <f t="shared" si="283"/>
        <v>3.1708135009510981E-2</v>
      </c>
      <c r="M301" s="3">
        <f t="shared" si="283"/>
        <v>3.1686673331097759E-2</v>
      </c>
      <c r="N301" s="3">
        <f t="shared" si="283"/>
        <v>3.1472853876401086E-2</v>
      </c>
      <c r="O301" s="3">
        <f t="shared" si="283"/>
        <v>2.9412430467465906E-2</v>
      </c>
      <c r="P301" s="3">
        <f t="shared" si="283"/>
        <v>1.4944410707506335E-2</v>
      </c>
      <c r="Q301" s="3">
        <f t="shared" si="283"/>
        <v>1.7137900000750848E-5</v>
      </c>
      <c r="R301" s="3">
        <f t="shared" si="283"/>
        <v>6.7413318080373295E-35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2.7458471996856328E-2</v>
      </c>
      <c r="C302" s="3">
        <f t="shared" si="284"/>
        <v>2.7458471996856158E-2</v>
      </c>
      <c r="D302" s="3">
        <f t="shared" si="284"/>
        <v>2.7458471996854483E-2</v>
      </c>
      <c r="E302" s="3">
        <f t="shared" si="284"/>
        <v>2.7458471996837711E-2</v>
      </c>
      <c r="F302" s="3">
        <f t="shared" si="284"/>
        <v>2.7458471996669998E-2</v>
      </c>
      <c r="G302" s="3">
        <f t="shared" si="284"/>
        <v>2.7458471994992885E-2</v>
      </c>
      <c r="H302" s="3">
        <f t="shared" si="284"/>
        <v>2.7458471978221727E-2</v>
      </c>
      <c r="I302" s="3">
        <f t="shared" si="284"/>
        <v>2.7458471810510188E-2</v>
      </c>
      <c r="J302" s="3">
        <f t="shared" si="284"/>
        <v>2.7458470133394801E-2</v>
      </c>
      <c r="K302" s="3">
        <f t="shared" si="284"/>
        <v>2.7458453362246591E-2</v>
      </c>
      <c r="L302" s="3">
        <f t="shared" si="284"/>
        <v>2.7458285651327866E-2</v>
      </c>
      <c r="M302" s="3">
        <f t="shared" si="284"/>
        <v>2.7456608598478614E-2</v>
      </c>
      <c r="N302" s="3">
        <f t="shared" si="284"/>
        <v>2.7439843702511978E-2</v>
      </c>
      <c r="O302" s="3">
        <f t="shared" si="284"/>
        <v>2.7272756724618156E-2</v>
      </c>
      <c r="P302" s="3">
        <f t="shared" si="284"/>
        <v>2.5656835585386166E-2</v>
      </c>
      <c r="Q302" s="3">
        <f t="shared" si="284"/>
        <v>1.3929759458604234E-2</v>
      </c>
      <c r="R302" s="3">
        <f t="shared" si="284"/>
        <v>3.0999085058372454E-5</v>
      </c>
      <c r="S302" s="3">
        <f t="shared" si="284"/>
        <v>9.2342464959429128E-32</v>
      </c>
      <c r="T302" s="3">
        <f t="shared" si="284"/>
        <v>5.0807442978034781E-297</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4.6480285004782122E-2</v>
      </c>
      <c r="C303" s="3">
        <f t="shared" si="285"/>
        <v>4.6480285004782101E-2</v>
      </c>
      <c r="D303" s="3">
        <f t="shared" si="285"/>
        <v>4.6480285004781845E-2</v>
      </c>
      <c r="E303" s="3">
        <f t="shared" si="285"/>
        <v>4.6480285004779284E-2</v>
      </c>
      <c r="F303" s="3">
        <f t="shared" si="285"/>
        <v>4.6480285004753673E-2</v>
      </c>
      <c r="G303" s="3">
        <f t="shared" si="285"/>
        <v>4.6480285004497579E-2</v>
      </c>
      <c r="H303" s="3">
        <f t="shared" si="285"/>
        <v>4.6480285001936628E-2</v>
      </c>
      <c r="I303" s="3">
        <f t="shared" si="285"/>
        <v>4.6480284976327071E-2</v>
      </c>
      <c r="J303" s="3">
        <f t="shared" si="285"/>
        <v>4.6480284720231566E-2</v>
      </c>
      <c r="K303" s="3">
        <f t="shared" si="285"/>
        <v>4.6480282159276534E-2</v>
      </c>
      <c r="L303" s="3">
        <f t="shared" si="285"/>
        <v>4.6480256549734041E-2</v>
      </c>
      <c r="M303" s="3">
        <f t="shared" si="285"/>
        <v>4.6480000455085123E-2</v>
      </c>
      <c r="N303" s="3">
        <f t="shared" si="285"/>
        <v>4.6477439586200694E-2</v>
      </c>
      <c r="O303" s="3">
        <f t="shared" si="285"/>
        <v>4.6451838656244165E-2</v>
      </c>
      <c r="P303" s="3">
        <f t="shared" si="285"/>
        <v>4.6196603666048108E-2</v>
      </c>
      <c r="Q303" s="3">
        <f t="shared" si="285"/>
        <v>4.3720129177550526E-2</v>
      </c>
      <c r="R303" s="3">
        <f t="shared" si="285"/>
        <v>2.5199697259214723E-2</v>
      </c>
      <c r="S303" s="3">
        <f t="shared" si="285"/>
        <v>1.019845049537732E-4</v>
      </c>
      <c r="T303" s="3">
        <f t="shared" si="285"/>
        <v>1.2020509604791422E-28</v>
      </c>
      <c r="U303" s="3">
        <f t="shared" si="285"/>
        <v>6.2202774535178151E-268</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5.1673883446399775E-2</v>
      </c>
      <c r="C304" s="3">
        <f t="shared" si="286"/>
        <v>5.1673883446399775E-2</v>
      </c>
      <c r="D304" s="3">
        <f t="shared" si="286"/>
        <v>5.1673883446399747E-2</v>
      </c>
      <c r="E304" s="3">
        <f t="shared" si="286"/>
        <v>5.1673883446399491E-2</v>
      </c>
      <c r="F304" s="3">
        <f t="shared" si="286"/>
        <v>5.1673883446396923E-2</v>
      </c>
      <c r="G304" s="3">
        <f t="shared" si="286"/>
        <v>5.1673883446371242E-2</v>
      </c>
      <c r="H304" s="3">
        <f t="shared" si="286"/>
        <v>5.1673883446114406E-2</v>
      </c>
      <c r="I304" s="3">
        <f t="shared" si="286"/>
        <v>5.1673883443546079E-2</v>
      </c>
      <c r="J304" s="3">
        <f t="shared" si="286"/>
        <v>5.1673883417862776E-2</v>
      </c>
      <c r="K304" s="3">
        <f t="shared" si="286"/>
        <v>5.1673883161029742E-2</v>
      </c>
      <c r="L304" s="3">
        <f t="shared" si="286"/>
        <v>5.1673880592699513E-2</v>
      </c>
      <c r="M304" s="3">
        <f t="shared" si="286"/>
        <v>5.1673854909404272E-2</v>
      </c>
      <c r="N304" s="3">
        <f t="shared" si="286"/>
        <v>5.167359807715393E-2</v>
      </c>
      <c r="O304" s="3">
        <f t="shared" si="286"/>
        <v>5.1671029824858161E-2</v>
      </c>
      <c r="P304" s="3">
        <f t="shared" si="286"/>
        <v>5.1645354321375007E-2</v>
      </c>
      <c r="Q304" s="3">
        <f t="shared" si="286"/>
        <v>5.1389299944831046E-2</v>
      </c>
      <c r="R304" s="3">
        <f t="shared" si="286"/>
        <v>4.8897550449351672E-2</v>
      </c>
      <c r="S304" s="3">
        <f t="shared" si="286"/>
        <v>2.9746174596047253E-2</v>
      </c>
      <c r="T304" s="3">
        <f t="shared" si="286"/>
        <v>2.0647682597277326E-4</v>
      </c>
      <c r="U304" s="3">
        <f t="shared" si="286"/>
        <v>5.3613386831337262E-26</v>
      </c>
      <c r="V304" s="3">
        <f t="shared" si="286"/>
        <v>7.4695169831053919E-242</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5.2830746228017506E-2</v>
      </c>
      <c r="C305" s="3">
        <f t="shared" si="287"/>
        <v>5.2830746228017506E-2</v>
      </c>
      <c r="D305" s="3">
        <f t="shared" si="287"/>
        <v>5.2830746228017506E-2</v>
      </c>
      <c r="E305" s="3">
        <f t="shared" si="287"/>
        <v>5.2830746228017485E-2</v>
      </c>
      <c r="F305" s="3">
        <f t="shared" si="287"/>
        <v>5.2830746228017242E-2</v>
      </c>
      <c r="G305" s="3">
        <f t="shared" si="287"/>
        <v>5.2830746228014869E-2</v>
      </c>
      <c r="H305" s="3">
        <f t="shared" si="287"/>
        <v>5.2830746227991186E-2</v>
      </c>
      <c r="I305" s="3">
        <f t="shared" si="287"/>
        <v>5.2830746227754313E-2</v>
      </c>
      <c r="J305" s="3">
        <f t="shared" si="287"/>
        <v>5.2830746225385597E-2</v>
      </c>
      <c r="K305" s="3">
        <f t="shared" si="287"/>
        <v>5.2830746201698434E-2</v>
      </c>
      <c r="L305" s="3">
        <f t="shared" si="287"/>
        <v>5.2830745964826765E-2</v>
      </c>
      <c r="M305" s="3">
        <f t="shared" si="287"/>
        <v>5.2830743596110188E-2</v>
      </c>
      <c r="N305" s="3">
        <f t="shared" si="287"/>
        <v>5.2830719908950288E-2</v>
      </c>
      <c r="O305" s="3">
        <f t="shared" si="287"/>
        <v>5.2830483037935347E-2</v>
      </c>
      <c r="P305" s="3">
        <f t="shared" si="287"/>
        <v>5.2828114386196806E-2</v>
      </c>
      <c r="Q305" s="3">
        <f t="shared" si="287"/>
        <v>5.2804433708936171E-2</v>
      </c>
      <c r="R305" s="3">
        <f t="shared" si="287"/>
        <v>5.2568209981120599E-2</v>
      </c>
      <c r="S305" s="3">
        <f t="shared" si="287"/>
        <v>5.0263321441892814E-2</v>
      </c>
      <c r="T305" s="3">
        <f t="shared" si="287"/>
        <v>3.2101929130462691E-2</v>
      </c>
      <c r="U305" s="3">
        <f t="shared" si="287"/>
        <v>3.625188641919052E-4</v>
      </c>
      <c r="V305" s="3">
        <f t="shared" si="287"/>
        <v>1.2227154518277424E-23</v>
      </c>
      <c r="W305" s="3">
        <f t="shared" si="287"/>
        <v>2.3295567770048521E-218</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4.2289160639644607E-2</v>
      </c>
      <c r="C306" s="3">
        <f t="shared" si="288"/>
        <v>4.2289160639644607E-2</v>
      </c>
      <c r="D306" s="3">
        <f t="shared" si="288"/>
        <v>4.2289160639644607E-2</v>
      </c>
      <c r="E306" s="3">
        <f t="shared" si="288"/>
        <v>4.2289160639644607E-2</v>
      </c>
      <c r="F306" s="3">
        <f t="shared" si="288"/>
        <v>4.2289160639644587E-2</v>
      </c>
      <c r="G306" s="3">
        <f t="shared" si="288"/>
        <v>4.228916063964442E-2</v>
      </c>
      <c r="H306" s="3">
        <f t="shared" si="288"/>
        <v>4.2289160639642706E-2</v>
      </c>
      <c r="I306" s="3">
        <f t="shared" si="288"/>
        <v>4.2289160639625602E-2</v>
      </c>
      <c r="J306" s="3">
        <f t="shared" si="288"/>
        <v>4.2289160639454565E-2</v>
      </c>
      <c r="K306" s="3">
        <f t="shared" si="288"/>
        <v>4.2289160637744141E-2</v>
      </c>
      <c r="L306" s="3">
        <f t="shared" si="288"/>
        <v>4.2289160620639976E-2</v>
      </c>
      <c r="M306" s="3">
        <f t="shared" si="288"/>
        <v>4.2289160449598268E-2</v>
      </c>
      <c r="N306" s="3">
        <f t="shared" si="288"/>
        <v>4.2289158739181237E-2</v>
      </c>
      <c r="O306" s="3">
        <f t="shared" si="288"/>
        <v>4.2289141635014772E-2</v>
      </c>
      <c r="P306" s="3">
        <f t="shared" si="288"/>
        <v>4.2288970593730588E-2</v>
      </c>
      <c r="Q306" s="3">
        <f t="shared" si="288"/>
        <v>4.2287260218936598E-2</v>
      </c>
      <c r="R306" s="3">
        <f t="shared" si="288"/>
        <v>4.2270160275215282E-2</v>
      </c>
      <c r="S306" s="3">
        <f t="shared" si="288"/>
        <v>4.2099540691172409E-2</v>
      </c>
      <c r="T306" s="3">
        <f t="shared" si="288"/>
        <v>4.043076781760762E-2</v>
      </c>
      <c r="U306" s="3">
        <f t="shared" si="288"/>
        <v>2.698101621368135E-2</v>
      </c>
      <c r="V306" s="3">
        <f t="shared" si="288"/>
        <v>4.7263017048279095E-4</v>
      </c>
      <c r="W306" s="3">
        <f t="shared" si="288"/>
        <v>1.2857390289076001E-21</v>
      </c>
      <c r="X306" s="3">
        <f t="shared" si="288"/>
        <v>2.8540835630052466E-197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5.3722068085000706E-2</v>
      </c>
      <c r="C307" s="3">
        <f t="shared" si="289"/>
        <v>5.3722068085000706E-2</v>
      </c>
      <c r="D307" s="3">
        <f t="shared" si="289"/>
        <v>5.3722068085000706E-2</v>
      </c>
      <c r="E307" s="3">
        <f t="shared" si="289"/>
        <v>5.3722068085000706E-2</v>
      </c>
      <c r="F307" s="3">
        <f t="shared" si="289"/>
        <v>5.3722068085000706E-2</v>
      </c>
      <c r="G307" s="3">
        <f t="shared" si="289"/>
        <v>5.3722068085000685E-2</v>
      </c>
      <c r="H307" s="3">
        <f t="shared" si="289"/>
        <v>5.3722068085000484E-2</v>
      </c>
      <c r="I307" s="3">
        <f t="shared" si="289"/>
        <v>5.3722068084998527E-2</v>
      </c>
      <c r="J307" s="3">
        <f t="shared" si="289"/>
        <v>5.3722068084978931E-2</v>
      </c>
      <c r="K307" s="3">
        <f t="shared" si="289"/>
        <v>5.3722068084782915E-2</v>
      </c>
      <c r="L307" s="3">
        <f t="shared" si="289"/>
        <v>5.3722068082822851E-2</v>
      </c>
      <c r="M307" s="3">
        <f t="shared" si="289"/>
        <v>5.372206806322212E-2</v>
      </c>
      <c r="N307" s="3">
        <f t="shared" si="289"/>
        <v>5.3722067867214805E-2</v>
      </c>
      <c r="O307" s="3">
        <f t="shared" si="289"/>
        <v>5.3722065907141736E-2</v>
      </c>
      <c r="P307" s="3">
        <f t="shared" si="289"/>
        <v>5.3722046306415014E-2</v>
      </c>
      <c r="Q307" s="3">
        <f t="shared" si="289"/>
        <v>5.3721850299541095E-2</v>
      </c>
      <c r="R307" s="3">
        <f t="shared" si="289"/>
        <v>5.3719890270134095E-2</v>
      </c>
      <c r="S307" s="3">
        <f t="shared" si="289"/>
        <v>5.3700293908750966E-2</v>
      </c>
      <c r="T307" s="3">
        <f t="shared" si="289"/>
        <v>5.3504723033225982E-2</v>
      </c>
      <c r="U307" s="3">
        <f t="shared" si="289"/>
        <v>5.1587763061594683E-2</v>
      </c>
      <c r="V307" s="3">
        <f t="shared" si="289"/>
        <v>3.5817268173583626E-2</v>
      </c>
      <c r="W307" s="3">
        <f t="shared" si="289"/>
        <v>9.3228796909257405E-4</v>
      </c>
      <c r="X307" s="3">
        <f t="shared" si="289"/>
        <v>1.3308413673028054E-19</v>
      </c>
      <c r="Y307" s="3">
        <f t="shared" si="289"/>
        <v>4.6761497646703529E-178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0</v>
      </c>
      <c r="C308" s="3">
        <f t="shared" si="290"/>
        <v>0</v>
      </c>
      <c r="D308" s="3">
        <f t="shared" si="290"/>
        <v>0</v>
      </c>
      <c r="E308" s="3">
        <f t="shared" si="290"/>
        <v>0</v>
      </c>
      <c r="F308" s="3">
        <f t="shared" si="290"/>
        <v>0</v>
      </c>
      <c r="G308" s="3">
        <f t="shared" si="290"/>
        <v>0</v>
      </c>
      <c r="H308" s="3">
        <f t="shared" si="290"/>
        <v>0</v>
      </c>
      <c r="I308" s="3">
        <f t="shared" si="290"/>
        <v>0</v>
      </c>
      <c r="J308" s="3">
        <f t="shared" si="290"/>
        <v>0</v>
      </c>
      <c r="K308" s="3">
        <f t="shared" si="290"/>
        <v>0</v>
      </c>
      <c r="L308" s="3">
        <f t="shared" si="290"/>
        <v>0</v>
      </c>
      <c r="M308" s="3">
        <f t="shared" si="290"/>
        <v>0</v>
      </c>
      <c r="N308" s="3">
        <f t="shared" si="290"/>
        <v>0</v>
      </c>
      <c r="O308" s="3">
        <f t="shared" si="290"/>
        <v>0</v>
      </c>
      <c r="P308" s="3">
        <f t="shared" si="290"/>
        <v>0</v>
      </c>
      <c r="Q308" s="3">
        <f t="shared" si="290"/>
        <v>0</v>
      </c>
      <c r="R308" s="3">
        <f t="shared" si="290"/>
        <v>0</v>
      </c>
      <c r="S308" s="3">
        <f t="shared" si="290"/>
        <v>0</v>
      </c>
      <c r="T308" s="3">
        <f t="shared" si="290"/>
        <v>0</v>
      </c>
      <c r="U308" s="3">
        <f t="shared" si="290"/>
        <v>0</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7.2679477102325196E-2</v>
      </c>
      <c r="C309" s="3">
        <f t="shared" si="291"/>
        <v>7.2679477102325196E-2</v>
      </c>
      <c r="D309" s="3">
        <f t="shared" si="291"/>
        <v>7.2679477102325196E-2</v>
      </c>
      <c r="E309" s="3">
        <f t="shared" si="291"/>
        <v>7.2679477102325196E-2</v>
      </c>
      <c r="F309" s="3">
        <f t="shared" si="291"/>
        <v>7.2679477102325196E-2</v>
      </c>
      <c r="G309" s="3">
        <f t="shared" si="291"/>
        <v>7.2679477102325196E-2</v>
      </c>
      <c r="H309" s="3">
        <f t="shared" si="291"/>
        <v>7.2679477102325182E-2</v>
      </c>
      <c r="I309" s="3">
        <f t="shared" si="291"/>
        <v>7.2679477102325127E-2</v>
      </c>
      <c r="J309" s="3">
        <f t="shared" si="291"/>
        <v>7.2679477102324461E-2</v>
      </c>
      <c r="K309" s="3">
        <f t="shared" si="291"/>
        <v>7.2679477102317841E-2</v>
      </c>
      <c r="L309" s="3">
        <f t="shared" si="291"/>
        <v>7.2679477102251686E-2</v>
      </c>
      <c r="M309" s="3">
        <f t="shared" si="291"/>
        <v>7.267947710159009E-2</v>
      </c>
      <c r="N309" s="3">
        <f t="shared" si="291"/>
        <v>7.267947709497416E-2</v>
      </c>
      <c r="O309" s="3">
        <f t="shared" si="291"/>
        <v>7.2679477028814887E-2</v>
      </c>
      <c r="P309" s="3">
        <f t="shared" si="291"/>
        <v>7.2679476367222051E-2</v>
      </c>
      <c r="Q309" s="3">
        <f t="shared" si="291"/>
        <v>7.2679469751294051E-2</v>
      </c>
      <c r="R309" s="3">
        <f t="shared" si="291"/>
        <v>7.2679403592047165E-2</v>
      </c>
      <c r="S309" s="3">
        <f t="shared" si="291"/>
        <v>7.2678742002890623E-2</v>
      </c>
      <c r="T309" s="3">
        <f t="shared" si="291"/>
        <v>7.2672126442545004E-2</v>
      </c>
      <c r="U309" s="3">
        <f t="shared" si="291"/>
        <v>7.2606003949911402E-2</v>
      </c>
      <c r="V309" s="3">
        <f t="shared" si="291"/>
        <v>7.1948078980983696E-2</v>
      </c>
      <c r="W309" s="3">
        <f t="shared" si="291"/>
        <v>6.5687976017998029E-2</v>
      </c>
      <c r="X309" s="3">
        <f t="shared" si="291"/>
        <v>2.6433377539220447E-2</v>
      </c>
      <c r="Y309" s="3">
        <f t="shared" si="291"/>
        <v>2.9432045224706447E-6</v>
      </c>
      <c r="Z309" s="3">
        <f t="shared" si="291"/>
        <v>8.6198215446108637E-46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2.5051354607062454E-2</v>
      </c>
      <c r="C310" s="3">
        <f t="shared" si="292"/>
        <v>2.5051354607062454E-2</v>
      </c>
      <c r="D310" s="3">
        <f t="shared" si="292"/>
        <v>2.5051354607062454E-2</v>
      </c>
      <c r="E310" s="3">
        <f t="shared" si="292"/>
        <v>2.5051354607062454E-2</v>
      </c>
      <c r="F310" s="3">
        <f t="shared" si="292"/>
        <v>2.5051354607062454E-2</v>
      </c>
      <c r="G310" s="3">
        <f t="shared" si="292"/>
        <v>2.5051354607062454E-2</v>
      </c>
      <c r="H310" s="3">
        <f t="shared" si="292"/>
        <v>2.5051354607062454E-2</v>
      </c>
      <c r="I310" s="3">
        <f t="shared" si="292"/>
        <v>2.505135460706245E-2</v>
      </c>
      <c r="J310" s="3">
        <f t="shared" si="292"/>
        <v>2.5051354607062429E-2</v>
      </c>
      <c r="K310" s="3">
        <f t="shared" si="292"/>
        <v>2.50513546070622E-2</v>
      </c>
      <c r="L310" s="3">
        <f t="shared" si="292"/>
        <v>2.5051354607059921E-2</v>
      </c>
      <c r="M310" s="3">
        <f t="shared" si="292"/>
        <v>2.5051354607037116E-2</v>
      </c>
      <c r="N310" s="3">
        <f t="shared" si="292"/>
        <v>2.5051354606809077E-2</v>
      </c>
      <c r="O310" s="3">
        <f t="shared" si="292"/>
        <v>2.5051354604528678E-2</v>
      </c>
      <c r="P310" s="3">
        <f t="shared" si="292"/>
        <v>2.5051354581724725E-2</v>
      </c>
      <c r="Q310" s="3">
        <f t="shared" si="292"/>
        <v>2.5051354353685155E-2</v>
      </c>
      <c r="R310" s="3">
        <f t="shared" si="292"/>
        <v>2.5051352073289575E-2</v>
      </c>
      <c r="S310" s="3">
        <f t="shared" si="292"/>
        <v>2.5051329269345182E-2</v>
      </c>
      <c r="T310" s="3">
        <f t="shared" si="292"/>
        <v>2.5051101231042962E-2</v>
      </c>
      <c r="U310" s="3">
        <f t="shared" si="292"/>
        <v>2.5048820962186472E-2</v>
      </c>
      <c r="V310" s="3">
        <f t="shared" si="292"/>
        <v>2.5026029686347557E-2</v>
      </c>
      <c r="W310" s="3">
        <f t="shared" si="292"/>
        <v>2.4799254366015468E-2</v>
      </c>
      <c r="X310" s="3">
        <f t="shared" si="292"/>
        <v>2.2641505501343747E-2</v>
      </c>
      <c r="Y310" s="3">
        <f t="shared" si="292"/>
        <v>9.1111265600476669E-3</v>
      </c>
      <c r="Z310" s="3">
        <f t="shared" si="292"/>
        <v>1.01447152777002E-6</v>
      </c>
      <c r="AA310" s="3">
        <f t="shared" si="292"/>
        <v>2.971102913407383E-46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6.9730699512145403E-2</v>
      </c>
      <c r="C311" s="3">
        <f t="shared" si="293"/>
        <v>6.9730699512145403E-2</v>
      </c>
      <c r="D311" s="3">
        <f t="shared" si="293"/>
        <v>6.9730699512145403E-2</v>
      </c>
      <c r="E311" s="3">
        <f t="shared" si="293"/>
        <v>6.9730699512145403E-2</v>
      </c>
      <c r="F311" s="3">
        <f t="shared" si="293"/>
        <v>6.9730699512145403E-2</v>
      </c>
      <c r="G311" s="3">
        <f t="shared" si="293"/>
        <v>6.9730699512145403E-2</v>
      </c>
      <c r="H311" s="3">
        <f t="shared" si="293"/>
        <v>6.9730699512145403E-2</v>
      </c>
      <c r="I311" s="3">
        <f t="shared" si="293"/>
        <v>6.9730699512145403E-2</v>
      </c>
      <c r="J311" s="3">
        <f t="shared" si="293"/>
        <v>6.9730699512145389E-2</v>
      </c>
      <c r="K311" s="3">
        <f t="shared" si="293"/>
        <v>6.9730699512145333E-2</v>
      </c>
      <c r="L311" s="3">
        <f t="shared" si="293"/>
        <v>6.9730699512144695E-2</v>
      </c>
      <c r="M311" s="3">
        <f t="shared" si="293"/>
        <v>6.9730699512138353E-2</v>
      </c>
      <c r="N311" s="3">
        <f t="shared" si="293"/>
        <v>6.9730699512074876E-2</v>
      </c>
      <c r="O311" s="3">
        <f t="shared" si="293"/>
        <v>6.973069951144012E-2</v>
      </c>
      <c r="P311" s="3">
        <f t="shared" si="293"/>
        <v>6.9730699505092614E-2</v>
      </c>
      <c r="Q311" s="3">
        <f t="shared" si="293"/>
        <v>6.9730699441617583E-2</v>
      </c>
      <c r="R311" s="3">
        <f t="shared" si="293"/>
        <v>6.9730698806867122E-2</v>
      </c>
      <c r="S311" s="3">
        <f t="shared" si="293"/>
        <v>6.9730692459362906E-2</v>
      </c>
      <c r="T311" s="3">
        <f t="shared" si="293"/>
        <v>6.9730628984352505E-2</v>
      </c>
      <c r="U311" s="3">
        <f t="shared" si="293"/>
        <v>6.9729994237426499E-2</v>
      </c>
      <c r="V311" s="3">
        <f t="shared" si="293"/>
        <v>6.9723647085947749E-2</v>
      </c>
      <c r="W311" s="3">
        <f t="shared" si="293"/>
        <v>6.9660207338598762E-2</v>
      </c>
      <c r="X311" s="3">
        <f t="shared" si="293"/>
        <v>6.902897593547179E-2</v>
      </c>
      <c r="Y311" s="3">
        <f t="shared" si="293"/>
        <v>6.3022860096024175E-2</v>
      </c>
      <c r="Z311" s="3">
        <f t="shared" si="293"/>
        <v>2.5360913145858411E-2</v>
      </c>
      <c r="AA311" s="3">
        <f t="shared" si="293"/>
        <v>2.8237917819667701E-6</v>
      </c>
      <c r="AB311" s="3">
        <f t="shared" si="293"/>
        <v>8.270095079651413E-46</v>
      </c>
      <c r="AC311" s="3">
        <f t="shared" si="293"/>
        <v>0</v>
      </c>
      <c r="AD311" s="3">
        <f t="shared" si="293"/>
        <v>0</v>
      </c>
      <c r="AE311" s="3">
        <f t="shared" si="293"/>
        <v>0</v>
      </c>
      <c r="AF311" s="3">
        <f t="shared" si="293"/>
        <v>0</v>
      </c>
      <c r="AG311" s="3"/>
      <c r="AH311" s="3"/>
    </row>
    <row r="312" spans="1:34" x14ac:dyDescent="0.25">
      <c r="B312" s="3">
        <f t="shared" ref="B312:AF312" si="294">$C42*EXP(-B$285/$A42/EXP(-$F$126))</f>
        <v>3.3620821697873268E-2</v>
      </c>
      <c r="C312" s="3">
        <f t="shared" si="294"/>
        <v>3.3620821697873268E-2</v>
      </c>
      <c r="D312" s="3">
        <f t="shared" si="294"/>
        <v>3.3620821697873268E-2</v>
      </c>
      <c r="E312" s="3">
        <f t="shared" si="294"/>
        <v>3.3620821697873268E-2</v>
      </c>
      <c r="F312" s="3">
        <f t="shared" si="294"/>
        <v>3.3620821697873268E-2</v>
      </c>
      <c r="G312" s="3">
        <f t="shared" si="294"/>
        <v>3.3620821697873268E-2</v>
      </c>
      <c r="H312" s="3">
        <f t="shared" si="294"/>
        <v>3.3620821697873268E-2</v>
      </c>
      <c r="I312" s="3">
        <f t="shared" si="294"/>
        <v>3.3620821697873268E-2</v>
      </c>
      <c r="J312" s="3">
        <f t="shared" si="294"/>
        <v>3.3620821697873268E-2</v>
      </c>
      <c r="K312" s="3">
        <f t="shared" si="294"/>
        <v>3.3620821697873261E-2</v>
      </c>
      <c r="L312" s="3">
        <f t="shared" si="294"/>
        <v>3.3620821697873234E-2</v>
      </c>
      <c r="M312" s="3">
        <f t="shared" si="294"/>
        <v>3.3620821697872928E-2</v>
      </c>
      <c r="N312" s="3">
        <f t="shared" si="294"/>
        <v>3.3620821697869868E-2</v>
      </c>
      <c r="O312" s="3">
        <f t="shared" si="294"/>
        <v>3.3620821697839261E-2</v>
      </c>
      <c r="P312" s="3">
        <f t="shared" si="294"/>
        <v>3.3620821697533214E-2</v>
      </c>
      <c r="Q312" s="3">
        <f t="shared" si="294"/>
        <v>3.3620821694472752E-2</v>
      </c>
      <c r="R312" s="3">
        <f t="shared" si="294"/>
        <v>3.3620821663868108E-2</v>
      </c>
      <c r="S312" s="3">
        <f t="shared" si="294"/>
        <v>3.3620821357821677E-2</v>
      </c>
      <c r="T312" s="3">
        <f t="shared" si="294"/>
        <v>3.3620818297357503E-2</v>
      </c>
      <c r="U312" s="3">
        <f t="shared" si="294"/>
        <v>3.3620787692731115E-2</v>
      </c>
      <c r="V312" s="3">
        <f t="shared" si="294"/>
        <v>3.3620481647999419E-2</v>
      </c>
      <c r="W312" s="3">
        <f t="shared" si="294"/>
        <v>3.3617421353901562E-2</v>
      </c>
      <c r="X312" s="3">
        <f t="shared" si="294"/>
        <v>3.3586833729668614E-2</v>
      </c>
      <c r="Y312" s="3">
        <f t="shared" si="294"/>
        <v>3.3282484015652994E-2</v>
      </c>
      <c r="Z312" s="3">
        <f t="shared" si="294"/>
        <v>3.038662105790841E-2</v>
      </c>
      <c r="AA312" s="3">
        <f t="shared" si="294"/>
        <v>1.2227824257286335E-2</v>
      </c>
      <c r="AB312" s="3">
        <f t="shared" si="294"/>
        <v>1.3614978865497923E-6</v>
      </c>
      <c r="AC312" s="3">
        <f t="shared" si="294"/>
        <v>3.9874459032063787E-46</v>
      </c>
      <c r="AD312" s="3">
        <f t="shared" si="294"/>
        <v>0</v>
      </c>
      <c r="AE312" s="3">
        <f t="shared" si="294"/>
        <v>0</v>
      </c>
      <c r="AF312" s="3">
        <f t="shared" si="294"/>
        <v>0</v>
      </c>
      <c r="AG312" s="3"/>
      <c r="AH312" s="3"/>
    </row>
    <row r="313" spans="1:34" x14ac:dyDescent="0.25">
      <c r="B313" s="3">
        <f t="shared" ref="B313:AF313" si="295">$C43*EXP(-B$285/$A43/EXP(-$F$126))</f>
        <v>4.4529414265274125E-2</v>
      </c>
      <c r="C313" s="3">
        <f t="shared" si="295"/>
        <v>4.4529414265274125E-2</v>
      </c>
      <c r="D313" s="3">
        <f t="shared" si="295"/>
        <v>4.4529414265274125E-2</v>
      </c>
      <c r="E313" s="3">
        <f t="shared" si="295"/>
        <v>4.4529414265274125E-2</v>
      </c>
      <c r="F313" s="3">
        <f t="shared" si="295"/>
        <v>4.4529414265274125E-2</v>
      </c>
      <c r="G313" s="3">
        <f t="shared" si="295"/>
        <v>4.4529414265274125E-2</v>
      </c>
      <c r="H313" s="3">
        <f t="shared" si="295"/>
        <v>4.4529414265274125E-2</v>
      </c>
      <c r="I313" s="3">
        <f t="shared" si="295"/>
        <v>4.4529414265274125E-2</v>
      </c>
      <c r="J313" s="3">
        <f t="shared" si="295"/>
        <v>4.4529414265274125E-2</v>
      </c>
      <c r="K313" s="3">
        <f t="shared" si="295"/>
        <v>4.4529414265274125E-2</v>
      </c>
      <c r="L313" s="3">
        <f t="shared" si="295"/>
        <v>4.4529414265274118E-2</v>
      </c>
      <c r="M313" s="3">
        <f t="shared" si="295"/>
        <v>4.4529414265274084E-2</v>
      </c>
      <c r="N313" s="3">
        <f t="shared" si="295"/>
        <v>4.4529414265273674E-2</v>
      </c>
      <c r="O313" s="3">
        <f t="shared" si="295"/>
        <v>4.4529414265269622E-2</v>
      </c>
      <c r="P313" s="3">
        <f t="shared" si="295"/>
        <v>4.4529414265229085E-2</v>
      </c>
      <c r="Q313" s="3">
        <f t="shared" si="295"/>
        <v>4.4529414264823743E-2</v>
      </c>
      <c r="R313" s="3">
        <f t="shared" si="295"/>
        <v>4.4529414260770277E-2</v>
      </c>
      <c r="S313" s="3">
        <f t="shared" si="295"/>
        <v>4.4529414220235673E-2</v>
      </c>
      <c r="T313" s="3">
        <f t="shared" si="295"/>
        <v>4.452941381488959E-2</v>
      </c>
      <c r="U313" s="3">
        <f t="shared" si="295"/>
        <v>4.4529409761428967E-2</v>
      </c>
      <c r="V313" s="3">
        <f t="shared" si="295"/>
        <v>4.4529369226843009E-2</v>
      </c>
      <c r="W313" s="3">
        <f t="shared" si="295"/>
        <v>4.4528963883012813E-2</v>
      </c>
      <c r="X313" s="3">
        <f t="shared" si="295"/>
        <v>4.4524910647643329E-2</v>
      </c>
      <c r="Y313" s="3">
        <f t="shared" si="295"/>
        <v>4.4484398580356591E-2</v>
      </c>
      <c r="Z313" s="3">
        <f t="shared" si="295"/>
        <v>4.4081299732306234E-2</v>
      </c>
      <c r="AA313" s="3">
        <f t="shared" si="295"/>
        <v>4.0245846736550697E-2</v>
      </c>
      <c r="AB313" s="3">
        <f t="shared" si="295"/>
        <v>1.619525711800536E-2</v>
      </c>
      <c r="AC313" s="3">
        <f t="shared" si="295"/>
        <v>1.803248711654954E-6</v>
      </c>
      <c r="AD313" s="3">
        <f t="shared" si="295"/>
        <v>5.2812103190053413E-46</v>
      </c>
      <c r="AE313" s="3">
        <f t="shared" si="295"/>
        <v>0</v>
      </c>
      <c r="AF313" s="3">
        <f t="shared" si="295"/>
        <v>0</v>
      </c>
      <c r="AG313" s="3"/>
      <c r="AH313" s="3"/>
    </row>
    <row r="314" spans="1:34" x14ac:dyDescent="0.25">
      <c r="B314" s="3">
        <f t="shared" ref="B314:AF314" si="296">$C44*EXP(-B$285/$A44/EXP(-$F$126))</f>
        <v>1.2215661921031389E-2</v>
      </c>
      <c r="C314" s="3">
        <f t="shared" si="296"/>
        <v>1.2215661921031389E-2</v>
      </c>
      <c r="D314" s="3">
        <f t="shared" si="296"/>
        <v>1.2215661921031389E-2</v>
      </c>
      <c r="E314" s="3">
        <f t="shared" si="296"/>
        <v>1.2215661921031389E-2</v>
      </c>
      <c r="F314" s="3">
        <f t="shared" si="296"/>
        <v>1.2215661921031389E-2</v>
      </c>
      <c r="G314" s="3">
        <f t="shared" si="296"/>
        <v>1.2215661921031389E-2</v>
      </c>
      <c r="H314" s="3">
        <f t="shared" si="296"/>
        <v>1.2215661921031389E-2</v>
      </c>
      <c r="I314" s="3">
        <f t="shared" si="296"/>
        <v>1.2215661921031389E-2</v>
      </c>
      <c r="J314" s="3">
        <f t="shared" si="296"/>
        <v>1.2215661921031389E-2</v>
      </c>
      <c r="K314" s="3">
        <f t="shared" si="296"/>
        <v>1.2215661921031389E-2</v>
      </c>
      <c r="L314" s="3">
        <f t="shared" si="296"/>
        <v>1.2215661921031389E-2</v>
      </c>
      <c r="M314" s="3">
        <f t="shared" si="296"/>
        <v>1.2215661921031387E-2</v>
      </c>
      <c r="N314" s="3">
        <f t="shared" si="296"/>
        <v>1.2215661921031377E-2</v>
      </c>
      <c r="O314" s="3">
        <f t="shared" si="296"/>
        <v>1.2215661921031266E-2</v>
      </c>
      <c r="P314" s="3">
        <f t="shared" si="296"/>
        <v>1.2215661921030154E-2</v>
      </c>
      <c r="Q314" s="3">
        <f t="shared" si="296"/>
        <v>1.2215661921019035E-2</v>
      </c>
      <c r="R314" s="3">
        <f t="shared" si="296"/>
        <v>1.2215661920907835E-2</v>
      </c>
      <c r="S314" s="3">
        <f t="shared" si="296"/>
        <v>1.2215661919795858E-2</v>
      </c>
      <c r="T314" s="3">
        <f t="shared" si="296"/>
        <v>1.2215661908676083E-2</v>
      </c>
      <c r="U314" s="3">
        <f t="shared" si="296"/>
        <v>1.2215661797478333E-2</v>
      </c>
      <c r="V314" s="3">
        <f t="shared" si="296"/>
        <v>1.2215660685500881E-2</v>
      </c>
      <c r="W314" s="3">
        <f t="shared" si="296"/>
        <v>1.221564956573193E-2</v>
      </c>
      <c r="X314" s="3">
        <f t="shared" si="296"/>
        <v>1.2215538368599134E-2</v>
      </c>
      <c r="Y314" s="3">
        <f t="shared" si="296"/>
        <v>1.2214426452941204E-2</v>
      </c>
      <c r="Z314" s="3">
        <f t="shared" si="296"/>
        <v>1.2203312861490198E-2</v>
      </c>
      <c r="AA314" s="3">
        <f t="shared" si="296"/>
        <v>1.2092731589991633E-2</v>
      </c>
      <c r="AB314" s="3">
        <f t="shared" si="296"/>
        <v>1.1040559719258219E-2</v>
      </c>
      <c r="AC314" s="3">
        <f t="shared" si="296"/>
        <v>4.4428113179115214E-3</v>
      </c>
      <c r="AD314" s="3">
        <f t="shared" si="296"/>
        <v>4.9468148154579664E-7</v>
      </c>
      <c r="AE314" s="3">
        <f t="shared" si="296"/>
        <v>1.4487834806563323E-46</v>
      </c>
      <c r="AF314" s="3">
        <f t="shared" si="296"/>
        <v>0</v>
      </c>
      <c r="AG314" s="3"/>
      <c r="AH314" s="3"/>
    </row>
    <row r="315" spans="1:34" x14ac:dyDescent="0.25">
      <c r="B315" s="3">
        <f t="shared" ref="B315:AF315" si="297">$C45*EXP(-B$285/$A45/EXP(-$F$126))</f>
        <v>1.4917700620223399E-2</v>
      </c>
      <c r="C315" s="3">
        <f t="shared" si="297"/>
        <v>1.4917700620223399E-2</v>
      </c>
      <c r="D315" s="3">
        <f t="shared" si="297"/>
        <v>1.4917700620223399E-2</v>
      </c>
      <c r="E315" s="3">
        <f t="shared" si="297"/>
        <v>1.4917700620223399E-2</v>
      </c>
      <c r="F315" s="3">
        <f t="shared" si="297"/>
        <v>1.4917700620223399E-2</v>
      </c>
      <c r="G315" s="3">
        <f t="shared" si="297"/>
        <v>1.4917700620223399E-2</v>
      </c>
      <c r="H315" s="3">
        <f t="shared" si="297"/>
        <v>1.4917700620223399E-2</v>
      </c>
      <c r="I315" s="3">
        <f t="shared" si="297"/>
        <v>1.4917700620223399E-2</v>
      </c>
      <c r="J315" s="3">
        <f t="shared" si="297"/>
        <v>1.4917700620223399E-2</v>
      </c>
      <c r="K315" s="3">
        <f t="shared" si="297"/>
        <v>1.4917700620223399E-2</v>
      </c>
      <c r="L315" s="3">
        <f t="shared" si="297"/>
        <v>1.4917700620223399E-2</v>
      </c>
      <c r="M315" s="3">
        <f t="shared" si="297"/>
        <v>1.4917700620223399E-2</v>
      </c>
      <c r="N315" s="3">
        <f t="shared" si="297"/>
        <v>1.4917700620223398E-2</v>
      </c>
      <c r="O315" s="3">
        <f t="shared" si="297"/>
        <v>1.4917700620223384E-2</v>
      </c>
      <c r="P315" s="3">
        <f t="shared" si="297"/>
        <v>1.4917700620223249E-2</v>
      </c>
      <c r="Q315" s="3">
        <f t="shared" si="297"/>
        <v>1.491770062022189E-2</v>
      </c>
      <c r="R315" s="3">
        <f t="shared" si="297"/>
        <v>1.4917700620208311E-2</v>
      </c>
      <c r="S315" s="3">
        <f t="shared" si="297"/>
        <v>1.4917700620072517E-2</v>
      </c>
      <c r="T315" s="3">
        <f t="shared" si="297"/>
        <v>1.4917700618714575E-2</v>
      </c>
      <c r="U315" s="3">
        <f t="shared" si="297"/>
        <v>1.4917700605135167E-2</v>
      </c>
      <c r="V315" s="3">
        <f t="shared" si="297"/>
        <v>1.4917700469341072E-2</v>
      </c>
      <c r="W315" s="3">
        <f t="shared" si="297"/>
        <v>1.4917699111400191E-2</v>
      </c>
      <c r="X315" s="3">
        <f t="shared" si="297"/>
        <v>1.4917685531998168E-2</v>
      </c>
      <c r="Y315" s="3">
        <f t="shared" si="297"/>
        <v>1.4917549738657816E-2</v>
      </c>
      <c r="Z315" s="3">
        <f t="shared" si="297"/>
        <v>1.4916191873238229E-2</v>
      </c>
      <c r="AA315" s="3">
        <f t="shared" si="297"/>
        <v>1.4902620015147089E-2</v>
      </c>
      <c r="AB315" s="3">
        <f t="shared" si="297"/>
        <v>1.4767578761297461E-2</v>
      </c>
      <c r="AC315" s="3">
        <f t="shared" si="297"/>
        <v>1.3482672133225338E-2</v>
      </c>
      <c r="AD315" s="3">
        <f t="shared" si="297"/>
        <v>5.4255372800255429E-3</v>
      </c>
      <c r="AE315" s="3">
        <f t="shared" si="297"/>
        <v>6.0410236397944576E-7</v>
      </c>
      <c r="AF315" s="3">
        <f t="shared" si="297"/>
        <v>1.7692465924213791E-46</v>
      </c>
      <c r="AG315" s="3"/>
      <c r="AH315" s="3"/>
    </row>
    <row r="316" spans="1:34" x14ac:dyDescent="0.25">
      <c r="B316" s="3">
        <f t="shared" ref="B316:AF316" si="298">$C46*EXP(-B$285/$A46/EXP(-$F$126))</f>
        <v>7.6434223584492019E-4</v>
      </c>
      <c r="C316" s="3">
        <f t="shared" si="298"/>
        <v>7.6434223584492019E-4</v>
      </c>
      <c r="D316" s="3">
        <f t="shared" si="298"/>
        <v>7.6434223584492019E-4</v>
      </c>
      <c r="E316" s="3">
        <f t="shared" si="298"/>
        <v>7.6434223584492019E-4</v>
      </c>
      <c r="F316" s="3">
        <f t="shared" si="298"/>
        <v>7.6434223584492019E-4</v>
      </c>
      <c r="G316" s="3">
        <f t="shared" si="298"/>
        <v>7.6434223584492019E-4</v>
      </c>
      <c r="H316" s="3">
        <f t="shared" si="298"/>
        <v>7.6434223584492019E-4</v>
      </c>
      <c r="I316" s="3">
        <f t="shared" si="298"/>
        <v>7.6434223584492019E-4</v>
      </c>
      <c r="J316" s="3">
        <f t="shared" si="298"/>
        <v>7.6434223584492019E-4</v>
      </c>
      <c r="K316" s="3">
        <f t="shared" si="298"/>
        <v>7.6434223584492019E-4</v>
      </c>
      <c r="L316" s="3">
        <f t="shared" si="298"/>
        <v>7.6434223584492019E-4</v>
      </c>
      <c r="M316" s="3">
        <f t="shared" si="298"/>
        <v>7.6434223584492019E-4</v>
      </c>
      <c r="N316" s="3">
        <f t="shared" si="298"/>
        <v>7.6434223584492019E-4</v>
      </c>
      <c r="O316" s="3">
        <f t="shared" si="298"/>
        <v>7.6434223584492009E-4</v>
      </c>
      <c r="P316" s="3">
        <f t="shared" si="298"/>
        <v>7.6434223584491943E-4</v>
      </c>
      <c r="Q316" s="3">
        <f t="shared" si="298"/>
        <v>7.643422358449125E-4</v>
      </c>
      <c r="R316" s="3">
        <f t="shared" si="298"/>
        <v>7.6434223584484289E-4</v>
      </c>
      <c r="S316" s="3">
        <f t="shared" si="298"/>
        <v>7.6434223584414716E-4</v>
      </c>
      <c r="T316" s="3">
        <f t="shared" si="298"/>
        <v>7.643422358371894E-4</v>
      </c>
      <c r="U316" s="3">
        <f t="shared" si="298"/>
        <v>7.6434223576761213E-4</v>
      </c>
      <c r="V316" s="3">
        <f t="shared" si="298"/>
        <v>7.6434223507184035E-4</v>
      </c>
      <c r="W316" s="3">
        <f t="shared" si="298"/>
        <v>7.6434222811412188E-4</v>
      </c>
      <c r="X316" s="3">
        <f t="shared" si="298"/>
        <v>7.6434215853693986E-4</v>
      </c>
      <c r="Y316" s="3">
        <f t="shared" si="298"/>
        <v>7.6434146276546904E-4</v>
      </c>
      <c r="Z316" s="3">
        <f t="shared" si="298"/>
        <v>7.6433450508559464E-4</v>
      </c>
      <c r="AA316" s="3">
        <f t="shared" si="298"/>
        <v>7.6426493177016175E-4</v>
      </c>
      <c r="AB316" s="3">
        <f t="shared" si="298"/>
        <v>7.6356954682967775E-4</v>
      </c>
      <c r="AC316" s="3">
        <f t="shared" si="298"/>
        <v>7.5665040181353512E-4</v>
      </c>
      <c r="AD316" s="3">
        <f t="shared" si="298"/>
        <v>6.9081529558937655E-4</v>
      </c>
      <c r="AE316" s="3">
        <f t="shared" si="298"/>
        <v>2.7798971174235746E-4</v>
      </c>
      <c r="AF316" s="3">
        <f t="shared" si="298"/>
        <v>3.0952555177121967E-8</v>
      </c>
      <c r="AG316" s="3"/>
      <c r="AH316" s="3"/>
    </row>
    <row r="317" spans="1:34" x14ac:dyDescent="0.25">
      <c r="B317" s="3">
        <f t="shared" ref="B317:AF317" si="299">$C47*EXP(-B$285/$A47/EXP(-$F$126))</f>
        <v>3.2171693394281238E-3</v>
      </c>
      <c r="C317" s="3">
        <f t="shared" si="299"/>
        <v>3.2171693394281238E-3</v>
      </c>
      <c r="D317" s="3">
        <f t="shared" si="299"/>
        <v>3.2171693394281238E-3</v>
      </c>
      <c r="E317" s="3">
        <f t="shared" si="299"/>
        <v>3.2171693394281238E-3</v>
      </c>
      <c r="F317" s="3">
        <f t="shared" si="299"/>
        <v>3.2171693394281238E-3</v>
      </c>
      <c r="G317" s="3">
        <f t="shared" si="299"/>
        <v>3.2171693394281238E-3</v>
      </c>
      <c r="H317" s="3">
        <f t="shared" si="299"/>
        <v>3.2171693394281238E-3</v>
      </c>
      <c r="I317" s="3">
        <f t="shared" si="299"/>
        <v>3.2171693394281238E-3</v>
      </c>
      <c r="J317" s="3">
        <f t="shared" si="299"/>
        <v>3.2171693394281238E-3</v>
      </c>
      <c r="K317" s="3">
        <f t="shared" si="299"/>
        <v>3.2171693394281238E-3</v>
      </c>
      <c r="L317" s="3">
        <f t="shared" si="299"/>
        <v>3.2171693394281238E-3</v>
      </c>
      <c r="M317" s="3">
        <f t="shared" si="299"/>
        <v>3.2171693394281238E-3</v>
      </c>
      <c r="N317" s="3">
        <f t="shared" si="299"/>
        <v>3.2171693394281238E-3</v>
      </c>
      <c r="O317" s="3">
        <f t="shared" si="299"/>
        <v>3.2171693394281238E-3</v>
      </c>
      <c r="P317" s="3">
        <f t="shared" si="299"/>
        <v>3.2171693394281234E-3</v>
      </c>
      <c r="Q317" s="3">
        <f t="shared" si="299"/>
        <v>3.2171693394281208E-3</v>
      </c>
      <c r="R317" s="3">
        <f t="shared" si="299"/>
        <v>3.2171693394280913E-3</v>
      </c>
      <c r="S317" s="3">
        <f t="shared" si="299"/>
        <v>3.2171693394277986E-3</v>
      </c>
      <c r="T317" s="3">
        <f t="shared" si="299"/>
        <v>3.2171693394248699E-3</v>
      </c>
      <c r="U317" s="3">
        <f t="shared" si="299"/>
        <v>3.2171693393955843E-3</v>
      </c>
      <c r="V317" s="3">
        <f t="shared" si="299"/>
        <v>3.2171693391027292E-3</v>
      </c>
      <c r="W317" s="3">
        <f t="shared" si="299"/>
        <v>3.2171693361741772E-3</v>
      </c>
      <c r="X317" s="3">
        <f t="shared" si="299"/>
        <v>3.2171693068886588E-3</v>
      </c>
      <c r="Y317" s="3">
        <f t="shared" si="299"/>
        <v>3.2171690140334877E-3</v>
      </c>
      <c r="Z317" s="3">
        <f t="shared" si="299"/>
        <v>3.2171660854832407E-3</v>
      </c>
      <c r="AA317" s="3">
        <f t="shared" si="299"/>
        <v>3.2171368001273938E-3</v>
      </c>
      <c r="AB317" s="3">
        <f t="shared" si="299"/>
        <v>3.216843961230423E-3</v>
      </c>
      <c r="AC317" s="3">
        <f t="shared" si="299"/>
        <v>3.2139170379168734E-3</v>
      </c>
      <c r="AD317" s="3">
        <f t="shared" si="299"/>
        <v>3.1847938779538706E-3</v>
      </c>
      <c r="AE317" s="3">
        <f t="shared" si="299"/>
        <v>2.9076893621106169E-3</v>
      </c>
      <c r="AF317" s="3">
        <f t="shared" si="299"/>
        <v>1.1700779249825862E-3</v>
      </c>
      <c r="AG317" s="3"/>
      <c r="AH317" s="3"/>
    </row>
    <row r="318" spans="1:34" x14ac:dyDescent="0.25">
      <c r="B318" s="3">
        <f t="shared" ref="B318:AF318" si="300">$C48*EXP(-B$285/$A48/EXP(-$F$126))</f>
        <v>1.3215886936532927E-2</v>
      </c>
      <c r="C318" s="3">
        <f t="shared" si="300"/>
        <v>1.3215886936532927E-2</v>
      </c>
      <c r="D318" s="3">
        <f t="shared" si="300"/>
        <v>1.3215886936532927E-2</v>
      </c>
      <c r="E318" s="3">
        <f t="shared" si="300"/>
        <v>1.3215886936532927E-2</v>
      </c>
      <c r="F318" s="3">
        <f t="shared" si="300"/>
        <v>1.3215886936532927E-2</v>
      </c>
      <c r="G318" s="3">
        <f t="shared" si="300"/>
        <v>1.3215886936532927E-2</v>
      </c>
      <c r="H318" s="3">
        <f t="shared" si="300"/>
        <v>1.3215886936532927E-2</v>
      </c>
      <c r="I318" s="3">
        <f t="shared" si="300"/>
        <v>1.3215886936532927E-2</v>
      </c>
      <c r="J318" s="3">
        <f t="shared" si="300"/>
        <v>1.3215886936532927E-2</v>
      </c>
      <c r="K318" s="3">
        <f t="shared" si="300"/>
        <v>1.3215886936532927E-2</v>
      </c>
      <c r="L318" s="3">
        <f t="shared" si="300"/>
        <v>1.3215886936532927E-2</v>
      </c>
      <c r="M318" s="3">
        <f t="shared" si="300"/>
        <v>1.3215886936532927E-2</v>
      </c>
      <c r="N318" s="3">
        <f t="shared" si="300"/>
        <v>1.3215886936532927E-2</v>
      </c>
      <c r="O318" s="3">
        <f t="shared" si="300"/>
        <v>1.3215886936532927E-2</v>
      </c>
      <c r="P318" s="3">
        <f t="shared" si="300"/>
        <v>1.3215886936532927E-2</v>
      </c>
      <c r="Q318" s="3">
        <f t="shared" si="300"/>
        <v>1.3215886936532925E-2</v>
      </c>
      <c r="R318" s="3">
        <f t="shared" si="300"/>
        <v>1.3215886936532913E-2</v>
      </c>
      <c r="S318" s="3">
        <f t="shared" si="300"/>
        <v>1.3215886936532794E-2</v>
      </c>
      <c r="T318" s="3">
        <f t="shared" si="300"/>
        <v>1.321588693653159E-2</v>
      </c>
      <c r="U318" s="3">
        <f t="shared" si="300"/>
        <v>1.3215886936519561E-2</v>
      </c>
      <c r="V318" s="3">
        <f t="shared" si="300"/>
        <v>1.3215886936399256E-2</v>
      </c>
      <c r="W318" s="3">
        <f t="shared" si="300"/>
        <v>1.3215886935196231E-2</v>
      </c>
      <c r="X318" s="3">
        <f t="shared" si="300"/>
        <v>1.3215886923165963E-2</v>
      </c>
      <c r="Y318" s="3">
        <f t="shared" si="300"/>
        <v>1.3215886802863281E-2</v>
      </c>
      <c r="Z318" s="3">
        <f t="shared" si="300"/>
        <v>1.3215885599836512E-2</v>
      </c>
      <c r="AA318" s="3">
        <f t="shared" si="300"/>
        <v>1.3215873569574854E-2</v>
      </c>
      <c r="AB318" s="3">
        <f t="shared" si="300"/>
        <v>1.3215753267560588E-2</v>
      </c>
      <c r="AC318" s="3">
        <f t="shared" si="300"/>
        <v>1.3214550307646246E-2</v>
      </c>
      <c r="AD318" s="3">
        <f t="shared" si="300"/>
        <v>1.3202526729306831E-2</v>
      </c>
      <c r="AE318" s="3">
        <f t="shared" si="300"/>
        <v>1.308289100339443E-2</v>
      </c>
      <c r="AF318" s="3">
        <f t="shared" si="300"/>
        <v>1.1944566729908061E-2</v>
      </c>
      <c r="AG318" s="3"/>
      <c r="AH318" s="3"/>
    </row>
    <row r="319" spans="1:34" x14ac:dyDescent="0.25">
      <c r="A319" s="79">
        <f>AVERAGE(B319:AF319)</f>
        <v>1.436949575362485E-3</v>
      </c>
      <c r="B319" s="80">
        <f>IF($A$64&lt;=B285,IF($B$64&gt;=B285,ABS((B287-B286)/B286),0),0)</f>
        <v>1.0313180795352976E-2</v>
      </c>
      <c r="C319" s="80">
        <f t="shared" ref="C319:AF319" si="301">IF($A$64&lt;=C285,IF($B$64&gt;=C285,ABS((C287-C286)/C286),0),0)</f>
        <v>1.3667818651747134E-2</v>
      </c>
      <c r="D319" s="80">
        <f t="shared" si="301"/>
        <v>3.8648167078859747E-3</v>
      </c>
      <c r="E319" s="80">
        <f t="shared" si="301"/>
        <v>5.3862144245585427E-4</v>
      </c>
      <c r="F319" s="80">
        <f t="shared" si="301"/>
        <v>2.1650629577299409E-4</v>
      </c>
      <c r="G319" s="80">
        <f t="shared" si="301"/>
        <v>1.2485019788322884E-4</v>
      </c>
      <c r="H319" s="80">
        <f t="shared" si="301"/>
        <v>1.6825986475309886E-4</v>
      </c>
      <c r="I319" s="80">
        <f t="shared" si="301"/>
        <v>1.7312681580397926E-4</v>
      </c>
      <c r="J319" s="80">
        <f t="shared" si="301"/>
        <v>2.0858726636986617E-4</v>
      </c>
      <c r="K319" s="80">
        <f t="shared" si="301"/>
        <v>1.4871127219303305E-4</v>
      </c>
      <c r="L319" s="80">
        <f t="shared" si="301"/>
        <v>3.0767632928648751E-4</v>
      </c>
      <c r="M319" s="80">
        <f t="shared" si="301"/>
        <v>1.8150793475735656E-4</v>
      </c>
      <c r="N319" s="80">
        <f t="shared" si="301"/>
        <v>4.3142885904039516E-4</v>
      </c>
      <c r="O319" s="80">
        <f t="shared" si="301"/>
        <v>7.0174596361748947E-5</v>
      </c>
      <c r="P319" s="80">
        <f t="shared" si="301"/>
        <v>3.9395524017735183E-4</v>
      </c>
      <c r="Q319" s="80">
        <f t="shared" si="301"/>
        <v>1.3193981445003739E-4</v>
      </c>
      <c r="R319" s="80">
        <f t="shared" si="301"/>
        <v>4.6942525256316969E-4</v>
      </c>
      <c r="S319" s="80">
        <f t="shared" si="301"/>
        <v>4.0242013876163501E-4</v>
      </c>
      <c r="T319" s="80">
        <f t="shared" si="301"/>
        <v>5.1581942295980427E-4</v>
      </c>
      <c r="U319" s="80">
        <f t="shared" si="301"/>
        <v>4.4812427629563204E-4</v>
      </c>
      <c r="V319" s="80">
        <f t="shared" si="301"/>
        <v>5.6038073191627886E-4</v>
      </c>
      <c r="W319" s="80">
        <f t="shared" si="301"/>
        <v>3.8534864792386016E-4</v>
      </c>
      <c r="X319" s="80">
        <f t="shared" si="301"/>
        <v>1.2651957441726933E-3</v>
      </c>
      <c r="Y319" s="80">
        <f t="shared" si="301"/>
        <v>7.9881159299631749E-4</v>
      </c>
      <c r="Z319" s="80">
        <f t="shared" si="301"/>
        <v>1.9169993348784088E-3</v>
      </c>
      <c r="AA319" s="80">
        <f t="shared" si="301"/>
        <v>1.4820502696373675E-3</v>
      </c>
      <c r="AB319" s="80">
        <f t="shared" si="301"/>
        <v>2.2959619897882514E-3</v>
      </c>
      <c r="AC319" s="80">
        <f t="shared" si="301"/>
        <v>9.9336047001418468E-4</v>
      </c>
      <c r="AD319" s="80">
        <f t="shared" si="301"/>
        <v>1.2745372781143437E-3</v>
      </c>
      <c r="AE319" s="80">
        <f t="shared" si="301"/>
        <v>1.4865637406457293E-4</v>
      </c>
      <c r="AF319" s="80">
        <f t="shared" si="301"/>
        <v>6.4718322785899129E-4</v>
      </c>
    </row>
    <row r="320" spans="1:34" x14ac:dyDescent="0.25">
      <c r="B320" s="21">
        <f>(B287-B286)^2</f>
        <v>3941.8083366911496</v>
      </c>
      <c r="C320" s="21">
        <f t="shared" ref="C320:AF320" si="302">(C287-C286)^2</f>
        <v>6465.8554539507631</v>
      </c>
      <c r="D320" s="21">
        <f t="shared" si="302"/>
        <v>496.70585994284738</v>
      </c>
      <c r="E320" s="21">
        <f t="shared" si="302"/>
        <v>9.2684876138131767</v>
      </c>
      <c r="F320" s="21">
        <f t="shared" si="302"/>
        <v>1.4312462801895585</v>
      </c>
      <c r="G320" s="21">
        <f t="shared" si="302"/>
        <v>0.45290420959971817</v>
      </c>
      <c r="H320" s="21">
        <f t="shared" si="302"/>
        <v>0.77687123743522835</v>
      </c>
      <c r="I320" s="21">
        <f t="shared" si="302"/>
        <v>0.77186515502468833</v>
      </c>
      <c r="J320" s="21">
        <f t="shared" si="302"/>
        <v>1.0482944285649942</v>
      </c>
      <c r="K320" s="21">
        <f t="shared" si="302"/>
        <v>0.49854739049734131</v>
      </c>
      <c r="L320" s="21">
        <f t="shared" si="302"/>
        <v>1.9776016478815628</v>
      </c>
      <c r="M320" s="21">
        <f t="shared" si="302"/>
        <v>0.6250138479944517</v>
      </c>
      <c r="N320" s="21">
        <f t="shared" si="302"/>
        <v>3.1723574453104812</v>
      </c>
      <c r="O320" s="21">
        <f t="shared" si="302"/>
        <v>7.6100409547689332E-2</v>
      </c>
      <c r="P320" s="21">
        <f t="shared" si="302"/>
        <v>2.1895580138558306</v>
      </c>
      <c r="Q320" s="21">
        <f t="shared" si="302"/>
        <v>0.22222642526015135</v>
      </c>
      <c r="R320" s="21">
        <f t="shared" si="302"/>
        <v>2.482144880914523</v>
      </c>
      <c r="S320" s="21">
        <f t="shared" si="302"/>
        <v>1.5225760980386498</v>
      </c>
      <c r="T320" s="21">
        <f t="shared" si="302"/>
        <v>2.0252319591396439</v>
      </c>
      <c r="U320" s="21">
        <f t="shared" si="302"/>
        <v>1.220464556871858</v>
      </c>
      <c r="V320" s="21">
        <f t="shared" si="302"/>
        <v>1.5159503275319679</v>
      </c>
      <c r="W320" s="21">
        <f t="shared" si="302"/>
        <v>0.55725363480995649</v>
      </c>
      <c r="X320" s="21">
        <f t="shared" si="302"/>
        <v>4.4764705081228771</v>
      </c>
      <c r="Y320" s="21">
        <f t="shared" si="302"/>
        <v>1.2232292912430691</v>
      </c>
      <c r="Z320" s="21">
        <f t="shared" si="302"/>
        <v>4.2501566101285526</v>
      </c>
      <c r="AA320" s="21">
        <f t="shared" si="302"/>
        <v>1.3383555601391526</v>
      </c>
      <c r="AB320" s="21">
        <f t="shared" si="302"/>
        <v>1.587249500466152</v>
      </c>
      <c r="AC320" s="21">
        <f t="shared" si="302"/>
        <v>0.15688492135644236</v>
      </c>
      <c r="AD320" s="21">
        <f t="shared" si="302"/>
        <v>0.16706144562448644</v>
      </c>
      <c r="AE320" s="21">
        <f t="shared" si="302"/>
        <v>1.7539243942656033E-3</v>
      </c>
      <c r="AF320" s="21">
        <f t="shared" si="302"/>
        <v>2.882183161049004E-2</v>
      </c>
      <c r="AG320" s="3"/>
      <c r="AH320" s="3"/>
    </row>
    <row r="321" spans="1:34" x14ac:dyDescent="0.25">
      <c r="A321" s="71">
        <f>SUM(B321:AF321)</f>
        <v>10949.434329740128</v>
      </c>
      <c r="B321" s="60">
        <f>IF($A$64&lt;=B285,IF($B$64&gt;=B285,ABS(B320),0),0)</f>
        <v>3941.8083366911496</v>
      </c>
      <c r="C321" s="60">
        <f t="shared" ref="C321" si="303">IF($A$64&lt;=C285,IF($B$64&gt;=C285,ABS(C320),0),0)</f>
        <v>6465.8554539507631</v>
      </c>
      <c r="D321" s="60">
        <f t="shared" ref="D321" si="304">IF($A$64&lt;=D285,IF($B$64&gt;=D285,ABS(D320),0),0)</f>
        <v>496.70585994284738</v>
      </c>
      <c r="E321" s="60">
        <f t="shared" ref="E321" si="305">IF($A$64&lt;=E285,IF($B$64&gt;=E285,ABS(E320),0),0)</f>
        <v>9.2684876138131767</v>
      </c>
      <c r="F321" s="60">
        <f t="shared" ref="F321" si="306">IF($A$64&lt;=F285,IF($B$64&gt;=F285,ABS(F320),0),0)</f>
        <v>1.4312462801895585</v>
      </c>
      <c r="G321" s="60">
        <f t="shared" ref="G321" si="307">IF($A$64&lt;=G285,IF($B$64&gt;=G285,ABS(G320),0),0)</f>
        <v>0.45290420959971817</v>
      </c>
      <c r="H321" s="60">
        <f t="shared" ref="H321" si="308">IF($A$64&lt;=H285,IF($B$64&gt;=H285,ABS(H320),0),0)</f>
        <v>0.77687123743522835</v>
      </c>
      <c r="I321" s="60">
        <f t="shared" ref="I321" si="309">IF($A$64&lt;=I285,IF($B$64&gt;=I285,ABS(I320),0),0)</f>
        <v>0.77186515502468833</v>
      </c>
      <c r="J321" s="60">
        <f t="shared" ref="J321" si="310">IF($A$64&lt;=J285,IF($B$64&gt;=J285,ABS(J320),0),0)</f>
        <v>1.0482944285649942</v>
      </c>
      <c r="K321" s="60">
        <f t="shared" ref="K321" si="311">IF($A$64&lt;=K285,IF($B$64&gt;=K285,ABS(K320),0),0)</f>
        <v>0.49854739049734131</v>
      </c>
      <c r="L321" s="60">
        <f t="shared" ref="L321" si="312">IF($A$64&lt;=L285,IF($B$64&gt;=L285,ABS(L320),0),0)</f>
        <v>1.9776016478815628</v>
      </c>
      <c r="M321" s="60">
        <f t="shared" ref="M321" si="313">IF($A$64&lt;=M285,IF($B$64&gt;=M285,ABS(M320),0),0)</f>
        <v>0.6250138479944517</v>
      </c>
      <c r="N321" s="60">
        <f t="shared" ref="N321" si="314">IF($A$64&lt;=N285,IF($B$64&gt;=N285,ABS(N320),0),0)</f>
        <v>3.1723574453104812</v>
      </c>
      <c r="O321" s="60">
        <f t="shared" ref="O321" si="315">IF($A$64&lt;=O285,IF($B$64&gt;=O285,ABS(O320),0),0)</f>
        <v>7.6100409547689332E-2</v>
      </c>
      <c r="P321" s="60">
        <f t="shared" ref="P321" si="316">IF($A$64&lt;=P285,IF($B$64&gt;=P285,ABS(P320),0),0)</f>
        <v>2.1895580138558306</v>
      </c>
      <c r="Q321" s="60">
        <f t="shared" ref="Q321" si="317">IF($A$64&lt;=Q285,IF($B$64&gt;=Q285,ABS(Q320),0),0)</f>
        <v>0.22222642526015135</v>
      </c>
      <c r="R321" s="60">
        <f t="shared" ref="R321" si="318">IF($A$64&lt;=R285,IF($B$64&gt;=R285,ABS(R320),0),0)</f>
        <v>2.482144880914523</v>
      </c>
      <c r="S321" s="60">
        <f t="shared" ref="S321" si="319">IF($A$64&lt;=S285,IF($B$64&gt;=S285,ABS(S320),0),0)</f>
        <v>1.5225760980386498</v>
      </c>
      <c r="T321" s="60">
        <f t="shared" ref="T321" si="320">IF($A$64&lt;=T285,IF($B$64&gt;=T285,ABS(T320),0),0)</f>
        <v>2.0252319591396439</v>
      </c>
      <c r="U321" s="60">
        <f t="shared" ref="U321" si="321">IF($A$64&lt;=U285,IF($B$64&gt;=U285,ABS(U320),0),0)</f>
        <v>1.220464556871858</v>
      </c>
      <c r="V321" s="60">
        <f t="shared" ref="V321" si="322">IF($A$64&lt;=V285,IF($B$64&gt;=V285,ABS(V320),0),0)</f>
        <v>1.5159503275319679</v>
      </c>
      <c r="W321" s="60">
        <f t="shared" ref="W321" si="323">IF($A$64&lt;=W285,IF($B$64&gt;=W285,ABS(W320),0),0)</f>
        <v>0.55725363480995649</v>
      </c>
      <c r="X321" s="60">
        <f t="shared" ref="X321" si="324">IF($A$64&lt;=X285,IF($B$64&gt;=X285,ABS(X320),0),0)</f>
        <v>4.4764705081228771</v>
      </c>
      <c r="Y321" s="60">
        <f t="shared" ref="Y321" si="325">IF($A$64&lt;=Y285,IF($B$64&gt;=Y285,ABS(Y320),0),0)</f>
        <v>1.2232292912430691</v>
      </c>
      <c r="Z321" s="60">
        <f t="shared" ref="Z321" si="326">IF($A$64&lt;=Z285,IF($B$64&gt;=Z285,ABS(Z320),0),0)</f>
        <v>4.2501566101285526</v>
      </c>
      <c r="AA321" s="60">
        <f t="shared" ref="AA321" si="327">IF($A$64&lt;=AA285,IF($B$64&gt;=AA285,ABS(AA320),0),0)</f>
        <v>1.3383555601391526</v>
      </c>
      <c r="AB321" s="60">
        <f t="shared" ref="AB321" si="328">IF($A$64&lt;=AB285,IF($B$64&gt;=AB285,ABS(AB320),0),0)</f>
        <v>1.587249500466152</v>
      </c>
      <c r="AC321" s="60">
        <f t="shared" ref="AC321" si="329">IF($A$64&lt;=AC285,IF($B$64&gt;=AC285,ABS(AC320),0),0)</f>
        <v>0.15688492135644236</v>
      </c>
      <c r="AD321" s="60">
        <f t="shared" ref="AD321" si="330">IF($A$64&lt;=AD285,IF($B$64&gt;=AD285,ABS(AD320),0),0)</f>
        <v>0.16706144562448644</v>
      </c>
      <c r="AE321" s="60">
        <f t="shared" ref="AE321" si="331">IF($A$64&lt;=AE285,IF($B$64&gt;=AE285,ABS(AE320),0),0)</f>
        <v>1.7539243942656033E-3</v>
      </c>
      <c r="AF321" s="60">
        <f t="shared" ref="AF321" si="332">IF($A$64&lt;=AF285,IF($B$64&gt;=AF285,ABS(AF320),0),0)</f>
        <v>2.882183161049004E-2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5150.9050401362847</v>
      </c>
      <c r="C326" s="27">
        <f t="shared" ref="C326:AF326" si="333">($C$17+SUM(C327:C357))*$B$51</f>
        <v>4983.2837020275656</v>
      </c>
      <c r="D326" s="27">
        <f t="shared" si="333"/>
        <v>4817.8241347121038</v>
      </c>
      <c r="E326" s="27">
        <f t="shared" si="333"/>
        <v>4651.3217511437724</v>
      </c>
      <c r="F326" s="27">
        <f t="shared" si="333"/>
        <v>4451.5032912415754</v>
      </c>
      <c r="G326" s="27">
        <f t="shared" si="333"/>
        <v>4219.4447118712833</v>
      </c>
      <c r="H326" s="27">
        <f t="shared" si="333"/>
        <v>4000.590818303036</v>
      </c>
      <c r="I326" s="27">
        <f t="shared" si="333"/>
        <v>3826.9102340134968</v>
      </c>
      <c r="J326" s="27">
        <f t="shared" si="333"/>
        <v>3642.582197637028</v>
      </c>
      <c r="K326" s="27">
        <f t="shared" si="333"/>
        <v>3453.7816104948479</v>
      </c>
      <c r="L326" s="27">
        <f t="shared" si="333"/>
        <v>3182.0728338866666</v>
      </c>
      <c r="M326" s="27">
        <f t="shared" si="333"/>
        <v>2879.4794742314825</v>
      </c>
      <c r="N326" s="27">
        <f t="shared" si="333"/>
        <v>2577.3739398232842</v>
      </c>
      <c r="O326" s="27">
        <f t="shared" si="333"/>
        <v>2310.5487997500823</v>
      </c>
      <c r="P326" s="27">
        <f t="shared" si="333"/>
        <v>2033.3380208301598</v>
      </c>
      <c r="Q326" s="27">
        <f t="shared" si="333"/>
        <v>1828.5182047794249</v>
      </c>
      <c r="R326" s="27">
        <f t="shared" si="333"/>
        <v>1471.8472073818391</v>
      </c>
      <c r="S326" s="27">
        <f t="shared" si="333"/>
        <v>1231.5712135443412</v>
      </c>
      <c r="T326" s="27">
        <f t="shared" si="333"/>
        <v>874.37801786427951</v>
      </c>
      <c r="U326" s="27">
        <f t="shared" si="333"/>
        <v>647.13782699373405</v>
      </c>
      <c r="V326" s="27">
        <f t="shared" si="333"/>
        <v>435.06835544500586</v>
      </c>
      <c r="W326" s="27">
        <f t="shared" si="333"/>
        <v>352.56548517980161</v>
      </c>
      <c r="X326" s="27">
        <f t="shared" si="333"/>
        <v>287.13620452425459</v>
      </c>
      <c r="Y326" s="27">
        <f t="shared" si="333"/>
        <v>273.61238362942413</v>
      </c>
      <c r="Z326" s="27">
        <f t="shared" si="333"/>
        <v>237.78290330733199</v>
      </c>
      <c r="AA326" s="27">
        <f t="shared" si="333"/>
        <v>182.92229029694946</v>
      </c>
      <c r="AB326" s="27">
        <f t="shared" si="333"/>
        <v>180.95922929061459</v>
      </c>
      <c r="AC326" s="27">
        <f t="shared" si="333"/>
        <v>180.95922929061459</v>
      </c>
      <c r="AD326" s="27">
        <f t="shared" si="333"/>
        <v>180.95922929061459</v>
      </c>
      <c r="AE326" s="27">
        <f t="shared" si="333"/>
        <v>180.95922929061459</v>
      </c>
      <c r="AF326" s="27">
        <f t="shared" si="333"/>
        <v>180.95922929061459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7.5553588747611739E-33</v>
      </c>
      <c r="C331" s="3">
        <f t="shared" si="338"/>
        <v>5.4315043202794914E-307</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4.678609829279988E-5</v>
      </c>
      <c r="C332" s="3">
        <f t="shared" si="339"/>
        <v>8.7117892736266147E-30</v>
      </c>
      <c r="D332" s="3">
        <f t="shared" si="339"/>
        <v>4.3652858907563462E-277</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1.5864497148297119E-2</v>
      </c>
      <c r="C333" s="3">
        <f t="shared" si="340"/>
        <v>9.3233872504241931E-5</v>
      </c>
      <c r="D333" s="3">
        <f t="shared" si="340"/>
        <v>4.5819236204542939E-27</v>
      </c>
      <c r="E333" s="3">
        <f t="shared" si="340"/>
        <v>3.7652088154437382E-250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2.7164651710027438E-2</v>
      </c>
      <c r="C334" s="3">
        <f t="shared" si="341"/>
        <v>1.709081128630633E-2</v>
      </c>
      <c r="D334" s="3">
        <f t="shared" si="341"/>
        <v>1.6609174792078221E-4</v>
      </c>
      <c r="E334" s="3">
        <f t="shared" si="341"/>
        <v>1.247963326802188E-24</v>
      </c>
      <c r="F334" s="3">
        <f t="shared" si="341"/>
        <v>7.1571397813350039E-226</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2.5708124782672651E-2</v>
      </c>
      <c r="C335" s="3">
        <f t="shared" si="342"/>
        <v>2.46556663947942E-2</v>
      </c>
      <c r="D335" s="3">
        <f t="shared" si="342"/>
        <v>1.6232305377803864E-2</v>
      </c>
      <c r="E335" s="3">
        <f t="shared" si="342"/>
        <v>2.4832177135139858E-4</v>
      </c>
      <c r="F335" s="3">
        <f t="shared" si="342"/>
        <v>1.7432542321359208E-22</v>
      </c>
      <c r="G335" s="3">
        <f t="shared" si="342"/>
        <v>5.0678066269427988E-204</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3.0882590245883513E-2</v>
      </c>
      <c r="C336" s="3">
        <f t="shared" si="343"/>
        <v>3.07663593711586E-2</v>
      </c>
      <c r="D336" s="3">
        <f t="shared" si="343"/>
        <v>2.9627840799263422E-2</v>
      </c>
      <c r="E336" s="3">
        <f t="shared" si="343"/>
        <v>2.0320712913763358E-2</v>
      </c>
      <c r="F336" s="3">
        <f t="shared" si="343"/>
        <v>4.6808887493218185E-4</v>
      </c>
      <c r="G336" s="3">
        <f t="shared" si="343"/>
        <v>1.9688929790683873E-20</v>
      </c>
      <c r="H336" s="3">
        <f t="shared" si="343"/>
        <v>3.4131865040991732E-184</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3.9210782879051401E-2</v>
      </c>
      <c r="C337" s="3">
        <f t="shared" si="344"/>
        <v>3.9197447524144918E-2</v>
      </c>
      <c r="D337" s="3">
        <f t="shared" si="344"/>
        <v>3.9064343160888866E-2</v>
      </c>
      <c r="E337" s="3">
        <f t="shared" si="344"/>
        <v>3.7757907326394058E-2</v>
      </c>
      <c r="F337" s="3">
        <f t="shared" si="344"/>
        <v>2.6870875366599843E-2</v>
      </c>
      <c r="G337" s="3">
        <f t="shared" si="344"/>
        <v>8.9540764575952927E-4</v>
      </c>
      <c r="H337" s="3">
        <f t="shared" si="344"/>
        <v>1.5115086506596566E-18</v>
      </c>
      <c r="I337" s="3">
        <f t="shared" si="344"/>
        <v>2.8399390757835232E-166</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3.9921628866326907E-2</v>
      </c>
      <c r="C338" s="3">
        <f t="shared" si="345"/>
        <v>3.9920403908585339E-2</v>
      </c>
      <c r="D338" s="3">
        <f t="shared" si="345"/>
        <v>3.9908156398246693E-2</v>
      </c>
      <c r="E338" s="3">
        <f t="shared" si="345"/>
        <v>3.9785887768080418E-2</v>
      </c>
      <c r="F338" s="3">
        <f t="shared" si="345"/>
        <v>3.8583616285230458E-2</v>
      </c>
      <c r="G338" s="3">
        <f t="shared" si="345"/>
        <v>2.8388451029369814E-2</v>
      </c>
      <c r="H338" s="3">
        <f t="shared" si="345"/>
        <v>1.3198645480817354E-3</v>
      </c>
      <c r="I338" s="3">
        <f t="shared" si="345"/>
        <v>6.2288236511959969E-17</v>
      </c>
      <c r="J338" s="3">
        <f t="shared" si="345"/>
        <v>3.4132865709223786E-150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2.7869361699709522E-2</v>
      </c>
      <c r="C339" s="3">
        <f t="shared" si="346"/>
        <v>2.7869284557419192E-2</v>
      </c>
      <c r="D339" s="3">
        <f t="shared" si="346"/>
        <v>2.7868513146259891E-2</v>
      </c>
      <c r="E339" s="3">
        <f t="shared" si="346"/>
        <v>2.7860800208949561E-2</v>
      </c>
      <c r="F339" s="3">
        <f t="shared" si="346"/>
        <v>2.7783788143934045E-2</v>
      </c>
      <c r="G339" s="3">
        <f t="shared" si="346"/>
        <v>2.702527904464859E-2</v>
      </c>
      <c r="H339" s="3">
        <f t="shared" si="346"/>
        <v>2.0490731764399153E-2</v>
      </c>
      <c r="I339" s="3">
        <f t="shared" si="346"/>
        <v>1.2865607007156376E-3</v>
      </c>
      <c r="J339" s="3">
        <f t="shared" si="346"/>
        <v>1.2250629695709059E-15</v>
      </c>
      <c r="K339" s="3">
        <f t="shared" si="346"/>
        <v>7.5065386360277432E-136</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3.1710519657782793E-2</v>
      </c>
      <c r="C340" s="3">
        <f t="shared" si="347"/>
        <v>3.1710511739773559E-2</v>
      </c>
      <c r="D340" s="3">
        <f t="shared" si="347"/>
        <v>3.171043255979001E-2</v>
      </c>
      <c r="E340" s="3">
        <f t="shared" si="347"/>
        <v>3.1709640770828433E-2</v>
      </c>
      <c r="F340" s="3">
        <f t="shared" si="347"/>
        <v>3.1701723968506394E-2</v>
      </c>
      <c r="G340" s="3">
        <f t="shared" si="347"/>
        <v>3.1622664574271875E-2</v>
      </c>
      <c r="H340" s="3">
        <f t="shared" si="347"/>
        <v>3.0842833837412192E-2</v>
      </c>
      <c r="I340" s="3">
        <f t="shared" si="347"/>
        <v>2.4027711080692359E-2</v>
      </c>
      <c r="J340" s="3">
        <f t="shared" si="347"/>
        <v>1.9783069250893554E-3</v>
      </c>
      <c r="K340" s="3">
        <f t="shared" si="347"/>
        <v>2.8320855758119696E-14</v>
      </c>
      <c r="L340" s="3">
        <f t="shared" si="347"/>
        <v>1.0238430356292542E-122</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2.7458471928134765E-2</v>
      </c>
      <c r="C341" s="3">
        <f t="shared" si="348"/>
        <v>2.7458471309640541E-2</v>
      </c>
      <c r="D341" s="3">
        <f t="shared" si="348"/>
        <v>2.7458465124699041E-2</v>
      </c>
      <c r="E341" s="3">
        <f t="shared" si="348"/>
        <v>2.7458403275360709E-2</v>
      </c>
      <c r="F341" s="3">
        <f t="shared" si="348"/>
        <v>2.7457784789639554E-2</v>
      </c>
      <c r="G341" s="3">
        <f t="shared" si="348"/>
        <v>2.7451600698584398E-2</v>
      </c>
      <c r="H341" s="3">
        <f t="shared" si="348"/>
        <v>2.7389836339856134E-2</v>
      </c>
      <c r="I341" s="3">
        <f t="shared" si="348"/>
        <v>2.6779784518083129E-2</v>
      </c>
      <c r="J341" s="3">
        <f t="shared" si="348"/>
        <v>2.1378808013414647E-2</v>
      </c>
      <c r="K341" s="3">
        <f t="shared" si="348"/>
        <v>2.2477477825674015E-3</v>
      </c>
      <c r="L341" s="3">
        <f t="shared" si="348"/>
        <v>3.7101245100373708E-13</v>
      </c>
      <c r="M341" s="3">
        <f t="shared" si="348"/>
        <v>5.569260744165699E-111</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4.6480284994288343E-2</v>
      </c>
      <c r="C342" s="3">
        <f t="shared" si="349"/>
        <v>4.6480284899844279E-2</v>
      </c>
      <c r="D342" s="3">
        <f t="shared" si="349"/>
        <v>4.6480283955403663E-2</v>
      </c>
      <c r="E342" s="3">
        <f t="shared" si="349"/>
        <v>4.6480274510998516E-2</v>
      </c>
      <c r="F342" s="3">
        <f t="shared" si="349"/>
        <v>4.6480180067052637E-2</v>
      </c>
      <c r="G342" s="3">
        <f t="shared" si="349"/>
        <v>4.647923563814832E-2</v>
      </c>
      <c r="H342" s="3">
        <f t="shared" si="349"/>
        <v>4.6469792404480563E-2</v>
      </c>
      <c r="I342" s="3">
        <f t="shared" si="349"/>
        <v>4.6375465526039147E-2</v>
      </c>
      <c r="J342" s="3">
        <f t="shared" si="349"/>
        <v>4.5442663709852366E-2</v>
      </c>
      <c r="K342" s="3">
        <f t="shared" si="349"/>
        <v>3.7086748852519801E-2</v>
      </c>
      <c r="L342" s="3">
        <f t="shared" si="349"/>
        <v>4.8614809882082345E-3</v>
      </c>
      <c r="M342" s="3">
        <f t="shared" si="349"/>
        <v>7.2822716547891891E-12</v>
      </c>
      <c r="N342" s="3">
        <f t="shared" si="349"/>
        <v>4.1423778901595272E-100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5.1673883445347374E-2</v>
      </c>
      <c r="C343" s="3">
        <f t="shared" si="350"/>
        <v>5.167388343587577E-2</v>
      </c>
      <c r="D343" s="3">
        <f t="shared" si="350"/>
        <v>5.1673883341159722E-2</v>
      </c>
      <c r="E343" s="3">
        <f t="shared" si="350"/>
        <v>5.167388239399924E-2</v>
      </c>
      <c r="F343" s="3">
        <f t="shared" si="350"/>
        <v>5.167387292239542E-2</v>
      </c>
      <c r="G343" s="3">
        <f t="shared" si="350"/>
        <v>5.1673778206452664E-2</v>
      </c>
      <c r="H343" s="3">
        <f t="shared" si="350"/>
        <v>5.1672831056573665E-2</v>
      </c>
      <c r="I343" s="3">
        <f t="shared" si="350"/>
        <v>5.1663360512569582E-2</v>
      </c>
      <c r="J343" s="3">
        <f t="shared" si="350"/>
        <v>5.1568750486399854E-2</v>
      </c>
      <c r="K343" s="3">
        <f t="shared" si="350"/>
        <v>5.0632127218707322E-2</v>
      </c>
      <c r="L343" s="3">
        <f t="shared" si="350"/>
        <v>4.215235344588298E-2</v>
      </c>
      <c r="M343" s="3">
        <f t="shared" si="350"/>
        <v>6.7418387284919855E-3</v>
      </c>
      <c r="N343" s="3">
        <f t="shared" si="350"/>
        <v>7.3848841009520854E-11</v>
      </c>
      <c r="O343" s="3">
        <f t="shared" si="350"/>
        <v>1.8365253473420336E-90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5.2830746227920444E-2</v>
      </c>
      <c r="C344" s="3">
        <f t="shared" si="351"/>
        <v>5.28307462270469E-2</v>
      </c>
      <c r="D344" s="3">
        <f t="shared" si="351"/>
        <v>5.2830746218311436E-2</v>
      </c>
      <c r="E344" s="3">
        <f t="shared" si="351"/>
        <v>5.2830746130956834E-2</v>
      </c>
      <c r="F344" s="3">
        <f t="shared" si="351"/>
        <v>5.2830745257410786E-2</v>
      </c>
      <c r="G344" s="3">
        <f t="shared" si="351"/>
        <v>5.2830736521951104E-2</v>
      </c>
      <c r="H344" s="3">
        <f t="shared" si="351"/>
        <v>5.2830649167433713E-2</v>
      </c>
      <c r="I344" s="3">
        <f t="shared" si="351"/>
        <v>5.2829775630203898E-2</v>
      </c>
      <c r="J344" s="3">
        <f t="shared" si="351"/>
        <v>5.2821041052266975E-2</v>
      </c>
      <c r="K344" s="3">
        <f t="shared" si="351"/>
        <v>5.2733774660443919E-2</v>
      </c>
      <c r="L344" s="3">
        <f t="shared" si="351"/>
        <v>5.1869001142564375E-2</v>
      </c>
      <c r="M344" s="3">
        <f t="shared" si="351"/>
        <v>4.3964095391660386E-2</v>
      </c>
      <c r="N344" s="3">
        <f t="shared" si="351"/>
        <v>8.4139651588334315E-3</v>
      </c>
      <c r="O344" s="3">
        <f t="shared" si="351"/>
        <v>5.5465941270065028E-10</v>
      </c>
      <c r="P344" s="3">
        <f t="shared" si="351"/>
        <v>8.595737985087933E-82</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4.2289160639637599E-2</v>
      </c>
      <c r="C345" s="3">
        <f t="shared" si="352"/>
        <v>4.2289160639574518E-2</v>
      </c>
      <c r="D345" s="3">
        <f t="shared" si="352"/>
        <v>4.2289160638943744E-2</v>
      </c>
      <c r="E345" s="3">
        <f t="shared" si="352"/>
        <v>4.2289160632635991E-2</v>
      </c>
      <c r="F345" s="3">
        <f t="shared" si="352"/>
        <v>4.2289160569558455E-2</v>
      </c>
      <c r="G345" s="3">
        <f t="shared" si="352"/>
        <v>4.2289159938783107E-2</v>
      </c>
      <c r="H345" s="3">
        <f t="shared" si="352"/>
        <v>4.2289153631030099E-2</v>
      </c>
      <c r="I345" s="3">
        <f t="shared" si="352"/>
        <v>4.228909055355181E-2</v>
      </c>
      <c r="J345" s="3">
        <f t="shared" si="352"/>
        <v>4.2288459783943508E-2</v>
      </c>
      <c r="K345" s="3">
        <f t="shared" si="352"/>
        <v>4.2282152605296268E-2</v>
      </c>
      <c r="L345" s="3">
        <f t="shared" si="352"/>
        <v>4.2219132533853773E-2</v>
      </c>
      <c r="M345" s="3">
        <f t="shared" si="352"/>
        <v>4.159407489526612E-2</v>
      </c>
      <c r="N345" s="3">
        <f t="shared" si="352"/>
        <v>3.5830519676464168E-2</v>
      </c>
      <c r="O345" s="3">
        <f t="shared" si="352"/>
        <v>8.0624954642723734E-3</v>
      </c>
      <c r="P345" s="3">
        <f t="shared" si="352"/>
        <v>2.6830776739245183E-9</v>
      </c>
      <c r="Q345" s="3">
        <f t="shared" si="352"/>
        <v>4.4696227323225709E-74</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5.3722068084999901E-2</v>
      </c>
      <c r="C346" s="3">
        <f t="shared" si="353"/>
        <v>5.372206808499267E-2</v>
      </c>
      <c r="D346" s="3">
        <f t="shared" si="353"/>
        <v>5.3722068084920388E-2</v>
      </c>
      <c r="E346" s="3">
        <f t="shared" si="353"/>
        <v>5.372206808419755E-2</v>
      </c>
      <c r="F346" s="3">
        <f t="shared" si="353"/>
        <v>5.3722068076969096E-2</v>
      </c>
      <c r="G346" s="3">
        <f t="shared" si="353"/>
        <v>5.3722068004684632E-2</v>
      </c>
      <c r="H346" s="3">
        <f t="shared" si="353"/>
        <v>5.3722067281840001E-2</v>
      </c>
      <c r="I346" s="3">
        <f t="shared" si="353"/>
        <v>5.3722060053394152E-2</v>
      </c>
      <c r="J346" s="3">
        <f t="shared" si="353"/>
        <v>5.3721987768989218E-2</v>
      </c>
      <c r="K346" s="3">
        <f t="shared" si="353"/>
        <v>5.3721264930289198E-2</v>
      </c>
      <c r="L346" s="3">
        <f t="shared" si="353"/>
        <v>5.3714037078193048E-2</v>
      </c>
      <c r="M346" s="3">
        <f t="shared" si="353"/>
        <v>5.3641812021015159E-2</v>
      </c>
      <c r="N346" s="3">
        <f t="shared" si="353"/>
        <v>5.292488130645992E-2</v>
      </c>
      <c r="O346" s="3">
        <f t="shared" si="353"/>
        <v>4.6262001761075033E-2</v>
      </c>
      <c r="P346" s="3">
        <f t="shared" si="353"/>
        <v>1.2046744563197768E-2</v>
      </c>
      <c r="Q346" s="3">
        <f t="shared" si="353"/>
        <v>1.7271199913939544E-8</v>
      </c>
      <c r="R346" s="3">
        <f t="shared" si="353"/>
        <v>6.3365170135211454E-67</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0</v>
      </c>
      <c r="C347" s="3">
        <f t="shared" si="354"/>
        <v>0</v>
      </c>
      <c r="D347" s="3">
        <f t="shared" si="354"/>
        <v>0</v>
      </c>
      <c r="E347" s="3">
        <f t="shared" si="354"/>
        <v>0</v>
      </c>
      <c r="F347" s="3">
        <f t="shared" si="354"/>
        <v>0</v>
      </c>
      <c r="G347" s="3">
        <f t="shared" si="354"/>
        <v>0</v>
      </c>
      <c r="H347" s="3">
        <f t="shared" si="354"/>
        <v>0</v>
      </c>
      <c r="I347" s="3">
        <f t="shared" si="354"/>
        <v>0</v>
      </c>
      <c r="J347" s="3">
        <f t="shared" si="354"/>
        <v>0</v>
      </c>
      <c r="K347" s="3">
        <f t="shared" si="354"/>
        <v>0</v>
      </c>
      <c r="L347" s="3">
        <f t="shared" si="354"/>
        <v>0</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7.2679477102325168E-2</v>
      </c>
      <c r="C348" s="3">
        <f t="shared" si="355"/>
        <v>7.2679477102324919E-2</v>
      </c>
      <c r="D348" s="3">
        <f t="shared" si="355"/>
        <v>7.267947710232249E-2</v>
      </c>
      <c r="E348" s="3">
        <f t="shared" si="355"/>
        <v>7.2679477102298079E-2</v>
      </c>
      <c r="F348" s="3">
        <f t="shared" si="355"/>
        <v>7.2679477102054107E-2</v>
      </c>
      <c r="G348" s="3">
        <f t="shared" si="355"/>
        <v>7.2679477099614254E-2</v>
      </c>
      <c r="H348" s="3">
        <f t="shared" si="355"/>
        <v>7.2679477075215729E-2</v>
      </c>
      <c r="I348" s="3">
        <f t="shared" si="355"/>
        <v>7.2679476831230522E-2</v>
      </c>
      <c r="J348" s="3">
        <f t="shared" si="355"/>
        <v>7.2679474391378535E-2</v>
      </c>
      <c r="K348" s="3">
        <f t="shared" si="355"/>
        <v>7.2679449992863077E-2</v>
      </c>
      <c r="L348" s="3">
        <f t="shared" si="355"/>
        <v>7.2679206008159122E-2</v>
      </c>
      <c r="M348" s="3">
        <f t="shared" si="355"/>
        <v>7.2676766206167115E-2</v>
      </c>
      <c r="N348" s="3">
        <f t="shared" si="355"/>
        <v>7.2652372690449926E-2</v>
      </c>
      <c r="O348" s="3">
        <f t="shared" si="355"/>
        <v>7.2408887394603189E-2</v>
      </c>
      <c r="P348" s="3">
        <f t="shared" si="355"/>
        <v>7.001846678191323E-2</v>
      </c>
      <c r="Q348" s="3">
        <f t="shared" si="355"/>
        <v>5.0051813728253916E-2</v>
      </c>
      <c r="R348" s="3">
        <f t="shared" si="355"/>
        <v>1.7437814346601068E-3</v>
      </c>
      <c r="S348" s="3">
        <f t="shared" si="355"/>
        <v>4.5942470926512557E-18</v>
      </c>
      <c r="T348" s="3">
        <f t="shared" si="355"/>
        <v>7.4035045044579565E-164</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2.5051354607062454E-2</v>
      </c>
      <c r="C349" s="3">
        <f t="shared" si="356"/>
        <v>2.5051354607062447E-2</v>
      </c>
      <c r="D349" s="3">
        <f t="shared" si="356"/>
        <v>2.505135460706236E-2</v>
      </c>
      <c r="E349" s="3">
        <f t="shared" si="356"/>
        <v>2.505135460706152E-2</v>
      </c>
      <c r="F349" s="3">
        <f t="shared" si="356"/>
        <v>2.5051354607053107E-2</v>
      </c>
      <c r="G349" s="3">
        <f t="shared" si="356"/>
        <v>2.5051354606969011E-2</v>
      </c>
      <c r="H349" s="3">
        <f t="shared" si="356"/>
        <v>2.5051354606128038E-2</v>
      </c>
      <c r="I349" s="3">
        <f t="shared" si="356"/>
        <v>2.5051354597718289E-2</v>
      </c>
      <c r="J349" s="3">
        <f t="shared" si="356"/>
        <v>2.5051354513620824E-2</v>
      </c>
      <c r="K349" s="3">
        <f t="shared" si="356"/>
        <v>2.505135367264618E-2</v>
      </c>
      <c r="L349" s="3">
        <f t="shared" si="356"/>
        <v>2.5051345262901273E-2</v>
      </c>
      <c r="M349" s="3">
        <f t="shared" si="356"/>
        <v>2.5051261165607491E-2</v>
      </c>
      <c r="N349" s="3">
        <f t="shared" si="356"/>
        <v>2.5050420208196825E-2</v>
      </c>
      <c r="O349" s="3">
        <f t="shared" si="356"/>
        <v>2.5042012186610705E-2</v>
      </c>
      <c r="P349" s="3">
        <f t="shared" si="356"/>
        <v>2.4958087030142195E-2</v>
      </c>
      <c r="Q349" s="3">
        <f t="shared" si="356"/>
        <v>2.413415052404683E-2</v>
      </c>
      <c r="R349" s="3">
        <f t="shared" si="356"/>
        <v>1.7251991682161006E-2</v>
      </c>
      <c r="S349" s="3">
        <f t="shared" si="356"/>
        <v>6.0105120205226242E-4</v>
      </c>
      <c r="T349" s="3">
        <f t="shared" si="356"/>
        <v>1.583557252461166E-18</v>
      </c>
      <c r="U349" s="3">
        <f t="shared" si="356"/>
        <v>2.5518595354647496E-164</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6.9730699512145403E-2</v>
      </c>
      <c r="C350" s="3">
        <f t="shared" si="357"/>
        <v>6.9730699512145403E-2</v>
      </c>
      <c r="D350" s="3">
        <f t="shared" si="357"/>
        <v>6.9730699512145375E-2</v>
      </c>
      <c r="E350" s="3">
        <f t="shared" si="357"/>
        <v>6.9730699512145139E-2</v>
      </c>
      <c r="F350" s="3">
        <f t="shared" si="357"/>
        <v>6.9730699512142807E-2</v>
      </c>
      <c r="G350" s="3">
        <f t="shared" si="357"/>
        <v>6.9730699512119396E-2</v>
      </c>
      <c r="H350" s="3">
        <f t="shared" si="357"/>
        <v>6.9730699511885305E-2</v>
      </c>
      <c r="I350" s="3">
        <f t="shared" si="357"/>
        <v>6.9730699509544442E-2</v>
      </c>
      <c r="J350" s="3">
        <f t="shared" si="357"/>
        <v>6.9730699486135833E-2</v>
      </c>
      <c r="K350" s="3">
        <f t="shared" si="357"/>
        <v>6.973069925204968E-2</v>
      </c>
      <c r="L350" s="3">
        <f t="shared" si="357"/>
        <v>6.9730696911188231E-2</v>
      </c>
      <c r="M350" s="3">
        <f t="shared" si="357"/>
        <v>6.9730673502578028E-2</v>
      </c>
      <c r="N350" s="3">
        <f t="shared" si="357"/>
        <v>6.9730439416908235E-2</v>
      </c>
      <c r="O350" s="3">
        <f t="shared" si="357"/>
        <v>6.9728098603430266E-2</v>
      </c>
      <c r="P350" s="3">
        <f t="shared" si="357"/>
        <v>6.9704694790107199E-2</v>
      </c>
      <c r="Q350" s="3">
        <f t="shared" si="357"/>
        <v>6.9471088266268133E-2</v>
      </c>
      <c r="R350" s="3">
        <f t="shared" si="357"/>
        <v>6.717765264872172E-2</v>
      </c>
      <c r="S350" s="3">
        <f t="shared" si="357"/>
        <v>4.8021093742996804E-2</v>
      </c>
      <c r="T350" s="3">
        <f t="shared" si="357"/>
        <v>1.6730321141957085E-3</v>
      </c>
      <c r="U350" s="3">
        <f t="shared" si="357"/>
        <v>4.4078476658710466E-18</v>
      </c>
      <c r="V350" s="3">
        <f t="shared" si="357"/>
        <v>7.1031268869799923E-164</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3.3620821697873268E-2</v>
      </c>
      <c r="C351" s="3">
        <f t="shared" si="358"/>
        <v>3.3620821697873268E-2</v>
      </c>
      <c r="D351" s="3">
        <f t="shared" si="358"/>
        <v>3.3620821697873268E-2</v>
      </c>
      <c r="E351" s="3">
        <f t="shared" si="358"/>
        <v>3.3620821697873254E-2</v>
      </c>
      <c r="F351" s="3">
        <f t="shared" si="358"/>
        <v>3.3620821697873143E-2</v>
      </c>
      <c r="G351" s="3">
        <f t="shared" si="358"/>
        <v>3.3620821697872012E-2</v>
      </c>
      <c r="H351" s="3">
        <f t="shared" si="358"/>
        <v>3.362082169786073E-2</v>
      </c>
      <c r="I351" s="3">
        <f t="shared" si="358"/>
        <v>3.3620821697747862E-2</v>
      </c>
      <c r="J351" s="3">
        <f t="shared" si="358"/>
        <v>3.3620821696619209E-2</v>
      </c>
      <c r="K351" s="3">
        <f t="shared" si="358"/>
        <v>3.3620821685332689E-2</v>
      </c>
      <c r="L351" s="3">
        <f t="shared" si="358"/>
        <v>3.3620821572467499E-2</v>
      </c>
      <c r="M351" s="3">
        <f t="shared" si="358"/>
        <v>3.3620820443815619E-2</v>
      </c>
      <c r="N351" s="3">
        <f t="shared" si="358"/>
        <v>3.3620809157298842E-2</v>
      </c>
      <c r="O351" s="3">
        <f t="shared" si="358"/>
        <v>3.3620696292339484E-2</v>
      </c>
      <c r="P351" s="3">
        <f t="shared" si="358"/>
        <v>3.3619567663584558E-2</v>
      </c>
      <c r="Q351" s="3">
        <f t="shared" si="358"/>
        <v>3.3608283459635797E-2</v>
      </c>
      <c r="R351" s="3">
        <f t="shared" si="358"/>
        <v>3.3495649521637146E-2</v>
      </c>
      <c r="S351" s="3">
        <f t="shared" si="358"/>
        <v>3.2389864114168949E-2</v>
      </c>
      <c r="T351" s="3">
        <f t="shared" si="358"/>
        <v>2.3153483928394333E-2</v>
      </c>
      <c r="U351" s="3">
        <f t="shared" si="358"/>
        <v>8.0665639094001484E-4</v>
      </c>
      <c r="V351" s="3">
        <f t="shared" si="358"/>
        <v>2.1252541776068843E-18</v>
      </c>
      <c r="W351" s="3">
        <f t="shared" si="358"/>
        <v>3.4247894289792468E-164</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4.4529414265274125E-2</v>
      </c>
      <c r="C352" s="3">
        <f t="shared" si="359"/>
        <v>4.4529414265274125E-2</v>
      </c>
      <c r="D352" s="3">
        <f t="shared" si="359"/>
        <v>4.4529414265274125E-2</v>
      </c>
      <c r="E352" s="3">
        <f t="shared" si="359"/>
        <v>4.4529414265274125E-2</v>
      </c>
      <c r="F352" s="3">
        <f t="shared" si="359"/>
        <v>4.4529414265274112E-2</v>
      </c>
      <c r="G352" s="3">
        <f t="shared" si="359"/>
        <v>4.4529414265273959E-2</v>
      </c>
      <c r="H352" s="3">
        <f t="shared" si="359"/>
        <v>4.4529414265272467E-2</v>
      </c>
      <c r="I352" s="3">
        <f t="shared" si="359"/>
        <v>4.4529414265257514E-2</v>
      </c>
      <c r="J352" s="3">
        <f t="shared" si="359"/>
        <v>4.4529414265108029E-2</v>
      </c>
      <c r="K352" s="3">
        <f t="shared" si="359"/>
        <v>4.4529414263613176E-2</v>
      </c>
      <c r="L352" s="3">
        <f t="shared" si="359"/>
        <v>4.4529414248664641E-2</v>
      </c>
      <c r="M352" s="3">
        <f t="shared" si="359"/>
        <v>4.4529414099179272E-2</v>
      </c>
      <c r="N352" s="3">
        <f t="shared" si="359"/>
        <v>4.4529412604325642E-2</v>
      </c>
      <c r="O352" s="3">
        <f t="shared" si="359"/>
        <v>4.4529397655792093E-2</v>
      </c>
      <c r="P352" s="3">
        <f t="shared" si="359"/>
        <v>4.4529248170732623E-2</v>
      </c>
      <c r="Q352" s="3">
        <f t="shared" si="359"/>
        <v>4.4527753347737759E-2</v>
      </c>
      <c r="R352" s="3">
        <f t="shared" si="359"/>
        <v>4.4512807877433565E-2</v>
      </c>
      <c r="S352" s="3">
        <f t="shared" si="359"/>
        <v>4.436362879637059E-2</v>
      </c>
      <c r="T352" s="3">
        <f t="shared" si="359"/>
        <v>4.2899060888419639E-2</v>
      </c>
      <c r="U352" s="3">
        <f t="shared" si="359"/>
        <v>3.0665850073410189E-2</v>
      </c>
      <c r="V352" s="3">
        <f t="shared" si="359"/>
        <v>1.0683836619070797E-3</v>
      </c>
      <c r="W352" s="3">
        <f t="shared" si="359"/>
        <v>2.8148129318221802E-18</v>
      </c>
      <c r="X352" s="3">
        <f t="shared" si="359"/>
        <v>4.5359946471503212E-164</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1.2215661921031389E-2</v>
      </c>
      <c r="C353" s="3">
        <f t="shared" si="360"/>
        <v>1.2215661921031389E-2</v>
      </c>
      <c r="D353" s="3">
        <f t="shared" si="360"/>
        <v>1.2215661921031389E-2</v>
      </c>
      <c r="E353" s="3">
        <f t="shared" si="360"/>
        <v>1.2215661921031389E-2</v>
      </c>
      <c r="F353" s="3">
        <f t="shared" si="360"/>
        <v>1.2215661921031389E-2</v>
      </c>
      <c r="G353" s="3">
        <f t="shared" si="360"/>
        <v>1.2215661921031386E-2</v>
      </c>
      <c r="H353" s="3">
        <f t="shared" si="360"/>
        <v>1.2215661921031342E-2</v>
      </c>
      <c r="I353" s="3">
        <f t="shared" si="360"/>
        <v>1.2215661921030933E-2</v>
      </c>
      <c r="J353" s="3">
        <f t="shared" si="360"/>
        <v>1.2215661921026832E-2</v>
      </c>
      <c r="K353" s="3">
        <f t="shared" si="360"/>
        <v>1.2215661920985825E-2</v>
      </c>
      <c r="L353" s="3">
        <f t="shared" si="360"/>
        <v>1.2215661920575745E-2</v>
      </c>
      <c r="M353" s="3">
        <f t="shared" si="360"/>
        <v>1.2215661916474944E-2</v>
      </c>
      <c r="N353" s="3">
        <f t="shared" si="360"/>
        <v>1.2215661875466933E-2</v>
      </c>
      <c r="O353" s="3">
        <f t="shared" si="360"/>
        <v>1.2215661465386836E-2</v>
      </c>
      <c r="P353" s="3">
        <f t="shared" si="360"/>
        <v>1.2215657364586609E-2</v>
      </c>
      <c r="Q353" s="3">
        <f t="shared" si="360"/>
        <v>1.2215616356660075E-2</v>
      </c>
      <c r="R353" s="3">
        <f t="shared" si="360"/>
        <v>1.2215206284966156E-2</v>
      </c>
      <c r="S353" s="3">
        <f t="shared" si="360"/>
        <v>1.2211106325074494E-2</v>
      </c>
      <c r="T353" s="3">
        <f t="shared" si="360"/>
        <v>1.2170182336964087E-2</v>
      </c>
      <c r="U353" s="3">
        <f t="shared" si="360"/>
        <v>1.1768410458328061E-2</v>
      </c>
      <c r="V353" s="3">
        <f t="shared" si="360"/>
        <v>8.412499090740249E-3</v>
      </c>
      <c r="W353" s="3">
        <f t="shared" si="360"/>
        <v>2.9308747557427688E-4</v>
      </c>
      <c r="X353" s="3">
        <f t="shared" si="360"/>
        <v>7.7218179743499603E-19</v>
      </c>
      <c r="Y353" s="3">
        <f t="shared" si="360"/>
        <v>1.2443500099754855E-164</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1.4917700620223399E-2</v>
      </c>
      <c r="C354" s="3">
        <f t="shared" si="361"/>
        <v>1.4917700620223399E-2</v>
      </c>
      <c r="D354" s="3">
        <f t="shared" si="361"/>
        <v>1.4917700620223399E-2</v>
      </c>
      <c r="E354" s="3">
        <f t="shared" si="361"/>
        <v>1.4917700620223399E-2</v>
      </c>
      <c r="F354" s="3">
        <f t="shared" si="361"/>
        <v>1.4917700620223399E-2</v>
      </c>
      <c r="G354" s="3">
        <f t="shared" si="361"/>
        <v>1.4917700620223399E-2</v>
      </c>
      <c r="H354" s="3">
        <f t="shared" si="361"/>
        <v>1.4917700620223394E-2</v>
      </c>
      <c r="I354" s="3">
        <f t="shared" si="361"/>
        <v>1.4917700620223344E-2</v>
      </c>
      <c r="J354" s="3">
        <f t="shared" si="361"/>
        <v>1.4917700620222843E-2</v>
      </c>
      <c r="K354" s="3">
        <f t="shared" si="361"/>
        <v>1.4917700620217834E-2</v>
      </c>
      <c r="L354" s="3">
        <f t="shared" si="361"/>
        <v>1.4917700620167756E-2</v>
      </c>
      <c r="M354" s="3">
        <f t="shared" si="361"/>
        <v>1.4917700619666968E-2</v>
      </c>
      <c r="N354" s="3">
        <f t="shared" si="361"/>
        <v>1.4917700614659093E-2</v>
      </c>
      <c r="O354" s="3">
        <f t="shared" si="361"/>
        <v>1.4917700564580329E-2</v>
      </c>
      <c r="P354" s="3">
        <f t="shared" si="361"/>
        <v>1.4917700063792722E-2</v>
      </c>
      <c r="Q354" s="3">
        <f t="shared" si="361"/>
        <v>1.4917695055917547E-2</v>
      </c>
      <c r="R354" s="3">
        <f t="shared" si="361"/>
        <v>1.4917644977258279E-2</v>
      </c>
      <c r="S354" s="3">
        <f t="shared" si="361"/>
        <v>1.4917144199911766E-2</v>
      </c>
      <c r="T354" s="3">
        <f t="shared" si="361"/>
        <v>1.4912137350949005E-2</v>
      </c>
      <c r="U354" s="3">
        <f t="shared" si="361"/>
        <v>1.4862161196831186E-2</v>
      </c>
      <c r="V354" s="3">
        <f t="shared" si="361"/>
        <v>1.4371519540090662E-2</v>
      </c>
      <c r="W354" s="3">
        <f t="shared" si="361"/>
        <v>1.0273298632103011E-2</v>
      </c>
      <c r="X354" s="3">
        <f t="shared" si="361"/>
        <v>3.5791684842117414E-4</v>
      </c>
      <c r="Y354" s="3">
        <f t="shared" si="361"/>
        <v>9.4298425684890568E-19</v>
      </c>
      <c r="Z354" s="3">
        <f t="shared" si="361"/>
        <v>1.5195935378358115E-164</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7.6434223584492019E-4</v>
      </c>
      <c r="C355" s="3">
        <f t="shared" si="362"/>
        <v>7.6434223584492019E-4</v>
      </c>
      <c r="D355" s="3">
        <f t="shared" si="362"/>
        <v>7.6434223584492019E-4</v>
      </c>
      <c r="E355" s="3">
        <f t="shared" si="362"/>
        <v>7.6434223584492019E-4</v>
      </c>
      <c r="F355" s="3">
        <f t="shared" si="362"/>
        <v>7.6434223584492019E-4</v>
      </c>
      <c r="G355" s="3">
        <f t="shared" si="362"/>
        <v>7.6434223584492019E-4</v>
      </c>
      <c r="H355" s="3">
        <f t="shared" si="362"/>
        <v>7.6434223584492019E-4</v>
      </c>
      <c r="I355" s="3">
        <f t="shared" si="362"/>
        <v>7.6434223584491998E-4</v>
      </c>
      <c r="J355" s="3">
        <f t="shared" si="362"/>
        <v>7.6434223584491727E-4</v>
      </c>
      <c r="K355" s="3">
        <f t="shared" si="362"/>
        <v>7.6434223584489168E-4</v>
      </c>
      <c r="L355" s="3">
        <f t="shared" si="362"/>
        <v>7.6434223584463505E-4</v>
      </c>
      <c r="M355" s="3">
        <f t="shared" si="362"/>
        <v>7.6434223584206918E-4</v>
      </c>
      <c r="N355" s="3">
        <f t="shared" si="362"/>
        <v>7.6434223581641023E-4</v>
      </c>
      <c r="O355" s="3">
        <f t="shared" si="362"/>
        <v>7.6434223555982034E-4</v>
      </c>
      <c r="P355" s="3">
        <f t="shared" si="362"/>
        <v>7.6434223299392124E-4</v>
      </c>
      <c r="Q355" s="3">
        <f t="shared" si="362"/>
        <v>7.6434220733493199E-4</v>
      </c>
      <c r="R355" s="3">
        <f t="shared" si="362"/>
        <v>7.6434195074508583E-4</v>
      </c>
      <c r="S355" s="3">
        <f t="shared" si="362"/>
        <v>7.643393848513621E-4</v>
      </c>
      <c r="T355" s="3">
        <f t="shared" si="362"/>
        <v>7.6431372638787376E-4</v>
      </c>
      <c r="U355" s="3">
        <f t="shared" si="362"/>
        <v>7.6405718912196652E-4</v>
      </c>
      <c r="V355" s="3">
        <f t="shared" si="362"/>
        <v>7.6149654748222488E-4</v>
      </c>
      <c r="W355" s="3">
        <f t="shared" si="362"/>
        <v>7.3635740905473104E-4</v>
      </c>
      <c r="X355" s="3">
        <f t="shared" si="362"/>
        <v>5.2637576298582289E-4</v>
      </c>
      <c r="Y355" s="3">
        <f t="shared" si="362"/>
        <v>1.8338681753536274E-5</v>
      </c>
      <c r="Z355" s="3">
        <f t="shared" si="362"/>
        <v>4.8315937797366741E-20</v>
      </c>
      <c r="AA355" s="3">
        <f t="shared" si="362"/>
        <v>7.7859822492370318E-166</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3.2171693394281238E-3</v>
      </c>
      <c r="C356" s="3">
        <f t="shared" si="363"/>
        <v>3.2171693394281238E-3</v>
      </c>
      <c r="D356" s="3">
        <f t="shared" si="363"/>
        <v>3.2171693394281238E-3</v>
      </c>
      <c r="E356" s="3">
        <f t="shared" si="363"/>
        <v>3.2171693394281238E-3</v>
      </c>
      <c r="F356" s="3">
        <f t="shared" si="363"/>
        <v>3.2171693394281238E-3</v>
      </c>
      <c r="G356" s="3">
        <f t="shared" si="363"/>
        <v>3.2171693394281238E-3</v>
      </c>
      <c r="H356" s="3">
        <f t="shared" si="363"/>
        <v>3.2171693394281238E-3</v>
      </c>
      <c r="I356" s="3">
        <f t="shared" si="363"/>
        <v>3.2171693394281238E-3</v>
      </c>
      <c r="J356" s="3">
        <f t="shared" si="363"/>
        <v>3.217169339428123E-3</v>
      </c>
      <c r="K356" s="3">
        <f t="shared" si="363"/>
        <v>3.2171693394281117E-3</v>
      </c>
      <c r="L356" s="3">
        <f t="shared" si="363"/>
        <v>3.2171693394280037E-3</v>
      </c>
      <c r="M356" s="3">
        <f t="shared" si="363"/>
        <v>3.2171693394269238E-3</v>
      </c>
      <c r="N356" s="3">
        <f t="shared" si="363"/>
        <v>3.2171693394161239E-3</v>
      </c>
      <c r="O356" s="3">
        <f t="shared" si="363"/>
        <v>3.217169339308123E-3</v>
      </c>
      <c r="P356" s="3">
        <f t="shared" si="363"/>
        <v>3.2171693382281189E-3</v>
      </c>
      <c r="Q356" s="3">
        <f t="shared" si="363"/>
        <v>3.2171693274280723E-3</v>
      </c>
      <c r="R356" s="3">
        <f t="shared" si="363"/>
        <v>3.2171692194276113E-3</v>
      </c>
      <c r="S356" s="3">
        <f t="shared" si="363"/>
        <v>3.2171681394232007E-3</v>
      </c>
      <c r="T356" s="3">
        <f t="shared" si="363"/>
        <v>3.2171573393990375E-3</v>
      </c>
      <c r="U356" s="3">
        <f t="shared" si="363"/>
        <v>3.2170493411514461E-3</v>
      </c>
      <c r="V356" s="3">
        <f t="shared" si="363"/>
        <v>3.2159695580548267E-3</v>
      </c>
      <c r="W356" s="3">
        <f t="shared" si="363"/>
        <v>3.2051916402762374E-3</v>
      </c>
      <c r="X356" s="3">
        <f t="shared" si="363"/>
        <v>3.0993792677868775E-3</v>
      </c>
      <c r="Y356" s="3">
        <f t="shared" si="363"/>
        <v>2.2155519952709534E-3</v>
      </c>
      <c r="Z356" s="3">
        <f t="shared" si="363"/>
        <v>7.7188779968162465E-5</v>
      </c>
      <c r="AA356" s="3">
        <f t="shared" si="363"/>
        <v>2.0336512415224234E-19</v>
      </c>
      <c r="AB356" s="3">
        <f t="shared" si="363"/>
        <v>3.2771737835326471E-165</v>
      </c>
      <c r="AC356" s="3">
        <f t="shared" si="363"/>
        <v>0</v>
      </c>
      <c r="AD356" s="3">
        <f t="shared" si="363"/>
        <v>0</v>
      </c>
      <c r="AE356" s="3">
        <f t="shared" si="363"/>
        <v>0</v>
      </c>
      <c r="AF356" s="3">
        <f t="shared" si="363"/>
        <v>0</v>
      </c>
      <c r="AG356" s="3"/>
      <c r="AH356" s="3"/>
    </row>
    <row r="357" spans="1:34" x14ac:dyDescent="0.25">
      <c r="B357" s="3">
        <f t="shared" ref="B357:AF357" si="364">$C48*EXP(-B$363/$A48/EXP(-$G$126))</f>
        <v>1.3215886936532927E-2</v>
      </c>
      <c r="C357" s="3">
        <f t="shared" si="364"/>
        <v>1.3215886936532927E-2</v>
      </c>
      <c r="D357" s="3">
        <f t="shared" si="364"/>
        <v>1.3215886936532927E-2</v>
      </c>
      <c r="E357" s="3">
        <f t="shared" si="364"/>
        <v>1.3215886936532927E-2</v>
      </c>
      <c r="F357" s="3">
        <f t="shared" si="364"/>
        <v>1.3215886936532927E-2</v>
      </c>
      <c r="G357" s="3">
        <f t="shared" si="364"/>
        <v>1.3215886936532927E-2</v>
      </c>
      <c r="H357" s="3">
        <f t="shared" si="364"/>
        <v>1.3215886936532927E-2</v>
      </c>
      <c r="I357" s="3">
        <f t="shared" si="364"/>
        <v>1.3215886936532927E-2</v>
      </c>
      <c r="J357" s="3">
        <f t="shared" si="364"/>
        <v>1.3215886936532927E-2</v>
      </c>
      <c r="K357" s="3">
        <f t="shared" si="364"/>
        <v>1.3215886936532922E-2</v>
      </c>
      <c r="L357" s="3">
        <f t="shared" si="364"/>
        <v>1.3215886936532877E-2</v>
      </c>
      <c r="M357" s="3">
        <f t="shared" si="364"/>
        <v>1.3215886936532435E-2</v>
      </c>
      <c r="N357" s="3">
        <f t="shared" si="364"/>
        <v>1.3215886936527997E-2</v>
      </c>
      <c r="O357" s="3">
        <f t="shared" si="364"/>
        <v>1.3215886936483632E-2</v>
      </c>
      <c r="P357" s="3">
        <f t="shared" si="364"/>
        <v>1.3215886936039974E-2</v>
      </c>
      <c r="Q357" s="3">
        <f t="shared" si="364"/>
        <v>1.3215886931603398E-2</v>
      </c>
      <c r="R357" s="3">
        <f t="shared" si="364"/>
        <v>1.3215886887237628E-2</v>
      </c>
      <c r="S357" s="3">
        <f t="shared" si="364"/>
        <v>1.321588644357995E-2</v>
      </c>
      <c r="T357" s="3">
        <f t="shared" si="364"/>
        <v>1.3215882007003981E-2</v>
      </c>
      <c r="U357" s="3">
        <f t="shared" si="364"/>
        <v>1.3215837641326209E-2</v>
      </c>
      <c r="V357" s="3">
        <f t="shared" si="364"/>
        <v>1.3215393992739849E-2</v>
      </c>
      <c r="W357" s="3">
        <f t="shared" si="364"/>
        <v>1.3210958325911246E-2</v>
      </c>
      <c r="X357" s="3">
        <f t="shared" si="364"/>
        <v>1.3166683459485221E-2</v>
      </c>
      <c r="Y357" s="3">
        <f t="shared" si="364"/>
        <v>1.2732014281780618E-2</v>
      </c>
      <c r="Z357" s="3">
        <f t="shared" si="364"/>
        <v>9.101319073467137E-3</v>
      </c>
      <c r="AA357" s="3">
        <f t="shared" si="364"/>
        <v>3.1708563684418507E-4</v>
      </c>
      <c r="AB357" s="3">
        <f t="shared" si="364"/>
        <v>8.3540846131144799E-19</v>
      </c>
      <c r="AC357" s="3">
        <f t="shared" si="364"/>
        <v>1.3462380628753634E-164</v>
      </c>
      <c r="AD357" s="3">
        <f t="shared" si="364"/>
        <v>0</v>
      </c>
      <c r="AE357" s="3">
        <f t="shared" si="364"/>
        <v>0</v>
      </c>
      <c r="AF357" s="3">
        <f t="shared" si="364"/>
        <v>0</v>
      </c>
      <c r="AG357" s="3"/>
      <c r="AH357" s="3"/>
    </row>
    <row r="358" spans="1:34" x14ac:dyDescent="0.25">
      <c r="A358" s="79">
        <f>AVERAGE(B358:AF358)</f>
        <v>8.3927162923998835E-2</v>
      </c>
      <c r="B358" s="80">
        <f>IF($A$64&lt;=B324,IF($B$64&gt;=B324,ABS((B326-B325)/B325),0),0)</f>
        <v>1.8560639841067251E-2</v>
      </c>
      <c r="C358" s="80">
        <f t="shared" ref="C358:AF358" si="365">IF($A$64&lt;=C324,IF($B$64&gt;=C324,ABS((C326-C325)/C325),0),0)</f>
        <v>2.7730447306062476E-2</v>
      </c>
      <c r="D358" s="80">
        <f t="shared" si="365"/>
        <v>2.8438976289362278E-2</v>
      </c>
      <c r="E358" s="80">
        <f t="shared" si="365"/>
        <v>3.4047750881102304E-2</v>
      </c>
      <c r="F358" s="80">
        <f t="shared" si="365"/>
        <v>4.0680757378319721E-2</v>
      </c>
      <c r="G358" s="80">
        <f t="shared" si="365"/>
        <v>4.0021198027268313E-2</v>
      </c>
      <c r="H358" s="80">
        <f t="shared" si="365"/>
        <v>3.3418858151625264E-2</v>
      </c>
      <c r="I358" s="80">
        <f t="shared" si="365"/>
        <v>3.5488257703091455E-2</v>
      </c>
      <c r="J358" s="80">
        <f t="shared" si="365"/>
        <v>3.3163343702159398E-2</v>
      </c>
      <c r="K358" s="80">
        <f t="shared" si="365"/>
        <v>2.8783987237839863E-2</v>
      </c>
      <c r="L358" s="80">
        <f t="shared" si="365"/>
        <v>1.5654254468012523E-3</v>
      </c>
      <c r="M358" s="80">
        <f t="shared" si="365"/>
        <v>3.9201994153791192E-2</v>
      </c>
      <c r="N358" s="80">
        <f t="shared" si="365"/>
        <v>7.4580882213942074E-2</v>
      </c>
      <c r="O358" s="80">
        <f t="shared" si="365"/>
        <v>9.3427329565898318E-2</v>
      </c>
      <c r="P358" s="80">
        <f t="shared" si="365"/>
        <v>0.1073124624496314</v>
      </c>
      <c r="Q358" s="80">
        <f t="shared" si="365"/>
        <v>6.0077174415812729E-2</v>
      </c>
      <c r="R358" s="80">
        <f t="shared" si="365"/>
        <v>4.8613339643779591E-2</v>
      </c>
      <c r="S358" s="80">
        <f t="shared" si="365"/>
        <v>7.5924659459974536E-2</v>
      </c>
      <c r="T358" s="80">
        <f t="shared" si="365"/>
        <v>9.2929567885666031E-2</v>
      </c>
      <c r="U358" s="80">
        <f t="shared" si="365"/>
        <v>0.17581589141852447</v>
      </c>
      <c r="V358" s="80">
        <f t="shared" si="365"/>
        <v>8.6612777511023489E-2</v>
      </c>
      <c r="W358" s="80">
        <f t="shared" si="365"/>
        <v>9.007854773001378E-2</v>
      </c>
      <c r="X358" s="80">
        <f t="shared" si="365"/>
        <v>5.3052488762162899E-3</v>
      </c>
      <c r="Y358" s="80">
        <f t="shared" si="365"/>
        <v>3.3559834664804444E-2</v>
      </c>
      <c r="Z358" s="80">
        <f t="shared" si="365"/>
        <v>5.4215417711141259E-2</v>
      </c>
      <c r="AA358" s="80">
        <f t="shared" si="365"/>
        <v>0.25315918690556216</v>
      </c>
      <c r="AB358" s="80">
        <f t="shared" si="365"/>
        <v>0.22437282026827965</v>
      </c>
      <c r="AC358" s="80">
        <f t="shared" si="365"/>
        <v>0.19551104337865854</v>
      </c>
      <c r="AD358" s="80">
        <f t="shared" si="365"/>
        <v>0.1915052678359172</v>
      </c>
      <c r="AE358" s="80">
        <f t="shared" si="365"/>
        <v>0.18902182473524254</v>
      </c>
      <c r="AF358" s="80">
        <f t="shared" si="365"/>
        <v>0.18861713785538428</v>
      </c>
    </row>
    <row r="359" spans="1:34" x14ac:dyDescent="0.25">
      <c r="B359" s="21">
        <f>(B326-B325)^2</f>
        <v>8810.0666635036032</v>
      </c>
      <c r="C359" s="21">
        <f t="shared" ref="C359:AF359" si="366">(C326-C325)^2</f>
        <v>18079.504726494964</v>
      </c>
      <c r="D359" s="21">
        <f t="shared" si="366"/>
        <v>17748.953404505071</v>
      </c>
      <c r="E359" s="21">
        <f t="shared" si="366"/>
        <v>23455.701907220013</v>
      </c>
      <c r="F359" s="21">
        <f t="shared" si="366"/>
        <v>30280.037496108347</v>
      </c>
      <c r="G359" s="21">
        <f t="shared" si="366"/>
        <v>26363.701677010806</v>
      </c>
      <c r="H359" s="21">
        <f t="shared" si="366"/>
        <v>16737.042416493598</v>
      </c>
      <c r="I359" s="21">
        <f t="shared" si="366"/>
        <v>17201.865598920889</v>
      </c>
      <c r="J359" s="21">
        <f t="shared" si="366"/>
        <v>13670.90820044481</v>
      </c>
      <c r="K359" s="21">
        <f t="shared" si="366"/>
        <v>9337.7718925831414</v>
      </c>
      <c r="L359" s="21">
        <f t="shared" si="366"/>
        <v>24.89119728010877</v>
      </c>
      <c r="M359" s="21">
        <f t="shared" si="366"/>
        <v>13803.210381188639</v>
      </c>
      <c r="N359" s="21">
        <f t="shared" si="366"/>
        <v>43145.247469414557</v>
      </c>
      <c r="O359" s="21">
        <f t="shared" si="366"/>
        <v>56698.675884920987</v>
      </c>
      <c r="P359" s="21">
        <f t="shared" si="366"/>
        <v>59747.610403222803</v>
      </c>
      <c r="Q359" s="21">
        <f t="shared" si="366"/>
        <v>13659.449011548888</v>
      </c>
      <c r="R359" s="21">
        <f t="shared" si="366"/>
        <v>5656.1674139593815</v>
      </c>
      <c r="S359" s="21">
        <f t="shared" si="366"/>
        <v>7553.0270688958371</v>
      </c>
      <c r="T359" s="21">
        <f t="shared" si="366"/>
        <v>5527.4133884187231</v>
      </c>
      <c r="U359" s="21">
        <f t="shared" si="366"/>
        <v>9363.3482317308262</v>
      </c>
      <c r="V359" s="21">
        <f t="shared" si="366"/>
        <v>1202.6224555914498</v>
      </c>
      <c r="W359" s="21">
        <f t="shared" si="366"/>
        <v>848.8027032673474</v>
      </c>
      <c r="X359" s="21">
        <f t="shared" si="366"/>
        <v>2.2961038920332766</v>
      </c>
      <c r="Y359" s="21">
        <f t="shared" si="366"/>
        <v>78.929595417953436</v>
      </c>
      <c r="Z359" s="21">
        <f t="shared" si="366"/>
        <v>185.79003098043304</v>
      </c>
      <c r="AA359" s="21">
        <f t="shared" si="366"/>
        <v>3844.7186009809402</v>
      </c>
      <c r="AB359" s="21">
        <f t="shared" si="366"/>
        <v>2740.2862459357525</v>
      </c>
      <c r="AC359" s="21">
        <f t="shared" si="366"/>
        <v>1934.0330396516747</v>
      </c>
      <c r="AD359" s="21">
        <f t="shared" si="366"/>
        <v>1837.2511859272529</v>
      </c>
      <c r="AE359" s="21">
        <f t="shared" si="366"/>
        <v>1778.9635303231778</v>
      </c>
      <c r="AF359" s="21">
        <f t="shared" si="366"/>
        <v>1769.5878016616509</v>
      </c>
      <c r="AG359" s="3"/>
      <c r="AH359" s="3"/>
    </row>
    <row r="360" spans="1:34" x14ac:dyDescent="0.25">
      <c r="A360" s="71">
        <f>SUM(B360:AF360)</f>
        <v>413087.87572749559</v>
      </c>
      <c r="B360" s="60">
        <f>IF($A$64&lt;=B324,IF($B$64&gt;=B324,ABS(B359),0),0)</f>
        <v>8810.0666635036032</v>
      </c>
      <c r="C360" s="60">
        <f t="shared" ref="C360:AF360" si="367">IF($A$64&lt;=C324,IF($B$64&gt;=C324,ABS(C359),0),0)</f>
        <v>18079.504726494964</v>
      </c>
      <c r="D360" s="60">
        <f t="shared" si="367"/>
        <v>17748.953404505071</v>
      </c>
      <c r="E360" s="60">
        <f t="shared" si="367"/>
        <v>23455.701907220013</v>
      </c>
      <c r="F360" s="60">
        <f t="shared" si="367"/>
        <v>30280.037496108347</v>
      </c>
      <c r="G360" s="60">
        <f t="shared" si="367"/>
        <v>26363.701677010806</v>
      </c>
      <c r="H360" s="60">
        <f t="shared" si="367"/>
        <v>16737.042416493598</v>
      </c>
      <c r="I360" s="60">
        <f t="shared" si="367"/>
        <v>17201.865598920889</v>
      </c>
      <c r="J360" s="60">
        <f t="shared" si="367"/>
        <v>13670.90820044481</v>
      </c>
      <c r="K360" s="60">
        <f t="shared" si="367"/>
        <v>9337.7718925831414</v>
      </c>
      <c r="L360" s="60">
        <f t="shared" si="367"/>
        <v>24.89119728010877</v>
      </c>
      <c r="M360" s="60">
        <f t="shared" si="367"/>
        <v>13803.210381188639</v>
      </c>
      <c r="N360" s="60">
        <f t="shared" si="367"/>
        <v>43145.247469414557</v>
      </c>
      <c r="O360" s="60">
        <f t="shared" si="367"/>
        <v>56698.675884920987</v>
      </c>
      <c r="P360" s="60">
        <f t="shared" si="367"/>
        <v>59747.610403222803</v>
      </c>
      <c r="Q360" s="60">
        <f t="shared" si="367"/>
        <v>13659.449011548888</v>
      </c>
      <c r="R360" s="60">
        <f t="shared" si="367"/>
        <v>5656.1674139593815</v>
      </c>
      <c r="S360" s="60">
        <f t="shared" si="367"/>
        <v>7553.0270688958371</v>
      </c>
      <c r="T360" s="60">
        <f t="shared" si="367"/>
        <v>5527.4133884187231</v>
      </c>
      <c r="U360" s="60">
        <f t="shared" si="367"/>
        <v>9363.3482317308262</v>
      </c>
      <c r="V360" s="60">
        <f t="shared" si="367"/>
        <v>1202.6224555914498</v>
      </c>
      <c r="W360" s="60">
        <f t="shared" si="367"/>
        <v>848.8027032673474</v>
      </c>
      <c r="X360" s="60">
        <f t="shared" si="367"/>
        <v>2.2961038920332766</v>
      </c>
      <c r="Y360" s="60">
        <f t="shared" si="367"/>
        <v>78.929595417953436</v>
      </c>
      <c r="Z360" s="60">
        <f t="shared" si="367"/>
        <v>185.79003098043304</v>
      </c>
      <c r="AA360" s="60">
        <f t="shared" si="367"/>
        <v>3844.7186009809402</v>
      </c>
      <c r="AB360" s="60">
        <f t="shared" si="367"/>
        <v>2740.2862459357525</v>
      </c>
      <c r="AC360" s="60">
        <f t="shared" si="367"/>
        <v>1934.0330396516747</v>
      </c>
      <c r="AD360" s="60">
        <f t="shared" si="367"/>
        <v>1837.2511859272529</v>
      </c>
      <c r="AE360" s="60">
        <f t="shared" si="367"/>
        <v>1778.9635303231778</v>
      </c>
      <c r="AF360" s="60">
        <f t="shared" si="367"/>
        <v>1769.5878016616509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3997.8171616188474</v>
      </c>
      <c r="C365" s="27">
        <f t="shared" ref="C365:AF365" si="368">($C$17+SUM(C366:C396))*$B$51</f>
        <v>3824.2016591785746</v>
      </c>
      <c r="D365" s="27">
        <f t="shared" si="368"/>
        <v>3639.7467298427341</v>
      </c>
      <c r="E365" s="27">
        <f t="shared" si="368"/>
        <v>3450.177131104112</v>
      </c>
      <c r="F365" s="27">
        <f t="shared" si="368"/>
        <v>3177.1909965501018</v>
      </c>
      <c r="G365" s="27">
        <f t="shared" si="368"/>
        <v>2874.1282036385078</v>
      </c>
      <c r="H365" s="27">
        <f t="shared" si="368"/>
        <v>2572.1111582228255</v>
      </c>
      <c r="I365" s="27">
        <f t="shared" si="368"/>
        <v>2305.6596689336857</v>
      </c>
      <c r="J365" s="27">
        <f t="shared" si="368"/>
        <v>2028.4227884301836</v>
      </c>
      <c r="K365" s="27">
        <f t="shared" si="368"/>
        <v>1823.7283395752936</v>
      </c>
      <c r="L365" s="27">
        <f t="shared" si="368"/>
        <v>1468.1807423180387</v>
      </c>
      <c r="M365" s="27">
        <f t="shared" si="368"/>
        <v>1226.4074480747095</v>
      </c>
      <c r="N365" s="27">
        <f t="shared" si="368"/>
        <v>870.48216077686914</v>
      </c>
      <c r="O365" s="27">
        <f t="shared" si="368"/>
        <v>643.57735639698114</v>
      </c>
      <c r="P365" s="27">
        <f t="shared" si="368"/>
        <v>433.27888486409296</v>
      </c>
      <c r="Q365" s="27">
        <f t="shared" si="368"/>
        <v>351.3829214949555</v>
      </c>
      <c r="R365" s="27">
        <f t="shared" si="368"/>
        <v>286.74696161906456</v>
      </c>
      <c r="S365" s="27">
        <f t="shared" si="368"/>
        <v>273.28216838817343</v>
      </c>
      <c r="T365" s="27">
        <f t="shared" si="368"/>
        <v>236.89867434588012</v>
      </c>
      <c r="U365" s="27">
        <f t="shared" si="368"/>
        <v>182.65487267774009</v>
      </c>
      <c r="V365" s="27">
        <f t="shared" si="368"/>
        <v>180.95922929061459</v>
      </c>
      <c r="W365" s="27">
        <f t="shared" si="368"/>
        <v>180.95922929061459</v>
      </c>
      <c r="X365" s="27">
        <f t="shared" si="368"/>
        <v>180.95922929061459</v>
      </c>
      <c r="Y365" s="27">
        <f t="shared" si="368"/>
        <v>180.95922929061459</v>
      </c>
      <c r="Z365" s="27">
        <f t="shared" si="368"/>
        <v>180.95922929061459</v>
      </c>
      <c r="AA365" s="27">
        <f t="shared" si="368"/>
        <v>180.95922929061459</v>
      </c>
      <c r="AB365" s="27">
        <f t="shared" si="368"/>
        <v>180.95922929061459</v>
      </c>
      <c r="AC365" s="27">
        <f t="shared" si="368"/>
        <v>180.95922929061459</v>
      </c>
      <c r="AD365" s="27">
        <f t="shared" si="368"/>
        <v>180.95922929061459</v>
      </c>
      <c r="AE365" s="27">
        <f t="shared" si="368"/>
        <v>180.95922929061459</v>
      </c>
      <c r="AF365" s="27">
        <f t="shared" si="368"/>
        <v>180.95922929061459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2.4513243663198528E-191</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3.4275525620894801E-19</v>
      </c>
      <c r="C376" s="3">
        <f t="shared" si="379"/>
        <v>1.0210426597892786E-172</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1.1545074270423096E-3</v>
      </c>
      <c r="C377" s="3">
        <f t="shared" si="380"/>
        <v>1.6333517006264803E-17</v>
      </c>
      <c r="D377" s="3">
        <f t="shared" si="380"/>
        <v>5.2469809611524887E-156</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2.0244796756185672E-2</v>
      </c>
      <c r="C378" s="3">
        <f t="shared" si="381"/>
        <v>1.1402230351151175E-3</v>
      </c>
      <c r="D378" s="3">
        <f t="shared" si="381"/>
        <v>3.6622982074384354E-16</v>
      </c>
      <c r="E378" s="3">
        <f t="shared" si="381"/>
        <v>4.2794961839256407E-141</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3.080925647106993E-2</v>
      </c>
      <c r="C379" s="3">
        <f t="shared" si="382"/>
        <v>2.3767408708149779E-2</v>
      </c>
      <c r="D379" s="3">
        <f t="shared" si="382"/>
        <v>1.7741404750583657E-3</v>
      </c>
      <c r="E379" s="3">
        <f t="shared" si="382"/>
        <v>9.529052049044202E-15</v>
      </c>
      <c r="F379" s="3">
        <f t="shared" si="382"/>
        <v>1.9039987148432805E-127</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2.7387145154857361E-2</v>
      </c>
      <c r="C380" s="3">
        <f t="shared" si="383"/>
        <v>2.6753483704681291E-2</v>
      </c>
      <c r="D380" s="3">
        <f t="shared" si="383"/>
        <v>2.1169769164789621E-2</v>
      </c>
      <c r="E380" s="3">
        <f t="shared" si="383"/>
        <v>2.037388875698507E-3</v>
      </c>
      <c r="F380" s="3">
        <f t="shared" si="383"/>
        <v>1.3888393441481186E-13</v>
      </c>
      <c r="G380" s="3">
        <f t="shared" si="383"/>
        <v>3.0090736388820587E-115</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4.6469380505372818E-2</v>
      </c>
      <c r="C381" s="3">
        <f t="shared" si="384"/>
        <v>4.6371355059868162E-2</v>
      </c>
      <c r="D381" s="3">
        <f t="shared" si="384"/>
        <v>4.540240189360889E-2</v>
      </c>
      <c r="E381" s="3">
        <f t="shared" si="384"/>
        <v>3.6759470357334553E-2</v>
      </c>
      <c r="F381" s="3">
        <f t="shared" si="384"/>
        <v>4.4491127483873944E-3</v>
      </c>
      <c r="G381" s="3">
        <f t="shared" si="384"/>
        <v>3.0013391650328272E-12</v>
      </c>
      <c r="H381" s="3">
        <f t="shared" si="384"/>
        <v>5.8577618769111725E-104</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5.167278973938938E-2</v>
      </c>
      <c r="C382" s="3">
        <f t="shared" si="385"/>
        <v>5.1662947417938788E-2</v>
      </c>
      <c r="D382" s="3">
        <f t="shared" si="385"/>
        <v>5.1564627253369466E-2</v>
      </c>
      <c r="E382" s="3">
        <f t="shared" si="385"/>
        <v>5.0591658338195344E-2</v>
      </c>
      <c r="F382" s="3">
        <f t="shared" si="385"/>
        <v>4.1816650365867472E-2</v>
      </c>
      <c r="G382" s="3">
        <f t="shared" si="385"/>
        <v>6.2237552364693147E-3</v>
      </c>
      <c r="H382" s="3">
        <f t="shared" si="385"/>
        <v>3.31959525528697E-11</v>
      </c>
      <c r="I382" s="3">
        <f t="shared" si="385"/>
        <v>6.1860217136114272E-94</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5.2830645356765321E-2</v>
      </c>
      <c r="C383" s="3">
        <f t="shared" si="386"/>
        <v>5.2829737524162486E-2</v>
      </c>
      <c r="D383" s="3">
        <f t="shared" si="386"/>
        <v>5.2820660056091935E-2</v>
      </c>
      <c r="E383" s="3">
        <f t="shared" si="386"/>
        <v>5.2729971116643737E-2</v>
      </c>
      <c r="F383" s="3">
        <f t="shared" si="386"/>
        <v>5.1831601582674372E-2</v>
      </c>
      <c r="G383" s="3">
        <f t="shared" si="386"/>
        <v>4.3648123807236448E-2</v>
      </c>
      <c r="H383" s="3">
        <f t="shared" si="386"/>
        <v>7.8284376925338486E-3</v>
      </c>
      <c r="I383" s="3">
        <f t="shared" si="386"/>
        <v>2.6963128871094261E-10</v>
      </c>
      <c r="J383" s="3">
        <f t="shared" si="386"/>
        <v>6.3346433520481652E-85</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4.228915335586661E-2</v>
      </c>
      <c r="C384" s="3">
        <f t="shared" si="387"/>
        <v>4.2289087801921095E-2</v>
      </c>
      <c r="D384" s="3">
        <f t="shared" si="387"/>
        <v>4.2288432268054892E-2</v>
      </c>
      <c r="E384" s="3">
        <f t="shared" si="387"/>
        <v>4.2281877488254641E-2</v>
      </c>
      <c r="F384" s="3">
        <f t="shared" si="387"/>
        <v>4.2216385544394046E-2</v>
      </c>
      <c r="G384" s="3">
        <f t="shared" si="387"/>
        <v>4.156701961719058E-2</v>
      </c>
      <c r="H384" s="3">
        <f t="shared" si="387"/>
        <v>3.5598137521750485E-2</v>
      </c>
      <c r="I384" s="3">
        <f t="shared" si="387"/>
        <v>7.5545948292176273E-3</v>
      </c>
      <c r="J384" s="3">
        <f t="shared" si="387"/>
        <v>1.3997490546856197E-9</v>
      </c>
      <c r="K384" s="3">
        <f t="shared" si="387"/>
        <v>6.6748304878385694E-77</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5.3722067250307301E-2</v>
      </c>
      <c r="C385" s="3">
        <f t="shared" si="388"/>
        <v>5.3722059738067221E-2</v>
      </c>
      <c r="D385" s="3">
        <f t="shared" si="388"/>
        <v>5.3721984615724236E-2</v>
      </c>
      <c r="E385" s="3">
        <f t="shared" si="388"/>
        <v>5.3721233398071964E-2</v>
      </c>
      <c r="F385" s="3">
        <f t="shared" si="388"/>
        <v>5.371372179927799E-2</v>
      </c>
      <c r="G385" s="3">
        <f t="shared" si="388"/>
        <v>5.3638663554334845E-2</v>
      </c>
      <c r="H385" s="3">
        <f t="shared" si="388"/>
        <v>5.289382564029891E-2</v>
      </c>
      <c r="I385" s="3">
        <f t="shared" si="388"/>
        <v>4.5991257733986601E-2</v>
      </c>
      <c r="J385" s="3">
        <f t="shared" si="388"/>
        <v>1.1360000712962171E-2</v>
      </c>
      <c r="K385" s="3">
        <f t="shared" si="388"/>
        <v>9.6030475660519984E-9</v>
      </c>
      <c r="L385" s="3">
        <f t="shared" si="388"/>
        <v>1.7894365097715968E-69</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0</v>
      </c>
      <c r="C386" s="3">
        <f t="shared" si="389"/>
        <v>0</v>
      </c>
      <c r="D386" s="3">
        <f t="shared" si="389"/>
        <v>0</v>
      </c>
      <c r="E386" s="3">
        <f t="shared" si="389"/>
        <v>0</v>
      </c>
      <c r="F386" s="3">
        <f t="shared" si="389"/>
        <v>0</v>
      </c>
      <c r="G386" s="3">
        <f t="shared" si="389"/>
        <v>0</v>
      </c>
      <c r="H386" s="3">
        <f t="shared" si="389"/>
        <v>0</v>
      </c>
      <c r="I386" s="3">
        <f t="shared" si="389"/>
        <v>0</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7.2679477074151386E-2</v>
      </c>
      <c r="C387" s="3">
        <f t="shared" si="390"/>
        <v>7.2679476820587147E-2</v>
      </c>
      <c r="D387" s="3">
        <f t="shared" si="390"/>
        <v>7.2679474284944715E-2</v>
      </c>
      <c r="E387" s="3">
        <f t="shared" si="390"/>
        <v>7.2679448928525278E-2</v>
      </c>
      <c r="F387" s="3">
        <f t="shared" si="390"/>
        <v>7.2679195364817498E-2</v>
      </c>
      <c r="G387" s="3">
        <f t="shared" si="390"/>
        <v>7.267665977639387E-2</v>
      </c>
      <c r="H387" s="3">
        <f t="shared" si="390"/>
        <v>7.265130875695372E-2</v>
      </c>
      <c r="I387" s="3">
        <f t="shared" si="390"/>
        <v>7.2398284414776956E-2</v>
      </c>
      <c r="J387" s="3">
        <f t="shared" si="390"/>
        <v>6.9916004859705783E-2</v>
      </c>
      <c r="K387" s="3">
        <f t="shared" si="390"/>
        <v>4.9324182052963725E-2</v>
      </c>
      <c r="L387" s="3">
        <f t="shared" si="390"/>
        <v>1.5062351341765877E-3</v>
      </c>
      <c r="M387" s="3">
        <f t="shared" si="390"/>
        <v>1.0622374037784582E-18</v>
      </c>
      <c r="N387" s="3">
        <f t="shared" si="390"/>
        <v>3.232285780406391E-170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2.5051354606091352E-2</v>
      </c>
      <c r="C388" s="3">
        <f t="shared" si="391"/>
        <v>2.5051354597351434E-2</v>
      </c>
      <c r="D388" s="3">
        <f t="shared" si="391"/>
        <v>2.5051354509952235E-2</v>
      </c>
      <c r="E388" s="3">
        <f t="shared" si="391"/>
        <v>2.505135363596029E-2</v>
      </c>
      <c r="F388" s="3">
        <f t="shared" si="391"/>
        <v>2.50513448960425E-2</v>
      </c>
      <c r="G388" s="3">
        <f t="shared" si="391"/>
        <v>2.5051257497032318E-2</v>
      </c>
      <c r="H388" s="3">
        <f t="shared" si="391"/>
        <v>2.5050383523700776E-2</v>
      </c>
      <c r="I388" s="3">
        <f t="shared" si="391"/>
        <v>2.5041645467196168E-2</v>
      </c>
      <c r="J388" s="3">
        <f t="shared" si="391"/>
        <v>2.4954432366981305E-2</v>
      </c>
      <c r="K388" s="3">
        <f t="shared" si="391"/>
        <v>2.4098833677403505E-2</v>
      </c>
      <c r="L388" s="3">
        <f t="shared" si="391"/>
        <v>1.7001189669711713E-2</v>
      </c>
      <c r="M388" s="3">
        <f t="shared" si="391"/>
        <v>5.1917311423071381E-4</v>
      </c>
      <c r="N388" s="3">
        <f t="shared" si="391"/>
        <v>3.661348009077545E-19</v>
      </c>
      <c r="O388" s="3">
        <f t="shared" si="391"/>
        <v>1.1141128211795511E-170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6.9730699511875091E-2</v>
      </c>
      <c r="C389" s="3">
        <f t="shared" si="392"/>
        <v>6.9730699509442329E-2</v>
      </c>
      <c r="D389" s="3">
        <f t="shared" si="392"/>
        <v>6.9730699485114678E-2</v>
      </c>
      <c r="E389" s="3">
        <f t="shared" si="392"/>
        <v>6.9730699241838126E-2</v>
      </c>
      <c r="F389" s="3">
        <f t="shared" si="392"/>
        <v>6.9730696809072693E-2</v>
      </c>
      <c r="G389" s="3">
        <f t="shared" si="392"/>
        <v>6.9730672481422909E-2</v>
      </c>
      <c r="H389" s="3">
        <f t="shared" si="392"/>
        <v>6.9730429205392047E-2</v>
      </c>
      <c r="I389" s="3">
        <f t="shared" si="392"/>
        <v>6.9727996491763616E-2</v>
      </c>
      <c r="J389" s="3">
        <f t="shared" si="392"/>
        <v>6.9703674022899148E-2</v>
      </c>
      <c r="K389" s="3">
        <f t="shared" si="392"/>
        <v>6.9460915474309895E-2</v>
      </c>
      <c r="L389" s="3">
        <f t="shared" si="392"/>
        <v>6.7079347848058038E-2</v>
      </c>
      <c r="M389" s="3">
        <f t="shared" si="392"/>
        <v>4.7322983798785939E-2</v>
      </c>
      <c r="N389" s="3">
        <f t="shared" si="392"/>
        <v>1.4451236266880565E-3</v>
      </c>
      <c r="O389" s="3">
        <f t="shared" si="392"/>
        <v>1.0191399300954441E-18</v>
      </c>
      <c r="P389" s="3">
        <f t="shared" si="392"/>
        <v>3.1011443323068114E-170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3.3620821697860237E-2</v>
      </c>
      <c r="C390" s="3">
        <f t="shared" si="393"/>
        <v>3.3620821697742942E-2</v>
      </c>
      <c r="D390" s="3">
        <f t="shared" si="393"/>
        <v>3.3620821696569977E-2</v>
      </c>
      <c r="E390" s="3">
        <f t="shared" si="393"/>
        <v>3.3620821684840339E-2</v>
      </c>
      <c r="F390" s="3">
        <f t="shared" si="393"/>
        <v>3.3620821567543972E-2</v>
      </c>
      <c r="G390" s="3">
        <f t="shared" si="393"/>
        <v>3.3620820394580364E-2</v>
      </c>
      <c r="H390" s="3">
        <f t="shared" si="393"/>
        <v>3.3620808664946489E-2</v>
      </c>
      <c r="I390" s="3">
        <f t="shared" si="393"/>
        <v>3.3620691368832806E-2</v>
      </c>
      <c r="J390" s="3">
        <f t="shared" si="393"/>
        <v>3.3619518430202965E-2</v>
      </c>
      <c r="K390" s="3">
        <f t="shared" si="393"/>
        <v>3.3607791294312093E-2</v>
      </c>
      <c r="L390" s="3">
        <f t="shared" si="393"/>
        <v>3.3490744685933639E-2</v>
      </c>
      <c r="M390" s="3">
        <f t="shared" si="393"/>
        <v>3.2342466222016975E-2</v>
      </c>
      <c r="N390" s="3">
        <f t="shared" si="393"/>
        <v>2.2816888567612992E-2</v>
      </c>
      <c r="O390" s="3">
        <f t="shared" si="393"/>
        <v>6.9676977463564054E-4</v>
      </c>
      <c r="P390" s="3">
        <f t="shared" si="393"/>
        <v>4.9138072778050848E-19</v>
      </c>
      <c r="Q390" s="3">
        <f t="shared" si="393"/>
        <v>1.4952240746946395E-170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4.4529414265272398E-2</v>
      </c>
      <c r="C391" s="3">
        <f t="shared" si="394"/>
        <v>4.4529414265256861E-2</v>
      </c>
      <c r="D391" s="3">
        <f t="shared" si="394"/>
        <v>4.4529414265101507E-2</v>
      </c>
      <c r="E391" s="3">
        <f t="shared" si="394"/>
        <v>4.4529414263547965E-2</v>
      </c>
      <c r="F391" s="3">
        <f t="shared" si="394"/>
        <v>4.4529414248012537E-2</v>
      </c>
      <c r="G391" s="3">
        <f t="shared" si="394"/>
        <v>4.4529414092658266E-2</v>
      </c>
      <c r="H391" s="3">
        <f t="shared" si="394"/>
        <v>4.4529412539115555E-2</v>
      </c>
      <c r="I391" s="3">
        <f t="shared" si="394"/>
        <v>4.4529397003691379E-2</v>
      </c>
      <c r="J391" s="3">
        <f t="shared" si="394"/>
        <v>4.4529241649747781E-2</v>
      </c>
      <c r="K391" s="3">
        <f t="shared" si="394"/>
        <v>4.4527688140121355E-2</v>
      </c>
      <c r="L391" s="3">
        <f t="shared" si="394"/>
        <v>4.4512156024430601E-2</v>
      </c>
      <c r="M391" s="3">
        <f t="shared" si="394"/>
        <v>4.4357132540481688E-2</v>
      </c>
      <c r="N391" s="3">
        <f t="shared" si="394"/>
        <v>4.2836284303305133E-2</v>
      </c>
      <c r="O391" s="3">
        <f t="shared" si="394"/>
        <v>3.0220043174498203E-2</v>
      </c>
      <c r="P391" s="3">
        <f t="shared" si="394"/>
        <v>9.2284329696304737E-4</v>
      </c>
      <c r="Q391" s="3">
        <f t="shared" si="394"/>
        <v>6.5081383750636928E-19</v>
      </c>
      <c r="R391" s="3">
        <f t="shared" si="394"/>
        <v>1.9803636222757901E-170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1.2215661921031342E-2</v>
      </c>
      <c r="C392" s="3">
        <f t="shared" si="395"/>
        <v>1.2215661921030916E-2</v>
      </c>
      <c r="D392" s="3">
        <f t="shared" si="395"/>
        <v>1.2215661921026653E-2</v>
      </c>
      <c r="E392" s="3">
        <f t="shared" si="395"/>
        <v>1.2215661920984036E-2</v>
      </c>
      <c r="F392" s="3">
        <f t="shared" si="395"/>
        <v>1.2215661920557857E-2</v>
      </c>
      <c r="G392" s="3">
        <f t="shared" si="395"/>
        <v>1.2215661916296054E-2</v>
      </c>
      <c r="H392" s="3">
        <f t="shared" si="395"/>
        <v>1.2215661873678037E-2</v>
      </c>
      <c r="I392" s="3">
        <f t="shared" si="395"/>
        <v>1.2215661447497885E-2</v>
      </c>
      <c r="J392" s="3">
        <f t="shared" si="395"/>
        <v>1.2215657185697171E-2</v>
      </c>
      <c r="K392" s="3">
        <f t="shared" si="395"/>
        <v>1.2215614567771821E-2</v>
      </c>
      <c r="L392" s="3">
        <f t="shared" si="395"/>
        <v>1.2215188396695902E-2</v>
      </c>
      <c r="M392" s="3">
        <f t="shared" si="395"/>
        <v>1.2210927503591261E-2</v>
      </c>
      <c r="N392" s="3">
        <f t="shared" si="395"/>
        <v>1.2168400232550617E-2</v>
      </c>
      <c r="O392" s="3">
        <f t="shared" si="395"/>
        <v>1.1751189087848151E-2</v>
      </c>
      <c r="P392" s="3">
        <f t="shared" si="395"/>
        <v>8.2902018081681059E-3</v>
      </c>
      <c r="Q392" s="3">
        <f t="shared" si="395"/>
        <v>2.5316168891495661E-4</v>
      </c>
      <c r="R392" s="3">
        <f t="shared" si="395"/>
        <v>1.7853641112694127E-19</v>
      </c>
      <c r="S392" s="3">
        <f t="shared" si="395"/>
        <v>5.4326904787731843E-171</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1.4917700620223394E-2</v>
      </c>
      <c r="C393" s="3">
        <f t="shared" si="396"/>
        <v>1.4917700620223342E-2</v>
      </c>
      <c r="D393" s="3">
        <f t="shared" si="396"/>
        <v>1.4917700620222822E-2</v>
      </c>
      <c r="E393" s="3">
        <f t="shared" si="396"/>
        <v>1.4917700620217616E-2</v>
      </c>
      <c r="F393" s="3">
        <f t="shared" si="396"/>
        <v>1.4917700620165572E-2</v>
      </c>
      <c r="G393" s="3">
        <f t="shared" si="396"/>
        <v>1.4917700619645122E-2</v>
      </c>
      <c r="H393" s="3">
        <f t="shared" si="396"/>
        <v>1.4917700614440633E-2</v>
      </c>
      <c r="I393" s="3">
        <f t="shared" si="396"/>
        <v>1.4917700562395742E-2</v>
      </c>
      <c r="J393" s="3">
        <f t="shared" si="396"/>
        <v>1.4917700041946832E-2</v>
      </c>
      <c r="K393" s="3">
        <f t="shared" si="396"/>
        <v>1.4917694837458728E-2</v>
      </c>
      <c r="L393" s="3">
        <f t="shared" si="396"/>
        <v>1.4917642792677564E-2</v>
      </c>
      <c r="M393" s="3">
        <f t="shared" si="396"/>
        <v>1.4917122354852364E-2</v>
      </c>
      <c r="N393" s="3">
        <f t="shared" si="396"/>
        <v>1.4911918975115701E-2</v>
      </c>
      <c r="O393" s="3">
        <f t="shared" si="396"/>
        <v>1.4859984900508811E-2</v>
      </c>
      <c r="P393" s="3">
        <f t="shared" si="396"/>
        <v>1.4350488895108017E-2</v>
      </c>
      <c r="Q393" s="3">
        <f t="shared" si="396"/>
        <v>1.012394984856005E-2</v>
      </c>
      <c r="R393" s="3">
        <f t="shared" si="396"/>
        <v>3.0915969254530483E-4</v>
      </c>
      <c r="S393" s="3">
        <f t="shared" si="396"/>
        <v>2.180277047791742E-19</v>
      </c>
      <c r="T393" s="3">
        <f t="shared" si="396"/>
        <v>6.6343723859242062E-171</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7.6434223584492019E-4</v>
      </c>
      <c r="C394" s="3">
        <f t="shared" si="397"/>
        <v>7.6434223584491998E-4</v>
      </c>
      <c r="D394" s="3">
        <f t="shared" si="397"/>
        <v>7.6434223584491727E-4</v>
      </c>
      <c r="E394" s="3">
        <f t="shared" si="397"/>
        <v>7.643422358448906E-4</v>
      </c>
      <c r="F394" s="3">
        <f t="shared" si="397"/>
        <v>7.6434223584462388E-4</v>
      </c>
      <c r="G394" s="3">
        <f t="shared" si="397"/>
        <v>7.6434223584195729E-4</v>
      </c>
      <c r="H394" s="3">
        <f t="shared" si="397"/>
        <v>7.643422358152909E-4</v>
      </c>
      <c r="I394" s="3">
        <f t="shared" si="397"/>
        <v>7.6434223554862704E-4</v>
      </c>
      <c r="J394" s="3">
        <f t="shared" si="397"/>
        <v>7.6434223288198897E-4</v>
      </c>
      <c r="K394" s="3">
        <f t="shared" si="397"/>
        <v>7.6434220621560828E-4</v>
      </c>
      <c r="L394" s="3">
        <f t="shared" si="397"/>
        <v>7.6434193955185253E-4</v>
      </c>
      <c r="M394" s="3">
        <f t="shared" si="397"/>
        <v>7.6433927291941293E-4</v>
      </c>
      <c r="N394" s="3">
        <f t="shared" si="397"/>
        <v>7.643126071066943E-4</v>
      </c>
      <c r="O394" s="3">
        <f t="shared" si="397"/>
        <v>7.6404600014070656E-4</v>
      </c>
      <c r="P394" s="3">
        <f t="shared" si="397"/>
        <v>7.6138504000267072E-4</v>
      </c>
      <c r="Q394" s="3">
        <f t="shared" si="397"/>
        <v>7.3527985624572073E-4</v>
      </c>
      <c r="R394" s="3">
        <f t="shared" si="397"/>
        <v>5.1872353922560136E-4</v>
      </c>
      <c r="S394" s="3">
        <f t="shared" si="397"/>
        <v>1.5840498254325982E-5</v>
      </c>
      <c r="T394" s="3">
        <f t="shared" si="397"/>
        <v>1.1171144105220325E-20</v>
      </c>
      <c r="U394" s="3">
        <f t="shared" si="397"/>
        <v>3.3992712094051707E-172</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3.2171693394281238E-3</v>
      </c>
      <c r="C395" s="3">
        <f t="shared" si="398"/>
        <v>3.2171693394281238E-3</v>
      </c>
      <c r="D395" s="3">
        <f t="shared" si="398"/>
        <v>3.217169339428123E-3</v>
      </c>
      <c r="E395" s="3">
        <f t="shared" si="398"/>
        <v>3.2171693394281112E-3</v>
      </c>
      <c r="F395" s="3">
        <f t="shared" si="398"/>
        <v>3.2171693394279994E-3</v>
      </c>
      <c r="G395" s="3">
        <f t="shared" si="398"/>
        <v>3.2171693394268766E-3</v>
      </c>
      <c r="H395" s="3">
        <f t="shared" si="398"/>
        <v>3.2171693394156525E-3</v>
      </c>
      <c r="I395" s="3">
        <f t="shared" si="398"/>
        <v>3.2171693393034119E-3</v>
      </c>
      <c r="J395" s="3">
        <f t="shared" si="398"/>
        <v>3.2171693381810055E-3</v>
      </c>
      <c r="K395" s="3">
        <f t="shared" si="398"/>
        <v>3.2171693269569413E-3</v>
      </c>
      <c r="L395" s="3">
        <f t="shared" si="398"/>
        <v>3.2171692147163005E-3</v>
      </c>
      <c r="M395" s="3">
        <f t="shared" si="398"/>
        <v>3.2171680923101078E-3</v>
      </c>
      <c r="N395" s="3">
        <f t="shared" si="398"/>
        <v>3.2171568682697214E-3</v>
      </c>
      <c r="O395" s="3">
        <f t="shared" si="398"/>
        <v>3.2170446300195422E-3</v>
      </c>
      <c r="P395" s="3">
        <f t="shared" si="398"/>
        <v>3.2159224628587734E-3</v>
      </c>
      <c r="Q395" s="3">
        <f t="shared" si="398"/>
        <v>3.2047222975819375E-3</v>
      </c>
      <c r="R395" s="3">
        <f t="shared" si="398"/>
        <v>3.0948437734805473E-3</v>
      </c>
      <c r="S395" s="3">
        <f t="shared" si="398"/>
        <v>2.1833432561678286E-3</v>
      </c>
      <c r="T395" s="3">
        <f t="shared" si="398"/>
        <v>6.6673752823234039E-5</v>
      </c>
      <c r="U395" s="3">
        <f t="shared" si="398"/>
        <v>4.7020118235282135E-20</v>
      </c>
      <c r="V395" s="3">
        <f t="shared" si="398"/>
        <v>1.430776764443764E-171</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1.3215886936532927E-2</v>
      </c>
      <c r="C396" s="3">
        <f t="shared" si="399"/>
        <v>1.3215886936532927E-2</v>
      </c>
      <c r="D396" s="3">
        <f t="shared" si="399"/>
        <v>1.3215886936532927E-2</v>
      </c>
      <c r="E396" s="3">
        <f t="shared" si="399"/>
        <v>1.3215886936532922E-2</v>
      </c>
      <c r="F396" s="3">
        <f t="shared" si="399"/>
        <v>1.3215886936532875E-2</v>
      </c>
      <c r="G396" s="3">
        <f t="shared" si="399"/>
        <v>1.3215886936532415E-2</v>
      </c>
      <c r="H396" s="3">
        <f t="shared" si="399"/>
        <v>1.3215886936527803E-2</v>
      </c>
      <c r="I396" s="3">
        <f t="shared" si="399"/>
        <v>1.3215886936481696E-2</v>
      </c>
      <c r="J396" s="3">
        <f t="shared" si="399"/>
        <v>1.321588693602062E-2</v>
      </c>
      <c r="K396" s="3">
        <f t="shared" si="399"/>
        <v>1.321588693140986E-2</v>
      </c>
      <c r="L396" s="3">
        <f t="shared" si="399"/>
        <v>1.3215886885302258E-2</v>
      </c>
      <c r="M396" s="3">
        <f t="shared" si="399"/>
        <v>1.3215886424226244E-2</v>
      </c>
      <c r="N396" s="3">
        <f t="shared" si="399"/>
        <v>1.3215881813466978E-2</v>
      </c>
      <c r="O396" s="3">
        <f t="shared" si="399"/>
        <v>1.3215835705962813E-2</v>
      </c>
      <c r="P396" s="3">
        <f t="shared" si="399"/>
        <v>1.3215374639768334E-2</v>
      </c>
      <c r="Q396" s="3">
        <f t="shared" si="399"/>
        <v>1.3210764862428094E-2</v>
      </c>
      <c r="R396" s="3">
        <f t="shared" si="399"/>
        <v>1.3164755435396983E-2</v>
      </c>
      <c r="S396" s="3">
        <f t="shared" si="399"/>
        <v>1.2713382816156738E-2</v>
      </c>
      <c r="T396" s="3">
        <f t="shared" si="399"/>
        <v>8.9690080231477134E-3</v>
      </c>
      <c r="U396" s="3">
        <f t="shared" si="399"/>
        <v>2.7389070514480154E-4</v>
      </c>
      <c r="V396" s="3">
        <f t="shared" si="399"/>
        <v>1.9315506918586996E-19</v>
      </c>
      <c r="W396" s="3">
        <f t="shared" si="399"/>
        <v>5.8775221181451401E-171</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0.11733061799494687</v>
      </c>
      <c r="B397" s="80">
        <f>IF($A$64&lt;=B363,IF($B$64&gt;=B363,ABS((B365-B364)/B364),0),0)</f>
        <v>3.4851923029803999E-2</v>
      </c>
      <c r="C397" s="80">
        <f t="shared" ref="C397:AF397" si="400">IF($A$64&lt;=C363,IF($B$64&gt;=C363,ABS((C365-C364)/C364),0),0)</f>
        <v>5.0840748352636606E-2</v>
      </c>
      <c r="D397" s="80">
        <f t="shared" si="400"/>
        <v>4.9160759415214438E-2</v>
      </c>
      <c r="E397" s="80">
        <f t="shared" si="400"/>
        <v>4.5727041040570945E-2</v>
      </c>
      <c r="F397" s="80">
        <f t="shared" si="400"/>
        <v>1.5376538891882365E-2</v>
      </c>
      <c r="G397" s="80">
        <f t="shared" si="400"/>
        <v>1.9524618181013545E-2</v>
      </c>
      <c r="H397" s="80">
        <f t="shared" si="400"/>
        <v>5.3141976719229524E-2</v>
      </c>
      <c r="I397" s="80">
        <f t="shared" si="400"/>
        <v>6.7794878920375765E-2</v>
      </c>
      <c r="J397" s="80">
        <f t="shared" si="400"/>
        <v>7.8185987679933233E-2</v>
      </c>
      <c r="K397" s="80">
        <f t="shared" si="400"/>
        <v>3.0511277440696649E-2</v>
      </c>
      <c r="L397" s="80">
        <f t="shared" si="400"/>
        <v>3.0261577546786055E-2</v>
      </c>
      <c r="M397" s="80">
        <f t="shared" si="400"/>
        <v>8.5132682517276639E-2</v>
      </c>
      <c r="N397" s="80">
        <f t="shared" si="400"/>
        <v>9.163274986804161E-2</v>
      </c>
      <c r="O397" s="80">
        <f t="shared" si="400"/>
        <v>0.15142288762342851</v>
      </c>
      <c r="P397" s="80">
        <f t="shared" si="400"/>
        <v>2.6371547505809213E-2</v>
      </c>
      <c r="Q397" s="80">
        <f t="shared" si="400"/>
        <v>1.6936593563047578E-3</v>
      </c>
      <c r="R397" s="80">
        <f t="shared" si="400"/>
        <v>9.0077582355797214E-2</v>
      </c>
      <c r="S397" s="80">
        <f t="shared" si="400"/>
        <v>5.9345504974864856E-2</v>
      </c>
      <c r="T397" s="80">
        <f t="shared" si="400"/>
        <v>0.13088034394322867</v>
      </c>
      <c r="U397" s="80">
        <f t="shared" si="400"/>
        <v>0.29858895435315008</v>
      </c>
      <c r="V397" s="80">
        <f t="shared" si="400"/>
        <v>0.2498512903423373</v>
      </c>
      <c r="W397" s="80">
        <f t="shared" si="400"/>
        <v>0.22155717738473704</v>
      </c>
      <c r="X397" s="80">
        <f t="shared" si="400"/>
        <v>0.21056992239227193</v>
      </c>
      <c r="Y397" s="80">
        <f t="shared" si="400"/>
        <v>0.20371107125684307</v>
      </c>
      <c r="Z397" s="80">
        <f t="shared" si="400"/>
        <v>0.19858909782572762</v>
      </c>
      <c r="AA397" s="80">
        <f t="shared" si="400"/>
        <v>0.19691583504590526</v>
      </c>
      <c r="AB397" s="80">
        <f t="shared" si="400"/>
        <v>0.19232423760504949</v>
      </c>
      <c r="AC397" s="80">
        <f t="shared" si="400"/>
        <v>0.19186062005960708</v>
      </c>
      <c r="AD397" s="80">
        <f t="shared" si="400"/>
        <v>0.18757371659876718</v>
      </c>
      <c r="AE397" s="80">
        <f t="shared" si="400"/>
        <v>0.18743900020795584</v>
      </c>
      <c r="AF397" s="80">
        <f t="shared" si="400"/>
        <v>0.18633394940810605</v>
      </c>
    </row>
    <row r="398" spans="1:34" x14ac:dyDescent="0.25">
      <c r="B398" s="21">
        <f>(B365-B364)^2</f>
        <v>18127.709224533028</v>
      </c>
      <c r="C398" s="21">
        <f t="shared" ref="C398:AF398" si="401">(C365-C364)^2</f>
        <v>34231.949294097656</v>
      </c>
      <c r="D398" s="21">
        <f t="shared" si="401"/>
        <v>29086.764693892739</v>
      </c>
      <c r="E398" s="21">
        <f t="shared" si="401"/>
        <v>22761.050715782083</v>
      </c>
      <c r="F398" s="21">
        <f t="shared" si="401"/>
        <v>2314.9924530161475</v>
      </c>
      <c r="G398" s="21">
        <f t="shared" si="401"/>
        <v>3275.6989746540253</v>
      </c>
      <c r="H398" s="21">
        <f t="shared" si="401"/>
        <v>20839.397054353063</v>
      </c>
      <c r="I398" s="21">
        <f t="shared" si="401"/>
        <v>28116.497277775197</v>
      </c>
      <c r="J398" s="21">
        <f t="shared" si="401"/>
        <v>29599.761009906662</v>
      </c>
      <c r="K398" s="21">
        <f t="shared" si="401"/>
        <v>3294.2423983781023</v>
      </c>
      <c r="L398" s="21">
        <f t="shared" si="401"/>
        <v>2099.0992249005658</v>
      </c>
      <c r="M398" s="21">
        <f t="shared" si="401"/>
        <v>9257.5593956896828</v>
      </c>
      <c r="N398" s="21">
        <f t="shared" si="401"/>
        <v>5339.1002744911975</v>
      </c>
      <c r="O398" s="21">
        <f t="shared" si="401"/>
        <v>7163.3280890061214</v>
      </c>
      <c r="P398" s="21">
        <f t="shared" si="401"/>
        <v>123.93588489641667</v>
      </c>
      <c r="Q398" s="21">
        <f t="shared" si="401"/>
        <v>0.35297470224309968</v>
      </c>
      <c r="R398" s="21">
        <f t="shared" si="401"/>
        <v>805.79090786479253</v>
      </c>
      <c r="S398" s="21">
        <f t="shared" si="401"/>
        <v>297.26103043129098</v>
      </c>
      <c r="T398" s="21">
        <f t="shared" si="401"/>
        <v>1272.6675537872725</v>
      </c>
      <c r="U398" s="21">
        <f t="shared" si="401"/>
        <v>6045.9534493970787</v>
      </c>
      <c r="V398" s="21">
        <f t="shared" si="401"/>
        <v>3632.7033636361784</v>
      </c>
      <c r="W398" s="21">
        <f t="shared" si="401"/>
        <v>2652.648376858413</v>
      </c>
      <c r="X398" s="21">
        <f t="shared" si="401"/>
        <v>2329.8438326159608</v>
      </c>
      <c r="Y398" s="21">
        <f t="shared" si="401"/>
        <v>2143.1342947694316</v>
      </c>
      <c r="Z398" s="21">
        <f t="shared" si="401"/>
        <v>2010.7671855876545</v>
      </c>
      <c r="AA398" s="21">
        <f t="shared" si="401"/>
        <v>1968.7956150815373</v>
      </c>
      <c r="AB398" s="21">
        <f t="shared" si="401"/>
        <v>1856.7584723684367</v>
      </c>
      <c r="AC398" s="21">
        <f t="shared" si="401"/>
        <v>1845.6979211719874</v>
      </c>
      <c r="AD398" s="21">
        <f t="shared" si="401"/>
        <v>1745.5709785504903</v>
      </c>
      <c r="AE398" s="21">
        <f t="shared" si="401"/>
        <v>1742.4865975730338</v>
      </c>
      <c r="AF398" s="21">
        <f t="shared" si="401"/>
        <v>1717.3272540421294</v>
      </c>
      <c r="AG398" s="3"/>
      <c r="AH398" s="3"/>
    </row>
    <row r="399" spans="1:34" x14ac:dyDescent="0.25">
      <c r="A399" s="71">
        <f>SUM(B399:AF399)</f>
        <v>247698.84577381064</v>
      </c>
      <c r="B399" s="60">
        <f>IF($A$64&lt;=B363,IF($B$64&gt;=B363,ABS(B398),0),0)</f>
        <v>18127.709224533028</v>
      </c>
      <c r="C399" s="60">
        <f t="shared" ref="C399" si="402">IF($A$64&lt;=C363,IF($B$64&gt;=C363,ABS(C398),0),0)</f>
        <v>34231.949294097656</v>
      </c>
      <c r="D399" s="60">
        <f t="shared" ref="D399" si="403">IF($A$64&lt;=D363,IF($B$64&gt;=D363,ABS(D398),0),0)</f>
        <v>29086.764693892739</v>
      </c>
      <c r="E399" s="60">
        <f t="shared" ref="E399" si="404">IF($A$64&lt;=E363,IF($B$64&gt;=E363,ABS(E398),0),0)</f>
        <v>22761.050715782083</v>
      </c>
      <c r="F399" s="60">
        <f t="shared" ref="F399" si="405">IF($A$64&lt;=F363,IF($B$64&gt;=F363,ABS(F398),0),0)</f>
        <v>2314.9924530161475</v>
      </c>
      <c r="G399" s="60">
        <f t="shared" ref="G399" si="406">IF($A$64&lt;=G363,IF($B$64&gt;=G363,ABS(G398),0),0)</f>
        <v>3275.6989746540253</v>
      </c>
      <c r="H399" s="60">
        <f t="shared" ref="H399" si="407">IF($A$64&lt;=H363,IF($B$64&gt;=H363,ABS(H398),0),0)</f>
        <v>20839.397054353063</v>
      </c>
      <c r="I399" s="60">
        <f t="shared" ref="I399" si="408">IF($A$64&lt;=I363,IF($B$64&gt;=I363,ABS(I398),0),0)</f>
        <v>28116.497277775197</v>
      </c>
      <c r="J399" s="60">
        <f t="shared" ref="J399" si="409">IF($A$64&lt;=J363,IF($B$64&gt;=J363,ABS(J398),0),0)</f>
        <v>29599.761009906662</v>
      </c>
      <c r="K399" s="60">
        <f t="shared" ref="K399" si="410">IF($A$64&lt;=K363,IF($B$64&gt;=K363,ABS(K398),0),0)</f>
        <v>3294.2423983781023</v>
      </c>
      <c r="L399" s="60">
        <f t="shared" ref="L399" si="411">IF($A$64&lt;=L363,IF($B$64&gt;=L363,ABS(L398),0),0)</f>
        <v>2099.0992249005658</v>
      </c>
      <c r="M399" s="60">
        <f t="shared" ref="M399" si="412">IF($A$64&lt;=M363,IF($B$64&gt;=M363,ABS(M398),0),0)</f>
        <v>9257.5593956896828</v>
      </c>
      <c r="N399" s="60">
        <f t="shared" ref="N399" si="413">IF($A$64&lt;=N363,IF($B$64&gt;=N363,ABS(N398),0),0)</f>
        <v>5339.1002744911975</v>
      </c>
      <c r="O399" s="60">
        <f t="shared" ref="O399" si="414">IF($A$64&lt;=O363,IF($B$64&gt;=O363,ABS(O398),0),0)</f>
        <v>7163.3280890061214</v>
      </c>
      <c r="P399" s="60">
        <f t="shared" ref="P399" si="415">IF($A$64&lt;=P363,IF($B$64&gt;=P363,ABS(P398),0),0)</f>
        <v>123.93588489641667</v>
      </c>
      <c r="Q399" s="60">
        <f t="shared" ref="Q399" si="416">IF($A$64&lt;=Q363,IF($B$64&gt;=Q363,ABS(Q398),0),0)</f>
        <v>0.35297470224309968</v>
      </c>
      <c r="R399" s="60">
        <f t="shared" ref="R399" si="417">IF($A$64&lt;=R363,IF($B$64&gt;=R363,ABS(R398),0),0)</f>
        <v>805.79090786479253</v>
      </c>
      <c r="S399" s="60">
        <f t="shared" ref="S399" si="418">IF($A$64&lt;=S363,IF($B$64&gt;=S363,ABS(S398),0),0)</f>
        <v>297.26103043129098</v>
      </c>
      <c r="T399" s="60">
        <f t="shared" ref="T399" si="419">IF($A$64&lt;=T363,IF($B$64&gt;=T363,ABS(T398),0),0)</f>
        <v>1272.6675537872725</v>
      </c>
      <c r="U399" s="60">
        <f t="shared" ref="U399" si="420">IF($A$64&lt;=U363,IF($B$64&gt;=U363,ABS(U398),0),0)</f>
        <v>6045.9534493970787</v>
      </c>
      <c r="V399" s="60">
        <f t="shared" ref="V399" si="421">IF($A$64&lt;=V363,IF($B$64&gt;=V363,ABS(V398),0),0)</f>
        <v>3632.7033636361784</v>
      </c>
      <c r="W399" s="60">
        <f t="shared" ref="W399" si="422">IF($A$64&lt;=W363,IF($B$64&gt;=W363,ABS(W398),0),0)</f>
        <v>2652.648376858413</v>
      </c>
      <c r="X399" s="60">
        <f t="shared" ref="X399" si="423">IF($A$64&lt;=X363,IF($B$64&gt;=X363,ABS(X398),0),0)</f>
        <v>2329.8438326159608</v>
      </c>
      <c r="Y399" s="60">
        <f t="shared" ref="Y399" si="424">IF($A$64&lt;=Y363,IF($B$64&gt;=Y363,ABS(Y398),0),0)</f>
        <v>2143.1342947694316</v>
      </c>
      <c r="Z399" s="60">
        <f t="shared" ref="Z399" si="425">IF($A$64&lt;=Z363,IF($B$64&gt;=Z363,ABS(Z398),0),0)</f>
        <v>2010.7671855876545</v>
      </c>
      <c r="AA399" s="60">
        <f t="shared" ref="AA399" si="426">IF($A$64&lt;=AA363,IF($B$64&gt;=AA363,ABS(AA398),0),0)</f>
        <v>1968.7956150815373</v>
      </c>
      <c r="AB399" s="60">
        <f t="shared" ref="AB399" si="427">IF($A$64&lt;=AB363,IF($B$64&gt;=AB363,ABS(AB398),0),0)</f>
        <v>1856.7584723684367</v>
      </c>
      <c r="AC399" s="60">
        <f t="shared" ref="AC399" si="428">IF($A$64&lt;=AC363,IF($B$64&gt;=AC363,ABS(AC398),0),0)</f>
        <v>1845.6979211719874</v>
      </c>
      <c r="AD399" s="60">
        <f t="shared" ref="AD399" si="429">IF($A$64&lt;=AD363,IF($B$64&gt;=AD363,ABS(AD398),0),0)</f>
        <v>1745.5709785504903</v>
      </c>
      <c r="AE399" s="60">
        <f t="shared" ref="AE399" si="430">IF($A$64&lt;=AE363,IF($B$64&gt;=AE363,ABS(AE398),0),0)</f>
        <v>1742.4865975730338</v>
      </c>
      <c r="AF399" s="60">
        <f t="shared" ref="AF399" si="431">IF($A$64&lt;=AF363,IF($B$64&gt;=AF363,ABS(AF398),0),0)</f>
        <v>1717.3272540421294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-26.816562794657003</v>
      </c>
      <c r="C403" s="107">
        <f t="shared" ref="C403:H403" si="432">IF(C125=$B$2,0,C126)</f>
        <v>-16.655792727489398</v>
      </c>
      <c r="D403" s="107">
        <f t="shared" si="432"/>
        <v>-11.048243415199147</v>
      </c>
      <c r="E403" s="107">
        <f t="shared" si="432"/>
        <v>-6.0345093617338197</v>
      </c>
      <c r="F403" s="107">
        <f t="shared" si="432"/>
        <v>0</v>
      </c>
      <c r="G403" s="107">
        <f t="shared" si="432"/>
        <v>15.131919610791874</v>
      </c>
      <c r="H403" s="107">
        <f t="shared" si="432"/>
        <v>28.985939818874979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2.2579522563232808E-27</v>
      </c>
      <c r="C404" s="3">
        <f t="shared" ref="C404:H419" si="433">$A404/EXP(-C$403)</f>
        <v>5.8409182347777073E-23</v>
      </c>
      <c r="D404" s="3">
        <f t="shared" si="433"/>
        <v>1.5915080880730009E-20</v>
      </c>
      <c r="E404" s="3">
        <f t="shared" si="433"/>
        <v>2.3946711564709896E-18</v>
      </c>
      <c r="F404" s="3">
        <f t="shared" si="433"/>
        <v>1.0000000000000001E-15</v>
      </c>
      <c r="G404" s="3">
        <f t="shared" si="433"/>
        <v>3.7300030555123476E-9</v>
      </c>
      <c r="H404" s="3">
        <f t="shared" si="433"/>
        <v>3.8764458002008297E-3</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2.2579522563232806E-26</v>
      </c>
      <c r="C405" s="3">
        <f t="shared" si="433"/>
        <v>5.8409182347777069E-22</v>
      </c>
      <c r="D405" s="3">
        <f t="shared" si="433"/>
        <v>1.5915080880730009E-19</v>
      </c>
      <c r="E405" s="3">
        <f t="shared" si="433"/>
        <v>2.3946711564709892E-17</v>
      </c>
      <c r="F405" s="3">
        <f t="shared" si="433"/>
        <v>1E-14</v>
      </c>
      <c r="G405" s="3">
        <f t="shared" si="433"/>
        <v>3.7300030555123476E-8</v>
      </c>
      <c r="H405" s="3">
        <f t="shared" si="433"/>
        <v>3.8764458002008298E-2</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2.2579522563232808E-25</v>
      </c>
      <c r="C406" s="3">
        <f t="shared" si="433"/>
        <v>5.8409182347777069E-21</v>
      </c>
      <c r="D406" s="3">
        <f t="shared" si="433"/>
        <v>1.591508088073001E-18</v>
      </c>
      <c r="E406" s="3">
        <f t="shared" si="433"/>
        <v>2.3946711564709895E-16</v>
      </c>
      <c r="F406" s="3">
        <f t="shared" si="433"/>
        <v>1E-13</v>
      </c>
      <c r="G406" s="3">
        <f t="shared" si="433"/>
        <v>3.7300030555123476E-7</v>
      </c>
      <c r="H406" s="3">
        <f t="shared" si="433"/>
        <v>0.38764458002008295</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2.2579522563232807E-24</v>
      </c>
      <c r="C407" s="3">
        <f t="shared" si="433"/>
        <v>5.8409182347777063E-20</v>
      </c>
      <c r="D407" s="3">
        <f t="shared" si="433"/>
        <v>1.591508088073001E-17</v>
      </c>
      <c r="E407" s="3">
        <f t="shared" si="433"/>
        <v>2.3946711564709894E-15</v>
      </c>
      <c r="F407" s="3">
        <f t="shared" si="433"/>
        <v>9.9999999999999998E-13</v>
      </c>
      <c r="G407" s="3">
        <f t="shared" si="433"/>
        <v>3.7300030555123474E-6</v>
      </c>
      <c r="H407" s="3">
        <f t="shared" si="433"/>
        <v>3.8764458002008295</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2.2579522563232807E-23</v>
      </c>
      <c r="C408" s="3">
        <f t="shared" si="433"/>
        <v>5.8409182347777063E-19</v>
      </c>
      <c r="D408" s="3">
        <f t="shared" si="433"/>
        <v>1.5915080880730008E-16</v>
      </c>
      <c r="E408" s="3">
        <f t="shared" si="433"/>
        <v>2.3946711564709891E-14</v>
      </c>
      <c r="F408" s="3">
        <f t="shared" si="433"/>
        <v>9.9999999999999994E-12</v>
      </c>
      <c r="G408" s="3">
        <f t="shared" si="433"/>
        <v>3.7300030555123473E-5</v>
      </c>
      <c r="H408" s="3">
        <f t="shared" si="433"/>
        <v>38.76445800200829</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2.2579522563232808E-22</v>
      </c>
      <c r="C409" s="3">
        <f t="shared" si="433"/>
        <v>5.8409182347777072E-18</v>
      </c>
      <c r="D409" s="3">
        <f t="shared" si="433"/>
        <v>1.591508088073001E-15</v>
      </c>
      <c r="E409" s="3">
        <f t="shared" si="433"/>
        <v>2.3946711564709895E-13</v>
      </c>
      <c r="F409" s="3">
        <f t="shared" si="433"/>
        <v>1E-10</v>
      </c>
      <c r="G409" s="3">
        <f t="shared" si="433"/>
        <v>3.7300030555123477E-4</v>
      </c>
      <c r="H409" s="3">
        <f t="shared" si="433"/>
        <v>387.64458002008297</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2.257952256323281E-21</v>
      </c>
      <c r="C410" s="3">
        <f t="shared" si="433"/>
        <v>5.8409182347777069E-17</v>
      </c>
      <c r="D410" s="3">
        <f t="shared" si="433"/>
        <v>1.5915080880730011E-14</v>
      </c>
      <c r="E410" s="3">
        <f t="shared" si="433"/>
        <v>2.3946711564709897E-12</v>
      </c>
      <c r="F410" s="3">
        <f t="shared" si="433"/>
        <v>1.0000000000000001E-9</v>
      </c>
      <c r="G410" s="3">
        <f t="shared" si="433"/>
        <v>3.7300030555123477E-3</v>
      </c>
      <c r="H410" s="3">
        <f t="shared" si="433"/>
        <v>3876.4458002008296</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2.2579522563232808E-20</v>
      </c>
      <c r="C411" s="3">
        <f t="shared" si="433"/>
        <v>5.8409182347777067E-16</v>
      </c>
      <c r="D411" s="3">
        <f t="shared" si="433"/>
        <v>1.591508088073001E-13</v>
      </c>
      <c r="E411" s="3">
        <f t="shared" si="433"/>
        <v>2.3946711564709894E-11</v>
      </c>
      <c r="F411" s="3">
        <f t="shared" si="433"/>
        <v>1E-8</v>
      </c>
      <c r="G411" s="3">
        <f t="shared" si="433"/>
        <v>3.730003055512348E-2</v>
      </c>
      <c r="H411" s="3">
        <f t="shared" si="433"/>
        <v>38764.458002008294</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2.2579522563232805E-19</v>
      </c>
      <c r="C412" s="3">
        <f t="shared" si="433"/>
        <v>5.8409182347777067E-15</v>
      </c>
      <c r="D412" s="3">
        <f t="shared" si="433"/>
        <v>1.5915080880730008E-12</v>
      </c>
      <c r="E412" s="3">
        <f t="shared" si="433"/>
        <v>2.3946711564709892E-10</v>
      </c>
      <c r="F412" s="3">
        <f t="shared" si="433"/>
        <v>9.9999999999999995E-8</v>
      </c>
      <c r="G412" s="3">
        <f t="shared" si="433"/>
        <v>0.37300030555123476</v>
      </c>
      <c r="H412" s="3">
        <f t="shared" si="433"/>
        <v>387644.58002008294</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2.2579522563232806E-18</v>
      </c>
      <c r="C413" s="3">
        <f t="shared" si="433"/>
        <v>5.8409182347777064E-14</v>
      </c>
      <c r="D413" s="3">
        <f t="shared" si="433"/>
        <v>1.5915080880730009E-11</v>
      </c>
      <c r="E413" s="3">
        <f t="shared" si="433"/>
        <v>2.3946711564709892E-9</v>
      </c>
      <c r="F413" s="3">
        <f t="shared" si="433"/>
        <v>9.9999999999999995E-7</v>
      </c>
      <c r="G413" s="3">
        <f t="shared" si="433"/>
        <v>3.7300030555123476</v>
      </c>
      <c r="H413" s="3">
        <f t="shared" si="433"/>
        <v>3876445.8002008293</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2.2579522563232808E-17</v>
      </c>
      <c r="C414" s="3">
        <f t="shared" si="433"/>
        <v>5.8409182347777071E-13</v>
      </c>
      <c r="D414" s="3">
        <f t="shared" si="433"/>
        <v>1.5915080880730009E-10</v>
      </c>
      <c r="E414" s="3">
        <f t="shared" si="433"/>
        <v>2.3946711564709894E-8</v>
      </c>
      <c r="F414" s="3">
        <f t="shared" si="433"/>
        <v>1.0000000000000001E-5</v>
      </c>
      <c r="G414" s="3">
        <f t="shared" si="433"/>
        <v>37.300030555123477</v>
      </c>
      <c r="H414" s="3">
        <f t="shared" si="433"/>
        <v>38764458.002008297</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2.2579522563232809E-16</v>
      </c>
      <c r="C415" s="3">
        <f t="shared" si="433"/>
        <v>5.8409182347777073E-12</v>
      </c>
      <c r="D415" s="3">
        <f t="shared" si="433"/>
        <v>1.5915080880730011E-9</v>
      </c>
      <c r="E415" s="3">
        <f t="shared" si="433"/>
        <v>2.3946711564709895E-7</v>
      </c>
      <c r="F415" s="3">
        <f t="shared" si="433"/>
        <v>1E-4</v>
      </c>
      <c r="G415" s="3">
        <f t="shared" si="433"/>
        <v>373.00030555123476</v>
      </c>
      <c r="H415" s="3">
        <f t="shared" si="433"/>
        <v>387644580.02008295</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2.257952256323281E-15</v>
      </c>
      <c r="C416" s="3">
        <f t="shared" si="433"/>
        <v>5.8409182347777065E-11</v>
      </c>
      <c r="D416" s="3">
        <f t="shared" si="433"/>
        <v>1.5915080880730009E-8</v>
      </c>
      <c r="E416" s="3">
        <f t="shared" si="433"/>
        <v>2.3946711564709894E-6</v>
      </c>
      <c r="F416" s="3">
        <f t="shared" si="433"/>
        <v>1E-3</v>
      </c>
      <c r="G416" s="3">
        <f t="shared" si="433"/>
        <v>3730.0030555123476</v>
      </c>
      <c r="H416" s="3">
        <f t="shared" si="433"/>
        <v>3876445800.2008295</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2.2579522563232806E-14</v>
      </c>
      <c r="C417" s="3">
        <f t="shared" si="433"/>
        <v>5.840918234777707E-10</v>
      </c>
      <c r="D417" s="3">
        <f t="shared" si="433"/>
        <v>1.591508088073001E-7</v>
      </c>
      <c r="E417" s="3">
        <f t="shared" si="433"/>
        <v>2.3946711564709896E-5</v>
      </c>
      <c r="F417" s="3">
        <f t="shared" si="433"/>
        <v>0.01</v>
      </c>
      <c r="G417" s="3">
        <f t="shared" si="433"/>
        <v>37300.030555123478</v>
      </c>
      <c r="H417" s="3">
        <f t="shared" si="433"/>
        <v>38764458002.008293</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2.2579522563232808E-13</v>
      </c>
      <c r="C418" s="3">
        <f t="shared" si="433"/>
        <v>5.8409182347777074E-9</v>
      </c>
      <c r="D418" s="3">
        <f t="shared" si="433"/>
        <v>1.5915080880730009E-6</v>
      </c>
      <c r="E418" s="3">
        <f t="shared" si="433"/>
        <v>2.3946711564709896E-4</v>
      </c>
      <c r="F418" s="3">
        <f t="shared" si="433"/>
        <v>0.1</v>
      </c>
      <c r="G418" s="3">
        <f t="shared" si="433"/>
        <v>373000.30555123475</v>
      </c>
      <c r="H418" s="3">
        <f t="shared" si="433"/>
        <v>387644580020.08295</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2.2579522563232806E-12</v>
      </c>
      <c r="C419" s="3">
        <f t="shared" si="433"/>
        <v>5.8409182347777066E-8</v>
      </c>
      <c r="D419" s="3">
        <f t="shared" si="433"/>
        <v>1.591508088073001E-5</v>
      </c>
      <c r="E419" s="3">
        <f t="shared" si="433"/>
        <v>2.3946711564709895E-3</v>
      </c>
      <c r="F419" s="3">
        <f t="shared" si="433"/>
        <v>1</v>
      </c>
      <c r="G419" s="3">
        <f t="shared" si="433"/>
        <v>3730003.0555123477</v>
      </c>
      <c r="H419" s="3">
        <f t="shared" si="433"/>
        <v>3876445800200.8296</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2.2579522563232807E-11</v>
      </c>
      <c r="C420" s="3">
        <f t="shared" si="434"/>
        <v>5.8409182347777066E-7</v>
      </c>
      <c r="D420" s="3">
        <f t="shared" si="434"/>
        <v>1.591508088073001E-4</v>
      </c>
      <c r="E420" s="3">
        <f t="shared" si="434"/>
        <v>2.3946711564709892E-2</v>
      </c>
      <c r="F420" s="3">
        <f t="shared" si="434"/>
        <v>10</v>
      </c>
      <c r="G420" s="3">
        <f t="shared" si="434"/>
        <v>37300030.555123478</v>
      </c>
      <c r="H420" s="3">
        <f t="shared" si="434"/>
        <v>38764458002008.297</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2.2579522563232807E-10</v>
      </c>
      <c r="C421" s="3">
        <f t="shared" si="434"/>
        <v>5.8409182347777068E-6</v>
      </c>
      <c r="D421" s="3">
        <f t="shared" si="434"/>
        <v>1.5915080880730009E-3</v>
      </c>
      <c r="E421" s="3">
        <f t="shared" si="434"/>
        <v>0.23946711564709894</v>
      </c>
      <c r="F421" s="3">
        <f t="shared" si="434"/>
        <v>100</v>
      </c>
      <c r="G421" s="3">
        <f t="shared" si="434"/>
        <v>373000305.55123478</v>
      </c>
      <c r="H421" s="3">
        <f t="shared" si="434"/>
        <v>387644580020082.94</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2.2579522563232808E-9</v>
      </c>
      <c r="C422" s="3">
        <f t="shared" si="434"/>
        <v>5.8409182347777072E-5</v>
      </c>
      <c r="D422" s="3">
        <f t="shared" si="434"/>
        <v>1.5915080880730008E-2</v>
      </c>
      <c r="E422" s="3">
        <f t="shared" si="434"/>
        <v>2.3946711564709893</v>
      </c>
      <c r="F422" s="3">
        <f t="shared" si="434"/>
        <v>1000</v>
      </c>
      <c r="G422" s="3">
        <f t="shared" si="434"/>
        <v>3730003055.5123477</v>
      </c>
      <c r="H422" s="3">
        <f t="shared" si="434"/>
        <v>3876445800200829.5</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2.2579522563232809E-8</v>
      </c>
      <c r="C423" s="3">
        <f t="shared" si="434"/>
        <v>5.8409182347777069E-4</v>
      </c>
      <c r="D423" s="3">
        <f t="shared" si="434"/>
        <v>0.15915080880730009</v>
      </c>
      <c r="E423" s="3">
        <f t="shared" si="434"/>
        <v>23.946711564709894</v>
      </c>
      <c r="F423" s="3">
        <f t="shared" si="434"/>
        <v>10000</v>
      </c>
      <c r="G423" s="3">
        <f t="shared" si="434"/>
        <v>37300030555.123474</v>
      </c>
      <c r="H423" s="3">
        <f t="shared" si="434"/>
        <v>3.8764458002008296E+16</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2.2579522563232808E-7</v>
      </c>
      <c r="C424" s="3">
        <f t="shared" si="434"/>
        <v>5.8409182347777073E-3</v>
      </c>
      <c r="D424" s="3">
        <f t="shared" si="434"/>
        <v>1.5915080880730008</v>
      </c>
      <c r="E424" s="3">
        <f t="shared" si="434"/>
        <v>239.46711564709895</v>
      </c>
      <c r="F424" s="3">
        <f t="shared" si="434"/>
        <v>100000</v>
      </c>
      <c r="G424" s="3">
        <f t="shared" si="434"/>
        <v>373000305551.23474</v>
      </c>
      <c r="H424" s="3">
        <f t="shared" si="434"/>
        <v>3.8764458002008294E+17</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2.2579522563232806E-6</v>
      </c>
      <c r="C425" s="3">
        <f t="shared" si="434"/>
        <v>5.8409182347777068E-2</v>
      </c>
      <c r="D425" s="3">
        <f t="shared" si="434"/>
        <v>15.915080880730009</v>
      </c>
      <c r="E425" s="3">
        <f t="shared" si="434"/>
        <v>2394.6711564709894</v>
      </c>
      <c r="F425" s="3">
        <f t="shared" si="434"/>
        <v>1000000</v>
      </c>
      <c r="G425" s="3">
        <f t="shared" si="434"/>
        <v>3730003055512.3477</v>
      </c>
      <c r="H425" s="3">
        <f t="shared" si="434"/>
        <v>3.8764458002008294E+18</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2.2579522563232806E-5</v>
      </c>
      <c r="C426" s="3">
        <f t="shared" si="434"/>
        <v>0.58409182347777067</v>
      </c>
      <c r="D426" s="3">
        <f t="shared" si="434"/>
        <v>159.15080880730008</v>
      </c>
      <c r="E426" s="3">
        <f t="shared" si="434"/>
        <v>23946.711564709894</v>
      </c>
      <c r="F426" s="3">
        <f t="shared" si="434"/>
        <v>10000000</v>
      </c>
      <c r="G426" s="3">
        <f t="shared" si="434"/>
        <v>37300030555123.477</v>
      </c>
      <c r="H426" s="3">
        <f t="shared" si="434"/>
        <v>3.8764458002008293E+19</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2.2579522563232808E-4</v>
      </c>
      <c r="C427" s="3">
        <f t="shared" si="434"/>
        <v>5.8409182347777069</v>
      </c>
      <c r="D427" s="3">
        <f t="shared" si="434"/>
        <v>1591.5080880730009</v>
      </c>
      <c r="E427" s="3">
        <f t="shared" si="434"/>
        <v>239467.11564709892</v>
      </c>
      <c r="F427" s="3">
        <f t="shared" si="434"/>
        <v>100000000</v>
      </c>
      <c r="G427" s="3">
        <f t="shared" si="434"/>
        <v>373000305551234.75</v>
      </c>
      <c r="H427" s="3">
        <f t="shared" si="434"/>
        <v>3.8764458002008297E+20</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2.2579522563232809E-3</v>
      </c>
      <c r="C428" s="3">
        <f t="shared" si="434"/>
        <v>58.409182347777069</v>
      </c>
      <c r="D428" s="3">
        <f t="shared" si="434"/>
        <v>15915.080880730009</v>
      </c>
      <c r="E428" s="3">
        <f t="shared" si="434"/>
        <v>2394671.1564709893</v>
      </c>
      <c r="F428" s="3">
        <f t="shared" si="434"/>
        <v>1000000000</v>
      </c>
      <c r="G428" s="3">
        <f t="shared" si="434"/>
        <v>3730003055512347.5</v>
      </c>
      <c r="H428" s="3">
        <f t="shared" si="434"/>
        <v>3.8764458002008297E+21</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2.2579522563232809E-2</v>
      </c>
      <c r="C429" s="3">
        <f t="shared" si="434"/>
        <v>584.09182347777073</v>
      </c>
      <c r="D429" s="3">
        <f t="shared" si="434"/>
        <v>159150.80880730008</v>
      </c>
      <c r="E429" s="3">
        <f t="shared" si="434"/>
        <v>23946711.564709894</v>
      </c>
      <c r="F429" s="3">
        <f t="shared" si="434"/>
        <v>10000000000</v>
      </c>
      <c r="G429" s="3">
        <f t="shared" si="434"/>
        <v>3.7300030555123472E+16</v>
      </c>
      <c r="H429" s="3">
        <f t="shared" si="434"/>
        <v>3.8764458002008295E+22</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0.22579522563232807</v>
      </c>
      <c r="C430" s="3">
        <f t="shared" si="434"/>
        <v>5840.9182347777069</v>
      </c>
      <c r="D430" s="3">
        <f t="shared" si="434"/>
        <v>1591508.088073001</v>
      </c>
      <c r="E430" s="3">
        <f t="shared" si="434"/>
        <v>239467115.64709893</v>
      </c>
      <c r="F430" s="3">
        <f t="shared" si="434"/>
        <v>100000000000</v>
      </c>
      <c r="G430" s="3">
        <f t="shared" si="434"/>
        <v>3.7300030555123475E+17</v>
      </c>
      <c r="H430" s="3">
        <f t="shared" si="434"/>
        <v>3.8764458002008298E+23</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2.2579522563232808</v>
      </c>
      <c r="C431" s="3">
        <f t="shared" si="434"/>
        <v>58409.182347777067</v>
      </c>
      <c r="D431" s="3">
        <f t="shared" si="434"/>
        <v>15915080.880730009</v>
      </c>
      <c r="E431" s="3">
        <f t="shared" si="434"/>
        <v>2394671156.4709892</v>
      </c>
      <c r="F431" s="3">
        <f t="shared" si="434"/>
        <v>1000000000000</v>
      </c>
      <c r="G431" s="3">
        <f t="shared" si="434"/>
        <v>3.7300030555123476E+18</v>
      </c>
      <c r="H431" s="3">
        <f t="shared" si="434"/>
        <v>3.8764458002008297E+24</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22.579522563232807</v>
      </c>
      <c r="C432" s="3">
        <f t="shared" si="434"/>
        <v>584091.82347777067</v>
      </c>
      <c r="D432" s="3">
        <f t="shared" si="434"/>
        <v>159150808.80730009</v>
      </c>
      <c r="E432" s="3">
        <f t="shared" si="434"/>
        <v>23946711564.709892</v>
      </c>
      <c r="F432" s="3">
        <f t="shared" si="434"/>
        <v>10000000000000</v>
      </c>
      <c r="G432" s="3">
        <f t="shared" si="434"/>
        <v>3.7300030555123474E+19</v>
      </c>
      <c r="H432" s="3">
        <f t="shared" si="434"/>
        <v>3.8764458002008293E+25</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225.79522563232808</v>
      </c>
      <c r="C433" s="3">
        <f t="shared" si="434"/>
        <v>5840918.2347777067</v>
      </c>
      <c r="D433" s="3">
        <f t="shared" si="434"/>
        <v>1591508088.0730009</v>
      </c>
      <c r="E433" s="3">
        <f t="shared" si="434"/>
        <v>239467115647.09894</v>
      </c>
      <c r="F433" s="3">
        <f t="shared" si="434"/>
        <v>100000000000000</v>
      </c>
      <c r="G433" s="3">
        <f t="shared" si="434"/>
        <v>3.7300030555123476E+20</v>
      </c>
      <c r="H433" s="3">
        <f t="shared" si="434"/>
        <v>3.8764458002008297E+26</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2257.9522563232808</v>
      </c>
      <c r="C434" s="3">
        <f t="shared" si="434"/>
        <v>58409182.347777069</v>
      </c>
      <c r="D434" s="3">
        <f t="shared" si="434"/>
        <v>15915080880.730009</v>
      </c>
      <c r="E434" s="3">
        <f t="shared" si="434"/>
        <v>2394671156470.9893</v>
      </c>
      <c r="F434" s="3">
        <f t="shared" si="434"/>
        <v>1000000000000000</v>
      </c>
      <c r="G434" s="3">
        <f t="shared" si="434"/>
        <v>3.7300030555123477E+21</v>
      </c>
      <c r="H434" s="3">
        <f t="shared" si="434"/>
        <v>3.8764458002008294E+27</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2.2579522563232808E-17</v>
      </c>
      <c r="C438" s="92">
        <f t="shared" si="435"/>
        <v>5.8409182347777071E-13</v>
      </c>
      <c r="D438" s="92">
        <f t="shared" si="435"/>
        <v>1.5915080880730009E-10</v>
      </c>
      <c r="E438" s="92">
        <f t="shared" si="435"/>
        <v>2.3946711564709894E-8</v>
      </c>
      <c r="F438" s="92">
        <f t="shared" si="435"/>
        <v>1.0000000000000001E-5</v>
      </c>
      <c r="G438" s="92">
        <f t="shared" si="435"/>
        <v>37.300030555123477</v>
      </c>
      <c r="H438" s="92">
        <f t="shared" si="435"/>
        <v>38764458.002008297</v>
      </c>
      <c r="I438" s="92">
        <f t="shared" si="435"/>
        <v>1.0000000000000001E-5</v>
      </c>
      <c r="J438" s="92">
        <f t="shared" si="435"/>
        <v>6236.6931020367429</v>
      </c>
      <c r="K438" s="92">
        <f t="shared" si="435"/>
        <v>5832.266903330059</v>
      </c>
      <c r="L438" s="92">
        <f t="shared" si="435"/>
        <v>5468.7266553730897</v>
      </c>
      <c r="M438" s="92">
        <f t="shared" si="435"/>
        <v>5102.6301031593184</v>
      </c>
      <c r="N438" s="92">
        <f t="shared" si="435"/>
        <v>4570.6221718948836</v>
      </c>
      <c r="O438" s="92">
        <f t="shared" si="435"/>
        <v>3187.0619417508151</v>
      </c>
      <c r="P438" s="92">
        <f t="shared" si="435"/>
        <v>1513.9966699513473</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2.2579522563232809E-16</v>
      </c>
      <c r="C439" s="92">
        <f t="shared" si="436"/>
        <v>5.8409182347777073E-12</v>
      </c>
      <c r="D439" s="92">
        <f t="shared" si="436"/>
        <v>1.5915080880730011E-9</v>
      </c>
      <c r="E439" s="92">
        <f t="shared" si="436"/>
        <v>2.3946711564709895E-7</v>
      </c>
      <c r="F439" s="92">
        <f t="shared" si="436"/>
        <v>1E-4</v>
      </c>
      <c r="G439" s="92">
        <f t="shared" si="436"/>
        <v>373.00030555123476</v>
      </c>
      <c r="H439" s="92">
        <f t="shared" si="436"/>
        <v>387644580.02008295</v>
      </c>
      <c r="I439" s="92">
        <f t="shared" si="436"/>
        <v>1E-4</v>
      </c>
      <c r="J439" s="92">
        <f t="shared" si="436"/>
        <v>6236.5527005203321</v>
      </c>
      <c r="K439" s="92">
        <f t="shared" si="436"/>
        <v>5718.4883971282225</v>
      </c>
      <c r="L439" s="92">
        <f t="shared" si="436"/>
        <v>5319.6907361616632</v>
      </c>
      <c r="M439" s="92">
        <f t="shared" si="436"/>
        <v>4935.1703334559215</v>
      </c>
      <c r="N439" s="92">
        <f t="shared" si="436"/>
        <v>4355.6121901289935</v>
      </c>
      <c r="O439" s="92">
        <f t="shared" si="436"/>
        <v>2996.966538971345</v>
      </c>
      <c r="P439" s="92">
        <f t="shared" si="436"/>
        <v>1130.1912363654051</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2.257952256323281E-15</v>
      </c>
      <c r="C440" s="92">
        <f t="shared" si="436"/>
        <v>5.8409182347777065E-11</v>
      </c>
      <c r="D440" s="92">
        <f t="shared" si="436"/>
        <v>1.5915080880730009E-8</v>
      </c>
      <c r="E440" s="92">
        <f t="shared" si="436"/>
        <v>2.3946711564709894E-6</v>
      </c>
      <c r="F440" s="92">
        <f t="shared" si="436"/>
        <v>1E-3</v>
      </c>
      <c r="G440" s="92">
        <f t="shared" si="436"/>
        <v>3730.0030555123476</v>
      </c>
      <c r="H440" s="92">
        <f t="shared" si="436"/>
        <v>3876445800.2008295</v>
      </c>
      <c r="I440" s="92">
        <f t="shared" si="436"/>
        <v>1E-3</v>
      </c>
      <c r="J440" s="92">
        <f t="shared" si="436"/>
        <v>6235.1590077245392</v>
      </c>
      <c r="K440" s="92">
        <f t="shared" si="436"/>
        <v>5590.6777193321577</v>
      </c>
      <c r="L440" s="92">
        <f t="shared" si="436"/>
        <v>5157.813288998067</v>
      </c>
      <c r="M440" s="92">
        <f t="shared" si="436"/>
        <v>4773.9141111745284</v>
      </c>
      <c r="N440" s="92">
        <f t="shared" si="436"/>
        <v>4128.400911796266</v>
      </c>
      <c r="O440" s="92">
        <f t="shared" si="436"/>
        <v>2785.0882808530132</v>
      </c>
      <c r="P440" s="92">
        <f t="shared" si="436"/>
        <v>797.41301356348504</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2.2579522563232806E-14</v>
      </c>
      <c r="C441" s="92">
        <f t="shared" si="436"/>
        <v>5.840918234777707E-10</v>
      </c>
      <c r="D441" s="92">
        <f t="shared" si="436"/>
        <v>1.591508088073001E-7</v>
      </c>
      <c r="E441" s="92">
        <f t="shared" si="436"/>
        <v>2.3946711564709896E-5</v>
      </c>
      <c r="F441" s="92">
        <f t="shared" si="436"/>
        <v>0.01</v>
      </c>
      <c r="G441" s="92">
        <f t="shared" si="436"/>
        <v>37300.030555123478</v>
      </c>
      <c r="H441" s="92">
        <f t="shared" si="436"/>
        <v>38764458002.008293</v>
      </c>
      <c r="I441" s="92">
        <f t="shared" si="436"/>
        <v>0.01</v>
      </c>
      <c r="J441" s="92">
        <f t="shared" si="436"/>
        <v>6221.8566314570962</v>
      </c>
      <c r="K441" s="92">
        <f t="shared" si="436"/>
        <v>5455.5326764024039</v>
      </c>
      <c r="L441" s="92">
        <f t="shared" si="436"/>
        <v>4988.4254277432274</v>
      </c>
      <c r="M441" s="92">
        <f t="shared" si="436"/>
        <v>4598.1434168288733</v>
      </c>
      <c r="N441" s="92">
        <f t="shared" si="436"/>
        <v>3931.0953121014495</v>
      </c>
      <c r="O441" s="92">
        <f t="shared" si="436"/>
        <v>2548.6636373493402</v>
      </c>
      <c r="P441" s="92">
        <f t="shared" si="436"/>
        <v>558.94090982101648</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2.2579522563232808E-13</v>
      </c>
      <c r="C442" s="92">
        <f t="shared" si="436"/>
        <v>5.8409182347777074E-9</v>
      </c>
      <c r="D442" s="92">
        <f t="shared" si="436"/>
        <v>1.5915080880730009E-6</v>
      </c>
      <c r="E442" s="92">
        <f t="shared" si="436"/>
        <v>2.3946711564709896E-4</v>
      </c>
      <c r="F442" s="92">
        <f t="shared" si="436"/>
        <v>0.1</v>
      </c>
      <c r="G442" s="92">
        <f t="shared" si="436"/>
        <v>373000.30555123475</v>
      </c>
      <c r="H442" s="92">
        <f t="shared" si="436"/>
        <v>387644580020.08295</v>
      </c>
      <c r="I442" s="92">
        <f t="shared" si="436"/>
        <v>0.1</v>
      </c>
      <c r="J442" s="92">
        <f t="shared" si="436"/>
        <v>6125.5353779175648</v>
      </c>
      <c r="K442" s="92">
        <f t="shared" si="436"/>
        <v>5303.027474748983</v>
      </c>
      <c r="L442" s="92">
        <f t="shared" si="436"/>
        <v>4826.1776287086414</v>
      </c>
      <c r="M442" s="92">
        <f t="shared" si="436"/>
        <v>4383.948625533154</v>
      </c>
      <c r="N442" s="92">
        <f t="shared" si="436"/>
        <v>3756.0498426526324</v>
      </c>
      <c r="O442" s="92">
        <f t="shared" si="436"/>
        <v>2277.7712640750647</v>
      </c>
      <c r="P442" s="92">
        <f t="shared" si="436"/>
        <v>422.14623536379804</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2.2579522563232806E-12</v>
      </c>
      <c r="C443" s="92">
        <f t="shared" si="436"/>
        <v>5.8409182347777066E-8</v>
      </c>
      <c r="D443" s="92">
        <f t="shared" si="436"/>
        <v>1.591508088073001E-5</v>
      </c>
      <c r="E443" s="92">
        <f t="shared" si="436"/>
        <v>2.3946711564709895E-3</v>
      </c>
      <c r="F443" s="92">
        <f t="shared" si="436"/>
        <v>1</v>
      </c>
      <c r="G443" s="92">
        <f t="shared" si="436"/>
        <v>3730003.0555123477</v>
      </c>
      <c r="H443" s="92">
        <f t="shared" si="436"/>
        <v>3876445800200.8296</v>
      </c>
      <c r="I443" s="92">
        <f t="shared" si="436"/>
        <v>1</v>
      </c>
      <c r="J443" s="92">
        <f t="shared" si="436"/>
        <v>5957.8557354462564</v>
      </c>
      <c r="K443" s="92">
        <f t="shared" si="436"/>
        <v>5138.2826367857815</v>
      </c>
      <c r="L443" s="92">
        <f t="shared" si="436"/>
        <v>4657.2476007324067</v>
      </c>
      <c r="M443" s="92">
        <f t="shared" si="436"/>
        <v>4152.9128127042486</v>
      </c>
      <c r="N443" s="92">
        <f t="shared" si="436"/>
        <v>3572.9092141735305</v>
      </c>
      <c r="O443" s="92">
        <f t="shared" si="436"/>
        <v>1945.3918502755284</v>
      </c>
      <c r="P443" s="92">
        <f t="shared" si="436"/>
        <v>350.78880475369743</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2.2579522563232807E-11</v>
      </c>
      <c r="C444" s="92">
        <f t="shared" si="436"/>
        <v>5.8409182347777066E-7</v>
      </c>
      <c r="D444" s="92">
        <f t="shared" si="436"/>
        <v>1.591508088073001E-4</v>
      </c>
      <c r="E444" s="92">
        <f t="shared" si="436"/>
        <v>2.3946711564709892E-2</v>
      </c>
      <c r="F444" s="92">
        <f t="shared" si="436"/>
        <v>10</v>
      </c>
      <c r="G444" s="92">
        <f t="shared" si="436"/>
        <v>37300030.555123478</v>
      </c>
      <c r="H444" s="92">
        <f t="shared" si="436"/>
        <v>38764458002008.297</v>
      </c>
      <c r="I444" s="92">
        <f t="shared" si="436"/>
        <v>10</v>
      </c>
      <c r="J444" s="92">
        <f t="shared" si="436"/>
        <v>5841.9046732349807</v>
      </c>
      <c r="K444" s="92">
        <f t="shared" si="436"/>
        <v>4968.6771751633605</v>
      </c>
      <c r="L444" s="92">
        <f t="shared" si="436"/>
        <v>4447.8021820917502</v>
      </c>
      <c r="M444" s="92">
        <f t="shared" si="436"/>
        <v>3937.3787582645855</v>
      </c>
      <c r="N444" s="92">
        <f t="shared" si="436"/>
        <v>3356.1944513859066</v>
      </c>
      <c r="O444" s="92">
        <f t="shared" si="436"/>
        <v>1547.0547031117155</v>
      </c>
      <c r="P444" s="92">
        <f t="shared" si="436"/>
        <v>315.13341803519359</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2.2579522563232807E-10</v>
      </c>
      <c r="C445" s="92">
        <f t="shared" si="436"/>
        <v>5.8409182347777068E-6</v>
      </c>
      <c r="D445" s="92">
        <f t="shared" si="436"/>
        <v>1.5915080880730009E-3</v>
      </c>
      <c r="E445" s="92">
        <f t="shared" si="436"/>
        <v>0.23946711564709894</v>
      </c>
      <c r="F445" s="92">
        <f t="shared" si="436"/>
        <v>100</v>
      </c>
      <c r="G445" s="92">
        <f t="shared" si="436"/>
        <v>373000305.55123478</v>
      </c>
      <c r="H445" s="92">
        <f t="shared" si="436"/>
        <v>387644580020082.94</v>
      </c>
      <c r="I445" s="92">
        <f t="shared" si="436"/>
        <v>100</v>
      </c>
      <c r="J445" s="92">
        <f t="shared" si="436"/>
        <v>5724.8371546354174</v>
      </c>
      <c r="K445" s="92">
        <f t="shared" si="436"/>
        <v>4801.9058791873949</v>
      </c>
      <c r="L445" s="92">
        <f t="shared" si="436"/>
        <v>4189.6330379426572</v>
      </c>
      <c r="M445" s="92">
        <f t="shared" si="436"/>
        <v>3687.7590044854528</v>
      </c>
      <c r="N445" s="92">
        <f t="shared" si="436"/>
        <v>3066.2657883339552</v>
      </c>
      <c r="O445" s="92">
        <f t="shared" si="436"/>
        <v>1144.6630604809154</v>
      </c>
      <c r="P445" s="92">
        <f t="shared" si="436"/>
        <v>290.52342792543726</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2.2579522563232808E-9</v>
      </c>
      <c r="C446" s="92">
        <f t="shared" si="436"/>
        <v>5.8409182347777072E-5</v>
      </c>
      <c r="D446" s="92">
        <f t="shared" si="436"/>
        <v>1.5915080880730008E-2</v>
      </c>
      <c r="E446" s="92">
        <f t="shared" si="436"/>
        <v>2.3946711564709893</v>
      </c>
      <c r="F446" s="92">
        <f t="shared" si="436"/>
        <v>1000</v>
      </c>
      <c r="G446" s="92">
        <f t="shared" si="436"/>
        <v>3730003055.5123477</v>
      </c>
      <c r="H446" s="92">
        <f t="shared" si="436"/>
        <v>3876445800200829.5</v>
      </c>
      <c r="I446" s="92">
        <f t="shared" si="436"/>
        <v>1000</v>
      </c>
      <c r="J446" s="92">
        <f t="shared" si="436"/>
        <v>5594.9864087709147</v>
      </c>
      <c r="K446" s="92">
        <f t="shared" si="436"/>
        <v>4591.6968686621467</v>
      </c>
      <c r="L446" s="92">
        <f t="shared" si="436"/>
        <v>3869.887397775818</v>
      </c>
      <c r="M446" s="92">
        <f t="shared" si="436"/>
        <v>3362.1408606761684</v>
      </c>
      <c r="N446" s="92">
        <f t="shared" si="436"/>
        <v>2758.9237309250375</v>
      </c>
      <c r="O446" s="92">
        <f t="shared" si="436"/>
        <v>800.03144169281939</v>
      </c>
      <c r="P446" s="92">
        <f t="shared" si="436"/>
        <v>272.57314075796921</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2.2579522563232809E-8</v>
      </c>
      <c r="C447" s="92">
        <f t="shared" si="436"/>
        <v>5.8409182347777069E-4</v>
      </c>
      <c r="D447" s="92">
        <f t="shared" si="436"/>
        <v>0.15915080880730009</v>
      </c>
      <c r="E447" s="92">
        <f t="shared" si="436"/>
        <v>23.946711564709894</v>
      </c>
      <c r="F447" s="92">
        <f t="shared" si="436"/>
        <v>10000</v>
      </c>
      <c r="G447" s="92">
        <f t="shared" si="436"/>
        <v>37300030555.123474</v>
      </c>
      <c r="H447" s="92">
        <f t="shared" si="436"/>
        <v>3.8764458002008296E+16</v>
      </c>
      <c r="I447" s="92">
        <f t="shared" si="436"/>
        <v>10000</v>
      </c>
      <c r="J447" s="92">
        <f t="shared" si="436"/>
        <v>5449.107992075601</v>
      </c>
      <c r="K447" s="92">
        <f t="shared" si="436"/>
        <v>4244.316229983926</v>
      </c>
      <c r="L447" s="92">
        <f t="shared" si="436"/>
        <v>3525.2708334642716</v>
      </c>
      <c r="M447" s="92">
        <f t="shared" si="436"/>
        <v>3051.8261997186564</v>
      </c>
      <c r="N447" s="92">
        <f t="shared" si="436"/>
        <v>2465.267862411738</v>
      </c>
      <c r="O447" s="92">
        <f t="shared" si="436"/>
        <v>550.37343151827611</v>
      </c>
      <c r="P447" s="92">
        <f t="shared" si="436"/>
        <v>260.41060204475895</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2.2579522563232808E-7</v>
      </c>
      <c r="C448" s="92">
        <f t="shared" si="436"/>
        <v>5.8409182347777073E-3</v>
      </c>
      <c r="D448" s="92">
        <f t="shared" si="436"/>
        <v>1.5915080880730008</v>
      </c>
      <c r="E448" s="92">
        <f t="shared" si="436"/>
        <v>239.46711564709895</v>
      </c>
      <c r="F448" s="92">
        <f t="shared" si="436"/>
        <v>100000</v>
      </c>
      <c r="G448" s="92">
        <f t="shared" si="436"/>
        <v>373000305551.23474</v>
      </c>
      <c r="H448" s="92">
        <f t="shared" si="436"/>
        <v>3.8764458002008294E+17</v>
      </c>
      <c r="I448" s="92">
        <f t="shared" si="436"/>
        <v>100000</v>
      </c>
      <c r="J448" s="92">
        <f t="shared" si="436"/>
        <v>5238.9471208339255</v>
      </c>
      <c r="K448" s="92">
        <f t="shared" si="436"/>
        <v>3822.3596155431378</v>
      </c>
      <c r="L448" s="92">
        <f t="shared" si="436"/>
        <v>3199.7360053237758</v>
      </c>
      <c r="M448" s="92">
        <f t="shared" si="436"/>
        <v>2781.8342661671418</v>
      </c>
      <c r="N448" s="92">
        <f t="shared" si="436"/>
        <v>2197.1478961266816</v>
      </c>
      <c r="O448" s="92">
        <f t="shared" si="436"/>
        <v>400.38950806520603</v>
      </c>
      <c r="P448" s="92">
        <f t="shared" si="436"/>
        <v>241.23114118692146</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2.2579522563232806E-6</v>
      </c>
      <c r="C449" s="92">
        <f t="shared" si="436"/>
        <v>5.8409182347777068E-2</v>
      </c>
      <c r="D449" s="92">
        <f t="shared" si="436"/>
        <v>15.915080880730009</v>
      </c>
      <c r="E449" s="92">
        <f t="shared" si="436"/>
        <v>2394.6711564709894</v>
      </c>
      <c r="F449" s="92">
        <f t="shared" si="436"/>
        <v>1000000</v>
      </c>
      <c r="G449" s="92">
        <f t="shared" si="436"/>
        <v>3730003055512.3477</v>
      </c>
      <c r="H449" s="92">
        <f t="shared" si="436"/>
        <v>3.8764458002008294E+18</v>
      </c>
      <c r="I449" s="92">
        <f t="shared" si="436"/>
        <v>1000000</v>
      </c>
      <c r="J449" s="92">
        <f t="shared" si="436"/>
        <v>4890.0199582671721</v>
      </c>
      <c r="K449" s="92">
        <f t="shared" si="436"/>
        <v>3460.4449685337781</v>
      </c>
      <c r="L449" s="92">
        <f t="shared" si="436"/>
        <v>2935.0143216958841</v>
      </c>
      <c r="M449" s="92">
        <f t="shared" si="436"/>
        <v>2548.0002478694637</v>
      </c>
      <c r="N449" s="92">
        <f t="shared" si="436"/>
        <v>1937.1917706499551</v>
      </c>
      <c r="O449" s="92">
        <f t="shared" si="436"/>
        <v>323.43126641101793</v>
      </c>
      <c r="P449" s="92">
        <f t="shared" si="436"/>
        <v>232.46309688187819</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2.2579522563232806E-5</v>
      </c>
      <c r="C450" s="92">
        <f t="shared" si="436"/>
        <v>0.58409182347777067</v>
      </c>
      <c r="D450" s="92">
        <f t="shared" si="436"/>
        <v>159.15080880730008</v>
      </c>
      <c r="E450" s="92">
        <f t="shared" si="436"/>
        <v>23946.711564709894</v>
      </c>
      <c r="F450" s="92">
        <f t="shared" si="436"/>
        <v>10000000</v>
      </c>
      <c r="G450" s="92">
        <f t="shared" si="436"/>
        <v>37300030555123.477</v>
      </c>
      <c r="H450" s="92">
        <f t="shared" si="436"/>
        <v>3.8764458002008293E+19</v>
      </c>
      <c r="I450" s="92">
        <f t="shared" si="436"/>
        <v>10000000</v>
      </c>
      <c r="J450" s="92">
        <f t="shared" si="436"/>
        <v>4481.1158480346585</v>
      </c>
      <c r="K450" s="92">
        <f t="shared" si="436"/>
        <v>3181.5548647682826</v>
      </c>
      <c r="L450" s="92">
        <f t="shared" si="436"/>
        <v>2710.2185258489567</v>
      </c>
      <c r="M450" s="92">
        <f t="shared" si="436"/>
        <v>2324.6967439739478</v>
      </c>
      <c r="N450" s="92">
        <f t="shared" si="436"/>
        <v>1672.2844115065361</v>
      </c>
      <c r="O450" s="92">
        <f t="shared" si="436"/>
        <v>285.62091448863987</v>
      </c>
      <c r="P450" s="92">
        <f t="shared" si="436"/>
        <v>229.22768516622719</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2.2579522563232808E-4</v>
      </c>
      <c r="C451" s="92">
        <f t="shared" si="436"/>
        <v>5.8409182347777069</v>
      </c>
      <c r="D451" s="92">
        <f t="shared" si="436"/>
        <v>1591.5080880730009</v>
      </c>
      <c r="E451" s="92">
        <f t="shared" si="436"/>
        <v>239467.11564709892</v>
      </c>
      <c r="F451" s="92">
        <f t="shared" si="436"/>
        <v>100000000</v>
      </c>
      <c r="G451" s="92">
        <f t="shared" si="436"/>
        <v>373000305551234.75</v>
      </c>
      <c r="H451" s="92">
        <f t="shared" si="436"/>
        <v>3.8764458002008297E+20</v>
      </c>
      <c r="I451" s="92">
        <f t="shared" si="436"/>
        <v>100000000</v>
      </c>
      <c r="J451" s="92">
        <f t="shared" si="436"/>
        <v>4122.5449332073522</v>
      </c>
      <c r="K451" s="92">
        <f t="shared" si="436"/>
        <v>2948.4803768016395</v>
      </c>
      <c r="L451" s="92">
        <f t="shared" si="436"/>
        <v>2516.1939727894755</v>
      </c>
      <c r="M451" s="92">
        <f t="shared" si="436"/>
        <v>2110.9011240283112</v>
      </c>
      <c r="N451" s="92">
        <f t="shared" si="436"/>
        <v>1384.5529744446492</v>
      </c>
      <c r="O451" s="92">
        <f t="shared" si="436"/>
        <v>264.72815066208511</v>
      </c>
      <c r="P451" s="92">
        <f t="shared" si="436"/>
        <v>227.25322776524877</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2.2579522563232809E-3</v>
      </c>
      <c r="C452" s="92">
        <f t="shared" si="436"/>
        <v>58.409182347777069</v>
      </c>
      <c r="D452" s="92">
        <f t="shared" si="436"/>
        <v>15915.080880730009</v>
      </c>
      <c r="E452" s="92">
        <f t="shared" si="436"/>
        <v>2394671.1564709893</v>
      </c>
      <c r="F452" s="92">
        <f t="shared" si="436"/>
        <v>1000000000</v>
      </c>
      <c r="G452" s="92">
        <f t="shared" si="436"/>
        <v>3730003055512347.5</v>
      </c>
      <c r="H452" s="92">
        <f t="shared" si="436"/>
        <v>3.8764458002008297E+21</v>
      </c>
      <c r="I452" s="92">
        <f t="shared" si="436"/>
        <v>1000000000</v>
      </c>
      <c r="J452" s="92">
        <f t="shared" si="436"/>
        <v>3817.2358932466136</v>
      </c>
      <c r="K452" s="92">
        <f t="shared" si="436"/>
        <v>2756.8500477108341</v>
      </c>
      <c r="L452" s="92">
        <f t="shared" si="436"/>
        <v>2320.7205267001218</v>
      </c>
      <c r="M452" s="92">
        <f t="shared" si="436"/>
        <v>1889.1026777393556</v>
      </c>
      <c r="N452" s="92">
        <f t="shared" si="436"/>
        <v>1075.4259318118629</v>
      </c>
      <c r="O452" s="92">
        <f t="shared" si="436"/>
        <v>251.4133849928937</v>
      </c>
      <c r="P452" s="92">
        <f t="shared" si="436"/>
        <v>225.80080804948139</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2.2579522563232809E-2</v>
      </c>
      <c r="C453" s="92">
        <f t="shared" si="436"/>
        <v>584.09182347777073</v>
      </c>
      <c r="D453" s="92">
        <f t="shared" si="436"/>
        <v>159150.80880730008</v>
      </c>
      <c r="E453" s="92">
        <f t="shared" si="436"/>
        <v>23946711.564709894</v>
      </c>
      <c r="F453" s="92">
        <f t="shared" si="436"/>
        <v>10000000000</v>
      </c>
      <c r="G453" s="92">
        <f t="shared" si="436"/>
        <v>3.7300030555123472E+16</v>
      </c>
      <c r="H453" s="92">
        <f t="shared" si="436"/>
        <v>3.8764458002008295E+22</v>
      </c>
      <c r="I453" s="92">
        <f t="shared" si="436"/>
        <v>10000000000</v>
      </c>
      <c r="J453" s="92">
        <f t="shared" si="436"/>
        <v>3538.1243513228083</v>
      </c>
      <c r="K453" s="92">
        <f t="shared" si="436"/>
        <v>2584.3195539777521</v>
      </c>
      <c r="L453" s="92">
        <f t="shared" si="436"/>
        <v>2127.9207460173989</v>
      </c>
      <c r="M453" s="92">
        <f t="shared" si="436"/>
        <v>1651.1191781124999</v>
      </c>
      <c r="N453" s="92">
        <f t="shared" si="436"/>
        <v>780.58970474439741</v>
      </c>
      <c r="O453" s="92">
        <f t="shared" si="436"/>
        <v>244.9280851953373</v>
      </c>
      <c r="P453" s="92">
        <f t="shared" si="436"/>
        <v>225.33034168462086</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0.22579522563232807</v>
      </c>
      <c r="C454" s="92">
        <f t="shared" si="437"/>
        <v>5840.9182347777069</v>
      </c>
      <c r="D454" s="92">
        <f t="shared" si="437"/>
        <v>1591508.088073001</v>
      </c>
      <c r="E454" s="92">
        <f t="shared" si="437"/>
        <v>239467115.64709893</v>
      </c>
      <c r="F454" s="92">
        <f t="shared" si="437"/>
        <v>100000000000</v>
      </c>
      <c r="G454" s="92">
        <f t="shared" si="437"/>
        <v>3.7300030555123475E+17</v>
      </c>
      <c r="H454" s="92">
        <f t="shared" si="437"/>
        <v>3.8764458002008298E+23</v>
      </c>
      <c r="I454" s="92">
        <f t="shared" si="437"/>
        <v>100000000000</v>
      </c>
      <c r="J454" s="92">
        <f t="shared" si="437"/>
        <v>3290.7224886526956</v>
      </c>
      <c r="K454" s="92">
        <f t="shared" si="437"/>
        <v>2421.6530544164675</v>
      </c>
      <c r="L454" s="92">
        <f t="shared" si="437"/>
        <v>1922.2915507959665</v>
      </c>
      <c r="M454" s="92">
        <f t="shared" si="437"/>
        <v>1380.4414853809117</v>
      </c>
      <c r="N454" s="92">
        <f t="shared" si="437"/>
        <v>548.72899064067769</v>
      </c>
      <c r="O454" s="92">
        <f t="shared" si="437"/>
        <v>233.30697275617146</v>
      </c>
      <c r="P454" s="92">
        <f t="shared" si="437"/>
        <v>224.04934964747176</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2.2579522563232808</v>
      </c>
      <c r="C455" s="92">
        <f t="shared" si="437"/>
        <v>58409.182347777067</v>
      </c>
      <c r="D455" s="92">
        <f t="shared" si="437"/>
        <v>15915080.880730009</v>
      </c>
      <c r="E455" s="92">
        <f t="shared" si="437"/>
        <v>2394671156.4709892</v>
      </c>
      <c r="F455" s="92">
        <f t="shared" si="437"/>
        <v>1000000000000</v>
      </c>
      <c r="G455" s="92">
        <f t="shared" si="437"/>
        <v>3.7300030555123476E+18</v>
      </c>
      <c r="H455" s="92">
        <f t="shared" si="437"/>
        <v>3.8764458002008297E+24</v>
      </c>
      <c r="I455" s="92">
        <f t="shared" si="437"/>
        <v>1000000000000</v>
      </c>
      <c r="J455" s="92">
        <f t="shared" si="437"/>
        <v>3093.8724388968149</v>
      </c>
      <c r="K455" s="92">
        <f t="shared" si="437"/>
        <v>2247.3458364097887</v>
      </c>
      <c r="L455" s="92">
        <f t="shared" si="437"/>
        <v>1699.2357565810794</v>
      </c>
      <c r="M455" s="92">
        <f t="shared" si="437"/>
        <v>1081.4922585918935</v>
      </c>
      <c r="N455" s="92">
        <f t="shared" si="437"/>
        <v>398.73442150311388</v>
      </c>
      <c r="O455" s="92">
        <f t="shared" si="437"/>
        <v>224.93687178827099</v>
      </c>
      <c r="P455" s="92">
        <f t="shared" si="437"/>
        <v>223.9208158671365</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22.579522563232807</v>
      </c>
      <c r="C456" s="92">
        <f t="shared" si="437"/>
        <v>584091.82347777067</v>
      </c>
      <c r="D456" s="92">
        <f t="shared" si="437"/>
        <v>159150808.80730009</v>
      </c>
      <c r="E456" s="92">
        <f t="shared" si="437"/>
        <v>23946711564.709892</v>
      </c>
      <c r="F456" s="92">
        <f t="shared" si="437"/>
        <v>10000000000000</v>
      </c>
      <c r="G456" s="92">
        <f t="shared" si="437"/>
        <v>3.7300030555123474E+19</v>
      </c>
      <c r="H456" s="92">
        <f t="shared" si="437"/>
        <v>3.8764458002008293E+25</v>
      </c>
      <c r="I456" s="92">
        <f t="shared" si="437"/>
        <v>10000000000000</v>
      </c>
      <c r="J456" s="92">
        <f t="shared" si="437"/>
        <v>2931.1413264697503</v>
      </c>
      <c r="K456" s="92">
        <f t="shared" si="437"/>
        <v>2065.8673837563865</v>
      </c>
      <c r="L456" s="92">
        <f t="shared" si="437"/>
        <v>1442.431856366361</v>
      </c>
      <c r="M456" s="92">
        <f t="shared" si="437"/>
        <v>789.75528719390093</v>
      </c>
      <c r="N456" s="92">
        <f t="shared" si="437"/>
        <v>320.69011633427954</v>
      </c>
      <c r="O456" s="92">
        <f t="shared" si="437"/>
        <v>223.82239746478544</v>
      </c>
      <c r="P456" s="92">
        <f t="shared" si="437"/>
        <v>222.73926014927349</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225.79522563232808</v>
      </c>
      <c r="C457" s="92">
        <f t="shared" si="437"/>
        <v>5840918.2347777067</v>
      </c>
      <c r="D457" s="92">
        <f t="shared" si="437"/>
        <v>1591508088.0730009</v>
      </c>
      <c r="E457" s="92">
        <f t="shared" si="437"/>
        <v>239467115647.09894</v>
      </c>
      <c r="F457" s="92">
        <f t="shared" si="437"/>
        <v>100000000000000</v>
      </c>
      <c r="G457" s="92">
        <f t="shared" si="437"/>
        <v>3.7300030555123476E+20</v>
      </c>
      <c r="H457" s="92">
        <f t="shared" si="437"/>
        <v>3.8764458002008297E+26</v>
      </c>
      <c r="I457" s="92">
        <f t="shared" si="437"/>
        <v>100000000000000</v>
      </c>
      <c r="J457" s="92">
        <f t="shared" si="437"/>
        <v>2779.8842681758483</v>
      </c>
      <c r="K457" s="92">
        <f t="shared" si="437"/>
        <v>1865.1806498869187</v>
      </c>
      <c r="L457" s="92">
        <f t="shared" si="437"/>
        <v>1152.6742388142764</v>
      </c>
      <c r="M457" s="92">
        <f t="shared" si="437"/>
        <v>556.62130157468891</v>
      </c>
      <c r="N457" s="92">
        <f t="shared" si="437"/>
        <v>281.72273678924813</v>
      </c>
      <c r="O457" s="92">
        <f t="shared" si="437"/>
        <v>223.13699037774649</v>
      </c>
      <c r="P457" s="92">
        <f t="shared" si="437"/>
        <v>222.70233168577724</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2257.9522563232808</v>
      </c>
      <c r="C458" s="92">
        <f t="shared" si="437"/>
        <v>58409182.347777069</v>
      </c>
      <c r="D458" s="92">
        <f t="shared" si="437"/>
        <v>15915080880.730009</v>
      </c>
      <c r="E458" s="92">
        <f t="shared" si="437"/>
        <v>2394671156470.9893</v>
      </c>
      <c r="F458" s="92">
        <f t="shared" si="437"/>
        <v>1000000000000000</v>
      </c>
      <c r="G458" s="92">
        <f t="shared" si="437"/>
        <v>3.7300030555123477E+21</v>
      </c>
      <c r="H458" s="92">
        <f t="shared" si="437"/>
        <v>3.8764458002008294E+27</v>
      </c>
      <c r="I458" s="92">
        <f t="shared" si="437"/>
        <v>1000000000000000</v>
      </c>
      <c r="J458" s="92">
        <f t="shared" si="437"/>
        <v>2643.7410706701139</v>
      </c>
      <c r="K458" s="92">
        <f t="shared" si="437"/>
        <v>1641.3251688004455</v>
      </c>
      <c r="L458" s="92">
        <f t="shared" si="437"/>
        <v>856.60079316828069</v>
      </c>
      <c r="M458" s="92">
        <f t="shared" si="437"/>
        <v>403.21517792249892</v>
      </c>
      <c r="N458" s="92">
        <f t="shared" si="437"/>
        <v>262.32128706515465</v>
      </c>
      <c r="O458" s="92">
        <f t="shared" si="437"/>
        <v>223.02569814244063</v>
      </c>
      <c r="P458" s="92">
        <f t="shared" si="437"/>
        <v>222.39987665575754</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38" zoomScale="110" zoomScaleNormal="110" workbookViewId="0">
      <selection activeCell="B140" sqref="B140"/>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-16.646285245331583</v>
      </c>
      <c r="C4" s="10">
        <f>LOG10('Mastercurve bestimmen'!C438)</f>
        <v>-12.233518873272958</v>
      </c>
      <c r="D4" s="10">
        <f>LOG10('Mastercurve bestimmen'!D438)</f>
        <v>-9.7981911499449268</v>
      </c>
      <c r="E4" s="10">
        <f>LOG10('Mastercurve bestimmen'!E438)</f>
        <v>-7.6207541167945125</v>
      </c>
      <c r="F4" s="10">
        <f>LOG10('Mastercurve bestimmen'!F438)</f>
        <v>-5</v>
      </c>
      <c r="G4" s="10">
        <f>LOG10('Mastercurve bestimmen'!G438)</f>
        <v>1.5717091875705129</v>
      </c>
      <c r="H4" s="10">
        <f>LOG10('Mastercurve bestimmen'!H438)</f>
        <v>7.5884337161171462</v>
      </c>
      <c r="I4" s="3">
        <f>'Mastercurve bestimmen'!I438</f>
        <v>1.0000000000000001E-5</v>
      </c>
      <c r="J4" s="3">
        <f>'Mastercurve bestimmen'!J438</f>
        <v>6236.6931020367429</v>
      </c>
      <c r="K4" s="3">
        <f>'Mastercurve bestimmen'!K438</f>
        <v>5832.266903330059</v>
      </c>
      <c r="L4" s="3">
        <f>'Mastercurve bestimmen'!L438</f>
        <v>5468.7266553730897</v>
      </c>
      <c r="M4" s="3">
        <f>'Mastercurve bestimmen'!M438</f>
        <v>5102.6301031593184</v>
      </c>
      <c r="N4" s="3">
        <f>'Mastercurve bestimmen'!N438</f>
        <v>4570.6221718948836</v>
      </c>
      <c r="O4" s="3">
        <f>'Mastercurve bestimmen'!O438</f>
        <v>3187.0619417508151</v>
      </c>
      <c r="P4" s="3">
        <f>'Mastercurve bestimmen'!P438</f>
        <v>1513.9966699513473</v>
      </c>
      <c r="Q4" s="3"/>
    </row>
    <row r="5" spans="1:17" x14ac:dyDescent="0.25">
      <c r="A5" s="10">
        <f>LOG10('Mastercurve bestimmen'!A439)</f>
        <v>-4</v>
      </c>
      <c r="B5" s="10">
        <f>LOG10('Mastercurve bestimmen'!B439)</f>
        <v>-15.646285245331581</v>
      </c>
      <c r="C5" s="10">
        <f>LOG10('Mastercurve bestimmen'!C439)</f>
        <v>-11.233518873272958</v>
      </c>
      <c r="D5" s="10">
        <f>LOG10('Mastercurve bestimmen'!D439)</f>
        <v>-8.7981911499449268</v>
      </c>
      <c r="E5" s="10">
        <f>LOG10('Mastercurve bestimmen'!E439)</f>
        <v>-6.6207541167945116</v>
      </c>
      <c r="F5" s="10">
        <f>LOG10('Mastercurve bestimmen'!F439)</f>
        <v>-4</v>
      </c>
      <c r="G5" s="10">
        <f>LOG10('Mastercurve bestimmen'!G439)</f>
        <v>2.5717091875705131</v>
      </c>
      <c r="H5" s="10">
        <f>LOG10('Mastercurve bestimmen'!H439)</f>
        <v>8.5884337161171462</v>
      </c>
      <c r="I5" s="3">
        <f>'Mastercurve bestimmen'!I439</f>
        <v>1E-4</v>
      </c>
      <c r="J5" s="3">
        <f>'Mastercurve bestimmen'!J439</f>
        <v>6236.5527005203321</v>
      </c>
      <c r="K5" s="3">
        <f>'Mastercurve bestimmen'!K439</f>
        <v>5718.4883971282225</v>
      </c>
      <c r="L5" s="3">
        <f>'Mastercurve bestimmen'!L439</f>
        <v>5319.6907361616632</v>
      </c>
      <c r="M5" s="3">
        <f>'Mastercurve bestimmen'!M439</f>
        <v>4935.1703334559215</v>
      </c>
      <c r="N5" s="3">
        <f>'Mastercurve bestimmen'!N439</f>
        <v>4355.6121901289935</v>
      </c>
      <c r="O5" s="3">
        <f>'Mastercurve bestimmen'!O439</f>
        <v>2996.966538971345</v>
      </c>
      <c r="P5" s="3">
        <f>'Mastercurve bestimmen'!P439</f>
        <v>1130.1912363654051</v>
      </c>
    </row>
    <row r="6" spans="1:17" x14ac:dyDescent="0.25">
      <c r="A6" s="10">
        <f>LOG10('Mastercurve bestimmen'!A440)</f>
        <v>-3</v>
      </c>
      <c r="B6" s="10">
        <f>LOG10('Mastercurve bestimmen'!B440)</f>
        <v>-14.646285245331581</v>
      </c>
      <c r="C6" s="10">
        <f>LOG10('Mastercurve bestimmen'!C440)</f>
        <v>-10.233518873272958</v>
      </c>
      <c r="D6" s="10">
        <f>LOG10('Mastercurve bestimmen'!D440)</f>
        <v>-7.7981911499449277</v>
      </c>
      <c r="E6" s="10">
        <f>LOG10('Mastercurve bestimmen'!E440)</f>
        <v>-5.6207541167945125</v>
      </c>
      <c r="F6" s="10">
        <f>LOG10('Mastercurve bestimmen'!F440)</f>
        <v>-3</v>
      </c>
      <c r="G6" s="10">
        <f>LOG10('Mastercurve bestimmen'!G440)</f>
        <v>3.5717091875705131</v>
      </c>
      <c r="H6" s="10">
        <f>LOG10('Mastercurve bestimmen'!H440)</f>
        <v>9.5884337161171462</v>
      </c>
      <c r="I6" s="3">
        <f>'Mastercurve bestimmen'!I440</f>
        <v>1E-3</v>
      </c>
      <c r="J6" s="3">
        <f>'Mastercurve bestimmen'!J440</f>
        <v>6235.1590077245392</v>
      </c>
      <c r="K6" s="3">
        <f>'Mastercurve bestimmen'!K440</f>
        <v>5590.6777193321577</v>
      </c>
      <c r="L6" s="3">
        <f>'Mastercurve bestimmen'!L440</f>
        <v>5157.813288998067</v>
      </c>
      <c r="M6" s="3">
        <f>'Mastercurve bestimmen'!M440</f>
        <v>4773.9141111745284</v>
      </c>
      <c r="N6" s="3">
        <f>'Mastercurve bestimmen'!N440</f>
        <v>4128.400911796266</v>
      </c>
      <c r="O6" s="3">
        <f>'Mastercurve bestimmen'!O440</f>
        <v>2785.0882808530132</v>
      </c>
      <c r="P6" s="3">
        <f>'Mastercurve bestimmen'!P440</f>
        <v>797.41301356348504</v>
      </c>
    </row>
    <row r="7" spans="1:17" x14ac:dyDescent="0.25">
      <c r="A7" s="10">
        <f>LOG10('Mastercurve bestimmen'!A441)</f>
        <v>-2</v>
      </c>
      <c r="B7" s="10">
        <f>LOG10('Mastercurve bestimmen'!B441)</f>
        <v>-13.646285245331581</v>
      </c>
      <c r="C7" s="10">
        <f>LOG10('Mastercurve bestimmen'!C441)</f>
        <v>-9.2335188732729581</v>
      </c>
      <c r="D7" s="10">
        <f>LOG10('Mastercurve bestimmen'!D441)</f>
        <v>-6.7981911499449268</v>
      </c>
      <c r="E7" s="10">
        <f>LOG10('Mastercurve bestimmen'!E441)</f>
        <v>-4.6207541167945116</v>
      </c>
      <c r="F7" s="10">
        <f>LOG10('Mastercurve bestimmen'!F441)</f>
        <v>-2</v>
      </c>
      <c r="G7" s="10">
        <f>LOG10('Mastercurve bestimmen'!G441)</f>
        <v>4.5717091875705131</v>
      </c>
      <c r="H7" s="10">
        <f>LOG10('Mastercurve bestimmen'!H441)</f>
        <v>10.588433716117146</v>
      </c>
      <c r="I7" s="3">
        <f>'Mastercurve bestimmen'!I441</f>
        <v>0.01</v>
      </c>
      <c r="J7" s="3">
        <f>'Mastercurve bestimmen'!J441</f>
        <v>6221.8566314570962</v>
      </c>
      <c r="K7" s="3">
        <f>'Mastercurve bestimmen'!K441</f>
        <v>5455.5326764024039</v>
      </c>
      <c r="L7" s="3">
        <f>'Mastercurve bestimmen'!L441</f>
        <v>4988.4254277432274</v>
      </c>
      <c r="M7" s="3">
        <f>'Mastercurve bestimmen'!M441</f>
        <v>4598.1434168288733</v>
      </c>
      <c r="N7" s="3">
        <f>'Mastercurve bestimmen'!N441</f>
        <v>3931.0953121014495</v>
      </c>
      <c r="O7" s="3">
        <f>'Mastercurve bestimmen'!O441</f>
        <v>2548.6636373493402</v>
      </c>
      <c r="P7" s="3">
        <f>'Mastercurve bestimmen'!P441</f>
        <v>558.94090982101648</v>
      </c>
    </row>
    <row r="8" spans="1:17" x14ac:dyDescent="0.25">
      <c r="A8" s="10">
        <f>LOG10('Mastercurve bestimmen'!A442)</f>
        <v>-1</v>
      </c>
      <c r="B8" s="10">
        <f>LOG10('Mastercurve bestimmen'!B442)</f>
        <v>-12.646285245331581</v>
      </c>
      <c r="C8" s="10">
        <f>LOG10('Mastercurve bestimmen'!C442)</f>
        <v>-8.2335188732729581</v>
      </c>
      <c r="D8" s="10">
        <f>LOG10('Mastercurve bestimmen'!D442)</f>
        <v>-5.7981911499449268</v>
      </c>
      <c r="E8" s="10">
        <f>LOG10('Mastercurve bestimmen'!E442)</f>
        <v>-3.6207541167945121</v>
      </c>
      <c r="F8" s="10">
        <f>LOG10('Mastercurve bestimmen'!F442)</f>
        <v>-1</v>
      </c>
      <c r="G8" s="10">
        <f>LOG10('Mastercurve bestimmen'!G442)</f>
        <v>5.5717091875705131</v>
      </c>
      <c r="H8" s="10">
        <f>LOG10('Mastercurve bestimmen'!H442)</f>
        <v>11.588433716117146</v>
      </c>
      <c r="I8" s="3">
        <f>'Mastercurve bestimmen'!I442</f>
        <v>0.1</v>
      </c>
      <c r="J8" s="3">
        <f>'Mastercurve bestimmen'!J442</f>
        <v>6125.5353779175648</v>
      </c>
      <c r="K8" s="3">
        <f>'Mastercurve bestimmen'!K442</f>
        <v>5303.027474748983</v>
      </c>
      <c r="L8" s="3">
        <f>'Mastercurve bestimmen'!L442</f>
        <v>4826.1776287086414</v>
      </c>
      <c r="M8" s="3">
        <f>'Mastercurve bestimmen'!M442</f>
        <v>4383.948625533154</v>
      </c>
      <c r="N8" s="3">
        <f>'Mastercurve bestimmen'!N442</f>
        <v>3756.0498426526324</v>
      </c>
      <c r="O8" s="3">
        <f>'Mastercurve bestimmen'!O442</f>
        <v>2277.7712640750647</v>
      </c>
      <c r="P8" s="3">
        <f>'Mastercurve bestimmen'!P442</f>
        <v>422.14623536379804</v>
      </c>
    </row>
    <row r="9" spans="1:17" x14ac:dyDescent="0.25">
      <c r="A9" s="10">
        <f>LOG10('Mastercurve bestimmen'!A443)</f>
        <v>0</v>
      </c>
      <c r="B9" s="10">
        <f>LOG10('Mastercurve bestimmen'!B443)</f>
        <v>-11.646285245331581</v>
      </c>
      <c r="C9" s="10">
        <f>LOG10('Mastercurve bestimmen'!C443)</f>
        <v>-7.2335188732729581</v>
      </c>
      <c r="D9" s="10">
        <f>LOG10('Mastercurve bestimmen'!D443)</f>
        <v>-4.7981911499449268</v>
      </c>
      <c r="E9" s="10">
        <f>LOG10('Mastercurve bestimmen'!E443)</f>
        <v>-2.6207541167945121</v>
      </c>
      <c r="F9" s="10">
        <f>LOG10('Mastercurve bestimmen'!F443)</f>
        <v>0</v>
      </c>
      <c r="G9" s="10">
        <f>LOG10('Mastercurve bestimmen'!G443)</f>
        <v>6.5717091875705131</v>
      </c>
      <c r="H9" s="10">
        <f>LOG10('Mastercurve bestimmen'!H443)</f>
        <v>12.588433716117146</v>
      </c>
      <c r="I9" s="3">
        <f>'Mastercurve bestimmen'!I443</f>
        <v>1</v>
      </c>
      <c r="J9" s="3">
        <f>'Mastercurve bestimmen'!J443</f>
        <v>5957.8557354462564</v>
      </c>
      <c r="K9" s="3">
        <f>'Mastercurve bestimmen'!K443</f>
        <v>5138.2826367857815</v>
      </c>
      <c r="L9" s="3">
        <f>'Mastercurve bestimmen'!L443</f>
        <v>4657.2476007324067</v>
      </c>
      <c r="M9" s="3">
        <f>'Mastercurve bestimmen'!M443</f>
        <v>4152.9128127042486</v>
      </c>
      <c r="N9" s="3">
        <f>'Mastercurve bestimmen'!N443</f>
        <v>3572.9092141735305</v>
      </c>
      <c r="O9" s="3">
        <f>'Mastercurve bestimmen'!O443</f>
        <v>1945.3918502755284</v>
      </c>
      <c r="P9" s="3">
        <f>'Mastercurve bestimmen'!P443</f>
        <v>350.78880475369743</v>
      </c>
    </row>
    <row r="10" spans="1:17" x14ac:dyDescent="0.25">
      <c r="A10" s="10">
        <f>LOG10('Mastercurve bestimmen'!A444)</f>
        <v>1</v>
      </c>
      <c r="B10" s="10">
        <f>LOG10('Mastercurve bestimmen'!B444)</f>
        <v>-10.646285245331581</v>
      </c>
      <c r="C10" s="10">
        <f>LOG10('Mastercurve bestimmen'!C444)</f>
        <v>-6.2335188732729581</v>
      </c>
      <c r="D10" s="10">
        <f>LOG10('Mastercurve bestimmen'!D444)</f>
        <v>-3.7981911499449272</v>
      </c>
      <c r="E10" s="10">
        <f>LOG10('Mastercurve bestimmen'!E444)</f>
        <v>-1.6207541167945121</v>
      </c>
      <c r="F10" s="10">
        <f>LOG10('Mastercurve bestimmen'!F444)</f>
        <v>1</v>
      </c>
      <c r="G10" s="10">
        <f>LOG10('Mastercurve bestimmen'!G444)</f>
        <v>7.5717091875705131</v>
      </c>
      <c r="H10" s="10">
        <f>LOG10('Mastercurve bestimmen'!H444)</f>
        <v>13.588433716117146</v>
      </c>
      <c r="I10" s="3">
        <f>'Mastercurve bestimmen'!I444</f>
        <v>10</v>
      </c>
      <c r="J10" s="3">
        <f>'Mastercurve bestimmen'!J444</f>
        <v>5841.9046732349807</v>
      </c>
      <c r="K10" s="3">
        <f>'Mastercurve bestimmen'!K444</f>
        <v>4968.6771751633605</v>
      </c>
      <c r="L10" s="3">
        <f>'Mastercurve bestimmen'!L444</f>
        <v>4447.8021820917502</v>
      </c>
      <c r="M10" s="3">
        <f>'Mastercurve bestimmen'!M444</f>
        <v>3937.3787582645855</v>
      </c>
      <c r="N10" s="3">
        <f>'Mastercurve bestimmen'!N444</f>
        <v>3356.1944513859066</v>
      </c>
      <c r="O10" s="3">
        <f>'Mastercurve bestimmen'!O444</f>
        <v>1547.0547031117155</v>
      </c>
      <c r="P10" s="3">
        <f>'Mastercurve bestimmen'!P444</f>
        <v>315.13341803519359</v>
      </c>
    </row>
    <row r="11" spans="1:17" x14ac:dyDescent="0.25">
      <c r="A11" s="10">
        <f>LOG10('Mastercurve bestimmen'!A445)</f>
        <v>2</v>
      </c>
      <c r="B11" s="10">
        <f>LOG10('Mastercurve bestimmen'!B445)</f>
        <v>-9.6462852453315815</v>
      </c>
      <c r="C11" s="10">
        <f>LOG10('Mastercurve bestimmen'!C445)</f>
        <v>-5.2335188732729581</v>
      </c>
      <c r="D11" s="10">
        <f>LOG10('Mastercurve bestimmen'!D445)</f>
        <v>-2.7981911499449272</v>
      </c>
      <c r="E11" s="10">
        <f>LOG10('Mastercurve bestimmen'!E445)</f>
        <v>-0.62075411679451209</v>
      </c>
      <c r="F11" s="10">
        <f>LOG10('Mastercurve bestimmen'!F445)</f>
        <v>2</v>
      </c>
      <c r="G11" s="10">
        <f>LOG10('Mastercurve bestimmen'!G445)</f>
        <v>8.5717091875705123</v>
      </c>
      <c r="H11" s="10">
        <f>LOG10('Mastercurve bestimmen'!H445)</f>
        <v>14.588433716117146</v>
      </c>
      <c r="I11" s="3">
        <f>'Mastercurve bestimmen'!I445</f>
        <v>100</v>
      </c>
      <c r="J11" s="3">
        <f>'Mastercurve bestimmen'!J445</f>
        <v>5724.8371546354174</v>
      </c>
      <c r="K11" s="3">
        <f>'Mastercurve bestimmen'!K445</f>
        <v>4801.9058791873949</v>
      </c>
      <c r="L11" s="3">
        <f>'Mastercurve bestimmen'!L445</f>
        <v>4189.6330379426572</v>
      </c>
      <c r="M11" s="3">
        <f>'Mastercurve bestimmen'!M445</f>
        <v>3687.7590044854528</v>
      </c>
      <c r="N11" s="3">
        <f>'Mastercurve bestimmen'!N445</f>
        <v>3066.2657883339552</v>
      </c>
      <c r="O11" s="3">
        <f>'Mastercurve bestimmen'!O445</f>
        <v>1144.6630604809154</v>
      </c>
      <c r="P11" s="3">
        <f>'Mastercurve bestimmen'!P445</f>
        <v>290.52342792543726</v>
      </c>
    </row>
    <row r="12" spans="1:17" x14ac:dyDescent="0.25">
      <c r="A12" s="10">
        <f>LOG10('Mastercurve bestimmen'!A446)</f>
        <v>3</v>
      </c>
      <c r="B12" s="10">
        <f>LOG10('Mastercurve bestimmen'!B446)</f>
        <v>-8.6462852453315815</v>
      </c>
      <c r="C12" s="10">
        <f>LOG10('Mastercurve bestimmen'!C446)</f>
        <v>-4.2335188732729581</v>
      </c>
      <c r="D12" s="10">
        <f>LOG10('Mastercurve bestimmen'!D446)</f>
        <v>-1.7981911499449272</v>
      </c>
      <c r="E12" s="10">
        <f>LOG10('Mastercurve bestimmen'!E446)</f>
        <v>0.37924588320548785</v>
      </c>
      <c r="F12" s="10">
        <f>LOG10('Mastercurve bestimmen'!F446)</f>
        <v>3</v>
      </c>
      <c r="G12" s="10">
        <f>LOG10('Mastercurve bestimmen'!G446)</f>
        <v>9.5717091875705123</v>
      </c>
      <c r="H12" s="10">
        <f>LOG10('Mastercurve bestimmen'!H446)</f>
        <v>15.588433716117146</v>
      </c>
      <c r="I12" s="3">
        <f>'Mastercurve bestimmen'!I446</f>
        <v>1000</v>
      </c>
      <c r="J12" s="3">
        <f>'Mastercurve bestimmen'!J446</f>
        <v>5594.9864087709147</v>
      </c>
      <c r="K12" s="3">
        <f>'Mastercurve bestimmen'!K446</f>
        <v>4591.6968686621467</v>
      </c>
      <c r="L12" s="3">
        <f>'Mastercurve bestimmen'!L446</f>
        <v>3869.887397775818</v>
      </c>
      <c r="M12" s="3">
        <f>'Mastercurve bestimmen'!M446</f>
        <v>3362.1408606761684</v>
      </c>
      <c r="N12" s="3">
        <f>'Mastercurve bestimmen'!N446</f>
        <v>2758.9237309250375</v>
      </c>
      <c r="O12" s="3">
        <f>'Mastercurve bestimmen'!O446</f>
        <v>800.03144169281939</v>
      </c>
      <c r="P12" s="3">
        <f>'Mastercurve bestimmen'!P446</f>
        <v>272.57314075796921</v>
      </c>
    </row>
    <row r="13" spans="1:17" x14ac:dyDescent="0.25">
      <c r="A13" s="10">
        <f>LOG10('Mastercurve bestimmen'!A447)</f>
        <v>4</v>
      </c>
      <c r="B13" s="10">
        <f>LOG10('Mastercurve bestimmen'!B447)</f>
        <v>-7.6462852453315815</v>
      </c>
      <c r="C13" s="10">
        <f>LOG10('Mastercurve bestimmen'!C447)</f>
        <v>-3.2335188732729581</v>
      </c>
      <c r="D13" s="10">
        <f>LOG10('Mastercurve bestimmen'!D447)</f>
        <v>-0.79819114994492724</v>
      </c>
      <c r="E13" s="10">
        <f>LOG10('Mastercurve bestimmen'!E447)</f>
        <v>1.3792458832054879</v>
      </c>
      <c r="F13" s="10">
        <f>LOG10('Mastercurve bestimmen'!F447)</f>
        <v>4</v>
      </c>
      <c r="G13" s="10">
        <f>LOG10('Mastercurve bestimmen'!G447)</f>
        <v>10.571709187570512</v>
      </c>
      <c r="H13" s="10">
        <f>LOG10('Mastercurve bestimmen'!H447)</f>
        <v>16.588433716117144</v>
      </c>
      <c r="I13" s="3">
        <f>'Mastercurve bestimmen'!I447</f>
        <v>10000</v>
      </c>
      <c r="J13" s="3">
        <f>'Mastercurve bestimmen'!J447</f>
        <v>5449.107992075601</v>
      </c>
      <c r="K13" s="3">
        <f>'Mastercurve bestimmen'!K447</f>
        <v>4244.316229983926</v>
      </c>
      <c r="L13" s="3">
        <f>'Mastercurve bestimmen'!L447</f>
        <v>3525.2708334642716</v>
      </c>
      <c r="M13" s="3">
        <f>'Mastercurve bestimmen'!M447</f>
        <v>3051.8261997186564</v>
      </c>
      <c r="N13" s="3">
        <f>'Mastercurve bestimmen'!N447</f>
        <v>2465.267862411738</v>
      </c>
      <c r="O13" s="3">
        <f>'Mastercurve bestimmen'!O447</f>
        <v>550.37343151827611</v>
      </c>
      <c r="P13" s="3">
        <f>'Mastercurve bestimmen'!P447</f>
        <v>260.41060204475895</v>
      </c>
    </row>
    <row r="14" spans="1:17" x14ac:dyDescent="0.25">
      <c r="A14" s="10">
        <f>LOG10('Mastercurve bestimmen'!A448)</f>
        <v>5</v>
      </c>
      <c r="B14" s="10">
        <f>LOG10('Mastercurve bestimmen'!B448)</f>
        <v>-6.6462852453315815</v>
      </c>
      <c r="C14" s="10">
        <f>LOG10('Mastercurve bestimmen'!C448)</f>
        <v>-2.2335188732729581</v>
      </c>
      <c r="D14" s="10">
        <f>LOG10('Mastercurve bestimmen'!D448)</f>
        <v>0.20180885005507274</v>
      </c>
      <c r="E14" s="10">
        <f>LOG10('Mastercurve bestimmen'!E448)</f>
        <v>2.3792458832054879</v>
      </c>
      <c r="F14" s="10">
        <f>LOG10('Mastercurve bestimmen'!F448)</f>
        <v>5</v>
      </c>
      <c r="G14" s="10">
        <f>LOG10('Mastercurve bestimmen'!G448)</f>
        <v>11.571709187570512</v>
      </c>
      <c r="H14" s="10">
        <f>LOG10('Mastercurve bestimmen'!H448)</f>
        <v>17.588433716117144</v>
      </c>
      <c r="I14" s="3">
        <f>'Mastercurve bestimmen'!I448</f>
        <v>100000</v>
      </c>
      <c r="J14" s="3">
        <f>'Mastercurve bestimmen'!J448</f>
        <v>5238.9471208339255</v>
      </c>
      <c r="K14" s="3">
        <f>'Mastercurve bestimmen'!K448</f>
        <v>3822.3596155431378</v>
      </c>
      <c r="L14" s="3">
        <f>'Mastercurve bestimmen'!L448</f>
        <v>3199.7360053237758</v>
      </c>
      <c r="M14" s="3">
        <f>'Mastercurve bestimmen'!M448</f>
        <v>2781.8342661671418</v>
      </c>
      <c r="N14" s="3">
        <f>'Mastercurve bestimmen'!N448</f>
        <v>2197.1478961266816</v>
      </c>
      <c r="O14" s="3">
        <f>'Mastercurve bestimmen'!O448</f>
        <v>400.38950806520603</v>
      </c>
      <c r="P14" s="3">
        <f>'Mastercurve bestimmen'!P448</f>
        <v>241.23114118692146</v>
      </c>
    </row>
    <row r="15" spans="1:17" x14ac:dyDescent="0.25">
      <c r="A15" s="10">
        <f>LOG10('Mastercurve bestimmen'!A449)</f>
        <v>6</v>
      </c>
      <c r="B15" s="10">
        <f>LOG10('Mastercurve bestimmen'!B449)</f>
        <v>-5.6462852453315824</v>
      </c>
      <c r="C15" s="10">
        <f>LOG10('Mastercurve bestimmen'!C449)</f>
        <v>-1.2335188732729578</v>
      </c>
      <c r="D15" s="10">
        <f>LOG10('Mastercurve bestimmen'!D449)</f>
        <v>1.2018088500550728</v>
      </c>
      <c r="E15" s="10">
        <f>LOG10('Mastercurve bestimmen'!E449)</f>
        <v>3.3792458832054879</v>
      </c>
      <c r="F15" s="10">
        <f>LOG10('Mastercurve bestimmen'!F449)</f>
        <v>6</v>
      </c>
      <c r="G15" s="10">
        <f>LOG10('Mastercurve bestimmen'!G449)</f>
        <v>12.571709187570512</v>
      </c>
      <c r="H15" s="10">
        <f>LOG10('Mastercurve bestimmen'!H449)</f>
        <v>18.588433716117144</v>
      </c>
      <c r="I15" s="3">
        <f>'Mastercurve bestimmen'!I449</f>
        <v>1000000</v>
      </c>
      <c r="J15" s="3">
        <f>'Mastercurve bestimmen'!J449</f>
        <v>4890.0199582671721</v>
      </c>
      <c r="K15" s="3">
        <f>'Mastercurve bestimmen'!K449</f>
        <v>3460.4449685337781</v>
      </c>
      <c r="L15" s="3">
        <f>'Mastercurve bestimmen'!L449</f>
        <v>2935.0143216958841</v>
      </c>
      <c r="M15" s="3">
        <f>'Mastercurve bestimmen'!M449</f>
        <v>2548.0002478694637</v>
      </c>
      <c r="N15" s="3">
        <f>'Mastercurve bestimmen'!N449</f>
        <v>1937.1917706499551</v>
      </c>
      <c r="O15" s="3">
        <f>'Mastercurve bestimmen'!O449</f>
        <v>323.43126641101793</v>
      </c>
      <c r="P15" s="3">
        <f>'Mastercurve bestimmen'!P449</f>
        <v>232.46309688187819</v>
      </c>
    </row>
    <row r="16" spans="1:17" x14ac:dyDescent="0.25">
      <c r="A16" s="10">
        <f>LOG10('Mastercurve bestimmen'!A450)</f>
        <v>7</v>
      </c>
      <c r="B16" s="10">
        <f>LOG10('Mastercurve bestimmen'!B450)</f>
        <v>-4.6462852453315815</v>
      </c>
      <c r="C16" s="10">
        <f>LOG10('Mastercurve bestimmen'!C450)</f>
        <v>-0.23351887327295792</v>
      </c>
      <c r="D16" s="10">
        <f>LOG10('Mastercurve bestimmen'!D450)</f>
        <v>2.2018088500550728</v>
      </c>
      <c r="E16" s="10">
        <f>LOG10('Mastercurve bestimmen'!E450)</f>
        <v>4.3792458832054884</v>
      </c>
      <c r="F16" s="10">
        <f>LOG10('Mastercurve bestimmen'!F450)</f>
        <v>7</v>
      </c>
      <c r="G16" s="10">
        <f>LOG10('Mastercurve bestimmen'!G450)</f>
        <v>13.571709187570512</v>
      </c>
      <c r="H16" s="10">
        <f>LOG10('Mastercurve bestimmen'!H450)</f>
        <v>19.588433716117144</v>
      </c>
      <c r="I16" s="3">
        <f>'Mastercurve bestimmen'!I450</f>
        <v>10000000</v>
      </c>
      <c r="J16" s="3">
        <f>'Mastercurve bestimmen'!J450</f>
        <v>4481.1158480346585</v>
      </c>
      <c r="K16" s="3">
        <f>'Mastercurve bestimmen'!K450</f>
        <v>3181.5548647682826</v>
      </c>
      <c r="L16" s="3">
        <f>'Mastercurve bestimmen'!L450</f>
        <v>2710.2185258489567</v>
      </c>
      <c r="M16" s="3">
        <f>'Mastercurve bestimmen'!M450</f>
        <v>2324.6967439739478</v>
      </c>
      <c r="N16" s="3">
        <f>'Mastercurve bestimmen'!N450</f>
        <v>1672.2844115065361</v>
      </c>
      <c r="O16" s="3">
        <f>'Mastercurve bestimmen'!O450</f>
        <v>285.62091448863987</v>
      </c>
      <c r="P16" s="3">
        <f>'Mastercurve bestimmen'!P450</f>
        <v>229.22768516622719</v>
      </c>
    </row>
    <row r="17" spans="1:16" x14ac:dyDescent="0.25">
      <c r="A17" s="10">
        <f>LOG10('Mastercurve bestimmen'!A451)</f>
        <v>8</v>
      </c>
      <c r="B17" s="10">
        <f>LOG10('Mastercurve bestimmen'!B451)</f>
        <v>-3.6462852453315819</v>
      </c>
      <c r="C17" s="10">
        <f>LOG10('Mastercurve bestimmen'!C451)</f>
        <v>0.76648112672704205</v>
      </c>
      <c r="D17" s="10">
        <f>LOG10('Mastercurve bestimmen'!D451)</f>
        <v>3.2018088500550728</v>
      </c>
      <c r="E17" s="10">
        <f>LOG10('Mastercurve bestimmen'!E451)</f>
        <v>5.3792458832054875</v>
      </c>
      <c r="F17" s="10">
        <f>LOG10('Mastercurve bestimmen'!F451)</f>
        <v>8</v>
      </c>
      <c r="G17" s="10">
        <f>LOG10('Mastercurve bestimmen'!G451)</f>
        <v>14.571709187570512</v>
      </c>
      <c r="H17" s="10">
        <f>LOG10('Mastercurve bestimmen'!H451)</f>
        <v>20.588433716117144</v>
      </c>
      <c r="I17" s="3">
        <f>'Mastercurve bestimmen'!I451</f>
        <v>100000000</v>
      </c>
      <c r="J17" s="3">
        <f>'Mastercurve bestimmen'!J451</f>
        <v>4122.5449332073522</v>
      </c>
      <c r="K17" s="3">
        <f>'Mastercurve bestimmen'!K451</f>
        <v>2948.4803768016395</v>
      </c>
      <c r="L17" s="3">
        <f>'Mastercurve bestimmen'!L451</f>
        <v>2516.1939727894755</v>
      </c>
      <c r="M17" s="3">
        <f>'Mastercurve bestimmen'!M451</f>
        <v>2110.9011240283112</v>
      </c>
      <c r="N17" s="3">
        <f>'Mastercurve bestimmen'!N451</f>
        <v>1384.5529744446492</v>
      </c>
      <c r="O17" s="3">
        <f>'Mastercurve bestimmen'!O451</f>
        <v>264.72815066208511</v>
      </c>
      <c r="P17" s="3">
        <f>'Mastercurve bestimmen'!P451</f>
        <v>227.25322776524877</v>
      </c>
    </row>
    <row r="18" spans="1:16" x14ac:dyDescent="0.25">
      <c r="A18" s="10">
        <f>LOG10('Mastercurve bestimmen'!A452)</f>
        <v>9</v>
      </c>
      <c r="B18" s="10">
        <f>LOG10('Mastercurve bestimmen'!B452)</f>
        <v>-2.6462852453315819</v>
      </c>
      <c r="C18" s="10">
        <f>LOG10('Mastercurve bestimmen'!C452)</f>
        <v>1.7664811267270422</v>
      </c>
      <c r="D18" s="10">
        <f>LOG10('Mastercurve bestimmen'!D452)</f>
        <v>4.2018088500550732</v>
      </c>
      <c r="E18" s="10">
        <f>LOG10('Mastercurve bestimmen'!E452)</f>
        <v>6.3792458832054875</v>
      </c>
      <c r="F18" s="10">
        <f>LOG10('Mastercurve bestimmen'!F452)</f>
        <v>9</v>
      </c>
      <c r="G18" s="10">
        <f>LOG10('Mastercurve bestimmen'!G452)</f>
        <v>15.571709187570512</v>
      </c>
      <c r="H18" s="10">
        <f>LOG10('Mastercurve bestimmen'!H452)</f>
        <v>21.588433716117144</v>
      </c>
      <c r="I18" s="3">
        <f>'Mastercurve bestimmen'!I452</f>
        <v>1000000000</v>
      </c>
      <c r="J18" s="3">
        <f>'Mastercurve bestimmen'!J452</f>
        <v>3817.2358932466136</v>
      </c>
      <c r="K18" s="3">
        <f>'Mastercurve bestimmen'!K452</f>
        <v>2756.8500477108341</v>
      </c>
      <c r="L18" s="3">
        <f>'Mastercurve bestimmen'!L452</f>
        <v>2320.7205267001218</v>
      </c>
      <c r="M18" s="3">
        <f>'Mastercurve bestimmen'!M452</f>
        <v>1889.1026777393556</v>
      </c>
      <c r="N18" s="3">
        <f>'Mastercurve bestimmen'!N452</f>
        <v>1075.4259318118629</v>
      </c>
      <c r="O18" s="3">
        <f>'Mastercurve bestimmen'!O452</f>
        <v>251.4133849928937</v>
      </c>
      <c r="P18" s="3">
        <f>'Mastercurve bestimmen'!P452</f>
        <v>225.80080804948139</v>
      </c>
    </row>
    <row r="19" spans="1:16" x14ac:dyDescent="0.25">
      <c r="A19" s="10">
        <f>LOG10('Mastercurve bestimmen'!A453)</f>
        <v>10</v>
      </c>
      <c r="B19" s="10">
        <f>LOG10('Mastercurve bestimmen'!B453)</f>
        <v>-1.6462852453315819</v>
      </c>
      <c r="C19" s="10">
        <f>LOG10('Mastercurve bestimmen'!C453)</f>
        <v>2.7664811267270419</v>
      </c>
      <c r="D19" s="10">
        <f>LOG10('Mastercurve bestimmen'!D453)</f>
        <v>5.2018088500550723</v>
      </c>
      <c r="E19" s="10">
        <f>LOG10('Mastercurve bestimmen'!E453)</f>
        <v>7.3792458832054875</v>
      </c>
      <c r="F19" s="10">
        <f>LOG10('Mastercurve bestimmen'!F453)</f>
        <v>10</v>
      </c>
      <c r="G19" s="10">
        <f>LOG10('Mastercurve bestimmen'!G453)</f>
        <v>16.571709187570512</v>
      </c>
      <c r="H19" s="10">
        <f>LOG10('Mastercurve bestimmen'!H453)</f>
        <v>22.588433716117144</v>
      </c>
      <c r="I19" s="3">
        <f>'Mastercurve bestimmen'!I453</f>
        <v>10000000000</v>
      </c>
      <c r="J19" s="3">
        <f>'Mastercurve bestimmen'!J453</f>
        <v>3538.1243513228083</v>
      </c>
      <c r="K19" s="3">
        <f>'Mastercurve bestimmen'!K453</f>
        <v>2584.3195539777521</v>
      </c>
      <c r="L19" s="3">
        <f>'Mastercurve bestimmen'!L453</f>
        <v>2127.9207460173989</v>
      </c>
      <c r="M19" s="3">
        <f>'Mastercurve bestimmen'!M453</f>
        <v>1651.1191781124999</v>
      </c>
      <c r="N19" s="3">
        <f>'Mastercurve bestimmen'!N453</f>
        <v>780.58970474439741</v>
      </c>
      <c r="O19" s="3">
        <f>'Mastercurve bestimmen'!O453</f>
        <v>244.9280851953373</v>
      </c>
      <c r="P19" s="3">
        <f>'Mastercurve bestimmen'!P453</f>
        <v>225.33034168462086</v>
      </c>
    </row>
    <row r="20" spans="1:16" x14ac:dyDescent="0.25">
      <c r="A20" s="10">
        <f>LOG10('Mastercurve bestimmen'!A454)</f>
        <v>11</v>
      </c>
      <c r="B20" s="10">
        <f>LOG10('Mastercurve bestimmen'!B454)</f>
        <v>-0.64628524533158194</v>
      </c>
      <c r="C20" s="10">
        <f>LOG10('Mastercurve bestimmen'!C454)</f>
        <v>3.7664811267270419</v>
      </c>
      <c r="D20" s="10">
        <f>LOG10('Mastercurve bestimmen'!D454)</f>
        <v>6.2018088500550732</v>
      </c>
      <c r="E20" s="10">
        <f>LOG10('Mastercurve bestimmen'!E454)</f>
        <v>8.3792458832054884</v>
      </c>
      <c r="F20" s="10">
        <f>LOG10('Mastercurve bestimmen'!F454)</f>
        <v>11</v>
      </c>
      <c r="G20" s="10">
        <f>LOG10('Mastercurve bestimmen'!G454)</f>
        <v>17.571709187570512</v>
      </c>
      <c r="H20" s="10">
        <f>LOG10('Mastercurve bestimmen'!H454)</f>
        <v>23.588433716117144</v>
      </c>
      <c r="I20" s="3">
        <f>'Mastercurve bestimmen'!I454</f>
        <v>100000000000</v>
      </c>
      <c r="J20" s="3">
        <f>'Mastercurve bestimmen'!J454</f>
        <v>3290.7224886526956</v>
      </c>
      <c r="K20" s="3">
        <f>'Mastercurve bestimmen'!K454</f>
        <v>2421.6530544164675</v>
      </c>
      <c r="L20" s="3">
        <f>'Mastercurve bestimmen'!L454</f>
        <v>1922.2915507959665</v>
      </c>
      <c r="M20" s="3">
        <f>'Mastercurve bestimmen'!M454</f>
        <v>1380.4414853809117</v>
      </c>
      <c r="N20" s="3">
        <f>'Mastercurve bestimmen'!N454</f>
        <v>548.72899064067769</v>
      </c>
      <c r="O20" s="3">
        <f>'Mastercurve bestimmen'!O454</f>
        <v>233.30697275617146</v>
      </c>
      <c r="P20" s="3">
        <f>'Mastercurve bestimmen'!P454</f>
        <v>224.04934964747176</v>
      </c>
    </row>
    <row r="21" spans="1:16" x14ac:dyDescent="0.25">
      <c r="A21" s="10">
        <f>LOG10('Mastercurve bestimmen'!A455)</f>
        <v>12</v>
      </c>
      <c r="B21" s="10">
        <f>LOG10('Mastercurve bestimmen'!B455)</f>
        <v>0.35371475466841812</v>
      </c>
      <c r="C21" s="10">
        <f>LOG10('Mastercurve bestimmen'!C455)</f>
        <v>4.7664811267270419</v>
      </c>
      <c r="D21" s="10">
        <f>LOG10('Mastercurve bestimmen'!D455)</f>
        <v>7.2018088500550723</v>
      </c>
      <c r="E21" s="10">
        <f>LOG10('Mastercurve bestimmen'!E455)</f>
        <v>9.3792458832054884</v>
      </c>
      <c r="F21" s="10">
        <f>LOG10('Mastercurve bestimmen'!F455)</f>
        <v>12</v>
      </c>
      <c r="G21" s="10">
        <f>LOG10('Mastercurve bestimmen'!G455)</f>
        <v>18.571709187570512</v>
      </c>
      <c r="H21" s="10">
        <f>LOG10('Mastercurve bestimmen'!H455)</f>
        <v>24.588433716117144</v>
      </c>
      <c r="I21" s="3">
        <f>'Mastercurve bestimmen'!I455</f>
        <v>1000000000000</v>
      </c>
      <c r="J21" s="3">
        <f>'Mastercurve bestimmen'!J455</f>
        <v>3093.8724388968149</v>
      </c>
      <c r="K21" s="3">
        <f>'Mastercurve bestimmen'!K455</f>
        <v>2247.3458364097887</v>
      </c>
      <c r="L21" s="3">
        <f>'Mastercurve bestimmen'!L455</f>
        <v>1699.2357565810794</v>
      </c>
      <c r="M21" s="3">
        <f>'Mastercurve bestimmen'!M455</f>
        <v>1081.4922585918935</v>
      </c>
      <c r="N21" s="3">
        <f>'Mastercurve bestimmen'!N455</f>
        <v>398.73442150311388</v>
      </c>
      <c r="O21" s="3">
        <f>'Mastercurve bestimmen'!O455</f>
        <v>224.93687178827099</v>
      </c>
      <c r="P21" s="3">
        <f>'Mastercurve bestimmen'!P455</f>
        <v>223.9208158671365</v>
      </c>
    </row>
    <row r="22" spans="1:16" x14ac:dyDescent="0.25">
      <c r="A22" s="10">
        <f>LOG10('Mastercurve bestimmen'!A456)</f>
        <v>13</v>
      </c>
      <c r="B22" s="10">
        <f>LOG10('Mastercurve bestimmen'!B456)</f>
        <v>1.3537147546684181</v>
      </c>
      <c r="C22" s="10">
        <f>LOG10('Mastercurve bestimmen'!C456)</f>
        <v>5.7664811267270419</v>
      </c>
      <c r="D22" s="10">
        <f>LOG10('Mastercurve bestimmen'!D456)</f>
        <v>8.2018088500550732</v>
      </c>
      <c r="E22" s="10">
        <f>LOG10('Mastercurve bestimmen'!E456)</f>
        <v>10.379245883205488</v>
      </c>
      <c r="F22" s="10">
        <f>LOG10('Mastercurve bestimmen'!F456)</f>
        <v>13</v>
      </c>
      <c r="G22" s="10">
        <f>LOG10('Mastercurve bestimmen'!G456)</f>
        <v>19.571709187570512</v>
      </c>
      <c r="H22" s="10">
        <f>LOG10('Mastercurve bestimmen'!H456)</f>
        <v>25.588433716117144</v>
      </c>
      <c r="I22" s="3">
        <f>'Mastercurve bestimmen'!I456</f>
        <v>10000000000000</v>
      </c>
      <c r="J22" s="3">
        <f>'Mastercurve bestimmen'!J456</f>
        <v>2931.1413264697503</v>
      </c>
      <c r="K22" s="3">
        <f>'Mastercurve bestimmen'!K456</f>
        <v>2065.8673837563865</v>
      </c>
      <c r="L22" s="3">
        <f>'Mastercurve bestimmen'!L456</f>
        <v>1442.431856366361</v>
      </c>
      <c r="M22" s="3">
        <f>'Mastercurve bestimmen'!M456</f>
        <v>789.75528719390093</v>
      </c>
      <c r="N22" s="3">
        <f>'Mastercurve bestimmen'!N456</f>
        <v>320.69011633427954</v>
      </c>
      <c r="O22" s="3">
        <f>'Mastercurve bestimmen'!O456</f>
        <v>223.82239746478544</v>
      </c>
      <c r="P22" s="3">
        <f>'Mastercurve bestimmen'!P456</f>
        <v>222.73926014927349</v>
      </c>
    </row>
    <row r="23" spans="1:16" x14ac:dyDescent="0.25">
      <c r="A23" s="10">
        <f>LOG10('Mastercurve bestimmen'!A457)</f>
        <v>14</v>
      </c>
      <c r="B23" s="10">
        <f>LOG10('Mastercurve bestimmen'!B457)</f>
        <v>2.3537147546684181</v>
      </c>
      <c r="C23" s="10">
        <f>LOG10('Mastercurve bestimmen'!C457)</f>
        <v>6.7664811267270419</v>
      </c>
      <c r="D23" s="10">
        <f>LOG10('Mastercurve bestimmen'!D457)</f>
        <v>9.2018088500550732</v>
      </c>
      <c r="E23" s="10">
        <f>LOG10('Mastercurve bestimmen'!E457)</f>
        <v>11.379245883205488</v>
      </c>
      <c r="F23" s="10">
        <f>LOG10('Mastercurve bestimmen'!F457)</f>
        <v>14</v>
      </c>
      <c r="G23" s="10">
        <f>LOG10('Mastercurve bestimmen'!G457)</f>
        <v>20.571709187570512</v>
      </c>
      <c r="H23" s="10">
        <f>LOG10('Mastercurve bestimmen'!H457)</f>
        <v>26.588433716117144</v>
      </c>
      <c r="I23" s="3">
        <f>'Mastercurve bestimmen'!I457</f>
        <v>100000000000000</v>
      </c>
      <c r="J23" s="3">
        <f>'Mastercurve bestimmen'!J457</f>
        <v>2779.8842681758483</v>
      </c>
      <c r="K23" s="3">
        <f>'Mastercurve bestimmen'!K457</f>
        <v>1865.1806498869187</v>
      </c>
      <c r="L23" s="3">
        <f>'Mastercurve bestimmen'!L457</f>
        <v>1152.6742388142764</v>
      </c>
      <c r="M23" s="3">
        <f>'Mastercurve bestimmen'!M457</f>
        <v>556.62130157468891</v>
      </c>
      <c r="N23" s="3">
        <f>'Mastercurve bestimmen'!N457</f>
        <v>281.72273678924813</v>
      </c>
      <c r="O23" s="3">
        <f>'Mastercurve bestimmen'!O457</f>
        <v>223.13699037774649</v>
      </c>
      <c r="P23" s="3">
        <f>'Mastercurve bestimmen'!P457</f>
        <v>222.70233168577724</v>
      </c>
    </row>
    <row r="24" spans="1:16" x14ac:dyDescent="0.25">
      <c r="A24" s="10">
        <f>LOG10('Mastercurve bestimmen'!A458)</f>
        <v>15</v>
      </c>
      <c r="B24" s="10">
        <f>LOG10('Mastercurve bestimmen'!B458)</f>
        <v>3.3537147546684181</v>
      </c>
      <c r="C24" s="10">
        <f>LOG10('Mastercurve bestimmen'!C458)</f>
        <v>7.7664811267270419</v>
      </c>
      <c r="D24" s="10">
        <f>LOG10('Mastercurve bestimmen'!D458)</f>
        <v>10.201808850055073</v>
      </c>
      <c r="E24" s="10">
        <f>LOG10('Mastercurve bestimmen'!E458)</f>
        <v>12.379245883205488</v>
      </c>
      <c r="F24" s="10">
        <f>LOG10('Mastercurve bestimmen'!F458)</f>
        <v>15</v>
      </c>
      <c r="G24" s="10">
        <f>LOG10('Mastercurve bestimmen'!G458)</f>
        <v>21.571709187570512</v>
      </c>
      <c r="H24" s="10">
        <f>LOG10('Mastercurve bestimmen'!H458)</f>
        <v>27.588433716117144</v>
      </c>
      <c r="I24" s="3">
        <f>'Mastercurve bestimmen'!I458</f>
        <v>1000000000000000</v>
      </c>
      <c r="J24" s="3">
        <f>'Mastercurve bestimmen'!J458</f>
        <v>2643.7410706701139</v>
      </c>
      <c r="K24" s="3">
        <f>'Mastercurve bestimmen'!K458</f>
        <v>1641.3251688004455</v>
      </c>
      <c r="L24" s="3">
        <f>'Mastercurve bestimmen'!L458</f>
        <v>856.60079316828069</v>
      </c>
      <c r="M24" s="3">
        <f>'Mastercurve bestimmen'!M458</f>
        <v>403.21517792249892</v>
      </c>
      <c r="N24" s="3">
        <f>'Mastercurve bestimmen'!N458</f>
        <v>262.32128706515465</v>
      </c>
      <c r="O24" s="3">
        <f>'Mastercurve bestimmen'!O458</f>
        <v>223.02569814244063</v>
      </c>
      <c r="P24" s="3">
        <f>'Mastercurve bestimmen'!P458</f>
        <v>222.39987665575754</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v>6235.4458980658719</v>
      </c>
      <c r="C37" s="3">
        <v>5318.3047831027707</v>
      </c>
      <c r="D37" s="3">
        <v>4149.2558724966711</v>
      </c>
      <c r="E37" s="3">
        <v>3264.2874217155077</v>
      </c>
      <c r="F37" s="3">
        <v>2881.4863359891906</v>
      </c>
      <c r="G37" s="3">
        <v>2197.1478961266816</v>
      </c>
      <c r="H37" s="3">
        <v>478.07484588462933</v>
      </c>
      <c r="I37" s="3"/>
      <c r="J37" s="3"/>
      <c r="K37" s="3"/>
      <c r="L37" s="3"/>
      <c r="M37" s="3"/>
      <c r="N37" s="3"/>
      <c r="O37" s="3"/>
      <c r="P37" s="3"/>
    </row>
    <row r="38" spans="1:16" x14ac:dyDescent="0.25">
      <c r="A38" s="120">
        <f>A37+1</f>
        <v>-14</v>
      </c>
      <c r="B38" s="3">
        <v>6232.3398976903536</v>
      </c>
      <c r="C38" s="3">
        <v>5318.3047831027707</v>
      </c>
      <c r="D38" s="3">
        <v>4149.2558724966711</v>
      </c>
      <c r="E38" s="3">
        <v>3264.2874217155077</v>
      </c>
      <c r="F38" s="3">
        <v>2881.4863359891906</v>
      </c>
      <c r="G38" s="3">
        <v>2197.1478961266816</v>
      </c>
      <c r="H38" s="3">
        <v>478.07484588462933</v>
      </c>
      <c r="I38" s="3"/>
      <c r="J38" s="3"/>
      <c r="K38" s="3"/>
      <c r="L38" s="3"/>
      <c r="M38" s="3"/>
      <c r="N38" s="3"/>
      <c r="O38" s="3"/>
      <c r="P38" s="3"/>
    </row>
    <row r="39" spans="1:16" x14ac:dyDescent="0.25">
      <c r="A39" s="120">
        <f t="shared" ref="A39:A67" si="0">A38+1</f>
        <v>-13</v>
      </c>
      <c r="B39" s="3">
        <v>6171.6283665983447</v>
      </c>
      <c r="C39" s="3">
        <v>5318.3047831027707</v>
      </c>
      <c r="D39" s="3">
        <v>4149.2558724966711</v>
      </c>
      <c r="E39" s="3">
        <v>3264.2874217155077</v>
      </c>
      <c r="F39" s="3">
        <v>2881.4863359891906</v>
      </c>
      <c r="G39" s="3">
        <v>2197.1478961266816</v>
      </c>
      <c r="H39" s="3">
        <v>478.07484588462933</v>
      </c>
      <c r="I39" s="3"/>
      <c r="J39" s="3"/>
      <c r="K39" s="3"/>
      <c r="L39" s="3"/>
      <c r="M39" s="3"/>
      <c r="N39" s="3"/>
      <c r="O39" s="3"/>
      <c r="P39" s="3"/>
    </row>
    <row r="40" spans="1:16" x14ac:dyDescent="0.25">
      <c r="A40" s="120">
        <f t="shared" si="0"/>
        <v>-12</v>
      </c>
      <c r="B40" s="3">
        <v>6015.8436916699502</v>
      </c>
      <c r="C40" s="3">
        <v>5813.7261063459946</v>
      </c>
      <c r="D40" s="3">
        <v>4149.2558724966711</v>
      </c>
      <c r="E40" s="3">
        <v>3264.2874217155077</v>
      </c>
      <c r="F40" s="3">
        <v>2881.4863359891906</v>
      </c>
      <c r="G40" s="3">
        <v>2197.1478961266816</v>
      </c>
      <c r="H40" s="3">
        <v>478.07484588462933</v>
      </c>
      <c r="I40" s="3"/>
      <c r="J40" s="3"/>
      <c r="K40" s="3"/>
      <c r="L40" s="3"/>
      <c r="M40" s="3"/>
      <c r="N40" s="3"/>
      <c r="O40" s="3"/>
      <c r="P40" s="3"/>
    </row>
    <row r="41" spans="1:16" x14ac:dyDescent="0.25">
      <c r="A41" s="120">
        <f t="shared" si="0"/>
        <v>-11</v>
      </c>
      <c r="B41" s="3">
        <v>5878.80170512119</v>
      </c>
      <c r="C41" s="3">
        <v>5698.1917933457162</v>
      </c>
      <c r="D41" s="3">
        <v>4149.2558724966711</v>
      </c>
      <c r="E41" s="3">
        <v>3264.2874217155077</v>
      </c>
      <c r="F41" s="3">
        <v>2881.4863359891906</v>
      </c>
      <c r="G41" s="3">
        <v>2197.1478961266816</v>
      </c>
      <c r="H41" s="3">
        <v>478.07484588462933</v>
      </c>
      <c r="I41" s="3"/>
      <c r="J41" s="3"/>
      <c r="K41" s="3"/>
      <c r="L41" s="3"/>
      <c r="M41" s="3"/>
      <c r="N41" s="3"/>
      <c r="O41" s="3"/>
      <c r="P41" s="3"/>
    </row>
    <row r="42" spans="1:16" x14ac:dyDescent="0.25">
      <c r="A42" s="120">
        <f t="shared" si="0"/>
        <v>-10</v>
      </c>
      <c r="B42" s="3">
        <v>5768.4469898286388</v>
      </c>
      <c r="C42" s="3">
        <v>5557.7116488082411</v>
      </c>
      <c r="D42" s="3">
        <v>4149.2558724966711</v>
      </c>
      <c r="E42" s="3">
        <v>3264.2874217155077</v>
      </c>
      <c r="F42" s="3">
        <v>2881.4863359891906</v>
      </c>
      <c r="G42" s="3">
        <v>2197.1478961266816</v>
      </c>
      <c r="H42" s="3">
        <v>478.07484588462933</v>
      </c>
      <c r="I42" s="3"/>
      <c r="J42" s="3"/>
      <c r="K42" s="3"/>
      <c r="L42" s="3"/>
      <c r="M42" s="3"/>
      <c r="N42" s="3"/>
      <c r="O42" s="3"/>
      <c r="P42" s="3"/>
    </row>
    <row r="43" spans="1:16" x14ac:dyDescent="0.25">
      <c r="A43" s="120">
        <f t="shared" si="0"/>
        <v>-9</v>
      </c>
      <c r="B43" s="3">
        <v>5641.3841587382958</v>
      </c>
      <c r="C43" s="3">
        <v>5422.1506704164412</v>
      </c>
      <c r="D43" s="3">
        <v>5362.8863642471897</v>
      </c>
      <c r="E43" s="3">
        <v>3264.2874217155077</v>
      </c>
      <c r="F43" s="3">
        <v>2881.4863359891906</v>
      </c>
      <c r="G43" s="3">
        <v>2197.1478961266816</v>
      </c>
      <c r="H43" s="3">
        <v>478.07484588462933</v>
      </c>
      <c r="I43" s="3"/>
      <c r="J43" s="3"/>
      <c r="K43" s="3"/>
      <c r="L43" s="3"/>
      <c r="M43" s="3"/>
      <c r="N43" s="3"/>
      <c r="O43" s="3"/>
      <c r="P43" s="3"/>
    </row>
    <row r="44" spans="1:16" x14ac:dyDescent="0.25">
      <c r="A44" s="120">
        <f t="shared" si="0"/>
        <v>-8</v>
      </c>
      <c r="B44" s="3">
        <v>5506.6232940372038</v>
      </c>
      <c r="C44" s="3">
        <v>5265.2314872928373</v>
      </c>
      <c r="D44" s="3">
        <v>5196.4561815029192</v>
      </c>
      <c r="E44" s="3">
        <v>3264.2874217155077</v>
      </c>
      <c r="F44" s="3">
        <v>2881.4863359891906</v>
      </c>
      <c r="G44" s="3">
        <v>2197.1478961266816</v>
      </c>
      <c r="H44" s="3">
        <v>478.07484588462933</v>
      </c>
      <c r="I44" s="3"/>
      <c r="J44" s="3"/>
      <c r="K44" s="3"/>
      <c r="L44" s="3"/>
      <c r="M44" s="3"/>
      <c r="N44" s="3"/>
      <c r="O44" s="3"/>
      <c r="P44" s="3"/>
    </row>
    <row r="45" spans="1:16" x14ac:dyDescent="0.25">
      <c r="A45" s="120">
        <f t="shared" si="0"/>
        <v>-7</v>
      </c>
      <c r="B45" s="3">
        <v>5318.3047831027707</v>
      </c>
      <c r="C45" s="3">
        <v>5098.688620613977</v>
      </c>
      <c r="D45" s="3">
        <v>5020.9723269150745</v>
      </c>
      <c r="E45" s="3">
        <v>5016.0983603050754</v>
      </c>
      <c r="F45" s="3">
        <v>2881.4863359891906</v>
      </c>
      <c r="G45" s="3">
        <v>2197.1478961266816</v>
      </c>
      <c r="H45" s="3">
        <v>478.07484588462933</v>
      </c>
      <c r="I45" s="3"/>
      <c r="J45" s="3"/>
      <c r="K45" s="3"/>
      <c r="L45" s="3"/>
      <c r="M45" s="3"/>
      <c r="N45" s="3"/>
      <c r="O45" s="3"/>
      <c r="P45" s="3"/>
    </row>
    <row r="46" spans="1:16" x14ac:dyDescent="0.25">
      <c r="A46" s="120">
        <f t="shared" si="0"/>
        <v>-6</v>
      </c>
      <c r="B46" s="3">
        <v>5318.3047831027707</v>
      </c>
      <c r="C46" s="3">
        <v>4929.9207323498867</v>
      </c>
      <c r="D46" s="3">
        <v>4858.8801364312258</v>
      </c>
      <c r="E46" s="3">
        <v>4845.8186723632343</v>
      </c>
      <c r="F46" s="3">
        <v>2881.4863359891906</v>
      </c>
      <c r="G46" s="3">
        <v>2197.1478961266816</v>
      </c>
      <c r="H46" s="3">
        <v>478.07484588462933</v>
      </c>
      <c r="I46" s="3"/>
      <c r="J46" s="3"/>
      <c r="K46" s="3"/>
      <c r="L46" s="3"/>
      <c r="M46" s="3"/>
      <c r="N46" s="3"/>
      <c r="O46" s="3"/>
      <c r="P46" s="3"/>
    </row>
    <row r="47" spans="1:16" x14ac:dyDescent="0.25">
      <c r="A47" s="120">
        <f t="shared" si="0"/>
        <v>-5</v>
      </c>
      <c r="B47" s="3">
        <v>5318.3047831027707</v>
      </c>
      <c r="C47" s="3">
        <v>4760.7491248967253</v>
      </c>
      <c r="D47" s="3">
        <v>4693.6916881646157</v>
      </c>
      <c r="E47" s="3">
        <v>4665.7547516157701</v>
      </c>
      <c r="F47" s="3">
        <v>4570.6221718948836</v>
      </c>
      <c r="G47" s="3">
        <v>2197.1478961266816</v>
      </c>
      <c r="H47" s="3">
        <v>478.07484588462933</v>
      </c>
      <c r="I47" s="3"/>
      <c r="J47" s="3"/>
      <c r="K47" s="3"/>
      <c r="L47" s="3"/>
      <c r="M47" s="3"/>
      <c r="N47" s="3"/>
      <c r="O47" s="3"/>
      <c r="P47" s="3"/>
    </row>
    <row r="48" spans="1:16" x14ac:dyDescent="0.25">
      <c r="A48" s="120">
        <f t="shared" si="0"/>
        <v>-4</v>
      </c>
      <c r="B48" s="3">
        <v>5318.3047831027707</v>
      </c>
      <c r="C48" s="3">
        <v>4522.6845542608671</v>
      </c>
      <c r="D48" s="3">
        <v>4493.7297536695332</v>
      </c>
      <c r="E48" s="3">
        <v>4470.0019953242327</v>
      </c>
      <c r="F48" s="3">
        <v>4355.6121901289935</v>
      </c>
      <c r="G48" s="3">
        <v>2197.1478961266816</v>
      </c>
      <c r="H48" s="3">
        <v>478.07484588462933</v>
      </c>
      <c r="I48" s="3"/>
      <c r="J48" s="3"/>
      <c r="K48" s="3"/>
      <c r="L48" s="3"/>
      <c r="M48" s="3"/>
      <c r="N48" s="3"/>
      <c r="O48" s="3"/>
      <c r="P48" s="3"/>
    </row>
    <row r="49" spans="1:16" x14ac:dyDescent="0.25">
      <c r="A49" s="120">
        <f t="shared" si="0"/>
        <v>-3</v>
      </c>
      <c r="B49" s="3">
        <v>5318.3047831027707</v>
      </c>
      <c r="C49" s="3">
        <v>4149.2558724966711</v>
      </c>
      <c r="D49" s="3">
        <v>4246.6993142949959</v>
      </c>
      <c r="E49" s="3">
        <v>4239.1997471232553</v>
      </c>
      <c r="F49" s="3">
        <v>4128.400911796266</v>
      </c>
      <c r="G49" s="3">
        <v>2197.1478961266816</v>
      </c>
      <c r="H49" s="3">
        <v>478.07484588462933</v>
      </c>
      <c r="I49" s="3"/>
      <c r="J49" s="3"/>
      <c r="K49" s="3"/>
      <c r="L49" s="3"/>
      <c r="M49" s="3"/>
      <c r="N49" s="3"/>
      <c r="O49" s="3"/>
      <c r="P49" s="3"/>
    </row>
    <row r="50" spans="1:16" x14ac:dyDescent="0.25">
      <c r="A50" s="120">
        <f t="shared" si="0"/>
        <v>-2</v>
      </c>
      <c r="B50" s="3">
        <v>5318.3047831027707</v>
      </c>
      <c r="C50" s="3">
        <v>4149.2558724966711</v>
      </c>
      <c r="D50" s="3">
        <v>3938.1618691434237</v>
      </c>
      <c r="E50" s="3">
        <v>4019.1815685187039</v>
      </c>
      <c r="F50" s="3">
        <v>3931.0953121014495</v>
      </c>
      <c r="G50" s="3">
        <v>2197.1478961266816</v>
      </c>
      <c r="H50" s="3">
        <v>478.07484588462933</v>
      </c>
      <c r="I50" s="3"/>
      <c r="J50" s="3"/>
      <c r="K50" s="3"/>
      <c r="L50" s="3"/>
      <c r="M50" s="3"/>
      <c r="N50" s="3"/>
      <c r="O50" s="3"/>
      <c r="P50" s="3"/>
    </row>
    <row r="51" spans="1:16" x14ac:dyDescent="0.25">
      <c r="A51" s="120">
        <f t="shared" si="0"/>
        <v>-1</v>
      </c>
      <c r="B51" s="3">
        <v>5318.3047831027707</v>
      </c>
      <c r="C51" s="3">
        <v>4149.2558724966711</v>
      </c>
      <c r="D51" s="3">
        <v>3593.988764569905</v>
      </c>
      <c r="E51" s="3">
        <v>3791.4812486086485</v>
      </c>
      <c r="F51" s="3">
        <v>3756.0498426526324</v>
      </c>
      <c r="G51" s="3">
        <v>2197.1478961266816</v>
      </c>
      <c r="H51" s="3">
        <v>478.07484588462933</v>
      </c>
      <c r="I51" s="3"/>
      <c r="J51" s="3"/>
      <c r="K51" s="3"/>
      <c r="L51" s="3"/>
      <c r="M51" s="3"/>
      <c r="N51" s="3"/>
      <c r="O51" s="3"/>
      <c r="P51" s="3"/>
    </row>
    <row r="52" spans="1:16" x14ac:dyDescent="0.25">
      <c r="A52" s="120">
        <f t="shared" si="0"/>
        <v>0</v>
      </c>
      <c r="B52" s="3">
        <v>5318.3047831027707</v>
      </c>
      <c r="C52" s="3">
        <v>4149.2558724966711</v>
      </c>
      <c r="D52" s="3">
        <v>3264.2874217155077</v>
      </c>
      <c r="E52" s="3">
        <v>3489.4130940095738</v>
      </c>
      <c r="F52" s="3">
        <v>3572.9092141735305</v>
      </c>
      <c r="G52" s="3">
        <v>2197.1478961266816</v>
      </c>
      <c r="H52" s="3">
        <v>478.07484588462933</v>
      </c>
      <c r="I52" s="3"/>
      <c r="J52" s="3"/>
      <c r="K52" s="3"/>
      <c r="L52" s="3"/>
      <c r="M52" s="3"/>
      <c r="N52" s="3"/>
      <c r="O52" s="3"/>
      <c r="P52" s="3"/>
    </row>
    <row r="53" spans="1:16" x14ac:dyDescent="0.25">
      <c r="A53" s="120">
        <f t="shared" si="0"/>
        <v>1</v>
      </c>
      <c r="B53" s="3">
        <v>5318.3047831027707</v>
      </c>
      <c r="C53" s="3">
        <v>4149.2558724966711</v>
      </c>
      <c r="D53" s="3">
        <v>3264.2874217155077</v>
      </c>
      <c r="E53" s="3">
        <v>3164.1627504372773</v>
      </c>
      <c r="F53" s="3">
        <v>3356.1944513859066</v>
      </c>
      <c r="G53" s="3">
        <v>2197.1478961266816</v>
      </c>
      <c r="H53" s="3">
        <v>478.07484588462933</v>
      </c>
      <c r="I53" s="3"/>
      <c r="J53" s="3"/>
      <c r="K53" s="3"/>
      <c r="L53" s="3"/>
      <c r="M53" s="3"/>
      <c r="N53" s="3"/>
      <c r="O53" s="3"/>
      <c r="P53" s="3"/>
    </row>
    <row r="54" spans="1:16" x14ac:dyDescent="0.25">
      <c r="A54" s="120">
        <f t="shared" si="0"/>
        <v>2</v>
      </c>
      <c r="B54" s="3">
        <v>5318.3047831027707</v>
      </c>
      <c r="C54" s="3">
        <v>4149.2558724966711</v>
      </c>
      <c r="D54" s="3">
        <v>3264.2874217155077</v>
      </c>
      <c r="E54" s="3">
        <v>2881.4863359891906</v>
      </c>
      <c r="F54" s="3">
        <v>3066.2657883339552</v>
      </c>
      <c r="G54" s="3">
        <v>3126.0339908021024</v>
      </c>
      <c r="H54" s="3">
        <v>478.07484588462933</v>
      </c>
      <c r="I54" s="3"/>
      <c r="J54" s="3"/>
      <c r="K54" s="3"/>
      <c r="L54" s="3"/>
      <c r="M54" s="3"/>
      <c r="N54" s="3"/>
      <c r="O54" s="3"/>
      <c r="P54" s="3"/>
    </row>
    <row r="55" spans="1:16" x14ac:dyDescent="0.25">
      <c r="A55" s="120">
        <f t="shared" si="0"/>
        <v>3</v>
      </c>
      <c r="B55" s="3">
        <v>5318.3047831027707</v>
      </c>
      <c r="C55" s="3">
        <v>4149.2558724966711</v>
      </c>
      <c r="D55" s="3">
        <v>3264.2874217155077</v>
      </c>
      <c r="E55" s="3">
        <v>2881.4863359891906</v>
      </c>
      <c r="F55" s="3">
        <v>2758.9237309250375</v>
      </c>
      <c r="G55" s="3">
        <v>2924.9299864173636</v>
      </c>
      <c r="H55" s="3">
        <v>478.07484588462933</v>
      </c>
      <c r="I55" s="3"/>
      <c r="J55" s="3"/>
      <c r="K55" s="3"/>
      <c r="L55" s="3"/>
      <c r="M55" s="3"/>
      <c r="N55" s="3"/>
      <c r="O55" s="3"/>
      <c r="P55" s="3"/>
    </row>
    <row r="56" spans="1:16" x14ac:dyDescent="0.25">
      <c r="A56" s="120">
        <f t="shared" si="0"/>
        <v>4</v>
      </c>
      <c r="B56" s="3">
        <v>5318.3047831027707</v>
      </c>
      <c r="C56" s="3">
        <v>4149.2558724966711</v>
      </c>
      <c r="D56" s="3">
        <v>3264.2874217155077</v>
      </c>
      <c r="E56" s="3">
        <v>2881.4863359891906</v>
      </c>
      <c r="F56" s="3">
        <v>2465.267862411738</v>
      </c>
      <c r="G56" s="3">
        <v>2682.8312945786324</v>
      </c>
      <c r="H56" s="3">
        <v>478.07484588462933</v>
      </c>
      <c r="I56" s="3"/>
      <c r="J56" s="3"/>
      <c r="K56" s="3"/>
      <c r="L56" s="3"/>
      <c r="M56" s="3"/>
      <c r="N56" s="3"/>
      <c r="O56" s="3"/>
      <c r="P56" s="3"/>
    </row>
    <row r="57" spans="1:16" x14ac:dyDescent="0.25">
      <c r="A57" s="120">
        <f t="shared" si="0"/>
        <v>5</v>
      </c>
      <c r="B57" s="3">
        <v>5318.3047831027707</v>
      </c>
      <c r="C57" s="3">
        <v>4149.2558724966711</v>
      </c>
      <c r="D57" s="3">
        <v>3264.2874217155077</v>
      </c>
      <c r="E57" s="3">
        <v>2881.4863359891906</v>
      </c>
      <c r="F57" s="3">
        <v>2197.1478961266816</v>
      </c>
      <c r="G57" s="3">
        <v>2439.4287929694892</v>
      </c>
      <c r="H57" s="3">
        <v>478.07484588462933</v>
      </c>
      <c r="I57" s="3"/>
      <c r="J57" s="3"/>
      <c r="K57" s="3"/>
      <c r="L57" s="3"/>
      <c r="M57" s="3"/>
      <c r="N57" s="3"/>
      <c r="O57" s="3"/>
      <c r="P57" s="3"/>
    </row>
    <row r="58" spans="1:16" x14ac:dyDescent="0.25">
      <c r="A58" s="120">
        <f t="shared" si="0"/>
        <v>6</v>
      </c>
      <c r="B58" s="3">
        <v>5318.3047831027707</v>
      </c>
      <c r="C58" s="3">
        <v>4149.2558724966711</v>
      </c>
      <c r="D58" s="3">
        <v>3264.2874217155077</v>
      </c>
      <c r="E58" s="3">
        <v>2881.4863359891906</v>
      </c>
      <c r="F58" s="3">
        <v>2197.1478961266816</v>
      </c>
      <c r="G58" s="3">
        <v>2144.0397073610739</v>
      </c>
      <c r="H58" s="3">
        <v>478.07484588462933</v>
      </c>
      <c r="I58" s="3"/>
      <c r="J58" s="3"/>
      <c r="K58" s="3"/>
      <c r="L58" s="3"/>
      <c r="M58" s="3"/>
      <c r="N58" s="3"/>
      <c r="O58" s="3"/>
      <c r="P58" s="3"/>
    </row>
    <row r="59" spans="1:16" x14ac:dyDescent="0.25">
      <c r="A59" s="120">
        <f t="shared" si="0"/>
        <v>7</v>
      </c>
      <c r="B59" s="3">
        <v>5318.3047831027707</v>
      </c>
      <c r="C59" s="3">
        <v>4149.2558724966711</v>
      </c>
      <c r="D59" s="3">
        <v>3264.2874217155077</v>
      </c>
      <c r="E59" s="3">
        <v>2881.4863359891906</v>
      </c>
      <c r="F59" s="3">
        <v>2197.1478961266816</v>
      </c>
      <c r="G59" s="3">
        <v>1780.2381399028682</v>
      </c>
      <c r="H59" s="3">
        <v>478.07484588462933</v>
      </c>
      <c r="I59" s="3"/>
      <c r="J59" s="3"/>
      <c r="K59" s="3"/>
      <c r="L59" s="3"/>
      <c r="M59" s="3"/>
      <c r="N59" s="3"/>
      <c r="O59" s="3"/>
      <c r="P59" s="3"/>
    </row>
    <row r="60" spans="1:16" x14ac:dyDescent="0.25">
      <c r="A60" s="120">
        <f t="shared" si="0"/>
        <v>8</v>
      </c>
      <c r="B60" s="3">
        <v>5318.3047831027707</v>
      </c>
      <c r="C60" s="3">
        <v>4149.2558724966711</v>
      </c>
      <c r="D60" s="3">
        <v>3264.2874217155077</v>
      </c>
      <c r="E60" s="3">
        <v>2881.4863359891906</v>
      </c>
      <c r="F60" s="3">
        <v>2197.1478961266816</v>
      </c>
      <c r="G60" s="3">
        <v>1371.090338086482</v>
      </c>
      <c r="H60" s="3">
        <v>1392.63662817153</v>
      </c>
      <c r="I60" s="3"/>
      <c r="J60" s="3"/>
      <c r="K60" s="3"/>
      <c r="L60" s="3"/>
      <c r="M60" s="3"/>
      <c r="N60" s="3"/>
      <c r="O60" s="3"/>
      <c r="P60" s="3"/>
    </row>
    <row r="61" spans="1:16" x14ac:dyDescent="0.25">
      <c r="A61" s="120">
        <f t="shared" si="0"/>
        <v>9</v>
      </c>
      <c r="B61" s="3">
        <v>5318.3047831027707</v>
      </c>
      <c r="C61" s="3">
        <v>4149.2558724966711</v>
      </c>
      <c r="D61" s="3">
        <v>3264.2874217155077</v>
      </c>
      <c r="E61" s="3">
        <v>2881.4863359891906</v>
      </c>
      <c r="F61" s="3">
        <v>2197.1478961266816</v>
      </c>
      <c r="G61" s="3">
        <v>987.46500828443595</v>
      </c>
      <c r="H61" s="3">
        <v>1018.0962201715457</v>
      </c>
      <c r="I61" s="3"/>
      <c r="J61" s="3"/>
      <c r="K61" s="3"/>
      <c r="L61" s="3"/>
      <c r="M61" s="3"/>
      <c r="N61" s="3"/>
      <c r="O61" s="3"/>
      <c r="P61" s="3"/>
    </row>
    <row r="62" spans="1:16" x14ac:dyDescent="0.25">
      <c r="A62" s="120">
        <f t="shared" si="0"/>
        <v>10</v>
      </c>
      <c r="B62" s="3">
        <v>5318.3047831027707</v>
      </c>
      <c r="C62" s="3">
        <v>4149.2558724966711</v>
      </c>
      <c r="D62" s="3">
        <v>3264.2874217155077</v>
      </c>
      <c r="E62" s="3">
        <v>2881.4863359891906</v>
      </c>
      <c r="F62" s="3">
        <v>2197.1478961266816</v>
      </c>
      <c r="G62" s="3">
        <v>679.6673025682926</v>
      </c>
      <c r="H62" s="3">
        <v>677.34714671713084</v>
      </c>
      <c r="I62" s="3"/>
      <c r="J62" s="3"/>
      <c r="K62" s="3"/>
      <c r="L62" s="3"/>
      <c r="M62" s="3"/>
      <c r="N62" s="3"/>
      <c r="O62" s="3"/>
      <c r="P62" s="3"/>
    </row>
    <row r="63" spans="1:16" x14ac:dyDescent="0.25">
      <c r="A63" s="120">
        <f t="shared" si="0"/>
        <v>11</v>
      </c>
      <c r="B63" s="3">
        <v>5318.3047831027707</v>
      </c>
      <c r="C63" s="3">
        <v>4149.2558724966711</v>
      </c>
      <c r="D63" s="3">
        <v>3264.2874217155077</v>
      </c>
      <c r="E63" s="3">
        <v>2881.4863359891906</v>
      </c>
      <c r="F63" s="3">
        <v>2197.1478961266816</v>
      </c>
      <c r="G63" s="3">
        <v>478.07484588462933</v>
      </c>
      <c r="H63" s="3">
        <v>494.41379087291438</v>
      </c>
      <c r="I63" s="3"/>
      <c r="J63" s="3"/>
      <c r="K63" s="3"/>
      <c r="L63" s="3"/>
      <c r="M63" s="3"/>
      <c r="N63" s="3"/>
      <c r="O63" s="3"/>
      <c r="P63" s="3"/>
    </row>
    <row r="64" spans="1:16" x14ac:dyDescent="0.25">
      <c r="A64" s="120">
        <f t="shared" si="0"/>
        <v>12</v>
      </c>
      <c r="B64" s="3">
        <v>5318.3047831027707</v>
      </c>
      <c r="C64" s="3">
        <v>4149.2558724966711</v>
      </c>
      <c r="D64" s="3">
        <v>3264.2874217155077</v>
      </c>
      <c r="E64" s="3">
        <v>2881.4863359891906</v>
      </c>
      <c r="F64" s="3">
        <v>2197.1478961266816</v>
      </c>
      <c r="G64" s="3">
        <v>478.07484588462933</v>
      </c>
      <c r="H64" s="3">
        <v>386.12111827132946</v>
      </c>
      <c r="I64" s="3"/>
      <c r="J64" s="3"/>
      <c r="K64" s="3"/>
      <c r="L64" s="3"/>
      <c r="M64" s="3"/>
      <c r="N64" s="3"/>
      <c r="O64" s="3"/>
      <c r="P64" s="3"/>
    </row>
    <row r="65" spans="1:16" x14ac:dyDescent="0.25">
      <c r="A65" s="120">
        <f t="shared" si="0"/>
        <v>13</v>
      </c>
      <c r="B65" s="3">
        <v>5318.3047831027707</v>
      </c>
      <c r="C65" s="3">
        <v>4149.2558724966711</v>
      </c>
      <c r="D65" s="3">
        <v>3264.2874217155077</v>
      </c>
      <c r="E65" s="3">
        <v>2881.4863359891906</v>
      </c>
      <c r="F65" s="3">
        <v>2197.1478961266816</v>
      </c>
      <c r="G65" s="3">
        <v>478.07484588462933</v>
      </c>
      <c r="H65" s="3">
        <v>333.59088746314814</v>
      </c>
      <c r="I65" s="3"/>
      <c r="J65" s="3"/>
      <c r="K65" s="3"/>
      <c r="L65" s="3"/>
      <c r="M65" s="3"/>
      <c r="N65" s="3"/>
      <c r="O65" s="3"/>
      <c r="P65" s="3"/>
    </row>
    <row r="66" spans="1:16" x14ac:dyDescent="0.25">
      <c r="A66" s="120">
        <f t="shared" si="0"/>
        <v>14</v>
      </c>
      <c r="B66" s="3">
        <v>5318.3047831027707</v>
      </c>
      <c r="C66" s="3">
        <v>4149.2558724966711</v>
      </c>
      <c r="D66" s="3">
        <v>3264.2874217155077</v>
      </c>
      <c r="E66" s="3">
        <v>2881.4863359891906</v>
      </c>
      <c r="F66" s="3">
        <v>2197.1478961266816</v>
      </c>
      <c r="G66" s="3">
        <v>478.07484588462933</v>
      </c>
      <c r="H66" s="3">
        <v>304.24505617208177</v>
      </c>
      <c r="I66" s="3"/>
      <c r="J66" s="3"/>
      <c r="K66" s="3"/>
      <c r="L66" s="3"/>
      <c r="M66" s="3"/>
      <c r="N66" s="3"/>
      <c r="O66" s="3"/>
      <c r="P66" s="3"/>
    </row>
    <row r="67" spans="1:16" x14ac:dyDescent="0.25">
      <c r="A67" s="120">
        <f t="shared" si="0"/>
        <v>15</v>
      </c>
      <c r="B67" s="3">
        <v>5318.3047831027707</v>
      </c>
      <c r="C67" s="3">
        <v>4149.2558724966711</v>
      </c>
      <c r="D67" s="3">
        <v>3264.2874217155077</v>
      </c>
      <c r="E67" s="3">
        <v>2881.4863359891906</v>
      </c>
      <c r="F67" s="3">
        <v>2197.1478961266816</v>
      </c>
      <c r="G67" s="3">
        <v>478.07484588462933</v>
      </c>
      <c r="H67" s="3">
        <v>282.17229066083371</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f t="shared" ref="B72:H79" si="1">IF($A72&gt;=10^B$4,IF($A72&lt;=10^INDEX($B$4:$H$34,$A$1,COLUMN(B4)-1),B37,"nv"),"nv")</f>
        <v>6235.4458980658719</v>
      </c>
      <c r="C72" s="122" t="str">
        <f t="shared" si="1"/>
        <v>nv</v>
      </c>
      <c r="D72" s="122" t="str">
        <f t="shared" si="1"/>
        <v>nv</v>
      </c>
      <c r="E72" s="122" t="str">
        <f t="shared" si="1"/>
        <v>nv</v>
      </c>
      <c r="F72" s="122" t="str">
        <f t="shared" si="1"/>
        <v>nv</v>
      </c>
      <c r="G72" s="122" t="str">
        <f t="shared" si="1"/>
        <v>nv</v>
      </c>
      <c r="H72" s="122" t="str">
        <f t="shared" si="1"/>
        <v>nv</v>
      </c>
      <c r="I72" s="122"/>
      <c r="J72" s="122">
        <f t="shared" ref="J72:J101" si="2">IF(ISERROR(AVERAGE(B72:H72)),J71,AVERAGE(B72:H72))</f>
        <v>6235.4458980658719</v>
      </c>
      <c r="K72" s="3"/>
      <c r="L72" s="3"/>
      <c r="M72" s="3"/>
      <c r="N72" s="3"/>
      <c r="O72" s="3"/>
      <c r="P72" s="3"/>
    </row>
    <row r="73" spans="1:16" x14ac:dyDescent="0.25">
      <c r="A73" s="121">
        <f t="shared" ref="A73:A102" si="3">10^A38</f>
        <v>1E-14</v>
      </c>
      <c r="B73" s="122">
        <f t="shared" si="1"/>
        <v>6232.3398976903536</v>
      </c>
      <c r="C73" s="122" t="str">
        <f t="shared" si="1"/>
        <v>nv</v>
      </c>
      <c r="D73" s="122" t="str">
        <f t="shared" si="1"/>
        <v>nv</v>
      </c>
      <c r="E73" s="122" t="str">
        <f t="shared" si="1"/>
        <v>nv</v>
      </c>
      <c r="F73" s="122" t="str">
        <f t="shared" si="1"/>
        <v>nv</v>
      </c>
      <c r="G73" s="122" t="str">
        <f t="shared" si="1"/>
        <v>nv</v>
      </c>
      <c r="H73" s="122" t="str">
        <f t="shared" si="1"/>
        <v>nv</v>
      </c>
      <c r="I73" s="122"/>
      <c r="J73" s="122">
        <f t="shared" si="2"/>
        <v>6232.3398976903536</v>
      </c>
      <c r="K73" s="3"/>
      <c r="L73" s="3"/>
      <c r="M73" s="3"/>
      <c r="N73" s="3"/>
      <c r="O73" s="3"/>
      <c r="P73" s="3"/>
    </row>
    <row r="74" spans="1:16" x14ac:dyDescent="0.25">
      <c r="A74" s="121">
        <f t="shared" si="3"/>
        <v>1E-13</v>
      </c>
      <c r="B74" s="122">
        <f t="shared" si="1"/>
        <v>6171.6283665983447</v>
      </c>
      <c r="C74" s="122" t="str">
        <f t="shared" si="1"/>
        <v>nv</v>
      </c>
      <c r="D74" s="122" t="str">
        <f t="shared" si="1"/>
        <v>nv</v>
      </c>
      <c r="E74" s="122" t="str">
        <f t="shared" si="1"/>
        <v>nv</v>
      </c>
      <c r="F74" s="122" t="str">
        <f t="shared" si="1"/>
        <v>nv</v>
      </c>
      <c r="G74" s="122" t="str">
        <f t="shared" si="1"/>
        <v>nv</v>
      </c>
      <c r="H74" s="122" t="str">
        <f t="shared" si="1"/>
        <v>nv</v>
      </c>
      <c r="I74" s="122"/>
      <c r="J74" s="122">
        <f t="shared" si="2"/>
        <v>6171.6283665983447</v>
      </c>
      <c r="K74" s="3"/>
      <c r="L74" s="3"/>
      <c r="M74" s="3"/>
      <c r="N74" s="3"/>
      <c r="O74" s="3"/>
      <c r="P74" s="3"/>
    </row>
    <row r="75" spans="1:16" x14ac:dyDescent="0.25">
      <c r="A75" s="121">
        <f t="shared" si="3"/>
        <v>9.9999999999999998E-13</v>
      </c>
      <c r="B75" s="122">
        <f t="shared" si="1"/>
        <v>6015.8436916699502</v>
      </c>
      <c r="C75" s="122">
        <f t="shared" si="1"/>
        <v>5813.7261063459946</v>
      </c>
      <c r="D75" s="122" t="str">
        <f t="shared" si="1"/>
        <v>nv</v>
      </c>
      <c r="E75" s="122" t="str">
        <f t="shared" si="1"/>
        <v>nv</v>
      </c>
      <c r="F75" s="122" t="str">
        <f t="shared" si="1"/>
        <v>nv</v>
      </c>
      <c r="G75" s="122" t="str">
        <f t="shared" si="1"/>
        <v>nv</v>
      </c>
      <c r="H75" s="122" t="str">
        <f t="shared" si="1"/>
        <v>nv</v>
      </c>
      <c r="I75" s="122"/>
      <c r="J75" s="122">
        <f t="shared" si="2"/>
        <v>5914.7848990079729</v>
      </c>
      <c r="K75" s="3"/>
      <c r="L75" s="3"/>
      <c r="M75" s="3"/>
      <c r="N75" s="3"/>
      <c r="O75" s="3"/>
      <c r="P75" s="3"/>
    </row>
    <row r="76" spans="1:16" x14ac:dyDescent="0.25">
      <c r="A76" s="121">
        <f t="shared" si="3"/>
        <v>9.9999999999999994E-12</v>
      </c>
      <c r="B76" s="122">
        <f t="shared" si="1"/>
        <v>5878.80170512119</v>
      </c>
      <c r="C76" s="122">
        <f t="shared" si="1"/>
        <v>5698.1917933457162</v>
      </c>
      <c r="D76" s="122" t="str">
        <f t="shared" si="1"/>
        <v>nv</v>
      </c>
      <c r="E76" s="122" t="str">
        <f t="shared" si="1"/>
        <v>nv</v>
      </c>
      <c r="F76" s="122" t="str">
        <f t="shared" si="1"/>
        <v>nv</v>
      </c>
      <c r="G76" s="122" t="str">
        <f t="shared" si="1"/>
        <v>nv</v>
      </c>
      <c r="H76" s="122" t="str">
        <f t="shared" si="1"/>
        <v>nv</v>
      </c>
      <c r="I76" s="122"/>
      <c r="J76" s="122">
        <f t="shared" si="2"/>
        <v>5788.4967492334526</v>
      </c>
      <c r="K76" s="3"/>
      <c r="L76" s="3"/>
      <c r="M76" s="3"/>
      <c r="N76" s="3"/>
      <c r="O76" s="3"/>
      <c r="P76" s="3"/>
    </row>
    <row r="77" spans="1:16" x14ac:dyDescent="0.25">
      <c r="A77" s="121">
        <f t="shared" si="3"/>
        <v>1E-10</v>
      </c>
      <c r="B77" s="122">
        <f t="shared" si="1"/>
        <v>5768.4469898286388</v>
      </c>
      <c r="C77" s="122">
        <f t="shared" si="1"/>
        <v>5557.7116488082411</v>
      </c>
      <c r="D77" s="122" t="str">
        <f t="shared" si="1"/>
        <v>nv</v>
      </c>
      <c r="E77" s="122" t="str">
        <f t="shared" si="1"/>
        <v>nv</v>
      </c>
      <c r="F77" s="122" t="str">
        <f t="shared" si="1"/>
        <v>nv</v>
      </c>
      <c r="G77" s="122" t="str">
        <f t="shared" si="1"/>
        <v>nv</v>
      </c>
      <c r="H77" s="122" t="str">
        <f t="shared" si="1"/>
        <v>nv</v>
      </c>
      <c r="I77" s="122"/>
      <c r="J77" s="122">
        <f t="shared" si="2"/>
        <v>5663.07931931844</v>
      </c>
      <c r="K77" s="3"/>
      <c r="L77" s="3"/>
      <c r="M77" s="3"/>
      <c r="N77" s="3"/>
      <c r="O77" s="3"/>
      <c r="P77" s="3"/>
    </row>
    <row r="78" spans="1:16" x14ac:dyDescent="0.25">
      <c r="A78" s="121">
        <f t="shared" si="3"/>
        <v>1.0000000000000001E-9</v>
      </c>
      <c r="B78" s="122">
        <f t="shared" si="1"/>
        <v>5641.3841587382958</v>
      </c>
      <c r="C78" s="122">
        <f t="shared" si="1"/>
        <v>5422.1506704164412</v>
      </c>
      <c r="D78" s="122">
        <f t="shared" si="1"/>
        <v>5362.8863642471897</v>
      </c>
      <c r="E78" s="122" t="str">
        <f t="shared" si="1"/>
        <v>nv</v>
      </c>
      <c r="F78" s="122" t="str">
        <f t="shared" si="1"/>
        <v>nv</v>
      </c>
      <c r="G78" s="122" t="str">
        <f t="shared" si="1"/>
        <v>nv</v>
      </c>
      <c r="H78" s="122" t="str">
        <f t="shared" si="1"/>
        <v>nv</v>
      </c>
      <c r="I78" s="122"/>
      <c r="J78" s="122">
        <f t="shared" si="2"/>
        <v>5475.473731133975</v>
      </c>
    </row>
    <row r="79" spans="1:16" x14ac:dyDescent="0.25">
      <c r="A79" s="121">
        <f t="shared" si="3"/>
        <v>1E-8</v>
      </c>
      <c r="B79" s="122">
        <f t="shared" si="1"/>
        <v>5506.6232940372038</v>
      </c>
      <c r="C79" s="122">
        <f t="shared" si="1"/>
        <v>5265.2314872928373</v>
      </c>
      <c r="D79" s="122">
        <f t="shared" si="1"/>
        <v>5196.4561815029192</v>
      </c>
      <c r="E79" s="122" t="str">
        <f t="shared" si="1"/>
        <v>nv</v>
      </c>
      <c r="F79" s="122" t="str">
        <f t="shared" si="1"/>
        <v>nv</v>
      </c>
      <c r="G79" s="122" t="str">
        <f t="shared" si="1"/>
        <v>nv</v>
      </c>
      <c r="H79" s="122" t="str">
        <f t="shared" si="1"/>
        <v>nv</v>
      </c>
      <c r="I79" s="122"/>
      <c r="J79" s="122">
        <f t="shared" si="2"/>
        <v>5322.7703209443198</v>
      </c>
    </row>
    <row r="80" spans="1:16" x14ac:dyDescent="0.25">
      <c r="A80" s="121">
        <f t="shared" si="3"/>
        <v>9.9999999999999995E-8</v>
      </c>
      <c r="B80" s="122">
        <f>IF($A80&gt;=10^B$4,IF($A80&lt;=10^INDEX($B$4:$H$34,$A$1,COLUMN(B12)-1),B45,"nv"),"nv")</f>
        <v>5318.3047831027707</v>
      </c>
      <c r="C80" s="122">
        <f t="shared" ref="C80:H80" si="4">IF($A80&gt;=10^C$4,IF($A80&lt;=10^INDEX($B$4:$H$34,$A$1,COLUMN(C12)-1),C45,"nv"),"nv")</f>
        <v>5098.688620613977</v>
      </c>
      <c r="D80" s="122">
        <f t="shared" si="4"/>
        <v>5020.9723269150745</v>
      </c>
      <c r="E80" s="122">
        <f t="shared" si="4"/>
        <v>5016.0983603050754</v>
      </c>
      <c r="F80" s="122" t="str">
        <f t="shared" si="4"/>
        <v>nv</v>
      </c>
      <c r="G80" s="122" t="str">
        <f t="shared" si="4"/>
        <v>nv</v>
      </c>
      <c r="H80" s="122" t="str">
        <f t="shared" si="4"/>
        <v>nv</v>
      </c>
      <c r="I80" s="122"/>
      <c r="J80" s="122">
        <f t="shared" si="2"/>
        <v>5113.516022734224</v>
      </c>
    </row>
    <row r="81" spans="1:10" x14ac:dyDescent="0.25">
      <c r="A81" s="121">
        <f t="shared" si="3"/>
        <v>9.9999999999999995E-7</v>
      </c>
      <c r="B81" s="122" t="str">
        <f t="shared" ref="B81:H102" si="5">IF($A81&gt;=10^B$4,IF($A81&lt;=10^INDEX($B$4:$H$34,$A$1,COLUMN(B13)-1),B46,"nv"),"nv")</f>
        <v>nv</v>
      </c>
      <c r="C81" s="122">
        <f t="shared" si="5"/>
        <v>4929.9207323498867</v>
      </c>
      <c r="D81" s="122">
        <f t="shared" si="5"/>
        <v>4858.8801364312258</v>
      </c>
      <c r="E81" s="122">
        <f t="shared" si="5"/>
        <v>4845.8186723632343</v>
      </c>
      <c r="F81" s="122" t="str">
        <f t="shared" si="5"/>
        <v>nv</v>
      </c>
      <c r="G81" s="122" t="str">
        <f t="shared" si="5"/>
        <v>nv</v>
      </c>
      <c r="H81" s="122" t="str">
        <f t="shared" si="5"/>
        <v>nv</v>
      </c>
      <c r="I81" s="122"/>
      <c r="J81" s="122">
        <f t="shared" si="2"/>
        <v>4878.2065137147829</v>
      </c>
    </row>
    <row r="82" spans="1:10" x14ac:dyDescent="0.25">
      <c r="A82" s="121">
        <f t="shared" si="3"/>
        <v>1.0000000000000001E-5</v>
      </c>
      <c r="B82" s="122" t="str">
        <f t="shared" si="5"/>
        <v>nv</v>
      </c>
      <c r="C82" s="122">
        <f t="shared" si="5"/>
        <v>4760.7491248967253</v>
      </c>
      <c r="D82" s="122">
        <f t="shared" si="5"/>
        <v>4693.6916881646157</v>
      </c>
      <c r="E82" s="122">
        <f t="shared" si="5"/>
        <v>4665.7547516157701</v>
      </c>
      <c r="F82" s="122">
        <f t="shared" si="5"/>
        <v>4570.6221718948836</v>
      </c>
      <c r="G82" s="122" t="str">
        <f t="shared" si="5"/>
        <v>nv</v>
      </c>
      <c r="H82" s="122" t="str">
        <f t="shared" si="5"/>
        <v>nv</v>
      </c>
      <c r="I82" s="122"/>
      <c r="J82" s="122">
        <f t="shared" si="2"/>
        <v>4672.7044341429992</v>
      </c>
    </row>
    <row r="83" spans="1:10" x14ac:dyDescent="0.25">
      <c r="A83" s="121">
        <f t="shared" si="3"/>
        <v>1E-4</v>
      </c>
      <c r="B83" s="122" t="str">
        <f t="shared" si="5"/>
        <v>nv</v>
      </c>
      <c r="C83" s="122">
        <f t="shared" si="5"/>
        <v>4522.6845542608671</v>
      </c>
      <c r="D83" s="122">
        <f t="shared" si="5"/>
        <v>4493.7297536695332</v>
      </c>
      <c r="E83" s="122">
        <f t="shared" si="5"/>
        <v>4470.0019953242327</v>
      </c>
      <c r="F83" s="122">
        <f t="shared" si="5"/>
        <v>4355.6121901289935</v>
      </c>
      <c r="G83" s="122" t="str">
        <f t="shared" si="5"/>
        <v>nv</v>
      </c>
      <c r="H83" s="122" t="str">
        <f t="shared" si="5"/>
        <v>nv</v>
      </c>
      <c r="I83" s="122"/>
      <c r="J83" s="122">
        <f t="shared" si="2"/>
        <v>4460.5071233459075</v>
      </c>
    </row>
    <row r="84" spans="1:10" x14ac:dyDescent="0.25">
      <c r="A84" s="121">
        <f t="shared" si="3"/>
        <v>1E-3</v>
      </c>
      <c r="B84" s="122" t="str">
        <f t="shared" si="5"/>
        <v>nv</v>
      </c>
      <c r="C84" s="122">
        <f t="shared" si="5"/>
        <v>4149.2558724966711</v>
      </c>
      <c r="D84" s="122">
        <f t="shared" si="5"/>
        <v>4246.6993142949959</v>
      </c>
      <c r="E84" s="122">
        <f t="shared" si="5"/>
        <v>4239.1997471232553</v>
      </c>
      <c r="F84" s="122">
        <f t="shared" si="5"/>
        <v>4128.400911796266</v>
      </c>
      <c r="G84" s="122" t="str">
        <f t="shared" si="5"/>
        <v>nv</v>
      </c>
      <c r="H84" s="122" t="str">
        <f t="shared" si="5"/>
        <v>nv</v>
      </c>
      <c r="I84" s="122"/>
      <c r="J84" s="122">
        <f t="shared" si="2"/>
        <v>4190.8889614277969</v>
      </c>
    </row>
    <row r="85" spans="1:10" x14ac:dyDescent="0.25">
      <c r="A85" s="121">
        <f t="shared" si="3"/>
        <v>0.01</v>
      </c>
      <c r="B85" s="122" t="str">
        <f t="shared" si="5"/>
        <v>nv</v>
      </c>
      <c r="C85" s="122" t="str">
        <f t="shared" si="5"/>
        <v>nv</v>
      </c>
      <c r="D85" s="122">
        <f t="shared" si="5"/>
        <v>3938.1618691434237</v>
      </c>
      <c r="E85" s="122">
        <f t="shared" si="5"/>
        <v>4019.1815685187039</v>
      </c>
      <c r="F85" s="122">
        <f t="shared" si="5"/>
        <v>3931.0953121014495</v>
      </c>
      <c r="G85" s="122" t="str">
        <f t="shared" si="5"/>
        <v>nv</v>
      </c>
      <c r="H85" s="122" t="str">
        <f t="shared" si="5"/>
        <v>nv</v>
      </c>
      <c r="I85" s="122"/>
      <c r="J85" s="122">
        <f t="shared" si="2"/>
        <v>3962.8129165878595</v>
      </c>
    </row>
    <row r="86" spans="1:10" x14ac:dyDescent="0.25">
      <c r="A86" s="121">
        <f t="shared" si="3"/>
        <v>0.1</v>
      </c>
      <c r="B86" s="122" t="str">
        <f t="shared" si="5"/>
        <v>nv</v>
      </c>
      <c r="C86" s="122" t="str">
        <f t="shared" si="5"/>
        <v>nv</v>
      </c>
      <c r="D86" s="122">
        <f t="shared" si="5"/>
        <v>3593.988764569905</v>
      </c>
      <c r="E86" s="122">
        <f t="shared" si="5"/>
        <v>3791.4812486086485</v>
      </c>
      <c r="F86" s="122">
        <f t="shared" si="5"/>
        <v>3756.0498426526324</v>
      </c>
      <c r="G86" s="122" t="str">
        <f t="shared" si="5"/>
        <v>nv</v>
      </c>
      <c r="H86" s="122" t="str">
        <f t="shared" si="5"/>
        <v>nv</v>
      </c>
      <c r="I86" s="122"/>
      <c r="J86" s="122">
        <f t="shared" si="2"/>
        <v>3713.8399519437285</v>
      </c>
    </row>
    <row r="87" spans="1:10" x14ac:dyDescent="0.25">
      <c r="A87" s="121">
        <f t="shared" si="3"/>
        <v>1</v>
      </c>
      <c r="B87" s="122" t="str">
        <f t="shared" si="5"/>
        <v>nv</v>
      </c>
      <c r="C87" s="122" t="str">
        <f t="shared" si="5"/>
        <v>nv</v>
      </c>
      <c r="D87" s="122">
        <f t="shared" si="5"/>
        <v>3264.2874217155077</v>
      </c>
      <c r="E87" s="122">
        <f t="shared" si="5"/>
        <v>3489.4130940095738</v>
      </c>
      <c r="F87" s="122">
        <f t="shared" si="5"/>
        <v>3572.9092141735305</v>
      </c>
      <c r="G87" s="122" t="str">
        <f t="shared" si="5"/>
        <v>nv</v>
      </c>
      <c r="H87" s="122" t="str">
        <f t="shared" si="5"/>
        <v>nv</v>
      </c>
      <c r="I87" s="122"/>
      <c r="J87" s="122">
        <f t="shared" si="2"/>
        <v>3442.203243299537</v>
      </c>
    </row>
    <row r="88" spans="1:10" x14ac:dyDescent="0.25">
      <c r="A88" s="121">
        <f t="shared" si="3"/>
        <v>10</v>
      </c>
      <c r="B88" s="122" t="str">
        <f t="shared" si="5"/>
        <v>nv</v>
      </c>
      <c r="C88" s="122" t="str">
        <f t="shared" si="5"/>
        <v>nv</v>
      </c>
      <c r="D88" s="122" t="str">
        <f t="shared" si="5"/>
        <v>nv</v>
      </c>
      <c r="E88" s="122">
        <f t="shared" si="5"/>
        <v>3164.1627504372773</v>
      </c>
      <c r="F88" s="122">
        <f t="shared" si="5"/>
        <v>3356.1944513859066</v>
      </c>
      <c r="G88" s="122" t="str">
        <f t="shared" si="5"/>
        <v>nv</v>
      </c>
      <c r="H88" s="122" t="str">
        <f t="shared" si="5"/>
        <v>nv</v>
      </c>
      <c r="I88" s="122"/>
      <c r="J88" s="122">
        <f t="shared" si="2"/>
        <v>3260.1786009115922</v>
      </c>
    </row>
    <row r="89" spans="1:10" x14ac:dyDescent="0.25">
      <c r="A89" s="121">
        <f t="shared" si="3"/>
        <v>100</v>
      </c>
      <c r="B89" s="122" t="str">
        <f t="shared" si="5"/>
        <v>nv</v>
      </c>
      <c r="C89" s="122" t="str">
        <f t="shared" si="5"/>
        <v>nv</v>
      </c>
      <c r="D89" s="122" t="str">
        <f t="shared" si="5"/>
        <v>nv</v>
      </c>
      <c r="E89" s="122">
        <f t="shared" si="5"/>
        <v>2881.4863359891906</v>
      </c>
      <c r="F89" s="122">
        <f t="shared" si="5"/>
        <v>3066.2657883339552</v>
      </c>
      <c r="G89" s="122">
        <f t="shared" si="5"/>
        <v>3126.0339908021024</v>
      </c>
      <c r="H89" s="122" t="str">
        <f t="shared" si="5"/>
        <v>nv</v>
      </c>
      <c r="I89" s="122"/>
      <c r="J89" s="122">
        <f t="shared" si="2"/>
        <v>3024.5953717084158</v>
      </c>
    </row>
    <row r="90" spans="1:10" x14ac:dyDescent="0.25">
      <c r="A90" s="121">
        <f t="shared" si="3"/>
        <v>1000</v>
      </c>
      <c r="B90" s="122" t="str">
        <f t="shared" si="5"/>
        <v>nv</v>
      </c>
      <c r="C90" s="122" t="str">
        <f t="shared" si="5"/>
        <v>nv</v>
      </c>
      <c r="D90" s="122" t="str">
        <f t="shared" si="5"/>
        <v>nv</v>
      </c>
      <c r="E90" s="122" t="str">
        <f t="shared" si="5"/>
        <v>nv</v>
      </c>
      <c r="F90" s="122">
        <f t="shared" si="5"/>
        <v>2758.9237309250375</v>
      </c>
      <c r="G90" s="122">
        <f t="shared" si="5"/>
        <v>2924.9299864173636</v>
      </c>
      <c r="H90" s="122" t="str">
        <f t="shared" si="5"/>
        <v>nv</v>
      </c>
      <c r="I90" s="122"/>
      <c r="J90" s="122">
        <f t="shared" si="2"/>
        <v>2841.9268586712005</v>
      </c>
    </row>
    <row r="91" spans="1:10" x14ac:dyDescent="0.25">
      <c r="A91" s="121">
        <f t="shared" si="3"/>
        <v>10000</v>
      </c>
      <c r="B91" s="122" t="str">
        <f t="shared" si="5"/>
        <v>nv</v>
      </c>
      <c r="C91" s="122" t="str">
        <f t="shared" si="5"/>
        <v>nv</v>
      </c>
      <c r="D91" s="122" t="str">
        <f t="shared" si="5"/>
        <v>nv</v>
      </c>
      <c r="E91" s="122" t="str">
        <f t="shared" si="5"/>
        <v>nv</v>
      </c>
      <c r="F91" s="122">
        <f t="shared" si="5"/>
        <v>2465.267862411738</v>
      </c>
      <c r="G91" s="122">
        <f t="shared" si="5"/>
        <v>2682.8312945786324</v>
      </c>
      <c r="H91" s="122" t="str">
        <f t="shared" si="5"/>
        <v>nv</v>
      </c>
      <c r="I91" s="122"/>
      <c r="J91" s="122">
        <f t="shared" si="2"/>
        <v>2574.0495784951854</v>
      </c>
    </row>
    <row r="92" spans="1:10" x14ac:dyDescent="0.25">
      <c r="A92" s="121">
        <f t="shared" si="3"/>
        <v>100000</v>
      </c>
      <c r="B92" s="122" t="str">
        <f t="shared" si="5"/>
        <v>nv</v>
      </c>
      <c r="C92" s="122" t="str">
        <f t="shared" si="5"/>
        <v>nv</v>
      </c>
      <c r="D92" s="122" t="str">
        <f t="shared" si="5"/>
        <v>nv</v>
      </c>
      <c r="E92" s="122" t="str">
        <f t="shared" si="5"/>
        <v>nv</v>
      </c>
      <c r="F92" s="122">
        <f t="shared" si="5"/>
        <v>2197.1478961266816</v>
      </c>
      <c r="G92" s="122">
        <f t="shared" si="5"/>
        <v>2439.4287929694892</v>
      </c>
      <c r="H92" s="122" t="str">
        <f t="shared" si="5"/>
        <v>nv</v>
      </c>
      <c r="I92" s="122"/>
      <c r="J92" s="122">
        <f t="shared" si="2"/>
        <v>2318.2883445480857</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2144.0397073610739</v>
      </c>
      <c r="H93" s="122" t="str">
        <f t="shared" si="5"/>
        <v>nv</v>
      </c>
      <c r="I93" s="122"/>
      <c r="J93" s="122">
        <f t="shared" si="2"/>
        <v>2144.0397073610739</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1780.2381399028682</v>
      </c>
      <c r="H94" s="122" t="str">
        <f t="shared" si="5"/>
        <v>nv</v>
      </c>
      <c r="I94" s="122"/>
      <c r="J94" s="122">
        <f t="shared" si="2"/>
        <v>1780.2381399028682</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f t="shared" si="5"/>
        <v>1371.090338086482</v>
      </c>
      <c r="H95" s="122">
        <f t="shared" si="5"/>
        <v>1392.63662817153</v>
      </c>
      <c r="I95" s="122"/>
      <c r="J95" s="122">
        <f t="shared" si="2"/>
        <v>1381.863483129006</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f t="shared" si="5"/>
        <v>987.46500828443595</v>
      </c>
      <c r="H96" s="122">
        <f t="shared" si="5"/>
        <v>1018.0962201715457</v>
      </c>
      <c r="I96" s="122"/>
      <c r="J96" s="122">
        <f t="shared" si="2"/>
        <v>1002.7806142279908</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f t="shared" si="5"/>
        <v>679.6673025682926</v>
      </c>
      <c r="H97" s="122">
        <f t="shared" si="5"/>
        <v>677.34714671713084</v>
      </c>
      <c r="I97" s="122"/>
      <c r="J97" s="122">
        <f t="shared" si="2"/>
        <v>678.50722464271166</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f t="shared" si="5"/>
        <v>478.07484588462933</v>
      </c>
      <c r="H98" s="122">
        <f t="shared" si="5"/>
        <v>494.41379087291438</v>
      </c>
      <c r="I98" s="122"/>
      <c r="J98" s="122">
        <f t="shared" si="2"/>
        <v>486.24431837877182</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t="str">
        <f t="shared" si="5"/>
        <v>nv</v>
      </c>
      <c r="H99" s="122">
        <f t="shared" si="5"/>
        <v>386.12111827132946</v>
      </c>
      <c r="I99" s="122"/>
      <c r="J99" s="122">
        <f t="shared" si="2"/>
        <v>386.12111827132946</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t="str">
        <f t="shared" si="5"/>
        <v>nv</v>
      </c>
      <c r="H100" s="122">
        <f t="shared" si="5"/>
        <v>333.59088746314814</v>
      </c>
      <c r="I100" s="122"/>
      <c r="J100" s="122">
        <f t="shared" si="2"/>
        <v>333.59088746314814</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304.24505617208177</v>
      </c>
      <c r="I101" s="122"/>
      <c r="J101" s="122">
        <f t="shared" si="2"/>
        <v>304.24505617208177</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282.17229066083371</v>
      </c>
      <c r="I102" s="122"/>
      <c r="J102" s="122">
        <f>IF(ISERROR(AVERAGE(B102:H102)),J101,AVERAGE(B102:H102))</f>
        <v>282.17229066083371</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6235.4458980658719</v>
      </c>
      <c r="G109" s="26">
        <f t="shared" ref="G109:AJ109" si="7">INDEX($J$72:$J$102,COLUMN(B72),1)</f>
        <v>6232.3398976903536</v>
      </c>
      <c r="H109" s="26">
        <f t="shared" si="7"/>
        <v>6171.6283665983447</v>
      </c>
      <c r="I109" s="26">
        <f t="shared" si="7"/>
        <v>5914.7848990079729</v>
      </c>
      <c r="J109" s="26">
        <f t="shared" si="7"/>
        <v>5788.4967492334526</v>
      </c>
      <c r="K109" s="26">
        <f t="shared" si="7"/>
        <v>5663.07931931844</v>
      </c>
      <c r="L109" s="26">
        <f t="shared" si="7"/>
        <v>5475.473731133975</v>
      </c>
      <c r="M109" s="26">
        <f t="shared" si="7"/>
        <v>5322.7703209443198</v>
      </c>
      <c r="N109" s="26">
        <f t="shared" si="7"/>
        <v>5113.516022734224</v>
      </c>
      <c r="O109" s="26">
        <f t="shared" si="7"/>
        <v>4878.2065137147829</v>
      </c>
      <c r="P109" s="26">
        <f t="shared" si="7"/>
        <v>4672.7044341429992</v>
      </c>
      <c r="Q109" s="26">
        <f t="shared" si="7"/>
        <v>4460.5071233459075</v>
      </c>
      <c r="R109" s="26">
        <f t="shared" si="7"/>
        <v>4190.8889614277969</v>
      </c>
      <c r="S109" s="26">
        <f t="shared" si="7"/>
        <v>3962.8129165878595</v>
      </c>
      <c r="T109" s="26">
        <f t="shared" si="7"/>
        <v>3713.8399519437285</v>
      </c>
      <c r="U109" s="26">
        <f t="shared" si="7"/>
        <v>3442.203243299537</v>
      </c>
      <c r="V109" s="26">
        <f t="shared" si="7"/>
        <v>3260.1786009115922</v>
      </c>
      <c r="W109" s="26">
        <f t="shared" si="7"/>
        <v>3024.5953717084158</v>
      </c>
      <c r="X109" s="26">
        <f t="shared" si="7"/>
        <v>2841.9268586712005</v>
      </c>
      <c r="Y109" s="26">
        <f t="shared" si="7"/>
        <v>2574.0495784951854</v>
      </c>
      <c r="Z109" s="26">
        <f t="shared" si="7"/>
        <v>2318.2883445480857</v>
      </c>
      <c r="AA109" s="26">
        <f t="shared" si="7"/>
        <v>2144.0397073610739</v>
      </c>
      <c r="AB109" s="26">
        <f t="shared" si="7"/>
        <v>1780.2381399028682</v>
      </c>
      <c r="AC109" s="26">
        <f t="shared" si="7"/>
        <v>1381.863483129006</v>
      </c>
      <c r="AD109" s="26">
        <f t="shared" si="7"/>
        <v>1002.7806142279908</v>
      </c>
      <c r="AE109" s="26">
        <f t="shared" si="7"/>
        <v>678.50722464271166</v>
      </c>
      <c r="AF109" s="26">
        <f t="shared" si="7"/>
        <v>486.24431837877182</v>
      </c>
      <c r="AG109" s="26">
        <f t="shared" si="7"/>
        <v>386.12111827132946</v>
      </c>
      <c r="AH109" s="26">
        <f t="shared" si="7"/>
        <v>333.59088746314814</v>
      </c>
      <c r="AI109" s="26">
        <f t="shared" si="7"/>
        <v>304.24505617208177</v>
      </c>
      <c r="AJ109" s="26">
        <f t="shared" si="7"/>
        <v>282.17229066083371</v>
      </c>
    </row>
    <row r="110" spans="1:36" x14ac:dyDescent="0.25">
      <c r="A110" s="14" t="s">
        <v>20</v>
      </c>
      <c r="B110" s="105">
        <v>6.6838224801258311E-2</v>
      </c>
      <c r="C110" s="18">
        <f>ABS(B110/$B$142)</f>
        <v>4.2114628661260402E-2</v>
      </c>
      <c r="D110" s="111"/>
      <c r="E110" s="77" t="s">
        <v>22</v>
      </c>
      <c r="F110" s="27">
        <f>($C$110+SUM(F111:F141))*$B$144</f>
        <v>6190.3123716909004</v>
      </c>
      <c r="G110" s="27">
        <f t="shared" ref="G110:AJ110" si="8">($C$110+SUM(G111:G141))*$B$144</f>
        <v>6184.6455211885805</v>
      </c>
      <c r="H110" s="27">
        <f t="shared" si="8"/>
        <v>6133.7429928484107</v>
      </c>
      <c r="I110" s="27">
        <f t="shared" si="8"/>
        <v>5926.4755896979204</v>
      </c>
      <c r="J110" s="27">
        <f t="shared" si="8"/>
        <v>5786.7810782724118</v>
      </c>
      <c r="K110" s="27">
        <f t="shared" si="8"/>
        <v>5663.2974924050604</v>
      </c>
      <c r="L110" s="27">
        <f t="shared" si="8"/>
        <v>5475.4100366447583</v>
      </c>
      <c r="M110" s="27">
        <f t="shared" si="8"/>
        <v>5322.8933969957152</v>
      </c>
      <c r="N110" s="27">
        <f t="shared" si="8"/>
        <v>5113.2252501084931</v>
      </c>
      <c r="O110" s="27">
        <f t="shared" si="8"/>
        <v>4878.8022262693858</v>
      </c>
      <c r="P110" s="27">
        <f t="shared" si="8"/>
        <v>4671.6897385918719</v>
      </c>
      <c r="Q110" s="27">
        <f t="shared" si="8"/>
        <v>4461.9763354585966</v>
      </c>
      <c r="R110" s="27">
        <f t="shared" si="8"/>
        <v>4189.0820478778696</v>
      </c>
      <c r="S110" s="27">
        <f t="shared" si="8"/>
        <v>3964.7087033255302</v>
      </c>
      <c r="T110" s="27">
        <f t="shared" si="8"/>
        <v>3712.1319006294261</v>
      </c>
      <c r="U110" s="27">
        <f t="shared" si="8"/>
        <v>3443.5205381663854</v>
      </c>
      <c r="V110" s="27">
        <f t="shared" si="8"/>
        <v>3259.2985944799475</v>
      </c>
      <c r="W110" s="27">
        <f t="shared" si="8"/>
        <v>3025.1011304650465</v>
      </c>
      <c r="X110" s="27">
        <f t="shared" si="8"/>
        <v>2841.6775894345942</v>
      </c>
      <c r="Y110" s="27">
        <f t="shared" si="8"/>
        <v>2574.1602314168222</v>
      </c>
      <c r="Z110" s="27">
        <f t="shared" si="8"/>
        <v>2318.2493889923799</v>
      </c>
      <c r="AA110" s="27">
        <f t="shared" si="8"/>
        <v>2144.0505476272788</v>
      </c>
      <c r="AB110" s="27">
        <f t="shared" si="8"/>
        <v>1780.2357285805385</v>
      </c>
      <c r="AC110" s="27">
        <f t="shared" si="8"/>
        <v>1381.8633061907374</v>
      </c>
      <c r="AD110" s="27">
        <f t="shared" si="8"/>
        <v>1002.7824716763835</v>
      </c>
      <c r="AE110" s="27">
        <f t="shared" si="8"/>
        <v>678.50929678281625</v>
      </c>
      <c r="AF110" s="27">
        <f t="shared" si="8"/>
        <v>486.24606151954828</v>
      </c>
      <c r="AG110" s="27">
        <f t="shared" si="8"/>
        <v>386.11966471834864</v>
      </c>
      <c r="AH110" s="27">
        <f t="shared" si="8"/>
        <v>333.58925380244926</v>
      </c>
      <c r="AI110" s="27">
        <f t="shared" si="8"/>
        <v>304.24031689680851</v>
      </c>
      <c r="AJ110" s="27">
        <f t="shared" si="8"/>
        <v>282.16716208801512</v>
      </c>
    </row>
    <row r="111" spans="1:36" x14ac:dyDescent="0.25">
      <c r="A111" s="3">
        <f>0.000000000000001/10^5</f>
        <v>1.0000000000000001E-20</v>
      </c>
      <c r="B111" s="105">
        <v>0</v>
      </c>
      <c r="C111" s="18">
        <f t="shared" ref="C111:C141" si="9">ABS(B111/$B$142)</f>
        <v>0</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6.7287234328400364E-2</v>
      </c>
      <c r="C113" s="18">
        <f t="shared" si="9"/>
        <v>4.239754864540396E-2</v>
      </c>
      <c r="D113" s="17"/>
      <c r="E113" s="11"/>
      <c r="F113" s="3">
        <f t="shared" si="11"/>
        <v>4.2299692618803161E-2</v>
      </c>
      <c r="G113" s="3">
        <f t="shared" si="10"/>
        <v>4.1429089661249689E-2</v>
      </c>
      <c r="H113" s="3">
        <f t="shared" si="10"/>
        <v>3.3650163627841977E-2</v>
      </c>
      <c r="I113" s="3">
        <f t="shared" si="10"/>
        <v>4.2053783970908377E-3</v>
      </c>
      <c r="J113" s="3">
        <f t="shared" si="10"/>
        <v>3.9082655979057473E-12</v>
      </c>
      <c r="K113" s="3">
        <f t="shared" si="10"/>
        <v>1.8783389920157951E-102</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3.4904993642023562E-2</v>
      </c>
      <c r="C114" s="18">
        <f t="shared" si="9"/>
        <v>2.199356505994161E-2</v>
      </c>
      <c r="D114" s="17"/>
      <c r="E114" s="11"/>
      <c r="F114" s="3">
        <f t="shared" si="11"/>
        <v>2.1988981050938872E-2</v>
      </c>
      <c r="G114" s="3">
        <f t="shared" si="10"/>
        <v>2.1947767940022265E-2</v>
      </c>
      <c r="H114" s="3">
        <f t="shared" si="10"/>
        <v>2.1539861461311233E-2</v>
      </c>
      <c r="I114" s="3">
        <f t="shared" si="10"/>
        <v>1.7855349950962947E-2</v>
      </c>
      <c r="J114" s="3">
        <f t="shared" si="10"/>
        <v>2.7354134239031677E-3</v>
      </c>
      <c r="K114" s="3">
        <f t="shared" si="10"/>
        <v>1.9479107219428862E-11</v>
      </c>
      <c r="L114" s="3">
        <f t="shared" si="10"/>
        <v>6.5317535562719561E-93</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2.743949074203934E-2</v>
      </c>
      <c r="C115" s="18">
        <f t="shared" si="9"/>
        <v>1.7289566960990318E-2</v>
      </c>
      <c r="D115" s="17"/>
      <c r="E115" s="11"/>
      <c r="F115" s="3">
        <f t="shared" si="11"/>
        <v>1.728924185743707E-2</v>
      </c>
      <c r="G115" s="3">
        <f t="shared" si="10"/>
        <v>1.7286316200532142E-2</v>
      </c>
      <c r="H115" s="3">
        <f t="shared" si="10"/>
        <v>1.7257086846779759E-2</v>
      </c>
      <c r="I115" s="3">
        <f t="shared" si="10"/>
        <v>1.6967497874654999E-2</v>
      </c>
      <c r="J115" s="3">
        <f t="shared" si="10"/>
        <v>1.4325869511345252E-2</v>
      </c>
      <c r="K115" s="3">
        <f t="shared" si="10"/>
        <v>2.6372595073055455E-3</v>
      </c>
      <c r="L115" s="3">
        <f t="shared" si="10"/>
        <v>1.1788854910360298E-10</v>
      </c>
      <c r="M115" s="3">
        <f t="shared" si="10"/>
        <v>3.7554257823401918E-84</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5.9258304762960776E-2</v>
      </c>
      <c r="C116" s="18">
        <f t="shared" si="9"/>
        <v>3.7338536557615279E-2</v>
      </c>
      <c r="D116" s="17"/>
      <c r="E116" s="11"/>
      <c r="F116" s="3">
        <f t="shared" si="11"/>
        <v>3.7338473222407707E-2</v>
      </c>
      <c r="G116" s="3">
        <f t="shared" si="10"/>
        <v>3.7337903210373967E-2</v>
      </c>
      <c r="H116" s="3">
        <f t="shared" si="10"/>
        <v>3.733220356861628E-2</v>
      </c>
      <c r="I116" s="3">
        <f t="shared" si="10"/>
        <v>3.7275254981990066E-2</v>
      </c>
      <c r="J116" s="3">
        <f t="shared" si="10"/>
        <v>3.6710525303492919E-2</v>
      </c>
      <c r="K116" s="3">
        <f t="shared" si="10"/>
        <v>3.1513044290948505E-2</v>
      </c>
      <c r="L116" s="3">
        <f t="shared" si="10"/>
        <v>6.8468051425984522E-3</v>
      </c>
      <c r="M116" s="3">
        <f t="shared" si="10"/>
        <v>1.6049594032802902E-9</v>
      </c>
      <c r="N116" s="3">
        <f t="shared" si="10"/>
        <v>8.0394231051732416E-76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3.130576390536266E-2</v>
      </c>
      <c r="C117" s="18">
        <f t="shared" si="9"/>
        <v>1.9725697768780606E-2</v>
      </c>
      <c r="D117" s="17"/>
      <c r="E117" s="11"/>
      <c r="F117" s="3">
        <f t="shared" si="11"/>
        <v>1.9725694750447227E-2</v>
      </c>
      <c r="G117" s="3">
        <f t="shared" si="10"/>
        <v>1.9725667585467583E-2</v>
      </c>
      <c r="H117" s="3">
        <f t="shared" si="10"/>
        <v>1.9725395937728707E-2</v>
      </c>
      <c r="I117" s="3">
        <f t="shared" si="10"/>
        <v>1.9722679666083025E-2</v>
      </c>
      <c r="J117" s="3">
        <f t="shared" si="10"/>
        <v>1.9695537513454098E-2</v>
      </c>
      <c r="K117" s="3">
        <f t="shared" si="10"/>
        <v>1.9426161930327215E-2</v>
      </c>
      <c r="L117" s="3">
        <f t="shared" si="10"/>
        <v>1.6926948511988314E-2</v>
      </c>
      <c r="M117" s="3">
        <f t="shared" si="10"/>
        <v>4.2706635606856221E-3</v>
      </c>
      <c r="N117" s="3">
        <f t="shared" si="10"/>
        <v>4.4633631321877946E-9</v>
      </c>
      <c r="O117" s="3">
        <f t="shared" si="10"/>
        <v>6.9395425906859724E-69</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6.3929054755850354E-2</v>
      </c>
      <c r="C118" s="18">
        <f t="shared" si="9"/>
        <v>4.0281566569334348E-2</v>
      </c>
      <c r="D118" s="17"/>
      <c r="E118" s="11"/>
      <c r="F118" s="3">
        <f t="shared" si="11"/>
        <v>4.0281566013317685E-2</v>
      </c>
      <c r="G118" s="3">
        <f t="shared" si="10"/>
        <v>4.0281561009168083E-2</v>
      </c>
      <c r="H118" s="3">
        <f t="shared" si="10"/>
        <v>4.0281510967706248E-2</v>
      </c>
      <c r="I118" s="3">
        <f t="shared" si="10"/>
        <v>4.028101055650702E-2</v>
      </c>
      <c r="J118" s="3">
        <f t="shared" si="10"/>
        <v>4.027600678641137E-2</v>
      </c>
      <c r="K118" s="3">
        <f t="shared" si="10"/>
        <v>4.022600325940566E-2</v>
      </c>
      <c r="L118" s="3">
        <f t="shared" si="10"/>
        <v>3.9729369728495383E-2</v>
      </c>
      <c r="M118" s="3">
        <f t="shared" si="10"/>
        <v>3.5088078417986619E-2</v>
      </c>
      <c r="N118" s="3">
        <f t="shared" si="10"/>
        <v>1.0130681930643256E-2</v>
      </c>
      <c r="O118" s="3">
        <f t="shared" si="10"/>
        <v>4.0778348456774489E-8</v>
      </c>
      <c r="P118" s="3">
        <f t="shared" si="10"/>
        <v>4.5534351675489825E-62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6.4885250642805176E-2</v>
      </c>
      <c r="C119" s="18">
        <f t="shared" si="9"/>
        <v>4.0884063640827022E-2</v>
      </c>
      <c r="D119" s="17"/>
      <c r="E119" s="11"/>
      <c r="F119" s="3">
        <f t="shared" si="11"/>
        <v>4.088406358991948E-2</v>
      </c>
      <c r="G119" s="3">
        <f t="shared" si="10"/>
        <v>4.0884063131751636E-2</v>
      </c>
      <c r="H119" s="3">
        <f t="shared" si="10"/>
        <v>4.0884058550073439E-2</v>
      </c>
      <c r="I119" s="3">
        <f t="shared" si="10"/>
        <v>4.0884012733319701E-2</v>
      </c>
      <c r="J119" s="3">
        <f t="shared" si="10"/>
        <v>4.0883554568606324E-2</v>
      </c>
      <c r="K119" s="3">
        <f t="shared" si="10"/>
        <v>4.087897320385505E-2</v>
      </c>
      <c r="L119" s="3">
        <f t="shared" si="10"/>
        <v>4.0833187782891717E-2</v>
      </c>
      <c r="M119" s="3">
        <f t="shared" si="10"/>
        <v>4.0378144559313232E-2</v>
      </c>
      <c r="N119" s="3">
        <f t="shared" si="10"/>
        <v>3.6097496631816169E-2</v>
      </c>
      <c r="O119" s="3">
        <f t="shared" si="10"/>
        <v>1.1770213609966522E-2</v>
      </c>
      <c r="P119" s="3">
        <f t="shared" si="10"/>
        <v>1.5990312291535951E-7</v>
      </c>
      <c r="Q119" s="3">
        <f t="shared" si="10"/>
        <v>3.4243879124287324E-56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5.0806186412107976E-2</v>
      </c>
      <c r="C120" s="18">
        <f t="shared" si="9"/>
        <v>3.2012874082203616E-2</v>
      </c>
      <c r="D120" s="17"/>
      <c r="E120" s="11"/>
      <c r="F120" s="3">
        <f t="shared" si="11"/>
        <v>3.2012874078607784E-2</v>
      </c>
      <c r="G120" s="3">
        <f t="shared" ref="G120:AJ128" si="12">$C120*EXP(-G$108/$A120)</f>
        <v>3.2012874046245303E-2</v>
      </c>
      <c r="H120" s="3">
        <f t="shared" si="12"/>
        <v>3.2012873722620488E-2</v>
      </c>
      <c r="I120" s="3">
        <f t="shared" si="12"/>
        <v>3.2012870486372552E-2</v>
      </c>
      <c r="J120" s="3">
        <f t="shared" si="12"/>
        <v>3.201283812391114E-2</v>
      </c>
      <c r="K120" s="3">
        <f t="shared" si="12"/>
        <v>3.2012514501096427E-2</v>
      </c>
      <c r="L120" s="3">
        <f t="shared" si="12"/>
        <v>3.2009278452879285E-2</v>
      </c>
      <c r="M120" s="3">
        <f t="shared" si="12"/>
        <v>3.1976935956980437E-2</v>
      </c>
      <c r="N120" s="3">
        <f t="shared" si="12"/>
        <v>3.1655302915807766E-2</v>
      </c>
      <c r="O120" s="3">
        <f t="shared" si="12"/>
        <v>2.8611639190118266E-2</v>
      </c>
      <c r="P120" s="3">
        <f t="shared" si="12"/>
        <v>1.0411310514048859E-2</v>
      </c>
      <c r="Q120" s="3">
        <f t="shared" si="12"/>
        <v>4.2377174437036538E-7</v>
      </c>
      <c r="R120" s="3">
        <f t="shared" si="12"/>
        <v>5.289297115795401E-51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5.4986954427402555E-2</v>
      </c>
      <c r="C121" s="18">
        <f t="shared" si="9"/>
        <v>3.4647167452599825E-2</v>
      </c>
      <c r="D121" s="17"/>
      <c r="E121" s="11"/>
      <c r="F121" s="3">
        <f t="shared" si="11"/>
        <v>3.4647167452248759E-2</v>
      </c>
      <c r="G121" s="3">
        <f t="shared" si="12"/>
        <v>3.4647167449089161E-2</v>
      </c>
      <c r="H121" s="3">
        <f t="shared" si="12"/>
        <v>3.4647167417493206E-2</v>
      </c>
      <c r="I121" s="3">
        <f t="shared" si="12"/>
        <v>3.464716710153367E-2</v>
      </c>
      <c r="J121" s="3">
        <f t="shared" si="12"/>
        <v>3.4647163941938446E-2</v>
      </c>
      <c r="K121" s="3">
        <f t="shared" si="12"/>
        <v>3.4647132346002009E-2</v>
      </c>
      <c r="L121" s="3">
        <f t="shared" si="12"/>
        <v>3.4646816388222416E-2</v>
      </c>
      <c r="M121" s="3">
        <f t="shared" si="12"/>
        <v>3.4643656968894473E-2</v>
      </c>
      <c r="N121" s="3">
        <f t="shared" si="12"/>
        <v>3.4612078617070954E-2</v>
      </c>
      <c r="O121" s="3">
        <f t="shared" si="12"/>
        <v>3.4297873912281285E-2</v>
      </c>
      <c r="P121" s="3">
        <f t="shared" si="12"/>
        <v>3.1308508504460979E-2</v>
      </c>
      <c r="Q121" s="3">
        <f t="shared" si="12"/>
        <v>1.2578074813026805E-2</v>
      </c>
      <c r="R121" s="3">
        <f t="shared" si="12"/>
        <v>1.3776285035904634E-6</v>
      </c>
      <c r="S121" s="3">
        <f t="shared" si="12"/>
        <v>3.4222488287211364E-46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9.2446390974493531E-2</v>
      </c>
      <c r="C122" s="18">
        <f t="shared" si="9"/>
        <v>5.8250281759296411E-2</v>
      </c>
      <c r="D122" s="17"/>
      <c r="E122" s="11"/>
      <c r="F122" s="3">
        <f t="shared" si="11"/>
        <v>5.8250281759243169E-2</v>
      </c>
      <c r="G122" s="3">
        <f t="shared" si="12"/>
        <v>5.8250281758763976E-2</v>
      </c>
      <c r="H122" s="3">
        <f t="shared" si="12"/>
        <v>5.8250281753972073E-2</v>
      </c>
      <c r="I122" s="3">
        <f t="shared" si="12"/>
        <v>5.8250281706053002E-2</v>
      </c>
      <c r="J122" s="3">
        <f t="shared" si="12"/>
        <v>5.8250281226862329E-2</v>
      </c>
      <c r="K122" s="3">
        <f t="shared" si="12"/>
        <v>5.8250276434955804E-2</v>
      </c>
      <c r="L122" s="3">
        <f t="shared" si="12"/>
        <v>5.8250228515912217E-2</v>
      </c>
      <c r="M122" s="3">
        <f t="shared" si="12"/>
        <v>5.8249749327644477E-2</v>
      </c>
      <c r="N122" s="3">
        <f t="shared" si="12"/>
        <v>5.824495766177077E-2</v>
      </c>
      <c r="O122" s="3">
        <f t="shared" si="12"/>
        <v>5.8197062676806244E-2</v>
      </c>
      <c r="P122" s="3">
        <f t="shared" si="12"/>
        <v>5.7720273621901907E-2</v>
      </c>
      <c r="Q122" s="3">
        <f t="shared" si="12"/>
        <v>5.3162027806089474E-2</v>
      </c>
      <c r="R122" s="3">
        <f t="shared" si="12"/>
        <v>2.3352485387024623E-2</v>
      </c>
      <c r="S122" s="3">
        <f t="shared" si="12"/>
        <v>6.2466736341456504E-6</v>
      </c>
      <c r="T122" s="3">
        <f t="shared" si="12"/>
        <v>1.1716715609115773E-41</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2.7024334530476653E-2</v>
      </c>
      <c r="C123" s="18">
        <f t="shared" si="9"/>
        <v>1.7027977881711703E-2</v>
      </c>
      <c r="D123" s="17"/>
      <c r="E123" s="11"/>
      <c r="F123" s="3">
        <f t="shared" si="11"/>
        <v>1.7027977881710298E-2</v>
      </c>
      <c r="G123" s="3">
        <f t="shared" si="12"/>
        <v>1.7027977881697662E-2</v>
      </c>
      <c r="H123" s="3">
        <f t="shared" si="12"/>
        <v>1.7027977881571302E-2</v>
      </c>
      <c r="I123" s="3">
        <f t="shared" si="12"/>
        <v>1.702797788030767E-2</v>
      </c>
      <c r="J123" s="3">
        <f t="shared" si="12"/>
        <v>1.7027977867671368E-2</v>
      </c>
      <c r="K123" s="3">
        <f t="shared" si="12"/>
        <v>1.7027977741308348E-2</v>
      </c>
      <c r="L123" s="3">
        <f t="shared" si="12"/>
        <v>1.7027976477678203E-2</v>
      </c>
      <c r="M123" s="3">
        <f t="shared" si="12"/>
        <v>1.7027963841381909E-2</v>
      </c>
      <c r="N123" s="3">
        <f t="shared" si="12"/>
        <v>1.7027837478934701E-2</v>
      </c>
      <c r="O123" s="3">
        <f t="shared" si="12"/>
        <v>1.7026573906036117E-2</v>
      </c>
      <c r="P123" s="3">
        <f t="shared" si="12"/>
        <v>1.7013943332981563E-2</v>
      </c>
      <c r="Q123" s="3">
        <f t="shared" si="12"/>
        <v>1.6888151782686621E-2</v>
      </c>
      <c r="R123" s="3">
        <f t="shared" si="12"/>
        <v>1.5680270089285481E-2</v>
      </c>
      <c r="S123" s="3">
        <f t="shared" si="12"/>
        <v>7.4656511727992751E-3</v>
      </c>
      <c r="T123" s="3">
        <f t="shared" si="12"/>
        <v>4.4689885628534862E-6</v>
      </c>
      <c r="U123" s="3">
        <f t="shared" si="12"/>
        <v>2.6401264955976424E-38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0.11240914000144789</v>
      </c>
      <c r="C124" s="18">
        <f t="shared" si="9"/>
        <v>7.0828769066940953E-2</v>
      </c>
      <c r="D124" s="17"/>
      <c r="E124" s="11"/>
      <c r="F124" s="3">
        <f t="shared" si="11"/>
        <v>7.0828769066940425E-2</v>
      </c>
      <c r="G124" s="3">
        <f t="shared" si="12"/>
        <v>7.0828769066935679E-2</v>
      </c>
      <c r="H124" s="3">
        <f t="shared" si="12"/>
        <v>7.0828769066888272E-2</v>
      </c>
      <c r="I124" s="3">
        <f t="shared" si="12"/>
        <v>7.0828769066414124E-2</v>
      </c>
      <c r="J124" s="3">
        <f t="shared" si="12"/>
        <v>7.0828769061672653E-2</v>
      </c>
      <c r="K124" s="3">
        <f t="shared" si="12"/>
        <v>7.0828769014257928E-2</v>
      </c>
      <c r="L124" s="3">
        <f t="shared" si="12"/>
        <v>7.0828768540110706E-2</v>
      </c>
      <c r="M124" s="3">
        <f t="shared" si="12"/>
        <v>7.0828763798638741E-2</v>
      </c>
      <c r="N124" s="3">
        <f t="shared" si="12"/>
        <v>7.082871638393648E-2</v>
      </c>
      <c r="O124" s="3">
        <f t="shared" si="12"/>
        <v>7.0828242238659606E-2</v>
      </c>
      <c r="P124" s="3">
        <f t="shared" si="12"/>
        <v>7.0823500960460015E-2</v>
      </c>
      <c r="Q124" s="3">
        <f t="shared" si="12"/>
        <v>7.0776105631054215E-2</v>
      </c>
      <c r="R124" s="3">
        <f t="shared" si="12"/>
        <v>7.0303893280942609E-2</v>
      </c>
      <c r="S124" s="3">
        <f t="shared" si="12"/>
        <v>6.5751628189519309E-2</v>
      </c>
      <c r="T124" s="3">
        <f t="shared" si="12"/>
        <v>3.3664941781093222E-2</v>
      </c>
      <c r="U124" s="3">
        <f t="shared" si="12"/>
        <v>4.1676518182810089E-5</v>
      </c>
      <c r="V124" s="3">
        <f t="shared" si="12"/>
        <v>3.5239281372304743E-34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2.6033663476592497E-2</v>
      </c>
      <c r="C125" s="18">
        <f t="shared" si="9"/>
        <v>1.6403758078091107E-2</v>
      </c>
      <c r="D125" s="17"/>
      <c r="E125" s="11"/>
      <c r="F125" s="3">
        <f t="shared" si="11"/>
        <v>1.6403758078091097E-2</v>
      </c>
      <c r="G125" s="3">
        <f t="shared" si="12"/>
        <v>1.6403758078091E-2</v>
      </c>
      <c r="H125" s="3">
        <f t="shared" si="12"/>
        <v>1.6403758078090008E-2</v>
      </c>
      <c r="I125" s="3">
        <f t="shared" si="12"/>
        <v>1.6403758078080099E-2</v>
      </c>
      <c r="J125" s="3">
        <f t="shared" si="12"/>
        <v>1.6403758077981043E-2</v>
      </c>
      <c r="K125" s="3">
        <f t="shared" si="12"/>
        <v>1.6403758076990453E-2</v>
      </c>
      <c r="L125" s="3">
        <f t="shared" si="12"/>
        <v>1.6403758067084565E-2</v>
      </c>
      <c r="M125" s="3">
        <f t="shared" si="12"/>
        <v>1.6403757968025675E-2</v>
      </c>
      <c r="N125" s="3">
        <f t="shared" si="12"/>
        <v>1.6403756977436811E-2</v>
      </c>
      <c r="O125" s="3">
        <f t="shared" si="12"/>
        <v>1.6403747071551452E-2</v>
      </c>
      <c r="P125" s="3">
        <f t="shared" si="12"/>
        <v>1.6403648013026878E-2</v>
      </c>
      <c r="Q125" s="3">
        <f t="shared" si="12"/>
        <v>1.6402657460681112E-2</v>
      </c>
      <c r="R125" s="3">
        <f t="shared" si="12"/>
        <v>1.6392755226485218E-2</v>
      </c>
      <c r="S125" s="3">
        <f t="shared" si="12"/>
        <v>1.6294061076950375E-2</v>
      </c>
      <c r="T125" s="3">
        <f t="shared" si="12"/>
        <v>1.5339217220620463E-2</v>
      </c>
      <c r="U125" s="3">
        <f t="shared" si="12"/>
        <v>8.3857473676360959E-3</v>
      </c>
      <c r="V125" s="3">
        <f t="shared" si="12"/>
        <v>1.9995282483079016E-5</v>
      </c>
      <c r="W125" s="3">
        <f t="shared" si="12"/>
        <v>1.1879146509453012E-31</v>
      </c>
      <c r="X125" s="3">
        <f t="shared" si="12"/>
        <v>6.5067210020392757E-294</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8.0622953210718828E-2</v>
      </c>
      <c r="C126" s="18">
        <f t="shared" si="9"/>
        <v>5.0800357821287806E-2</v>
      </c>
      <c r="D126" s="17"/>
      <c r="E126" s="11"/>
      <c r="F126" s="3">
        <f t="shared" si="11"/>
        <v>5.0800357821287799E-2</v>
      </c>
      <c r="G126" s="3">
        <f t="shared" si="12"/>
        <v>5.0800357821287778E-2</v>
      </c>
      <c r="H126" s="3">
        <f t="shared" si="12"/>
        <v>5.0800357821287494E-2</v>
      </c>
      <c r="I126" s="3">
        <f t="shared" si="12"/>
        <v>5.0800357821284732E-2</v>
      </c>
      <c r="J126" s="3">
        <f t="shared" si="12"/>
        <v>5.080035782125706E-2</v>
      </c>
      <c r="K126" s="3">
        <f t="shared" si="12"/>
        <v>5.0800357820980323E-2</v>
      </c>
      <c r="L126" s="3">
        <f t="shared" si="12"/>
        <v>5.0800357818212981E-2</v>
      </c>
      <c r="M126" s="3">
        <f t="shared" si="12"/>
        <v>5.0800357790539513E-2</v>
      </c>
      <c r="N126" s="3">
        <f t="shared" si="12"/>
        <v>5.0800357513804913E-2</v>
      </c>
      <c r="O126" s="3">
        <f t="shared" si="12"/>
        <v>5.0800354746458998E-2</v>
      </c>
      <c r="P126" s="3">
        <f t="shared" si="12"/>
        <v>5.0800327073008071E-2</v>
      </c>
      <c r="Q126" s="3">
        <f t="shared" si="12"/>
        <v>5.0800050339327933E-2</v>
      </c>
      <c r="R126" s="3">
        <f t="shared" si="12"/>
        <v>5.0797283085437794E-2</v>
      </c>
      <c r="S126" s="3">
        <f t="shared" si="12"/>
        <v>5.0769618835983958E-2</v>
      </c>
      <c r="T126" s="3">
        <f t="shared" si="12"/>
        <v>5.0493803617837209E-2</v>
      </c>
      <c r="U126" s="3">
        <f t="shared" si="12"/>
        <v>4.7816735658023898E-2</v>
      </c>
      <c r="V126" s="3">
        <f t="shared" si="12"/>
        <v>2.7733092668915389E-2</v>
      </c>
      <c r="W126" s="3">
        <f t="shared" si="12"/>
        <v>1.1944888121469278E-4</v>
      </c>
      <c r="X126" s="3">
        <f t="shared" si="12"/>
        <v>2.6243389253026066E-28</v>
      </c>
      <c r="Y126" s="3">
        <f t="shared" si="12"/>
        <v>6.8769882024487437E-265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3.5050337248314634E-2</v>
      </c>
      <c r="C127" s="18">
        <f t="shared" si="9"/>
        <v>2.2085145768816476E-2</v>
      </c>
      <c r="D127" s="17"/>
      <c r="E127" s="11"/>
      <c r="F127" s="3">
        <f t="shared" si="11"/>
        <v>2.2085145768816476E-2</v>
      </c>
      <c r="G127" s="3">
        <f t="shared" si="12"/>
        <v>2.2085145768816476E-2</v>
      </c>
      <c r="H127" s="3">
        <f t="shared" si="12"/>
        <v>2.2085145768816462E-2</v>
      </c>
      <c r="I127" s="3">
        <f t="shared" si="12"/>
        <v>2.2085145768816355E-2</v>
      </c>
      <c r="J127" s="3">
        <f t="shared" si="12"/>
        <v>2.2085145768815269E-2</v>
      </c>
      <c r="K127" s="3">
        <f t="shared" si="12"/>
        <v>2.2085145768804416E-2</v>
      </c>
      <c r="L127" s="3">
        <f t="shared" si="12"/>
        <v>2.2085145768695889E-2</v>
      </c>
      <c r="M127" s="3">
        <f t="shared" si="12"/>
        <v>2.2085145767610604E-2</v>
      </c>
      <c r="N127" s="3">
        <f t="shared" si="12"/>
        <v>2.2085145756757761E-2</v>
      </c>
      <c r="O127" s="3">
        <f t="shared" si="12"/>
        <v>2.2085145648229321E-2</v>
      </c>
      <c r="P127" s="3">
        <f t="shared" si="12"/>
        <v>2.2085144562944973E-2</v>
      </c>
      <c r="Q127" s="3">
        <f t="shared" si="12"/>
        <v>2.2085133710104388E-2</v>
      </c>
      <c r="R127" s="3">
        <f t="shared" si="12"/>
        <v>2.2085025181991912E-2</v>
      </c>
      <c r="S127" s="3">
        <f t="shared" si="12"/>
        <v>2.2083939930199054E-2</v>
      </c>
      <c r="T127" s="3">
        <f t="shared" si="12"/>
        <v>2.2073090344931014E-2</v>
      </c>
      <c r="U127" s="3">
        <f t="shared" si="12"/>
        <v>2.1964887225782513E-2</v>
      </c>
      <c r="V127" s="3">
        <f t="shared" si="12"/>
        <v>2.0911604059046782E-2</v>
      </c>
      <c r="W127" s="3">
        <f t="shared" si="12"/>
        <v>1.2792960028890823E-2</v>
      </c>
      <c r="X127" s="3">
        <f t="shared" si="12"/>
        <v>9.3930795152214597E-5</v>
      </c>
      <c r="Y127" s="3">
        <f t="shared" si="12"/>
        <v>4.277377268474757E-26</v>
      </c>
      <c r="Z127" s="3">
        <f t="shared" si="12"/>
        <v>1.6401106183399036E-239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6.8556923086354277E-2</v>
      </c>
      <c r="C128" s="18">
        <f t="shared" si="9"/>
        <v>4.3197576933342564E-2</v>
      </c>
      <c r="D128" s="17"/>
      <c r="E128" s="11"/>
      <c r="F128" s="3">
        <f t="shared" si="11"/>
        <v>4.3197576933342564E-2</v>
      </c>
      <c r="G128" s="3">
        <f t="shared" si="12"/>
        <v>4.3197576933342564E-2</v>
      </c>
      <c r="H128" s="3">
        <f t="shared" si="12"/>
        <v>4.3197576933342564E-2</v>
      </c>
      <c r="I128" s="3">
        <f t="shared" si="12"/>
        <v>4.3197576933342544E-2</v>
      </c>
      <c r="J128" s="3">
        <f t="shared" si="12"/>
        <v>4.3197576933342356E-2</v>
      </c>
      <c r="K128" s="3">
        <f t="shared" si="12"/>
        <v>4.3197576933340434E-2</v>
      </c>
      <c r="L128" s="3">
        <f t="shared" si="12"/>
        <v>4.319757693332129E-2</v>
      </c>
      <c r="M128" s="3">
        <f t="shared" si="12"/>
        <v>4.3197576933129797E-2</v>
      </c>
      <c r="N128" s="3">
        <f t="shared" si="12"/>
        <v>4.3197576931214877E-2</v>
      </c>
      <c r="O128" s="3">
        <f t="shared" si="12"/>
        <v>4.3197576912065744E-2</v>
      </c>
      <c r="P128" s="3">
        <f t="shared" si="12"/>
        <v>4.3197576720574345E-2</v>
      </c>
      <c r="Q128" s="3">
        <f t="shared" si="12"/>
        <v>4.3197574805660457E-2</v>
      </c>
      <c r="R128" s="3">
        <f t="shared" si="12"/>
        <v>4.31975556565262E-2</v>
      </c>
      <c r="S128" s="3">
        <f t="shared" si="12"/>
        <v>4.319736416565053E-2</v>
      </c>
      <c r="T128" s="3">
        <f t="shared" si="12"/>
        <v>4.3195449303580595E-2</v>
      </c>
      <c r="U128" s="3">
        <f t="shared" si="12"/>
        <v>4.3176305350793441E-2</v>
      </c>
      <c r="V128" s="3">
        <f t="shared" ref="G128:AJ136" si="13">$C128*EXP(-V$108/$A128)</f>
        <v>4.2985331849430583E-2</v>
      </c>
      <c r="W128" s="3">
        <f t="shared" si="13"/>
        <v>4.112144409794271E-2</v>
      </c>
      <c r="X128" s="3">
        <f t="shared" si="13"/>
        <v>2.6396667177255379E-2</v>
      </c>
      <c r="Y128" s="3">
        <f t="shared" si="13"/>
        <v>3.1358587011007987E-4</v>
      </c>
      <c r="Z128" s="3">
        <f t="shared" si="13"/>
        <v>1.755619413234512E-23</v>
      </c>
      <c r="AA128" s="3">
        <f t="shared" si="13"/>
        <v>5.3109139442655517E-216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8.0228263093499896E-2</v>
      </c>
      <c r="C129" s="18">
        <f t="shared" si="9"/>
        <v>5.0551664386170848E-2</v>
      </c>
      <c r="D129" s="17"/>
      <c r="E129" s="11"/>
      <c r="F129" s="3">
        <f t="shared" si="11"/>
        <v>5.0551664386170848E-2</v>
      </c>
      <c r="G129" s="3">
        <f t="shared" si="13"/>
        <v>5.0551664386170848E-2</v>
      </c>
      <c r="H129" s="3">
        <f t="shared" si="13"/>
        <v>5.0551664386170848E-2</v>
      </c>
      <c r="I129" s="3">
        <f t="shared" si="13"/>
        <v>5.0551664386170848E-2</v>
      </c>
      <c r="J129" s="3">
        <f t="shared" si="13"/>
        <v>5.0551664386170828E-2</v>
      </c>
      <c r="K129" s="3">
        <f t="shared" si="13"/>
        <v>5.0551664386170626E-2</v>
      </c>
      <c r="L129" s="3">
        <f t="shared" si="13"/>
        <v>5.05516643861686E-2</v>
      </c>
      <c r="M129" s="3">
        <f t="shared" si="13"/>
        <v>5.0551664386148387E-2</v>
      </c>
      <c r="N129" s="3">
        <f t="shared" si="13"/>
        <v>5.0551664385946236E-2</v>
      </c>
      <c r="O129" s="3">
        <f t="shared" si="13"/>
        <v>5.0551664383924749E-2</v>
      </c>
      <c r="P129" s="3">
        <f t="shared" si="13"/>
        <v>5.0551664363709829E-2</v>
      </c>
      <c r="Q129" s="3">
        <f t="shared" si="13"/>
        <v>5.0551664161560678E-2</v>
      </c>
      <c r="R129" s="3">
        <f t="shared" si="13"/>
        <v>5.0551662140069203E-2</v>
      </c>
      <c r="S129" s="3">
        <f t="shared" si="13"/>
        <v>5.0551641925158895E-2</v>
      </c>
      <c r="T129" s="3">
        <f t="shared" si="13"/>
        <v>5.0551439776500416E-2</v>
      </c>
      <c r="U129" s="3">
        <f t="shared" si="13"/>
        <v>5.0549418334374999E-2</v>
      </c>
      <c r="V129" s="3">
        <f t="shared" si="13"/>
        <v>5.0529208358406678E-2</v>
      </c>
      <c r="W129" s="3">
        <f t="shared" si="13"/>
        <v>5.0327552470288264E-2</v>
      </c>
      <c r="X129" s="3">
        <f t="shared" si="13"/>
        <v>4.8354730968078401E-2</v>
      </c>
      <c r="Y129" s="3">
        <f t="shared" si="13"/>
        <v>3.2416832856507205E-2</v>
      </c>
      <c r="Z129" s="3">
        <f t="shared" si="13"/>
        <v>5.9441079222552875E-4</v>
      </c>
      <c r="AA129" s="3">
        <f t="shared" si="13"/>
        <v>2.5541578157150598E-21</v>
      </c>
      <c r="AB129" s="3">
        <f t="shared" si="13"/>
        <v>5.4809791094991552E-195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4.4996780162694143E-2</v>
      </c>
      <c r="C130" s="18">
        <f t="shared" si="9"/>
        <v>2.8352379093535652E-2</v>
      </c>
      <c r="D130" s="17"/>
      <c r="E130" s="11"/>
      <c r="F130" s="3">
        <f t="shared" si="11"/>
        <v>2.8352379093535652E-2</v>
      </c>
      <c r="G130" s="3">
        <f t="shared" si="13"/>
        <v>2.8352379093535652E-2</v>
      </c>
      <c r="H130" s="3">
        <f t="shared" si="13"/>
        <v>2.8352379093535652E-2</v>
      </c>
      <c r="I130" s="3">
        <f t="shared" si="13"/>
        <v>2.8352379093535652E-2</v>
      </c>
      <c r="J130" s="3">
        <f t="shared" si="13"/>
        <v>2.8352379093535652E-2</v>
      </c>
      <c r="K130" s="3">
        <f t="shared" si="13"/>
        <v>2.8352379093535638E-2</v>
      </c>
      <c r="L130" s="3">
        <f t="shared" si="13"/>
        <v>2.8352379093535537E-2</v>
      </c>
      <c r="M130" s="3">
        <f t="shared" si="13"/>
        <v>2.8352379093534514E-2</v>
      </c>
      <c r="N130" s="3">
        <f t="shared" si="13"/>
        <v>2.8352379093524289E-2</v>
      </c>
      <c r="O130" s="3">
        <f t="shared" si="13"/>
        <v>2.8352379093422014E-2</v>
      </c>
      <c r="P130" s="3">
        <f t="shared" si="13"/>
        <v>2.8352379092399255E-2</v>
      </c>
      <c r="Q130" s="3">
        <f t="shared" si="13"/>
        <v>2.8352379082171683E-2</v>
      </c>
      <c r="R130" s="3">
        <f t="shared" si="13"/>
        <v>2.8352378979895961E-2</v>
      </c>
      <c r="S130" s="3">
        <f t="shared" si="13"/>
        <v>2.8352377957138738E-2</v>
      </c>
      <c r="T130" s="3">
        <f t="shared" si="13"/>
        <v>2.8352367729568562E-2</v>
      </c>
      <c r="U130" s="3">
        <f t="shared" si="13"/>
        <v>2.835226545406971E-2</v>
      </c>
      <c r="V130" s="3">
        <f t="shared" si="13"/>
        <v>2.8351242719372595E-2</v>
      </c>
      <c r="W130" s="3">
        <f t="shared" si="13"/>
        <v>2.8341017401269944E-2</v>
      </c>
      <c r="X130" s="3">
        <f t="shared" si="13"/>
        <v>2.8238966836563795E-2</v>
      </c>
      <c r="Y130" s="3">
        <f t="shared" si="13"/>
        <v>2.723845497841227E-2</v>
      </c>
      <c r="Z130" s="3">
        <f t="shared" si="13"/>
        <v>1.8989745074201411E-2</v>
      </c>
      <c r="AA130" s="3">
        <f t="shared" si="13"/>
        <v>5.1509315949712611E-4</v>
      </c>
      <c r="AB130" s="3">
        <f t="shared" si="13"/>
        <v>1.110586168579541E-19</v>
      </c>
      <c r="AC130" s="3">
        <f t="shared" si="13"/>
        <v>2.4111100874832864E-176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3.7968120881652455E-4</v>
      </c>
      <c r="C131" s="18">
        <f t="shared" si="9"/>
        <v>2.3923635264869221E-4</v>
      </c>
      <c r="D131" s="17"/>
      <c r="E131" s="11"/>
      <c r="F131" s="3">
        <f t="shared" si="11"/>
        <v>2.3923635264869221E-4</v>
      </c>
      <c r="G131" s="3">
        <f t="shared" si="13"/>
        <v>2.3923635264869221E-4</v>
      </c>
      <c r="H131" s="3">
        <f t="shared" si="13"/>
        <v>2.3923635264869221E-4</v>
      </c>
      <c r="I131" s="3">
        <f t="shared" si="13"/>
        <v>2.3923635264869221E-4</v>
      </c>
      <c r="J131" s="3">
        <f t="shared" si="13"/>
        <v>2.3923635264869221E-4</v>
      </c>
      <c r="K131" s="3">
        <f t="shared" si="13"/>
        <v>2.3923635264869221E-4</v>
      </c>
      <c r="L131" s="3">
        <f t="shared" si="13"/>
        <v>2.3923635264869213E-4</v>
      </c>
      <c r="M131" s="3">
        <f t="shared" si="13"/>
        <v>2.3923635264869135E-4</v>
      </c>
      <c r="N131" s="3">
        <f t="shared" si="13"/>
        <v>2.3923635264868357E-4</v>
      </c>
      <c r="O131" s="3">
        <f t="shared" si="13"/>
        <v>2.392363526486057E-4</v>
      </c>
      <c r="P131" s="3">
        <f t="shared" si="13"/>
        <v>2.3923635264782721E-4</v>
      </c>
      <c r="Q131" s="3">
        <f t="shared" si="13"/>
        <v>2.3923635264004226E-4</v>
      </c>
      <c r="R131" s="3">
        <f t="shared" si="13"/>
        <v>2.3923635256219256E-4</v>
      </c>
      <c r="S131" s="3">
        <f t="shared" si="13"/>
        <v>2.3923635178369577E-4</v>
      </c>
      <c r="T131" s="3">
        <f t="shared" si="13"/>
        <v>2.3923634399872814E-4</v>
      </c>
      <c r="U131" s="3">
        <f t="shared" si="13"/>
        <v>2.3923626614906569E-4</v>
      </c>
      <c r="V131" s="3">
        <f t="shared" si="13"/>
        <v>2.3923548765383436E-4</v>
      </c>
      <c r="W131" s="3">
        <f t="shared" si="13"/>
        <v>2.3922770284085057E-4</v>
      </c>
      <c r="X131" s="3">
        <f t="shared" si="13"/>
        <v>2.39149868642294E-4</v>
      </c>
      <c r="Y131" s="3">
        <f t="shared" si="13"/>
        <v>2.3837291810896487E-4</v>
      </c>
      <c r="Z131" s="3">
        <f t="shared" si="13"/>
        <v>2.3074089715444847E-4</v>
      </c>
      <c r="AA131" s="3">
        <f t="shared" si="13"/>
        <v>1.6664842573346588E-4</v>
      </c>
      <c r="AB131" s="3">
        <f t="shared" si="13"/>
        <v>6.4352822596806064E-6</v>
      </c>
      <c r="AC131" s="3">
        <f t="shared" si="13"/>
        <v>4.7449479207315352E-20</v>
      </c>
      <c r="AD131" s="3">
        <f t="shared" si="13"/>
        <v>2.2535642646797978E-161</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0.16009368423519593</v>
      </c>
      <c r="C132" s="18">
        <f t="shared" si="9"/>
        <v>0.10087470280107474</v>
      </c>
      <c r="D132" s="17"/>
      <c r="E132" s="11"/>
      <c r="F132" s="3">
        <f t="shared" si="11"/>
        <v>0.10087470280107474</v>
      </c>
      <c r="G132" s="3">
        <f t="shared" si="13"/>
        <v>0.10087470280107474</v>
      </c>
      <c r="H132" s="3">
        <f t="shared" si="13"/>
        <v>0.10087470280107474</v>
      </c>
      <c r="I132" s="3">
        <f t="shared" si="13"/>
        <v>0.10087470280107474</v>
      </c>
      <c r="J132" s="3">
        <f t="shared" si="13"/>
        <v>0.10087470280107474</v>
      </c>
      <c r="K132" s="3">
        <f t="shared" si="13"/>
        <v>0.10087470280107474</v>
      </c>
      <c r="L132" s="3">
        <f t="shared" si="13"/>
        <v>0.10087470280107473</v>
      </c>
      <c r="M132" s="3">
        <f t="shared" si="13"/>
        <v>0.10087470280107465</v>
      </c>
      <c r="N132" s="3">
        <f t="shared" si="13"/>
        <v>0.10087470280107373</v>
      </c>
      <c r="O132" s="3">
        <f t="shared" si="13"/>
        <v>0.10087470280106466</v>
      </c>
      <c r="P132" s="3">
        <f t="shared" si="13"/>
        <v>0.10087470280097387</v>
      </c>
      <c r="Q132" s="3">
        <f t="shared" si="13"/>
        <v>0.100874702800066</v>
      </c>
      <c r="R132" s="3">
        <f t="shared" si="13"/>
        <v>0.10087470279098727</v>
      </c>
      <c r="S132" s="3">
        <f t="shared" si="13"/>
        <v>0.10087470270020005</v>
      </c>
      <c r="T132" s="3">
        <f t="shared" si="13"/>
        <v>0.10087470179232773</v>
      </c>
      <c r="U132" s="3">
        <f t="shared" si="13"/>
        <v>0.10087469271360497</v>
      </c>
      <c r="V132" s="3">
        <f t="shared" si="13"/>
        <v>0.10087460192642238</v>
      </c>
      <c r="W132" s="3">
        <f t="shared" si="13"/>
        <v>0.10087369405909045</v>
      </c>
      <c r="X132" s="3">
        <f t="shared" si="13"/>
        <v>0.10086461583515134</v>
      </c>
      <c r="Y132" s="3">
        <f t="shared" si="13"/>
        <v>0.10077387851881682</v>
      </c>
      <c r="Z132" s="3">
        <f t="shared" si="13"/>
        <v>9.98709827377008E-2</v>
      </c>
      <c r="AA132" s="3">
        <f t="shared" si="13"/>
        <v>9.1275205627669248E-2</v>
      </c>
      <c r="AB132" s="3">
        <f t="shared" si="13"/>
        <v>3.7109729294794704E-2</v>
      </c>
      <c r="AC132" s="3">
        <f t="shared" si="13"/>
        <v>4.5797044219803274E-6</v>
      </c>
      <c r="AD132" s="3">
        <f t="shared" si="13"/>
        <v>3.7526155847851991E-45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5.8697627094317202E-2</v>
      </c>
      <c r="C133" s="18">
        <f t="shared" si="9"/>
        <v>3.6985254706043108E-2</v>
      </c>
      <c r="D133" s="17"/>
      <c r="E133" s="11"/>
      <c r="F133" s="3">
        <f t="shared" si="11"/>
        <v>3.6985254706043108E-2</v>
      </c>
      <c r="G133" s="3">
        <f t="shared" si="13"/>
        <v>3.6985254706043108E-2</v>
      </c>
      <c r="H133" s="3">
        <f t="shared" si="13"/>
        <v>3.6985254706043108E-2</v>
      </c>
      <c r="I133" s="3">
        <f t="shared" si="13"/>
        <v>3.6985254706043108E-2</v>
      </c>
      <c r="J133" s="3">
        <f t="shared" si="13"/>
        <v>3.6985254706043108E-2</v>
      </c>
      <c r="K133" s="3">
        <f t="shared" si="13"/>
        <v>3.6985254706043108E-2</v>
      </c>
      <c r="L133" s="3">
        <f t="shared" si="13"/>
        <v>3.6985254706043108E-2</v>
      </c>
      <c r="M133" s="3">
        <f t="shared" si="13"/>
        <v>3.6985254706043101E-2</v>
      </c>
      <c r="N133" s="3">
        <f t="shared" si="13"/>
        <v>3.6985254706043073E-2</v>
      </c>
      <c r="O133" s="3">
        <f t="shared" si="13"/>
        <v>3.698525470604274E-2</v>
      </c>
      <c r="P133" s="3">
        <f t="shared" si="13"/>
        <v>3.698525470603941E-2</v>
      </c>
      <c r="Q133" s="3">
        <f t="shared" si="13"/>
        <v>3.6985254706006124E-2</v>
      </c>
      <c r="R133" s="3">
        <f t="shared" si="13"/>
        <v>3.6985254705673258E-2</v>
      </c>
      <c r="S133" s="3">
        <f t="shared" si="13"/>
        <v>3.698525470234458E-2</v>
      </c>
      <c r="T133" s="3">
        <f t="shared" si="13"/>
        <v>3.6985254669057853E-2</v>
      </c>
      <c r="U133" s="3">
        <f t="shared" si="13"/>
        <v>3.6985254336190564E-2</v>
      </c>
      <c r="V133" s="3">
        <f t="shared" si="13"/>
        <v>3.6985251007517823E-2</v>
      </c>
      <c r="W133" s="3">
        <f t="shared" si="13"/>
        <v>3.6985217720806894E-2</v>
      </c>
      <c r="X133" s="3">
        <f t="shared" si="13"/>
        <v>3.6984884855345304E-2</v>
      </c>
      <c r="Y133" s="3">
        <f t="shared" si="13"/>
        <v>3.6981556365492614E-2</v>
      </c>
      <c r="Z133" s="3">
        <f t="shared" si="13"/>
        <v>3.6948287937801749E-2</v>
      </c>
      <c r="AA133" s="3">
        <f t="shared" si="13"/>
        <v>3.6617245272888614E-2</v>
      </c>
      <c r="AB133" s="3">
        <f t="shared" si="13"/>
        <v>3.3465642373618369E-2</v>
      </c>
      <c r="AC133" s="3">
        <f t="shared" si="13"/>
        <v>1.3606114832842596E-2</v>
      </c>
      <c r="AD133" s="3">
        <f t="shared" si="13"/>
        <v>1.6791279659019694E-6</v>
      </c>
      <c r="AE133" s="3">
        <f t="shared" si="13"/>
        <v>1.3758795749896253E-45</v>
      </c>
      <c r="AF133" s="3">
        <f t="shared" si="13"/>
        <v>0</v>
      </c>
      <c r="AG133" s="3">
        <f t="shared" si="13"/>
        <v>0</v>
      </c>
      <c r="AH133" s="3">
        <f t="shared" si="13"/>
        <v>0</v>
      </c>
      <c r="AI133" s="3">
        <f t="shared" si="13"/>
        <v>0</v>
      </c>
      <c r="AJ133" s="3">
        <f t="shared" si="13"/>
        <v>0</v>
      </c>
    </row>
    <row r="134" spans="1:36" x14ac:dyDescent="0.25">
      <c r="A134" s="3">
        <f t="shared" si="14"/>
        <v>1000000000</v>
      </c>
      <c r="B134" s="105">
        <v>0.1308585331813264</v>
      </c>
      <c r="C134" s="18">
        <f t="shared" si="9"/>
        <v>8.2453693952461632E-2</v>
      </c>
      <c r="D134" s="17"/>
      <c r="E134" s="11"/>
      <c r="F134" s="3">
        <f t="shared" si="11"/>
        <v>8.2453693952461632E-2</v>
      </c>
      <c r="G134" s="3">
        <f t="shared" si="13"/>
        <v>8.2453693952461632E-2</v>
      </c>
      <c r="H134" s="3">
        <f t="shared" si="13"/>
        <v>8.2453693952461632E-2</v>
      </c>
      <c r="I134" s="3">
        <f t="shared" si="13"/>
        <v>8.2453693952461632E-2</v>
      </c>
      <c r="J134" s="3">
        <f t="shared" si="13"/>
        <v>8.2453693952461632E-2</v>
      </c>
      <c r="K134" s="3">
        <f t="shared" si="13"/>
        <v>8.2453693952461632E-2</v>
      </c>
      <c r="L134" s="3">
        <f t="shared" si="13"/>
        <v>8.2453693952461632E-2</v>
      </c>
      <c r="M134" s="3">
        <f t="shared" si="13"/>
        <v>8.2453693952461632E-2</v>
      </c>
      <c r="N134" s="3">
        <f t="shared" si="13"/>
        <v>8.2453693952461618E-2</v>
      </c>
      <c r="O134" s="3">
        <f t="shared" si="13"/>
        <v>8.2453693952461549E-2</v>
      </c>
      <c r="P134" s="3">
        <f t="shared" si="13"/>
        <v>8.2453693952460813E-2</v>
      </c>
      <c r="Q134" s="3">
        <f t="shared" si="13"/>
        <v>8.2453693952453389E-2</v>
      </c>
      <c r="R134" s="3">
        <f t="shared" si="13"/>
        <v>8.2453693952379184E-2</v>
      </c>
      <c r="S134" s="3">
        <f t="shared" si="13"/>
        <v>8.2453693951637097E-2</v>
      </c>
      <c r="T134" s="3">
        <f t="shared" si="13"/>
        <v>8.2453693944216255E-2</v>
      </c>
      <c r="U134" s="3">
        <f t="shared" si="13"/>
        <v>8.2453693870007935E-2</v>
      </c>
      <c r="V134" s="3">
        <f t="shared" si="13"/>
        <v>8.2453693127924693E-2</v>
      </c>
      <c r="W134" s="3">
        <f t="shared" si="13"/>
        <v>8.2453685707092647E-2</v>
      </c>
      <c r="X134" s="3">
        <f t="shared" si="13"/>
        <v>8.2453611498808907E-2</v>
      </c>
      <c r="Y134" s="3">
        <f t="shared" si="13"/>
        <v>8.2452869419644775E-2</v>
      </c>
      <c r="Z134" s="3">
        <f t="shared" si="13"/>
        <v>8.2445448995321108E-2</v>
      </c>
      <c r="AA134" s="3">
        <f t="shared" si="13"/>
        <v>8.2371281471617305E-2</v>
      </c>
      <c r="AB134" s="3">
        <f t="shared" si="13"/>
        <v>8.1633265989639422E-2</v>
      </c>
      <c r="AC134" s="3">
        <f t="shared" si="13"/>
        <v>7.4607187543472592E-2</v>
      </c>
      <c r="AD134" s="3">
        <f t="shared" si="13"/>
        <v>3.0333018853752721E-2</v>
      </c>
      <c r="AE134" s="3">
        <f t="shared" si="13"/>
        <v>3.7433919140991805E-6</v>
      </c>
      <c r="AF134" s="3">
        <f t="shared" si="13"/>
        <v>3.0673400600672702E-45</v>
      </c>
      <c r="AG134" s="3">
        <f t="shared" si="13"/>
        <v>0</v>
      </c>
      <c r="AH134" s="3">
        <f t="shared" si="13"/>
        <v>0</v>
      </c>
      <c r="AI134" s="3">
        <f t="shared" si="13"/>
        <v>0</v>
      </c>
      <c r="AJ134" s="3">
        <f t="shared" si="13"/>
        <v>0</v>
      </c>
    </row>
    <row r="135" spans="1:36" x14ac:dyDescent="0.25">
      <c r="A135" s="3">
        <f t="shared" si="14"/>
        <v>10000000000</v>
      </c>
      <c r="B135" s="105">
        <v>5.6887629534204252E-2</v>
      </c>
      <c r="C135" s="18">
        <f t="shared" si="9"/>
        <v>3.584477894761888E-2</v>
      </c>
      <c r="D135" s="17"/>
      <c r="E135" s="11"/>
      <c r="F135" s="3">
        <f t="shared" si="11"/>
        <v>3.584477894761888E-2</v>
      </c>
      <c r="G135" s="3">
        <f t="shared" si="13"/>
        <v>3.584477894761888E-2</v>
      </c>
      <c r="H135" s="3">
        <f t="shared" si="13"/>
        <v>3.584477894761888E-2</v>
      </c>
      <c r="I135" s="3">
        <f t="shared" si="13"/>
        <v>3.584477894761888E-2</v>
      </c>
      <c r="J135" s="3">
        <f t="shared" si="13"/>
        <v>3.584477894761888E-2</v>
      </c>
      <c r="K135" s="3">
        <f t="shared" si="13"/>
        <v>3.584477894761888E-2</v>
      </c>
      <c r="L135" s="3">
        <f t="shared" si="13"/>
        <v>3.584477894761888E-2</v>
      </c>
      <c r="M135" s="3">
        <f t="shared" si="13"/>
        <v>3.584477894761888E-2</v>
      </c>
      <c r="N135" s="3">
        <f t="shared" si="13"/>
        <v>3.584477894761888E-2</v>
      </c>
      <c r="O135" s="3">
        <f t="shared" si="13"/>
        <v>3.5844778947618873E-2</v>
      </c>
      <c r="P135" s="3">
        <f t="shared" si="13"/>
        <v>3.5844778947618845E-2</v>
      </c>
      <c r="Q135" s="3">
        <f t="shared" si="13"/>
        <v>3.5844778947618519E-2</v>
      </c>
      <c r="R135" s="3">
        <f t="shared" si="13"/>
        <v>3.5844778947615293E-2</v>
      </c>
      <c r="S135" s="3">
        <f t="shared" si="13"/>
        <v>3.5844778947583034E-2</v>
      </c>
      <c r="T135" s="3">
        <f t="shared" si="13"/>
        <v>3.5844778947260431E-2</v>
      </c>
      <c r="U135" s="3">
        <f t="shared" si="13"/>
        <v>3.58447789440344E-2</v>
      </c>
      <c r="V135" s="3">
        <f t="shared" si="13"/>
        <v>3.5844778911774101E-2</v>
      </c>
      <c r="W135" s="3">
        <f t="shared" si="13"/>
        <v>3.5844778589171095E-2</v>
      </c>
      <c r="X135" s="3">
        <f t="shared" si="13"/>
        <v>3.5844775363141165E-2</v>
      </c>
      <c r="Y135" s="3">
        <f t="shared" si="13"/>
        <v>3.5844743102857853E-2</v>
      </c>
      <c r="Z135" s="3">
        <f t="shared" si="13"/>
        <v>3.5844420501621635E-2</v>
      </c>
      <c r="AA135" s="3">
        <f t="shared" si="13"/>
        <v>3.5841194648942039E-2</v>
      </c>
      <c r="AB135" s="3">
        <f t="shared" si="13"/>
        <v>3.5808952085088101E-2</v>
      </c>
      <c r="AC135" s="3">
        <f t="shared" si="13"/>
        <v>3.548811743786575E-2</v>
      </c>
      <c r="AD135" s="3">
        <f t="shared" si="13"/>
        <v>3.2433697233033187E-2</v>
      </c>
      <c r="AE135" s="3">
        <f t="shared" si="13"/>
        <v>1.3186557248163915E-2</v>
      </c>
      <c r="AF135" s="3">
        <f t="shared" si="13"/>
        <v>1.627350446573693E-6</v>
      </c>
      <c r="AG135" s="3">
        <f t="shared" si="13"/>
        <v>1.3334530102881442E-45</v>
      </c>
      <c r="AH135" s="3">
        <f t="shared" si="13"/>
        <v>0</v>
      </c>
      <c r="AI135" s="3">
        <f t="shared" si="13"/>
        <v>0</v>
      </c>
      <c r="AJ135" s="3">
        <f t="shared" si="13"/>
        <v>0</v>
      </c>
    </row>
    <row r="136" spans="1:36" x14ac:dyDescent="0.25">
      <c r="A136" s="3">
        <f t="shared" si="14"/>
        <v>100000000000</v>
      </c>
      <c r="B136" s="105">
        <v>5.0912089613852747E-2</v>
      </c>
      <c r="C136" s="18">
        <f t="shared" si="9"/>
        <v>3.2079603472889587E-2</v>
      </c>
      <c r="D136" s="17"/>
      <c r="E136" s="11"/>
      <c r="F136" s="3">
        <f t="shared" si="11"/>
        <v>3.2079603472889587E-2</v>
      </c>
      <c r="G136" s="3">
        <f t="shared" si="13"/>
        <v>3.2079603472889587E-2</v>
      </c>
      <c r="H136" s="3">
        <f t="shared" si="13"/>
        <v>3.2079603472889587E-2</v>
      </c>
      <c r="I136" s="3">
        <f t="shared" si="13"/>
        <v>3.2079603472889587E-2</v>
      </c>
      <c r="J136" s="3">
        <f t="shared" si="13"/>
        <v>3.2079603472889587E-2</v>
      </c>
      <c r="K136" s="3">
        <f t="shared" si="13"/>
        <v>3.2079603472889587E-2</v>
      </c>
      <c r="L136" s="3">
        <f t="shared" si="13"/>
        <v>3.2079603472889587E-2</v>
      </c>
      <c r="M136" s="3">
        <f t="shared" si="13"/>
        <v>3.2079603472889587E-2</v>
      </c>
      <c r="N136" s="3">
        <f t="shared" si="13"/>
        <v>3.2079603472889587E-2</v>
      </c>
      <c r="O136" s="3">
        <f t="shared" si="13"/>
        <v>3.2079603472889587E-2</v>
      </c>
      <c r="P136" s="3">
        <f t="shared" si="13"/>
        <v>3.207960347288958E-2</v>
      </c>
      <c r="Q136" s="3">
        <f t="shared" si="13"/>
        <v>3.2079603472889552E-2</v>
      </c>
      <c r="R136" s="3">
        <f t="shared" si="13"/>
        <v>3.2079603472889268E-2</v>
      </c>
      <c r="S136" s="3">
        <f t="shared" si="13"/>
        <v>3.2079603472886381E-2</v>
      </c>
      <c r="T136" s="3">
        <f t="shared" si="13"/>
        <v>3.2079603472857508E-2</v>
      </c>
      <c r="U136" s="3">
        <f t="shared" si="13"/>
        <v>3.2079603472568788E-2</v>
      </c>
      <c r="V136" s="3">
        <f t="shared" si="13"/>
        <v>3.2079603469681625E-2</v>
      </c>
      <c r="W136" s="3">
        <f t="shared" si="13"/>
        <v>3.2079603440809984E-2</v>
      </c>
      <c r="X136" s="3">
        <f t="shared" si="13"/>
        <v>3.2079603152093551E-2</v>
      </c>
      <c r="Y136" s="3">
        <f t="shared" si="13"/>
        <v>3.2079600264929405E-2</v>
      </c>
      <c r="Z136" s="3">
        <f t="shared" si="13"/>
        <v>3.2079571393302156E-2</v>
      </c>
      <c r="AA136" s="3">
        <f t="shared" si="13"/>
        <v>3.2079282678458831E-2</v>
      </c>
      <c r="AB136" s="3">
        <f t="shared" si="13"/>
        <v>3.2076395672934965E-2</v>
      </c>
      <c r="AC136" s="3">
        <f t="shared" si="13"/>
        <v>3.2047539903873171E-2</v>
      </c>
      <c r="AD136" s="3">
        <f t="shared" si="13"/>
        <v>3.1760406085073571E-2</v>
      </c>
      <c r="AE136" s="3">
        <f t="shared" si="13"/>
        <v>2.9026825578026813E-2</v>
      </c>
      <c r="AF136" s="3">
        <f t="shared" si="13"/>
        <v>1.1801426598608082E-2</v>
      </c>
      <c r="AG136" s="3">
        <f t="shared" si="13"/>
        <v>1.4564117444775525E-6</v>
      </c>
      <c r="AH136" s="3">
        <f t="shared" si="13"/>
        <v>1.1933856219977114E-45</v>
      </c>
      <c r="AI136" s="3">
        <f t="shared" si="13"/>
        <v>0</v>
      </c>
      <c r="AJ136" s="3">
        <f t="shared" si="13"/>
        <v>0</v>
      </c>
    </row>
    <row r="137" spans="1:36" x14ac:dyDescent="0.25">
      <c r="A137" s="3">
        <f t="shared" si="14"/>
        <v>1000000000000</v>
      </c>
      <c r="B137" s="105">
        <v>1.0043231004231736E-2</v>
      </c>
      <c r="C137" s="18">
        <f t="shared" si="9"/>
        <v>6.3282193020559414E-3</v>
      </c>
      <c r="D137" s="17"/>
      <c r="E137" s="11"/>
      <c r="F137" s="3">
        <f t="shared" si="11"/>
        <v>6.3282193020559414E-3</v>
      </c>
      <c r="G137" s="3">
        <f t="shared" ref="G137:AJ141" si="15">$C137*EXP(-G$108/$A137)</f>
        <v>6.3282193020559414E-3</v>
      </c>
      <c r="H137" s="3">
        <f t="shared" si="15"/>
        <v>6.3282193020559414E-3</v>
      </c>
      <c r="I137" s="3">
        <f t="shared" si="15"/>
        <v>6.3282193020559414E-3</v>
      </c>
      <c r="J137" s="3">
        <f t="shared" si="15"/>
        <v>6.3282193020559414E-3</v>
      </c>
      <c r="K137" s="3">
        <f t="shared" si="15"/>
        <v>6.3282193020559414E-3</v>
      </c>
      <c r="L137" s="3">
        <f t="shared" si="15"/>
        <v>6.3282193020559414E-3</v>
      </c>
      <c r="M137" s="3">
        <f t="shared" si="15"/>
        <v>6.3282193020559414E-3</v>
      </c>
      <c r="N137" s="3">
        <f t="shared" si="15"/>
        <v>6.3282193020559414E-3</v>
      </c>
      <c r="O137" s="3">
        <f t="shared" si="15"/>
        <v>6.3282193020559414E-3</v>
      </c>
      <c r="P137" s="3">
        <f t="shared" si="15"/>
        <v>6.3282193020559414E-3</v>
      </c>
      <c r="Q137" s="3">
        <f t="shared" si="15"/>
        <v>6.3282193020559405E-3</v>
      </c>
      <c r="R137" s="3">
        <f t="shared" si="15"/>
        <v>6.3282193020559353E-3</v>
      </c>
      <c r="S137" s="3">
        <f t="shared" si="15"/>
        <v>6.3282193020558781E-3</v>
      </c>
      <c r="T137" s="3">
        <f t="shared" si="15"/>
        <v>6.3282193020553082E-3</v>
      </c>
      <c r="U137" s="3">
        <f t="shared" si="15"/>
        <v>6.3282193020496131E-3</v>
      </c>
      <c r="V137" s="3">
        <f t="shared" si="15"/>
        <v>6.3282193019926596E-3</v>
      </c>
      <c r="W137" s="3">
        <f t="shared" si="15"/>
        <v>6.3282193014231195E-3</v>
      </c>
      <c r="X137" s="3">
        <f t="shared" si="15"/>
        <v>6.3282192957277222E-3</v>
      </c>
      <c r="Y137" s="3">
        <f t="shared" si="15"/>
        <v>6.3282192387737485E-3</v>
      </c>
      <c r="Z137" s="3">
        <f t="shared" si="15"/>
        <v>6.3282186692340432E-3</v>
      </c>
      <c r="AA137" s="3">
        <f t="shared" si="15"/>
        <v>6.3282129738398037E-3</v>
      </c>
      <c r="AB137" s="3">
        <f t="shared" si="15"/>
        <v>6.328156020179331E-3</v>
      </c>
      <c r="AC137" s="3">
        <f t="shared" si="15"/>
        <v>6.3275865117657778E-3</v>
      </c>
      <c r="AD137" s="3">
        <f t="shared" si="15"/>
        <v>6.3218942458090968E-3</v>
      </c>
      <c r="AE137" s="3">
        <f t="shared" si="15"/>
        <v>6.2652524679287615E-3</v>
      </c>
      <c r="AF137" s="3">
        <f t="shared" si="15"/>
        <v>5.72600961403762E-3</v>
      </c>
      <c r="AG137" s="3">
        <f t="shared" si="15"/>
        <v>2.3280217804506746E-3</v>
      </c>
      <c r="AH137" s="3">
        <f t="shared" si="15"/>
        <v>2.8730071183494068E-7</v>
      </c>
      <c r="AI137" s="3">
        <f t="shared" si="15"/>
        <v>2.3541456596569649E-46</v>
      </c>
      <c r="AJ137" s="3">
        <f t="shared" si="15"/>
        <v>0</v>
      </c>
    </row>
    <row r="138" spans="1:36" x14ac:dyDescent="0.25">
      <c r="A138" s="3">
        <f t="shared" si="14"/>
        <v>10000000000000</v>
      </c>
      <c r="B138" s="105">
        <v>1.8018785289563907E-2</v>
      </c>
      <c r="C138" s="18">
        <f t="shared" si="9"/>
        <v>1.1353599735082716E-2</v>
      </c>
      <c r="D138" s="17"/>
      <c r="E138" s="11"/>
      <c r="F138" s="3">
        <f t="shared" si="11"/>
        <v>1.1353599735082716E-2</v>
      </c>
      <c r="G138" s="3">
        <f t="shared" si="15"/>
        <v>1.1353599735082716E-2</v>
      </c>
      <c r="H138" s="3">
        <f t="shared" si="15"/>
        <v>1.1353599735082716E-2</v>
      </c>
      <c r="I138" s="3">
        <f t="shared" si="15"/>
        <v>1.1353599735082716E-2</v>
      </c>
      <c r="J138" s="3">
        <f t="shared" si="15"/>
        <v>1.1353599735082716E-2</v>
      </c>
      <c r="K138" s="3">
        <f t="shared" si="15"/>
        <v>1.1353599735082716E-2</v>
      </c>
      <c r="L138" s="3">
        <f t="shared" si="15"/>
        <v>1.1353599735082716E-2</v>
      </c>
      <c r="M138" s="3">
        <f t="shared" si="15"/>
        <v>1.1353599735082716E-2</v>
      </c>
      <c r="N138" s="3">
        <f t="shared" si="15"/>
        <v>1.1353599735082716E-2</v>
      </c>
      <c r="O138" s="3">
        <f t="shared" si="15"/>
        <v>1.1353599735082716E-2</v>
      </c>
      <c r="P138" s="3">
        <f t="shared" si="15"/>
        <v>1.1353599735082716E-2</v>
      </c>
      <c r="Q138" s="3">
        <f t="shared" si="15"/>
        <v>1.1353599735082716E-2</v>
      </c>
      <c r="R138" s="3">
        <f t="shared" si="15"/>
        <v>1.1353599735082714E-2</v>
      </c>
      <c r="S138" s="3">
        <f t="shared" si="15"/>
        <v>1.1353599735082704E-2</v>
      </c>
      <c r="T138" s="3">
        <f t="shared" si="15"/>
        <v>1.1353599735082603E-2</v>
      </c>
      <c r="U138" s="3">
        <f t="shared" si="15"/>
        <v>1.135359973508158E-2</v>
      </c>
      <c r="V138" s="3">
        <f t="shared" si="15"/>
        <v>1.1353599735071362E-2</v>
      </c>
      <c r="W138" s="3">
        <f t="shared" si="15"/>
        <v>1.135359973496918E-2</v>
      </c>
      <c r="X138" s="3">
        <f t="shared" si="15"/>
        <v>1.1353599733947355E-2</v>
      </c>
      <c r="Y138" s="3">
        <f t="shared" si="15"/>
        <v>1.1353599723729117E-2</v>
      </c>
      <c r="Z138" s="3">
        <f t="shared" si="15"/>
        <v>1.1353599621546719E-2</v>
      </c>
      <c r="AA138" s="3">
        <f t="shared" si="15"/>
        <v>1.13535985997228E-2</v>
      </c>
      <c r="AB138" s="3">
        <f t="shared" si="15"/>
        <v>1.1353588381488658E-2</v>
      </c>
      <c r="AC138" s="3">
        <f t="shared" si="15"/>
        <v>1.1353486199653044E-2</v>
      </c>
      <c r="AD138" s="3">
        <f t="shared" si="15"/>
        <v>1.1352464431875315E-2</v>
      </c>
      <c r="AE138" s="3">
        <f t="shared" si="15"/>
        <v>1.1342251810255707E-2</v>
      </c>
      <c r="AF138" s="3">
        <f t="shared" si="15"/>
        <v>1.1240629530173242E-2</v>
      </c>
      <c r="AG138" s="3">
        <f t="shared" si="15"/>
        <v>1.0273161869705999E-2</v>
      </c>
      <c r="AH138" s="3">
        <f t="shared" si="15"/>
        <v>4.1767559258264648E-3</v>
      </c>
      <c r="AI138" s="3">
        <f t="shared" si="15"/>
        <v>5.1545263052412195E-7</v>
      </c>
      <c r="AJ138" s="3">
        <f t="shared" si="15"/>
        <v>4.2236253615837737E-46</v>
      </c>
    </row>
    <row r="139" spans="1:36" x14ac:dyDescent="0.25">
      <c r="A139" s="3">
        <f t="shared" si="14"/>
        <v>100000000000000</v>
      </c>
      <c r="B139" s="105">
        <v>1.2892413760301284E-5</v>
      </c>
      <c r="C139" s="18">
        <f t="shared" si="9"/>
        <v>8.1234835257352708E-6</v>
      </c>
      <c r="D139" s="17"/>
      <c r="E139" s="11"/>
      <c r="F139" s="3">
        <f t="shared" si="11"/>
        <v>8.1234835257352708E-6</v>
      </c>
      <c r="G139" s="3">
        <f t="shared" si="15"/>
        <v>8.1234835257352708E-6</v>
      </c>
      <c r="H139" s="3">
        <f t="shared" si="15"/>
        <v>8.1234835257352708E-6</v>
      </c>
      <c r="I139" s="3">
        <f t="shared" si="15"/>
        <v>8.1234835257352708E-6</v>
      </c>
      <c r="J139" s="3">
        <f t="shared" si="15"/>
        <v>8.1234835257352708E-6</v>
      </c>
      <c r="K139" s="3">
        <f t="shared" si="15"/>
        <v>8.1234835257352708E-6</v>
      </c>
      <c r="L139" s="3">
        <f t="shared" si="15"/>
        <v>8.1234835257352708E-6</v>
      </c>
      <c r="M139" s="3">
        <f t="shared" si="15"/>
        <v>8.1234835257352708E-6</v>
      </c>
      <c r="N139" s="3">
        <f t="shared" si="15"/>
        <v>8.1234835257352708E-6</v>
      </c>
      <c r="O139" s="3">
        <f t="shared" si="15"/>
        <v>8.1234835257352708E-6</v>
      </c>
      <c r="P139" s="3">
        <f t="shared" si="15"/>
        <v>8.1234835257352708E-6</v>
      </c>
      <c r="Q139" s="3">
        <f t="shared" si="15"/>
        <v>8.1234835257352708E-6</v>
      </c>
      <c r="R139" s="3">
        <f t="shared" si="15"/>
        <v>8.1234835257352708E-6</v>
      </c>
      <c r="S139" s="3">
        <f t="shared" si="15"/>
        <v>8.1234835257352691E-6</v>
      </c>
      <c r="T139" s="3">
        <f t="shared" si="15"/>
        <v>8.1234835257352624E-6</v>
      </c>
      <c r="U139" s="3">
        <f t="shared" si="15"/>
        <v>8.1234835257351895E-6</v>
      </c>
      <c r="V139" s="3">
        <f t="shared" si="15"/>
        <v>8.1234835257344577E-6</v>
      </c>
      <c r="W139" s="3">
        <f t="shared" si="15"/>
        <v>8.1234835257271478E-6</v>
      </c>
      <c r="X139" s="3">
        <f t="shared" si="15"/>
        <v>8.1234835256540353E-6</v>
      </c>
      <c r="Y139" s="3">
        <f t="shared" si="15"/>
        <v>8.1234835249229222E-6</v>
      </c>
      <c r="Z139" s="3">
        <f t="shared" si="15"/>
        <v>8.1234835176117878E-6</v>
      </c>
      <c r="AA139" s="3">
        <f t="shared" si="15"/>
        <v>8.1234834445004354E-6</v>
      </c>
      <c r="AB139" s="3">
        <f t="shared" si="15"/>
        <v>8.1234827133869591E-6</v>
      </c>
      <c r="AC139" s="3">
        <f t="shared" si="15"/>
        <v>8.1234754022558071E-6</v>
      </c>
      <c r="AD139" s="3">
        <f t="shared" si="15"/>
        <v>8.1234022913061854E-6</v>
      </c>
      <c r="AE139" s="3">
        <f t="shared" si="15"/>
        <v>8.1226712179987605E-6</v>
      </c>
      <c r="AF139" s="3">
        <f t="shared" si="15"/>
        <v>8.115364102597723E-6</v>
      </c>
      <c r="AG139" s="3">
        <f t="shared" si="15"/>
        <v>8.0426535141183108E-6</v>
      </c>
      <c r="AH139" s="3">
        <f t="shared" si="15"/>
        <v>7.3504318588839552E-6</v>
      </c>
      <c r="AI139" s="3">
        <f t="shared" si="15"/>
        <v>2.9884625798129095E-6</v>
      </c>
      <c r="AJ139" s="3">
        <f t="shared" si="15"/>
        <v>3.6880558149508413E-10</v>
      </c>
    </row>
    <row r="140" spans="1:36" x14ac:dyDescent="0.25">
      <c r="A140" s="3">
        <f t="shared" si="14"/>
        <v>1000000000000000</v>
      </c>
      <c r="B140" s="105">
        <v>1.0223443970586912E-2</v>
      </c>
      <c r="C140" s="18">
        <f t="shared" si="9"/>
        <v>6.4417711233462271E-3</v>
      </c>
      <c r="D140" s="17"/>
      <c r="E140" s="11"/>
      <c r="F140" s="3">
        <f t="shared" si="11"/>
        <v>6.4417711233462271E-3</v>
      </c>
      <c r="G140" s="3">
        <f t="shared" si="15"/>
        <v>6.4417711233462271E-3</v>
      </c>
      <c r="H140" s="3">
        <f t="shared" si="15"/>
        <v>6.4417711233462271E-3</v>
      </c>
      <c r="I140" s="3">
        <f t="shared" si="15"/>
        <v>6.4417711233462271E-3</v>
      </c>
      <c r="J140" s="3">
        <f t="shared" si="15"/>
        <v>6.4417711233462271E-3</v>
      </c>
      <c r="K140" s="3">
        <f t="shared" si="15"/>
        <v>6.4417711233462271E-3</v>
      </c>
      <c r="L140" s="3">
        <f t="shared" si="15"/>
        <v>6.4417711233462271E-3</v>
      </c>
      <c r="M140" s="3">
        <f t="shared" si="15"/>
        <v>6.4417711233462271E-3</v>
      </c>
      <c r="N140" s="3">
        <f t="shared" si="15"/>
        <v>6.4417711233462271E-3</v>
      </c>
      <c r="O140" s="3">
        <f t="shared" si="15"/>
        <v>6.4417711233462271E-3</v>
      </c>
      <c r="P140" s="3">
        <f t="shared" si="15"/>
        <v>6.4417711233462271E-3</v>
      </c>
      <c r="Q140" s="3">
        <f t="shared" si="15"/>
        <v>6.4417711233462271E-3</v>
      </c>
      <c r="R140" s="3">
        <f t="shared" si="15"/>
        <v>6.4417711233462271E-3</v>
      </c>
      <c r="S140" s="3">
        <f t="shared" si="15"/>
        <v>6.4417711233462271E-3</v>
      </c>
      <c r="T140" s="3">
        <f t="shared" si="15"/>
        <v>6.4417711233462262E-3</v>
      </c>
      <c r="U140" s="3">
        <f t="shared" si="15"/>
        <v>6.441771123346221E-3</v>
      </c>
      <c r="V140" s="3">
        <f t="shared" si="15"/>
        <v>6.4417711233461629E-3</v>
      </c>
      <c r="W140" s="3">
        <f t="shared" si="15"/>
        <v>6.4417711233455827E-3</v>
      </c>
      <c r="X140" s="3">
        <f t="shared" si="15"/>
        <v>6.4417711233397852E-3</v>
      </c>
      <c r="Y140" s="3">
        <f t="shared" si="15"/>
        <v>6.441771123281809E-3</v>
      </c>
      <c r="Z140" s="3">
        <f t="shared" si="15"/>
        <v>6.4417711227020497E-3</v>
      </c>
      <c r="AA140" s="3">
        <f t="shared" si="15"/>
        <v>6.4417711169044564E-3</v>
      </c>
      <c r="AB140" s="3">
        <f t="shared" si="15"/>
        <v>6.4417710589285164E-3</v>
      </c>
      <c r="AC140" s="3">
        <f t="shared" si="15"/>
        <v>6.4417704791691474E-3</v>
      </c>
      <c r="AD140" s="3">
        <f t="shared" si="15"/>
        <v>6.441764681578325E-3</v>
      </c>
      <c r="AE140" s="3">
        <f t="shared" si="15"/>
        <v>6.4417067059570812E-3</v>
      </c>
      <c r="AF140" s="3">
        <f t="shared" si="15"/>
        <v>6.4411269784416742E-3</v>
      </c>
      <c r="AG140" s="3">
        <f t="shared" si="15"/>
        <v>6.4353325720350827E-3</v>
      </c>
      <c r="AH140" s="3">
        <f t="shared" si="15"/>
        <v>6.3776744297191238E-3</v>
      </c>
      <c r="AI140" s="3">
        <f t="shared" si="15"/>
        <v>5.828755550827203E-3</v>
      </c>
      <c r="AJ140" s="3">
        <f t="shared" si="15"/>
        <v>2.3697951610109442E-3</v>
      </c>
    </row>
    <row r="141" spans="1:36" x14ac:dyDescent="0.25">
      <c r="A141" s="3">
        <f t="shared" si="14"/>
        <v>1E+16</v>
      </c>
      <c r="B141" s="105">
        <v>1.9169875547735396E-3</v>
      </c>
      <c r="C141" s="18">
        <f t="shared" si="9"/>
        <v>1.2078899351023055E-3</v>
      </c>
      <c r="D141" s="17"/>
      <c r="E141" s="11"/>
      <c r="F141" s="3">
        <f t="shared" si="11"/>
        <v>1.2078899351023055E-3</v>
      </c>
      <c r="G141" s="3">
        <f t="shared" si="15"/>
        <v>1.2078899351023055E-3</v>
      </c>
      <c r="H141" s="3">
        <f t="shared" si="15"/>
        <v>1.2078899351023055E-3</v>
      </c>
      <c r="I141" s="3">
        <f t="shared" si="15"/>
        <v>1.2078899351023055E-3</v>
      </c>
      <c r="J141" s="3">
        <f t="shared" si="15"/>
        <v>1.2078899351023055E-3</v>
      </c>
      <c r="K141" s="3">
        <f t="shared" si="15"/>
        <v>1.2078899351023055E-3</v>
      </c>
      <c r="L141" s="3">
        <f t="shared" si="15"/>
        <v>1.2078899351023055E-3</v>
      </c>
      <c r="M141" s="3">
        <f t="shared" si="15"/>
        <v>1.2078899351023055E-3</v>
      </c>
      <c r="N141" s="3">
        <f t="shared" si="15"/>
        <v>1.2078899351023055E-3</v>
      </c>
      <c r="O141" s="3">
        <f t="shared" si="15"/>
        <v>1.2078899351023055E-3</v>
      </c>
      <c r="P141" s="3">
        <f t="shared" si="15"/>
        <v>1.2078899351023055E-3</v>
      </c>
      <c r="Q141" s="3">
        <f t="shared" si="15"/>
        <v>1.2078899351023055E-3</v>
      </c>
      <c r="R141" s="3">
        <f t="shared" si="15"/>
        <v>1.2078899351023055E-3</v>
      </c>
      <c r="S141" s="3">
        <f t="shared" si="15"/>
        <v>1.2078899351023055E-3</v>
      </c>
      <c r="T141" s="3">
        <f t="shared" si="15"/>
        <v>1.2078899351023055E-3</v>
      </c>
      <c r="U141" s="3">
        <f t="shared" si="15"/>
        <v>1.2078899351023052E-3</v>
      </c>
      <c r="V141" s="3">
        <f t="shared" si="15"/>
        <v>1.2078899351023042E-3</v>
      </c>
      <c r="W141" s="3">
        <f t="shared" si="15"/>
        <v>1.2078899351022933E-3</v>
      </c>
      <c r="X141" s="3">
        <f t="shared" si="15"/>
        <v>1.2078899351021847E-3</v>
      </c>
      <c r="Y141" s="3">
        <f t="shared" si="15"/>
        <v>1.2078899351010977E-3</v>
      </c>
      <c r="Z141" s="3">
        <f t="shared" si="15"/>
        <v>1.2078899350902266E-3</v>
      </c>
      <c r="AA141" s="3">
        <f t="shared" si="15"/>
        <v>1.2078899349815164E-3</v>
      </c>
      <c r="AB141" s="3">
        <f t="shared" si="15"/>
        <v>1.2078899338944155E-3</v>
      </c>
      <c r="AC141" s="3">
        <f t="shared" si="15"/>
        <v>1.2078899230234062E-3</v>
      </c>
      <c r="AD141" s="3">
        <f t="shared" si="15"/>
        <v>1.2078898143133181E-3</v>
      </c>
      <c r="AE141" s="3">
        <f t="shared" si="15"/>
        <v>1.2078887272129744E-3</v>
      </c>
      <c r="AF141" s="3">
        <f t="shared" si="15"/>
        <v>1.2078778562633486E-3</v>
      </c>
      <c r="AG141" s="3">
        <f t="shared" si="15"/>
        <v>1.2077691521480435E-3</v>
      </c>
      <c r="AH141" s="3">
        <f t="shared" si="15"/>
        <v>1.2066826489109061E-3</v>
      </c>
      <c r="AI141" s="3">
        <f t="shared" si="15"/>
        <v>1.195871229435331E-3</v>
      </c>
      <c r="AJ141" s="3">
        <f t="shared" si="15"/>
        <v>1.0929440101495927E-3</v>
      </c>
    </row>
    <row r="142" spans="1:36" x14ac:dyDescent="0.25">
      <c r="A142" s="11"/>
      <c r="B142" s="123">
        <f>SUM(B110:B141)</f>
        <v>1.5870548293054327</v>
      </c>
      <c r="C142" s="18">
        <f>SUM(C110:C141)</f>
        <v>1</v>
      </c>
      <c r="D142" s="11"/>
      <c r="E142" s="11"/>
      <c r="F142" s="3">
        <f t="shared" ref="F142:AJ142" si="16">F109-F110</f>
        <v>45.133526374971552</v>
      </c>
      <c r="G142" s="3">
        <f t="shared" si="16"/>
        <v>47.694376501773149</v>
      </c>
      <c r="H142" s="3">
        <f t="shared" si="16"/>
        <v>37.885373749933933</v>
      </c>
      <c r="I142" s="3">
        <f t="shared" si="16"/>
        <v>-11.690690689947587</v>
      </c>
      <c r="J142" s="3">
        <f t="shared" si="16"/>
        <v>1.7156709610408143</v>
      </c>
      <c r="K142" s="3">
        <f t="shared" si="16"/>
        <v>-0.21817308662048163</v>
      </c>
      <c r="L142" s="3">
        <f t="shared" si="16"/>
        <v>6.3694489216686634E-2</v>
      </c>
      <c r="M142" s="3">
        <f t="shared" si="16"/>
        <v>-0.12307605139540101</v>
      </c>
      <c r="N142" s="3">
        <f t="shared" si="16"/>
        <v>0.29077262573082407</v>
      </c>
      <c r="O142" s="3">
        <f t="shared" si="16"/>
        <v>-0.5957125546028692</v>
      </c>
      <c r="P142" s="3">
        <f t="shared" si="16"/>
        <v>1.0146955511272608</v>
      </c>
      <c r="Q142" s="3">
        <f t="shared" si="16"/>
        <v>-1.4692121126890925</v>
      </c>
      <c r="R142" s="3">
        <f t="shared" si="16"/>
        <v>1.8069135499272306</v>
      </c>
      <c r="S142" s="3">
        <f t="shared" si="16"/>
        <v>-1.8957867376707327</v>
      </c>
      <c r="T142" s="3">
        <f t="shared" si="16"/>
        <v>1.7080513143023381</v>
      </c>
      <c r="U142" s="3">
        <f t="shared" si="16"/>
        <v>-1.3172948668484423</v>
      </c>
      <c r="V142" s="3">
        <f t="shared" si="16"/>
        <v>0.88000643164468784</v>
      </c>
      <c r="W142" s="3">
        <f t="shared" si="16"/>
        <v>-0.50575875663071201</v>
      </c>
      <c r="X142" s="3">
        <f t="shared" si="16"/>
        <v>0.24926923660632383</v>
      </c>
      <c r="Y142" s="3">
        <f t="shared" si="16"/>
        <v>-0.11065292163675622</v>
      </c>
      <c r="Z142" s="3">
        <f t="shared" si="16"/>
        <v>3.8955555705797451E-2</v>
      </c>
      <c r="AA142" s="3">
        <f t="shared" si="16"/>
        <v>-1.0840266204922955E-2</v>
      </c>
      <c r="AB142" s="3">
        <f t="shared" si="16"/>
        <v>2.4113223296353681E-3</v>
      </c>
      <c r="AC142" s="3">
        <f t="shared" si="16"/>
        <v>1.7693826862341666E-4</v>
      </c>
      <c r="AD142" s="3">
        <f t="shared" si="16"/>
        <v>-1.8574483926840912E-3</v>
      </c>
      <c r="AE142" s="3">
        <f t="shared" si="16"/>
        <v>-2.0721401045875609E-3</v>
      </c>
      <c r="AF142" s="3">
        <f t="shared" si="16"/>
        <v>-1.7431407764547657E-3</v>
      </c>
      <c r="AG142" s="3">
        <f t="shared" si="16"/>
        <v>1.4535529808199499E-3</v>
      </c>
      <c r="AH142" s="3">
        <f t="shared" si="16"/>
        <v>1.6336606988716085E-3</v>
      </c>
      <c r="AI142" s="3">
        <f t="shared" si="16"/>
        <v>4.7392752732662302E-3</v>
      </c>
      <c r="AJ142" s="3">
        <f t="shared" si="16"/>
        <v>5.1285728185916923E-3</v>
      </c>
    </row>
    <row r="143" spans="1:36" x14ac:dyDescent="0.25">
      <c r="A143" s="11"/>
      <c r="B143" s="11"/>
      <c r="C143" s="11"/>
      <c r="D143" s="11"/>
      <c r="E143" s="11"/>
      <c r="F143" s="57">
        <f t="shared" ref="F143:AJ143" si="17">F142/F110</f>
        <v>7.2909933562275483E-3</v>
      </c>
      <c r="G143" s="57">
        <f t="shared" si="17"/>
        <v>7.7117397170738938E-3</v>
      </c>
      <c r="H143" s="57">
        <f t="shared" si="17"/>
        <v>6.1765505653083421E-3</v>
      </c>
      <c r="I143" s="57">
        <f t="shared" si="17"/>
        <v>-1.9726210819579998E-3</v>
      </c>
      <c r="J143" s="57">
        <f t="shared" si="17"/>
        <v>2.9648105532843337E-4</v>
      </c>
      <c r="K143" s="57">
        <f t="shared" si="17"/>
        <v>-3.8524037791246063E-5</v>
      </c>
      <c r="L143" s="57">
        <f t="shared" si="17"/>
        <v>1.1632825448761747E-5</v>
      </c>
      <c r="M143" s="57">
        <f t="shared" si="17"/>
        <v>-2.3122020716189082E-5</v>
      </c>
      <c r="N143" s="57">
        <f t="shared" si="17"/>
        <v>5.6866774199836869E-5</v>
      </c>
      <c r="O143" s="57">
        <f t="shared" si="17"/>
        <v>-1.2210221422695084E-4</v>
      </c>
      <c r="P143" s="57">
        <f t="shared" si="17"/>
        <v>2.1720097179079954E-4</v>
      </c>
      <c r="Q143" s="57">
        <f t="shared" si="17"/>
        <v>-3.2927384688562867E-4</v>
      </c>
      <c r="R143" s="57">
        <f t="shared" si="17"/>
        <v>4.3133878240522592E-4</v>
      </c>
      <c r="S143" s="57">
        <f t="shared" si="17"/>
        <v>-4.7816545414309478E-4</v>
      </c>
      <c r="T143" s="57">
        <f t="shared" si="17"/>
        <v>4.6012678429145323E-4</v>
      </c>
      <c r="U143" s="57">
        <f t="shared" si="17"/>
        <v>-3.8254305506476774E-4</v>
      </c>
      <c r="V143" s="57">
        <f t="shared" si="17"/>
        <v>2.6999871479559893E-4</v>
      </c>
      <c r="W143" s="57">
        <f t="shared" si="17"/>
        <v>-1.671873880636057E-4</v>
      </c>
      <c r="X143" s="57">
        <f t="shared" si="17"/>
        <v>8.7719042277389629E-5</v>
      </c>
      <c r="Y143" s="57">
        <f t="shared" si="17"/>
        <v>-4.298602716578084E-5</v>
      </c>
      <c r="Z143" s="57">
        <f t="shared" si="17"/>
        <v>1.6803867560913871E-5</v>
      </c>
      <c r="AA143" s="57">
        <f t="shared" si="17"/>
        <v>-5.0559751107171304E-6</v>
      </c>
      <c r="AB143" s="57">
        <f t="shared" si="17"/>
        <v>1.3544960877501449E-6</v>
      </c>
      <c r="AC143" s="57">
        <f t="shared" si="17"/>
        <v>1.2804324988639219E-7</v>
      </c>
      <c r="AD143" s="57">
        <f t="shared" si="17"/>
        <v>-1.8522944358799326E-6</v>
      </c>
      <c r="AE143" s="57">
        <f t="shared" si="17"/>
        <v>-3.0539597827365234E-6</v>
      </c>
      <c r="AF143" s="57">
        <f t="shared" si="17"/>
        <v>-3.5848943866143525E-6</v>
      </c>
      <c r="AG143" s="57">
        <f t="shared" si="17"/>
        <v>3.7645142520265847E-6</v>
      </c>
      <c r="AH143" s="57">
        <f t="shared" si="17"/>
        <v>4.8972221984076809E-6</v>
      </c>
      <c r="AI143" s="57">
        <f t="shared" si="17"/>
        <v>1.5577407102404793E-5</v>
      </c>
      <c r="AJ143" s="57">
        <f t="shared" si="17"/>
        <v>1.8175654390966868E-5</v>
      </c>
    </row>
    <row r="144" spans="1:36" x14ac:dyDescent="0.25">
      <c r="A144" s="13" t="s">
        <v>21</v>
      </c>
      <c r="B144" s="3">
        <f>STUTT!D8</f>
        <v>6190.9489999999996</v>
      </c>
      <c r="C144" s="11"/>
      <c r="D144" s="11"/>
      <c r="E144" s="11" t="s">
        <v>24</v>
      </c>
      <c r="F144" s="20">
        <f t="shared" ref="F144:AJ144" si="18">(F109-F110)^2</f>
        <v>2037.0352030402528</v>
      </c>
      <c r="G144" s="20">
        <f t="shared" si="18"/>
        <v>2274.7535498928905</v>
      </c>
      <c r="H144" s="20">
        <f t="shared" si="18"/>
        <v>1435.3015441721832</v>
      </c>
      <c r="I144" s="20">
        <f t="shared" si="18"/>
        <v>136.67224880802718</v>
      </c>
      <c r="J144" s="20">
        <f t="shared" si="18"/>
        <v>2.9435268465587114</v>
      </c>
      <c r="K144" s="20">
        <f t="shared" si="18"/>
        <v>4.759949572550818E-2</v>
      </c>
      <c r="L144" s="20">
        <f t="shared" si="18"/>
        <v>4.0569879565746101E-3</v>
      </c>
      <c r="M144" s="20">
        <f t="shared" si="18"/>
        <v>1.5147714427083391E-2</v>
      </c>
      <c r="N144" s="20">
        <f t="shared" si="18"/>
        <v>8.4548719874397896E-2</v>
      </c>
      <c r="O144" s="20">
        <f t="shared" si="18"/>
        <v>0.35487344771147644</v>
      </c>
      <c r="P144" s="20">
        <f t="shared" si="18"/>
        <v>1.0296070614774557</v>
      </c>
      <c r="Q144" s="20">
        <f t="shared" si="18"/>
        <v>2.1585842320723465</v>
      </c>
      <c r="R144" s="20">
        <f t="shared" si="18"/>
        <v>3.2649365769106264</v>
      </c>
      <c r="S144" s="20">
        <f t="shared" si="18"/>
        <v>3.5940073547282396</v>
      </c>
      <c r="T144" s="20">
        <f t="shared" si="18"/>
        <v>2.9174392922899446</v>
      </c>
      <c r="U144" s="20">
        <f t="shared" si="18"/>
        <v>1.7352657662252553</v>
      </c>
      <c r="V144" s="20">
        <f t="shared" si="18"/>
        <v>0.77441131973601662</v>
      </c>
      <c r="W144" s="20">
        <f t="shared" si="18"/>
        <v>0.25579191990864381</v>
      </c>
      <c r="X144" s="20">
        <f t="shared" si="18"/>
        <v>6.2135152318299455E-2</v>
      </c>
      <c r="Y144" s="20">
        <f t="shared" si="18"/>
        <v>1.2244069066750112E-2</v>
      </c>
      <c r="Z144" s="20">
        <f t="shared" si="18"/>
        <v>1.5175353203474883E-3</v>
      </c>
      <c r="AA144" s="20">
        <f t="shared" si="18"/>
        <v>1.1751137139359472E-4</v>
      </c>
      <c r="AB144" s="20">
        <f t="shared" si="18"/>
        <v>5.8144753773981384E-6</v>
      </c>
      <c r="AC144" s="20">
        <f t="shared" si="18"/>
        <v>3.1307150903452355E-8</v>
      </c>
      <c r="AD144" s="20">
        <f t="shared" si="18"/>
        <v>3.4501145314847139E-6</v>
      </c>
      <c r="AE144" s="20">
        <f t="shared" si="18"/>
        <v>4.2937646130401482E-6</v>
      </c>
      <c r="AF144" s="20">
        <f t="shared" si="18"/>
        <v>3.0385397665393235E-6</v>
      </c>
      <c r="AG144" s="20">
        <f t="shared" si="18"/>
        <v>2.1128162680505616E-6</v>
      </c>
      <c r="AH144" s="20">
        <f t="shared" si="18"/>
        <v>2.6688472790376721E-6</v>
      </c>
      <c r="AI144" s="20">
        <f t="shared" si="18"/>
        <v>2.2460730115792703E-5</v>
      </c>
      <c r="AJ144" s="20">
        <f t="shared" si="18"/>
        <v>2.6302259155597535E-5</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5903.0184270898862</v>
      </c>
      <c r="H146" s="11"/>
      <c r="I146" s="3">
        <f>G146+C216</f>
        <v>5903.0184270898862</v>
      </c>
      <c r="J146" s="11"/>
      <c r="K146" s="3">
        <f>SUM(Z144:AJ144)</f>
        <v>1.7052195459989273E-3</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7.2382195456095928E-3</v>
      </c>
      <c r="G148" s="31">
        <f t="shared" si="19"/>
        <v>7.6527239022133944E-3</v>
      </c>
      <c r="H148" s="31">
        <f t="shared" si="19"/>
        <v>6.1386349759772483E-3</v>
      </c>
      <c r="I148" s="31">
        <f t="shared" si="19"/>
        <v>1.9765200069927053E-3</v>
      </c>
      <c r="J148" s="31">
        <f t="shared" si="19"/>
        <v>2.9639318036552644E-4</v>
      </c>
      <c r="K148" s="31">
        <f t="shared" si="19"/>
        <v>3.8525521949909591E-5</v>
      </c>
      <c r="L148" s="31">
        <f t="shared" si="19"/>
        <v>1.1632690127707992E-5</v>
      </c>
      <c r="M148" s="31">
        <f t="shared" si="19"/>
        <v>2.3122555356393044E-5</v>
      </c>
      <c r="N148" s="31">
        <f t="shared" si="19"/>
        <v>5.6863540553716E-5</v>
      </c>
      <c r="O148" s="31">
        <f t="shared" si="19"/>
        <v>1.2211712499830816E-4</v>
      </c>
      <c r="P148" s="31">
        <f t="shared" si="19"/>
        <v>2.1715380577315755E-4</v>
      </c>
      <c r="Q148" s="31">
        <f t="shared" si="19"/>
        <v>3.2938230386391799E-4</v>
      </c>
      <c r="R148" s="31">
        <f t="shared" si="19"/>
        <v>4.3115280947735539E-4</v>
      </c>
      <c r="S148" s="31">
        <f t="shared" si="19"/>
        <v>4.783942057257351E-4</v>
      </c>
      <c r="T148" s="31">
        <f t="shared" si="19"/>
        <v>4.5991516500553233E-4</v>
      </c>
      <c r="U148" s="31">
        <f t="shared" si="19"/>
        <v>3.8268945025620983E-4</v>
      </c>
      <c r="V148" s="31">
        <f t="shared" si="19"/>
        <v>2.6992583516701374E-4</v>
      </c>
      <c r="W148" s="31">
        <f t="shared" si="19"/>
        <v>1.6721534436027344E-4</v>
      </c>
      <c r="X148" s="31">
        <f t="shared" si="19"/>
        <v>8.7711348321917981E-5</v>
      </c>
      <c r="Y148" s="31">
        <f t="shared" si="19"/>
        <v>4.2987875043745275E-5</v>
      </c>
      <c r="Z148" s="31">
        <f t="shared" si="19"/>
        <v>1.6803585195693693E-5</v>
      </c>
      <c r="AA148" s="31">
        <f t="shared" si="19"/>
        <v>5.0560006737306961E-6</v>
      </c>
      <c r="AB148" s="31">
        <f t="shared" si="19"/>
        <v>1.3544942530929781E-6</v>
      </c>
      <c r="AC148" s="31">
        <f t="shared" si="19"/>
        <v>1.2804323349132043E-7</v>
      </c>
      <c r="AD148" s="31">
        <f t="shared" si="19"/>
        <v>1.852297866880965E-6</v>
      </c>
      <c r="AE148" s="31">
        <f t="shared" si="19"/>
        <v>3.0539691094353613E-6</v>
      </c>
      <c r="AF148" s="31">
        <f t="shared" si="19"/>
        <v>3.584907238128187E-6</v>
      </c>
      <c r="AG148" s="31">
        <f t="shared" si="19"/>
        <v>3.76450008051238E-6</v>
      </c>
      <c r="AH148" s="31">
        <f t="shared" si="19"/>
        <v>4.8971982157398692E-6</v>
      </c>
      <c r="AI148" s="31">
        <f t="shared" si="19"/>
        <v>1.5577164450572646E-5</v>
      </c>
      <c r="AJ148" s="31">
        <f t="shared" si="19"/>
        <v>1.8175324042558629E-5</v>
      </c>
    </row>
    <row r="149" spans="1:36" x14ac:dyDescent="0.25">
      <c r="A149" s="11"/>
      <c r="B149" s="11"/>
      <c r="C149" s="11"/>
      <c r="D149" s="11"/>
      <c r="E149" s="13" t="s">
        <v>31</v>
      </c>
      <c r="F149" s="32">
        <f>AVERAGE(F148:AJ148)</f>
        <v>8.5469447327416739E-4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3.0764189147278041E-4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-26.816562794657003</v>
      </c>
      <c r="M1" s="54">
        <v>1</v>
      </c>
      <c r="N1" s="56">
        <f>INDEX($H$217:$P$217,1,Q1)</f>
        <v>0.24877802325401904</v>
      </c>
      <c r="O1" s="11"/>
      <c r="P1" s="55">
        <v>1</v>
      </c>
      <c r="Q1" s="11">
        <v>2</v>
      </c>
    </row>
    <row r="2" spans="1:17" x14ac:dyDescent="0.25">
      <c r="A2" s="11">
        <f>'Mastercurve bestimmen'!M119</f>
        <v>0</v>
      </c>
      <c r="B2" s="11">
        <f>'Mastercurve bestimmen'!N119</f>
        <v>-16.655792727489398</v>
      </c>
      <c r="M2" s="54">
        <v>2</v>
      </c>
      <c r="N2" s="56">
        <f t="shared" ref="N2:N9" si="0">INDEX($H$217:$P$217,1,Q2)</f>
        <v>2.0662761337535379E-3</v>
      </c>
      <c r="O2" s="11"/>
      <c r="P2" s="55">
        <v>2</v>
      </c>
      <c r="Q2" s="11">
        <f>Q1+1</f>
        <v>3</v>
      </c>
    </row>
    <row r="3" spans="1:17" x14ac:dyDescent="0.25">
      <c r="A3" s="11">
        <f>'Mastercurve bestimmen'!M120</f>
        <v>25</v>
      </c>
      <c r="B3" s="11">
        <f>'Mastercurve bestimmen'!N120</f>
        <v>-11.048243415199147</v>
      </c>
      <c r="M3" s="54">
        <v>3</v>
      </c>
      <c r="N3" s="56">
        <f t="shared" si="0"/>
        <v>1.2684354093517295E-5</v>
      </c>
      <c r="O3" s="11"/>
      <c r="P3" s="55">
        <v>3</v>
      </c>
      <c r="Q3" s="11">
        <f t="shared" ref="Q3:Q8" si="1">Q2+1</f>
        <v>4</v>
      </c>
    </row>
    <row r="4" spans="1:17" x14ac:dyDescent="0.25">
      <c r="A4" s="11">
        <f>'Mastercurve bestimmen'!M121</f>
        <v>50</v>
      </c>
      <c r="B4" s="11">
        <f>'Mastercurve bestimmen'!N121</f>
        <v>-6.0345093617338197</v>
      </c>
      <c r="M4" s="54">
        <v>4</v>
      </c>
      <c r="N4" s="56">
        <f t="shared" si="0"/>
        <v>-2.8830062911579725E-7</v>
      </c>
      <c r="O4" s="11"/>
      <c r="P4" s="55">
        <v>4</v>
      </c>
      <c r="Q4" s="11">
        <f t="shared" si="1"/>
        <v>5</v>
      </c>
    </row>
    <row r="5" spans="1:17" x14ac:dyDescent="0.25">
      <c r="A5" s="11">
        <f>'Mastercurve bestimmen'!M122</f>
        <v>80</v>
      </c>
      <c r="B5" s="11">
        <f>'Mastercurve bestimmen'!N122</f>
        <v>0</v>
      </c>
      <c r="M5" s="54">
        <v>5</v>
      </c>
      <c r="N5" s="56">
        <f t="shared" si="0"/>
        <v>-1.9595560962509799E-9</v>
      </c>
      <c r="O5" s="11"/>
      <c r="P5" s="55">
        <v>5</v>
      </c>
      <c r="Q5" s="11">
        <f t="shared" si="1"/>
        <v>6</v>
      </c>
    </row>
    <row r="6" spans="1:17" x14ac:dyDescent="0.25">
      <c r="A6" s="11">
        <f>'Mastercurve bestimmen'!M123</f>
        <v>125</v>
      </c>
      <c r="B6" s="11">
        <f>'Mastercurve bestimmen'!N123</f>
        <v>15.131919610791874</v>
      </c>
      <c r="M6" s="54">
        <v>6</v>
      </c>
      <c r="N6" s="56">
        <f t="shared" si="0"/>
        <v>1.5412645871905667E-11</v>
      </c>
      <c r="O6" s="11"/>
      <c r="P6" s="55">
        <v>6</v>
      </c>
      <c r="Q6" s="11">
        <f t="shared" si="1"/>
        <v>7</v>
      </c>
    </row>
    <row r="7" spans="1:17" x14ac:dyDescent="0.25">
      <c r="A7" s="11">
        <f>'Mastercurve bestimmen'!M124</f>
        <v>160</v>
      </c>
      <c r="B7" s="11">
        <f>'Mastercurve bestimmen'!N124</f>
        <v>28.985939818874979</v>
      </c>
      <c r="M7" s="54">
        <v>7</v>
      </c>
      <c r="N7" s="56">
        <f t="shared" si="0"/>
        <v>1.5018532787365457E-13</v>
      </c>
      <c r="O7" s="11"/>
      <c r="P7" s="55">
        <v>7</v>
      </c>
      <c r="Q7" s="11">
        <f t="shared" si="1"/>
        <v>8</v>
      </c>
    </row>
    <row r="8" spans="1:17" x14ac:dyDescent="0.25">
      <c r="A8" s="11"/>
      <c r="B8" s="11"/>
      <c r="M8" s="54">
        <v>8</v>
      </c>
      <c r="N8" s="56">
        <f t="shared" si="0"/>
        <v>3.277173414080583E-16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-26.816562794657003</v>
      </c>
      <c r="E15" s="11">
        <f>A15-'Mastercurve bestimmen'!$B$2</f>
        <v>-120</v>
      </c>
      <c r="F15" s="11">
        <f>B15</f>
        <v>-26.816562794657003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-26.616597367554924</v>
      </c>
      <c r="E16" s="11">
        <f>A16-'Mastercurve bestimmen'!$B$2</f>
        <v>-119</v>
      </c>
      <c r="F16" s="11">
        <f t="shared" ref="F16:F79" si="4">B16</f>
        <v>-26.616597367554924</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-26.416429111842792</v>
      </c>
      <c r="E17" s="11">
        <f>A17-'Mastercurve bestimmen'!$B$2</f>
        <v>-118</v>
      </c>
      <c r="F17" s="11">
        <f t="shared" si="4"/>
        <v>-26.416429111842792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-26.215855198910571</v>
      </c>
      <c r="E18" s="11">
        <f>A18-'Mastercurve bestimmen'!$B$2</f>
        <v>-117</v>
      </c>
      <c r="F18" s="11">
        <f t="shared" si="4"/>
        <v>-26.215855198910571</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-26.014672800148215</v>
      </c>
      <c r="E19" s="11">
        <f>A19-'Mastercurve bestimmen'!$B$2</f>
        <v>-116</v>
      </c>
      <c r="F19" s="11">
        <f t="shared" si="4"/>
        <v>-26.014672800148215</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-25.812679086945682</v>
      </c>
      <c r="E20" s="11">
        <f>A20-'Mastercurve bestimmen'!$B$2</f>
        <v>-115</v>
      </c>
      <c r="F20" s="11">
        <f t="shared" si="4"/>
        <v>-25.812679086945682</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-25.609671230692914</v>
      </c>
      <c r="E21" s="11">
        <f>A21-'Mastercurve bestimmen'!$B$2</f>
        <v>-114</v>
      </c>
      <c r="F21" s="11">
        <f t="shared" si="4"/>
        <v>-25.609671230692914</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-25.40544640277988</v>
      </c>
      <c r="E22" s="11">
        <f>A22-'Mastercurve bestimmen'!$B$2</f>
        <v>-113</v>
      </c>
      <c r="F22" s="11">
        <f t="shared" si="4"/>
        <v>-25.40544640277988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-25.199801774596526</v>
      </c>
      <c r="E23" s="11">
        <f>A23-'Mastercurve bestimmen'!$B$2</f>
        <v>-112</v>
      </c>
      <c r="F23" s="11">
        <f t="shared" si="4"/>
        <v>-25.199801774596526</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-24.99253451753281</v>
      </c>
      <c r="E24" s="11">
        <f>A24-'Mastercurve bestimmen'!$B$2</f>
        <v>-111</v>
      </c>
      <c r="F24" s="11">
        <f t="shared" si="4"/>
        <v>-24.99253451753281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-24.783441802978682</v>
      </c>
      <c r="E25" s="11">
        <f>A25-'Mastercurve bestimmen'!$B$2</f>
        <v>-110</v>
      </c>
      <c r="F25" s="11">
        <f t="shared" si="4"/>
        <v>-24.783441802978682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-24.5723208023241</v>
      </c>
      <c r="E26" s="11">
        <f>A26-'Mastercurve bestimmen'!$B$2</f>
        <v>-109</v>
      </c>
      <c r="F26" s="11">
        <f t="shared" si="4"/>
        <v>-24.5723208023241</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-24.358968686959024</v>
      </c>
      <c r="E27" s="11">
        <f>A27-'Mastercurve bestimmen'!$B$2</f>
        <v>-108</v>
      </c>
      <c r="F27" s="11">
        <f t="shared" si="4"/>
        <v>-24.358968686959024</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-24.143182628273394</v>
      </c>
      <c r="E28" s="11">
        <f>A28-'Mastercurve bestimmen'!$B$2</f>
        <v>-107</v>
      </c>
      <c r="F28" s="11">
        <f t="shared" si="4"/>
        <v>-24.143182628273394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-23.924759797657174</v>
      </c>
      <c r="E29" s="11">
        <f>A29-'Mastercurve bestimmen'!$B$2</f>
        <v>-106</v>
      </c>
      <c r="F29" s="11">
        <f t="shared" si="4"/>
        <v>-23.924759797657174</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-23.703497366500322</v>
      </c>
      <c r="E30" s="11">
        <f>A30-'Mastercurve bestimmen'!$B$2</f>
        <v>-105</v>
      </c>
      <c r="F30" s="11">
        <f t="shared" si="4"/>
        <v>-23.703497366500322</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-23.479192506192788</v>
      </c>
      <c r="E31" s="11">
        <f>A31-'Mastercurve bestimmen'!$B$2</f>
        <v>-104</v>
      </c>
      <c r="F31" s="11">
        <f t="shared" si="4"/>
        <v>-23.479192506192788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-23.251642388124527</v>
      </c>
      <c r="E32" s="11">
        <f>A32-'Mastercurve bestimmen'!$B$2</f>
        <v>-103</v>
      </c>
      <c r="F32" s="11">
        <f t="shared" si="4"/>
        <v>-23.251642388124527</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-23.020644183685494</v>
      </c>
      <c r="E33" s="11">
        <f>A33-'Mastercurve bestimmen'!$B$2</f>
        <v>-102</v>
      </c>
      <c r="F33" s="11">
        <f t="shared" si="4"/>
        <v>-23.020644183685494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-22.785995064265641</v>
      </c>
      <c r="E34" s="11">
        <f>A34-'Mastercurve bestimmen'!$B$2</f>
        <v>-101</v>
      </c>
      <c r="F34" s="11">
        <f t="shared" si="4"/>
        <v>-22.785995064265641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-22.547492201254929</v>
      </c>
      <c r="E35" s="11">
        <f>A35-'Mastercurve bestimmen'!$B$2</f>
        <v>-100</v>
      </c>
      <c r="F35" s="11">
        <f t="shared" si="4"/>
        <v>-22.547492201254929</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-22.304932766043308</v>
      </c>
      <c r="E36" s="11">
        <f>A36-'Mastercurve bestimmen'!$B$2</f>
        <v>-99</v>
      </c>
      <c r="F36" s="11">
        <f t="shared" si="4"/>
        <v>-22.304932766043308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-22.058113930020728</v>
      </c>
      <c r="E37" s="11">
        <f>A37-'Mastercurve bestimmen'!$B$2</f>
        <v>-98</v>
      </c>
      <c r="F37" s="11">
        <f t="shared" si="4"/>
        <v>-22.058113930020728</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-21.806832864577149</v>
      </c>
      <c r="E38" s="11">
        <f>A38-'Mastercurve bestimmen'!$B$2</f>
        <v>-97</v>
      </c>
      <c r="F38" s="11">
        <f t="shared" si="4"/>
        <v>-21.806832864577149</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-21.550886741102531</v>
      </c>
      <c r="E39" s="11">
        <f>A39-'Mastercurve bestimmen'!$B$2</f>
        <v>-96</v>
      </c>
      <c r="F39" s="11">
        <f t="shared" si="4"/>
        <v>-21.550886741102531</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-21.290072730986818</v>
      </c>
      <c r="E40" s="11">
        <f>A40-'Mastercurve bestimmen'!$B$2</f>
        <v>-95</v>
      </c>
      <c r="F40" s="11">
        <f t="shared" si="4"/>
        <v>-21.290072730986818</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-21.024188005619969</v>
      </c>
      <c r="E41" s="11">
        <f>A41-'Mastercurve bestimmen'!$B$2</f>
        <v>-94</v>
      </c>
      <c r="F41" s="11">
        <f t="shared" si="4"/>
        <v>-21.024188005619969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-20.753029736391941</v>
      </c>
      <c r="E42" s="11">
        <f>A42-'Mastercurve bestimmen'!$B$2</f>
        <v>-93</v>
      </c>
      <c r="F42" s="11">
        <f t="shared" si="4"/>
        <v>-20.753029736391941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-20.476395094692684</v>
      </c>
      <c r="E43" s="11">
        <f>A43-'Mastercurve bestimmen'!$B$2</f>
        <v>-92</v>
      </c>
      <c r="F43" s="11">
        <f t="shared" si="4"/>
        <v>-20.476395094692684</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-20.194081251912156</v>
      </c>
      <c r="E44" s="11">
        <f>A44-'Mastercurve bestimmen'!$B$2</f>
        <v>-91</v>
      </c>
      <c r="F44" s="11">
        <f t="shared" si="4"/>
        <v>-20.194081251912156</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-19.905885379440313</v>
      </c>
      <c r="E45" s="11">
        <f>A45-'Mastercurve bestimmen'!$B$2</f>
        <v>-90</v>
      </c>
      <c r="F45" s="11">
        <f t="shared" si="4"/>
        <v>-19.905885379440313</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-19.611604648667104</v>
      </c>
      <c r="E46" s="11">
        <f>A46-'Mastercurve bestimmen'!$B$2</f>
        <v>-89</v>
      </c>
      <c r="F46" s="11">
        <f t="shared" si="4"/>
        <v>-19.611604648667104</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-19.311036230982488</v>
      </c>
      <c r="E47" s="11">
        <f>A47-'Mastercurve bestimmen'!$B$2</f>
        <v>-88</v>
      </c>
      <c r="F47" s="11">
        <f t="shared" si="4"/>
        <v>-19.311036230982488</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-19.003977297776416</v>
      </c>
      <c r="E48" s="11">
        <f>A48-'Mastercurve bestimmen'!$B$2</f>
        <v>-87</v>
      </c>
      <c r="F48" s="11">
        <f t="shared" si="4"/>
        <v>-19.003977297776416</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-18.690225020438845</v>
      </c>
      <c r="E49" s="11">
        <f>A49-'Mastercurve bestimmen'!$B$2</f>
        <v>-86</v>
      </c>
      <c r="F49" s="11">
        <f t="shared" si="4"/>
        <v>-18.690225020438845</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-18.369576570359733</v>
      </c>
      <c r="E50" s="11">
        <f>A50-'Mastercurve bestimmen'!$B$2</f>
        <v>-85</v>
      </c>
      <c r="F50" s="11">
        <f t="shared" si="4"/>
        <v>-18.369576570359733</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-18.041829118929027</v>
      </c>
      <c r="E51" s="11">
        <f>A51-'Mastercurve bestimmen'!$B$2</f>
        <v>-84</v>
      </c>
      <c r="F51" s="11">
        <f t="shared" si="4"/>
        <v>-18.041829118929027</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-17.706779837536686</v>
      </c>
      <c r="E52" s="11">
        <f>A52-'Mastercurve bestimmen'!$B$2</f>
        <v>-83</v>
      </c>
      <c r="F52" s="11">
        <f t="shared" si="4"/>
        <v>-17.706779837536686</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-17.364225897572663</v>
      </c>
      <c r="E53" s="11">
        <f>A53-'Mastercurve bestimmen'!$B$2</f>
        <v>-82</v>
      </c>
      <c r="F53" s="11">
        <f t="shared" si="4"/>
        <v>-17.364225897572663</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-17.013964470426917</v>
      </c>
      <c r="E54" s="11">
        <f>A54-'Mastercurve bestimmen'!$B$2</f>
        <v>-81</v>
      </c>
      <c r="F54" s="11">
        <f t="shared" si="4"/>
        <v>-17.013964470426917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-16.655792727489398</v>
      </c>
      <c r="E55" s="11">
        <f>A55-'Mastercurve bestimmen'!$B$2</f>
        <v>-80</v>
      </c>
      <c r="F55" s="11">
        <f t="shared" si="4"/>
        <v>-16.655792727489398</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-16.481428919082905</v>
      </c>
      <c r="E56" s="11">
        <f>A56-'Mastercurve bestimmen'!$B$2</f>
        <v>-79</v>
      </c>
      <c r="F56" s="11">
        <f t="shared" si="4"/>
        <v>-16.481428919082905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-16.299407923666291</v>
      </c>
      <c r="E57" s="11">
        <f>A57-'Mastercurve bestimmen'!$B$2</f>
        <v>-78</v>
      </c>
      <c r="F57" s="11">
        <f t="shared" si="4"/>
        <v>-16.299407923666291</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-16.110185698631255</v>
      </c>
      <c r="E58" s="11">
        <f>A58-'Mastercurve bestimmen'!$B$2</f>
        <v>-77</v>
      </c>
      <c r="F58" s="11">
        <f t="shared" si="4"/>
        <v>-16.110185698631255</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-15.914218201369502</v>
      </c>
      <c r="E59" s="11">
        <f>A59-'Mastercurve bestimmen'!$B$2</f>
        <v>-76</v>
      </c>
      <c r="F59" s="11">
        <f t="shared" si="4"/>
        <v>-15.914218201369502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-15.711961389272727</v>
      </c>
      <c r="E60" s="11">
        <f>A60-'Mastercurve bestimmen'!$B$2</f>
        <v>-75</v>
      </c>
      <c r="F60" s="11">
        <f t="shared" si="4"/>
        <v>-15.711961389272727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-15.503871219732629</v>
      </c>
      <c r="E61" s="11">
        <f>A61-'Mastercurve bestimmen'!$B$2</f>
        <v>-74</v>
      </c>
      <c r="F61" s="11">
        <f t="shared" si="4"/>
        <v>-15.503871219732629</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-15.290403650140908</v>
      </c>
      <c r="E62" s="11">
        <f>A62-'Mastercurve bestimmen'!$B$2</f>
        <v>-73</v>
      </c>
      <c r="F62" s="11">
        <f t="shared" si="4"/>
        <v>-15.290403650140908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-15.072014637889261</v>
      </c>
      <c r="E63" s="11">
        <f>A63-'Mastercurve bestimmen'!$B$2</f>
        <v>-72</v>
      </c>
      <c r="F63" s="11">
        <f t="shared" si="4"/>
        <v>-15.072014637889261</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-14.849160140369392</v>
      </c>
      <c r="E64" s="11">
        <f>A64-'Mastercurve bestimmen'!$B$2</f>
        <v>-71</v>
      </c>
      <c r="F64" s="11">
        <f t="shared" si="4"/>
        <v>-14.849160140369392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-14.622296114972993</v>
      </c>
      <c r="E65" s="11">
        <f>A65-'Mastercurve bestimmen'!$B$2</f>
        <v>-70</v>
      </c>
      <c r="F65" s="11">
        <f t="shared" si="4"/>
        <v>-14.622296114972993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-14.391878519091767</v>
      </c>
      <c r="E66" s="11">
        <f>A66-'Mastercurve bestimmen'!$B$2</f>
        <v>-69</v>
      </c>
      <c r="F66" s="11">
        <f t="shared" si="4"/>
        <v>-14.391878519091767</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-14.158363310117416</v>
      </c>
      <c r="E67" s="11">
        <f>A67-'Mastercurve bestimmen'!$B$2</f>
        <v>-68</v>
      </c>
      <c r="F67" s="11">
        <f t="shared" si="4"/>
        <v>-14.158363310117416</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-13.922206445441631</v>
      </c>
      <c r="E68" s="11">
        <f>A68-'Mastercurve bestimmen'!$B$2</f>
        <v>-67</v>
      </c>
      <c r="F68" s="11">
        <f t="shared" si="4"/>
        <v>-13.922206445441631</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-13.683863882456116</v>
      </c>
      <c r="E69" s="11">
        <f>A69-'Mastercurve bestimmen'!$B$2</f>
        <v>-66</v>
      </c>
      <c r="F69" s="11">
        <f t="shared" si="4"/>
        <v>-13.683863882456116</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-13.44379157855257</v>
      </c>
      <c r="E70" s="11">
        <f>A70-'Mastercurve bestimmen'!$B$2</f>
        <v>-65</v>
      </c>
      <c r="F70" s="11">
        <f t="shared" si="4"/>
        <v>-13.44379157855257</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-13.202445491122692</v>
      </c>
      <c r="E71" s="11">
        <f>A71-'Mastercurve bestimmen'!$B$2</f>
        <v>-64</v>
      </c>
      <c r="F71" s="11">
        <f t="shared" si="4"/>
        <v>-13.202445491122692</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-12.960281577558181</v>
      </c>
      <c r="E72" s="11">
        <f>A72-'Mastercurve bestimmen'!$B$2</f>
        <v>-63</v>
      </c>
      <c r="F72" s="11">
        <f t="shared" si="4"/>
        <v>-12.960281577558181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-12.717755795250733</v>
      </c>
      <c r="E73" s="11">
        <f>A73-'Mastercurve bestimmen'!$B$2</f>
        <v>-62</v>
      </c>
      <c r="F73" s="11">
        <f t="shared" si="4"/>
        <v>-12.717755795250733</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-12.475324101592051</v>
      </c>
      <c r="E74" s="11">
        <f>A74-'Mastercurve bestimmen'!$B$2</f>
        <v>-61</v>
      </c>
      <c r="F74" s="11">
        <f t="shared" si="4"/>
        <v>-12.475324101592051</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-12.233442453973833</v>
      </c>
      <c r="E75" s="11">
        <f>A75-'Mastercurve bestimmen'!$B$2</f>
        <v>-60</v>
      </c>
      <c r="F75" s="11">
        <f t="shared" si="4"/>
        <v>-12.233442453973833</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-11.992566809787775</v>
      </c>
      <c r="E76" s="11">
        <f>A76-'Mastercurve bestimmen'!$B$2</f>
        <v>-59</v>
      </c>
      <c r="F76" s="11">
        <f t="shared" si="4"/>
        <v>-11.992566809787775</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-11.753153126425579</v>
      </c>
      <c r="E77" s="11">
        <f>A77-'Mastercurve bestimmen'!$B$2</f>
        <v>-58</v>
      </c>
      <c r="F77" s="11">
        <f t="shared" si="4"/>
        <v>-11.753153126425579</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-11.515657361278942</v>
      </c>
      <c r="E78" s="11">
        <f>A78-'Mastercurve bestimmen'!$B$2</f>
        <v>-57</v>
      </c>
      <c r="F78" s="11">
        <f t="shared" si="4"/>
        <v>-11.515657361278942</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-11.280535471739567</v>
      </c>
      <c r="E79" s="11">
        <f>A79-'Mastercurve bestimmen'!$B$2</f>
        <v>-56</v>
      </c>
      <c r="F79" s="11">
        <f t="shared" si="4"/>
        <v>-11.280535471739567</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-11.048243415199147</v>
      </c>
      <c r="E80" s="11">
        <f>A80-'Mastercurve bestimmen'!$B$2</f>
        <v>-55</v>
      </c>
      <c r="F80" s="11">
        <f t="shared" ref="F80:F143" si="10">B80</f>
        <v>-11.048243415199147</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-10.819143721610326</v>
      </c>
      <c r="E81" s="11">
        <f>A81-'Mastercurve bestimmen'!$B$2</f>
        <v>-54</v>
      </c>
      <c r="F81" s="11">
        <f t="shared" si="10"/>
        <v>-10.819143721610326</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-10.593225211169488</v>
      </c>
      <c r="E82" s="11">
        <f>A82-'Mastercurve bestimmen'!$B$2</f>
        <v>-53</v>
      </c>
      <c r="F82" s="11">
        <f t="shared" si="10"/>
        <v>-10.593225211169488</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-10.370383276633969</v>
      </c>
      <c r="E83" s="11">
        <f>A83-'Mastercurve bestimmen'!$B$2</f>
        <v>-52</v>
      </c>
      <c r="F83" s="11">
        <f t="shared" si="10"/>
        <v>-10.370383276633969</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-10.150513310761101</v>
      </c>
      <c r="E84" s="11">
        <f>A84-'Mastercurve bestimmen'!$B$2</f>
        <v>-51</v>
      </c>
      <c r="F84" s="11">
        <f t="shared" si="10"/>
        <v>-10.150513310761101</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-9.9335107063082067</v>
      </c>
      <c r="E85" s="11">
        <f>A85-'Mastercurve bestimmen'!$B$2</f>
        <v>-50</v>
      </c>
      <c r="F85" s="11">
        <f t="shared" si="10"/>
        <v>-9.9335107063082067</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-9.7192708560326189</v>
      </c>
      <c r="E86" s="11">
        <f>A86-'Mastercurve bestimmen'!$B$2</f>
        <v>-49</v>
      </c>
      <c r="F86" s="11">
        <f t="shared" si="10"/>
        <v>-9.7192708560326189</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-9.50768915269167</v>
      </c>
      <c r="E87" s="11">
        <f>A87-'Mastercurve bestimmen'!$B$2</f>
        <v>-48</v>
      </c>
      <c r="F87" s="11">
        <f t="shared" si="10"/>
        <v>-9.50768915269167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-9.2986609890426877</v>
      </c>
      <c r="E88" s="11">
        <f>A88-'Mastercurve bestimmen'!$B$2</f>
        <v>-47</v>
      </c>
      <c r="F88" s="11">
        <f t="shared" si="10"/>
        <v>-9.2986609890426877</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-9.0920817578430029</v>
      </c>
      <c r="E89" s="11">
        <f>A89-'Mastercurve bestimmen'!$B$2</f>
        <v>-46</v>
      </c>
      <c r="F89" s="11">
        <f t="shared" si="10"/>
        <v>-9.0920817578430029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-8.8878468518499449</v>
      </c>
      <c r="E90" s="11">
        <f>A90-'Mastercurve bestimmen'!$B$2</f>
        <v>-45</v>
      </c>
      <c r="F90" s="11">
        <f t="shared" si="10"/>
        <v>-8.8878468518499449</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-8.6858516638208449</v>
      </c>
      <c r="E91" s="11">
        <f>A91-'Mastercurve bestimmen'!$B$2</f>
        <v>-44</v>
      </c>
      <c r="F91" s="11">
        <f t="shared" si="10"/>
        <v>-8.6858516638208449</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-8.485991586513034</v>
      </c>
      <c r="E92" s="11">
        <f>A92-'Mastercurve bestimmen'!$B$2</f>
        <v>-43</v>
      </c>
      <c r="F92" s="11">
        <f t="shared" si="10"/>
        <v>-8.485991586513034</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-8.2881620126838396</v>
      </c>
      <c r="E93" s="11">
        <f>A93-'Mastercurve bestimmen'!$B$2</f>
        <v>-42</v>
      </c>
      <c r="F93" s="11">
        <f t="shared" si="10"/>
        <v>-8.2881620126838396</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-8.0922583350905928</v>
      </c>
      <c r="E94" s="11">
        <f>A94-'Mastercurve bestimmen'!$B$2</f>
        <v>-41</v>
      </c>
      <c r="F94" s="11">
        <f t="shared" si="10"/>
        <v>-8.0922583350905928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-7.8981759464906229</v>
      </c>
      <c r="E95" s="11">
        <f>A95-'Mastercurve bestimmen'!$B$2</f>
        <v>-40</v>
      </c>
      <c r="F95" s="11">
        <f t="shared" si="10"/>
        <v>-7.8981759464906229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-7.7058102396412629</v>
      </c>
      <c r="E96" s="11">
        <f>A96-'Mastercurve bestimmen'!$B$2</f>
        <v>-39</v>
      </c>
      <c r="F96" s="11">
        <f t="shared" si="10"/>
        <v>-7.7058102396412629</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-7.5150566072998384</v>
      </c>
      <c r="E97" s="11">
        <f>A97-'Mastercurve bestimmen'!$B$2</f>
        <v>-38</v>
      </c>
      <c r="F97" s="11">
        <f t="shared" si="10"/>
        <v>-7.5150566072998384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-7.325810442223684</v>
      </c>
      <c r="E98" s="11">
        <f>A98-'Mastercurve bestimmen'!$B$2</f>
        <v>-37</v>
      </c>
      <c r="F98" s="11">
        <f t="shared" si="10"/>
        <v>-7.325810442223684</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-7.1379671371701257</v>
      </c>
      <c r="E99" s="11">
        <f>A99-'Mastercurve bestimmen'!$B$2</f>
        <v>-36</v>
      </c>
      <c r="F99" s="11">
        <f t="shared" si="10"/>
        <v>-7.1379671371701257</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-6.951422084896496</v>
      </c>
      <c r="E100" s="11">
        <f>A100-'Mastercurve bestimmen'!$B$2</f>
        <v>-35</v>
      </c>
      <c r="F100" s="11">
        <f t="shared" si="10"/>
        <v>-6.951422084896496</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-6.7660706781601254</v>
      </c>
      <c r="E101" s="11">
        <f>A101-'Mastercurve bestimmen'!$B$2</f>
        <v>-34</v>
      </c>
      <c r="F101" s="11">
        <f t="shared" si="10"/>
        <v>-6.7660706781601254</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-6.5818083097183413</v>
      </c>
      <c r="E102" s="11">
        <f>A102-'Mastercurve bestimmen'!$B$2</f>
        <v>-33</v>
      </c>
      <c r="F102" s="11">
        <f t="shared" si="10"/>
        <v>-6.5818083097183413</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-6.3985303723284757</v>
      </c>
      <c r="E103" s="11">
        <f>A103-'Mastercurve bestimmen'!$B$2</f>
        <v>-32</v>
      </c>
      <c r="F103" s="11">
        <f t="shared" si="10"/>
        <v>-6.3985303723284757</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-6.2161322587478587</v>
      </c>
      <c r="E104" s="11">
        <f>A104-'Mastercurve bestimmen'!$B$2</f>
        <v>-31</v>
      </c>
      <c r="F104" s="11">
        <f t="shared" si="10"/>
        <v>-6.2161322587478587</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-6.0345093617338197</v>
      </c>
      <c r="E105" s="11">
        <f>A105-'Mastercurve bestimmen'!$B$2</f>
        <v>-30</v>
      </c>
      <c r="F105" s="11">
        <f t="shared" si="10"/>
        <v>-6.0345093617338197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-5.8535412427017954</v>
      </c>
      <c r="E106" s="11">
        <f>A106-'Mastercurve bestimmen'!$B$2</f>
        <v>-29</v>
      </c>
      <c r="F106" s="11">
        <f t="shared" si="10"/>
        <v>-5.8535412427017954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-5.6730441376996472</v>
      </c>
      <c r="E107" s="11">
        <f>A107-'Mastercurve bestimmen'!$B$2</f>
        <v>-28</v>
      </c>
      <c r="F107" s="11">
        <f t="shared" si="10"/>
        <v>-5.6730441376996472</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-5.4928184514333438</v>
      </c>
      <c r="E108" s="11">
        <f>A108-'Mastercurve bestimmen'!$B$2</f>
        <v>-27</v>
      </c>
      <c r="F108" s="11">
        <f t="shared" si="10"/>
        <v>-5.4928184514333438</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-5.312664588608853</v>
      </c>
      <c r="E109" s="11">
        <f>A109-'Mastercurve bestimmen'!$B$2</f>
        <v>-26</v>
      </c>
      <c r="F109" s="11">
        <f t="shared" si="10"/>
        <v>-5.312664588608853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-5.1323829539321428</v>
      </c>
      <c r="E110" s="11">
        <f>A110-'Mastercurve bestimmen'!$B$2</f>
        <v>-25</v>
      </c>
      <c r="F110" s="11">
        <f t="shared" si="10"/>
        <v>-5.1323829539321428</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-4.9517739521091819</v>
      </c>
      <c r="E111" s="11">
        <f>A111-'Mastercurve bestimmen'!$B$2</f>
        <v>-24</v>
      </c>
      <c r="F111" s="11">
        <f t="shared" si="10"/>
        <v>-4.9517739521091819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-4.7706379878459382</v>
      </c>
      <c r="E112" s="11">
        <f>A112-'Mastercurve bestimmen'!$B$2</f>
        <v>-23</v>
      </c>
      <c r="F112" s="11">
        <f t="shared" si="10"/>
        <v>-4.7706379878459382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-4.5887754658483795</v>
      </c>
      <c r="E113" s="11">
        <f>A113-'Mastercurve bestimmen'!$B$2</f>
        <v>-22</v>
      </c>
      <c r="F113" s="11">
        <f t="shared" si="10"/>
        <v>-4.5887754658483795</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-4.4059867908224737</v>
      </c>
      <c r="E114" s="11">
        <f>A114-'Mastercurve bestimmen'!$B$2</f>
        <v>-21</v>
      </c>
      <c r="F114" s="11">
        <f t="shared" si="10"/>
        <v>-4.4059867908224737</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-4.2220723674741905</v>
      </c>
      <c r="E115" s="11">
        <f>A115-'Mastercurve bestimmen'!$B$2</f>
        <v>-20</v>
      </c>
      <c r="F115" s="11">
        <f t="shared" si="10"/>
        <v>-4.2220723674741905</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-4.0368326005094968</v>
      </c>
      <c r="E116" s="11">
        <f>A116-'Mastercurve bestimmen'!$B$2</f>
        <v>-19</v>
      </c>
      <c r="F116" s="11">
        <f t="shared" si="10"/>
        <v>-4.0368326005094968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-3.8500678946343605</v>
      </c>
      <c r="E117" s="11">
        <f>A117-'Mastercurve bestimmen'!$B$2</f>
        <v>-18</v>
      </c>
      <c r="F117" s="11">
        <f t="shared" si="10"/>
        <v>-3.8500678946343605</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-3.6615786545547504</v>
      </c>
      <c r="E118" s="11">
        <f>A118-'Mastercurve bestimmen'!$B$2</f>
        <v>-17</v>
      </c>
      <c r="F118" s="11">
        <f t="shared" si="10"/>
        <v>-3.6615786545547504</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-3.4711652849766348</v>
      </c>
      <c r="E119" s="11">
        <f>A119-'Mastercurve bestimmen'!$B$2</f>
        <v>-16</v>
      </c>
      <c r="F119" s="11">
        <f t="shared" si="10"/>
        <v>-3.4711652849766348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-3.2786281906059815</v>
      </c>
      <c r="E120" s="11">
        <f>A120-'Mastercurve bestimmen'!$B$2</f>
        <v>-15</v>
      </c>
      <c r="F120" s="11">
        <f t="shared" si="10"/>
        <v>-3.2786281906059815</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-3.0837677761487585</v>
      </c>
      <c r="E121" s="11">
        <f>A121-'Mastercurve bestimmen'!$B$2</f>
        <v>-14</v>
      </c>
      <c r="F121" s="11">
        <f t="shared" si="10"/>
        <v>-3.0837677761487585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-2.8863844463109336</v>
      </c>
      <c r="E122" s="11">
        <f>A122-'Mastercurve bestimmen'!$B$2</f>
        <v>-13</v>
      </c>
      <c r="F122" s="11">
        <f t="shared" si="10"/>
        <v>-2.8863844463109336</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-2.6862786057984764</v>
      </c>
      <c r="E123" s="11">
        <f>A123-'Mastercurve bestimmen'!$B$2</f>
        <v>-12</v>
      </c>
      <c r="F123" s="11">
        <f t="shared" si="10"/>
        <v>-2.6862786057984764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-2.4832506593173536</v>
      </c>
      <c r="E124" s="11">
        <f>A124-'Mastercurve bestimmen'!$B$2</f>
        <v>-11</v>
      </c>
      <c r="F124" s="11">
        <f t="shared" si="10"/>
        <v>-2.4832506593173536</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-2.2771010115735342</v>
      </c>
      <c r="E125" s="11">
        <f>A125-'Mastercurve bestimmen'!$B$2</f>
        <v>-10</v>
      </c>
      <c r="F125" s="11">
        <f t="shared" si="10"/>
        <v>-2.2771010115735342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-2.0676300672729857</v>
      </c>
      <c r="E126" s="11">
        <f>A126-'Mastercurve bestimmen'!$B$2</f>
        <v>-9</v>
      </c>
      <c r="F126" s="11">
        <f t="shared" si="10"/>
        <v>-2.0676300672729857</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-1.8546382311216769</v>
      </c>
      <c r="E127" s="11">
        <f>A127-'Mastercurve bestimmen'!$B$2</f>
        <v>-8</v>
      </c>
      <c r="F127" s="11">
        <f t="shared" si="10"/>
        <v>-1.8546382311216769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-1.6379259078255752</v>
      </c>
      <c r="E128" s="11">
        <f>A128-'Mastercurve bestimmen'!$B$2</f>
        <v>-7</v>
      </c>
      <c r="F128" s="11">
        <f t="shared" si="10"/>
        <v>-1.6379259078255752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-1.4172935020906494</v>
      </c>
      <c r="E129" s="11">
        <f>A129-'Mastercurve bestimmen'!$B$2</f>
        <v>-6</v>
      </c>
      <c r="F129" s="11">
        <f t="shared" si="10"/>
        <v>-1.4172935020906494</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-1.1925414186228673</v>
      </c>
      <c r="E130" s="11">
        <f>A130-'Mastercurve bestimmen'!$B$2</f>
        <v>-5</v>
      </c>
      <c r="F130" s="11">
        <f t="shared" si="10"/>
        <v>-1.1925414186228673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-0.96347006212819741</v>
      </c>
      <c r="E131" s="11">
        <f>A131-'Mastercurve bestimmen'!$B$2</f>
        <v>-4</v>
      </c>
      <c r="F131" s="11">
        <f t="shared" si="10"/>
        <v>-0.96347006212819741</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-0.72987983731260753</v>
      </c>
      <c r="E132" s="11">
        <f>A132-'Mastercurve bestimmen'!$B$2</f>
        <v>-3</v>
      </c>
      <c r="F132" s="11">
        <f t="shared" si="10"/>
        <v>-0.72987983731260753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-0.49157114888206593</v>
      </c>
      <c r="E133" s="11">
        <f>A133-'Mastercurve bestimmen'!$B$2</f>
        <v>-2</v>
      </c>
      <c r="F133" s="11">
        <f t="shared" si="10"/>
        <v>-0.49157114888206593</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-0.24834440154254067</v>
      </c>
      <c r="E134" s="11">
        <f>A134-'Mastercurve bestimmen'!$B$2</f>
        <v>-1</v>
      </c>
      <c r="F134" s="11">
        <f t="shared" si="10"/>
        <v>-0.24834440154254067</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0.25361142565411204</v>
      </c>
      <c r="E136" s="11">
        <f>A136-'Mastercurve bestimmen'!$B$2</f>
        <v>1</v>
      </c>
      <c r="F136" s="11">
        <f t="shared" si="10"/>
        <v>0.25361142565411204</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0.51243834378644959</v>
      </c>
      <c r="E137" s="11">
        <f>A137-'Mastercurve bestimmen'!$B$2</f>
        <v>2</v>
      </c>
      <c r="F137" s="11">
        <f t="shared" si="10"/>
        <v>0.51243834378644959</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0.77637899737819005</v>
      </c>
      <c r="E138" s="11">
        <f>A138-'Mastercurve bestimmen'!$B$2</f>
        <v>3</v>
      </c>
      <c r="F138" s="11">
        <f t="shared" si="10"/>
        <v>0.77637899737819005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1.0453316294105113</v>
      </c>
      <c r="E139" s="11">
        <f>A139-'Mastercurve bestimmen'!$B$2</f>
        <v>4</v>
      </c>
      <c r="F139" s="11">
        <f t="shared" si="10"/>
        <v>1.0453316294105113</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1.3191944828645912</v>
      </c>
      <c r="E140" s="11">
        <f>A140-'Mastercurve bestimmen'!$B$2</f>
        <v>5</v>
      </c>
      <c r="F140" s="11">
        <f t="shared" si="10"/>
        <v>1.3191944828645912</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1.597865800721608</v>
      </c>
      <c r="E141" s="11">
        <f>A141-'Mastercurve bestimmen'!$B$2</f>
        <v>6</v>
      </c>
      <c r="F141" s="11">
        <f t="shared" si="10"/>
        <v>1.597865800721608</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1.8812438259627391</v>
      </c>
      <c r="E142" s="11">
        <f>A142-'Mastercurve bestimmen'!$B$2</f>
        <v>7</v>
      </c>
      <c r="F142" s="11">
        <f t="shared" si="10"/>
        <v>1.8812438259627391</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2.1692268015691627</v>
      </c>
      <c r="E143" s="11">
        <f>A143-'Mastercurve bestimmen'!$B$2</f>
        <v>8</v>
      </c>
      <c r="F143" s="11">
        <f t="shared" si="10"/>
        <v>2.1692268015691627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2.4617129705220564</v>
      </c>
      <c r="E144" s="11">
        <f>A144-'Mastercurve bestimmen'!$B$2</f>
        <v>9</v>
      </c>
      <c r="F144" s="11">
        <f t="shared" ref="F144:F207" si="15">B144</f>
        <v>2.4617129705220564</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2.758600575802598</v>
      </c>
      <c r="E145" s="11">
        <f>A145-'Mastercurve bestimmen'!$B$2</f>
        <v>10</v>
      </c>
      <c r="F145" s="11">
        <f t="shared" si="15"/>
        <v>2.758600575802598</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3.0597878603919662</v>
      </c>
      <c r="E146" s="11">
        <f>A146-'Mastercurve bestimmen'!$B$2</f>
        <v>11</v>
      </c>
      <c r="F146" s="11">
        <f t="shared" si="15"/>
        <v>3.0597878603919662</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3.3651730672713378</v>
      </c>
      <c r="E147" s="11">
        <f>A147-'Mastercurve bestimmen'!$B$2</f>
        <v>12</v>
      </c>
      <c r="F147" s="11">
        <f t="shared" si="15"/>
        <v>3.3651730672713378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3.6746544394218912</v>
      </c>
      <c r="E148" s="11">
        <f>A148-'Mastercurve bestimmen'!$B$2</f>
        <v>13</v>
      </c>
      <c r="F148" s="11">
        <f t="shared" si="15"/>
        <v>3.6746544394218912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3.9881302198248032</v>
      </c>
      <c r="E149" s="11">
        <f>A149-'Mastercurve bestimmen'!$B$2</f>
        <v>14</v>
      </c>
      <c r="F149" s="11">
        <f t="shared" si="15"/>
        <v>3.9881302198248032</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4.3054986514612539</v>
      </c>
      <c r="E150" s="11">
        <f>A150-'Mastercurve bestimmen'!$B$2</f>
        <v>15</v>
      </c>
      <c r="F150" s="11">
        <f t="shared" si="15"/>
        <v>4.3054986514612539</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4.6266579773124192</v>
      </c>
      <c r="E151" s="11">
        <f>A151-'Mastercurve bestimmen'!$B$2</f>
        <v>16</v>
      </c>
      <c r="F151" s="11">
        <f t="shared" si="15"/>
        <v>4.6266579773124192</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4.951506440359478</v>
      </c>
      <c r="E152" s="11">
        <f>A152-'Mastercurve bestimmen'!$B$2</f>
        <v>17</v>
      </c>
      <c r="F152" s="11">
        <f t="shared" si="15"/>
        <v>4.951506440359478</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5.2799422835836083</v>
      </c>
      <c r="E153" s="11">
        <f>A153-'Mastercurve bestimmen'!$B$2</f>
        <v>18</v>
      </c>
      <c r="F153" s="11">
        <f t="shared" si="15"/>
        <v>5.2799422835836083</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5.6118637499659858</v>
      </c>
      <c r="E154" s="11">
        <f>A154-'Mastercurve bestimmen'!$B$2</f>
        <v>19</v>
      </c>
      <c r="F154" s="11">
        <f t="shared" si="15"/>
        <v>5.6118637499659858</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5.9471690824877914</v>
      </c>
      <c r="E155" s="11">
        <f>A155-'Mastercurve bestimmen'!$B$2</f>
        <v>20</v>
      </c>
      <c r="F155" s="11">
        <f t="shared" si="15"/>
        <v>5.9471690824877914</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6.2857565241302016</v>
      </c>
      <c r="E156" s="11">
        <f>A156-'Mastercurve bestimmen'!$B$2</f>
        <v>21</v>
      </c>
      <c r="F156" s="11">
        <f t="shared" si="15"/>
        <v>6.2857565241302016</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6.6275243178743937</v>
      </c>
      <c r="E157" s="11">
        <f>A157-'Mastercurve bestimmen'!$B$2</f>
        <v>22</v>
      </c>
      <c r="F157" s="11">
        <f t="shared" si="15"/>
        <v>6.6275243178743937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6.9723707067015468</v>
      </c>
      <c r="E158" s="11">
        <f>A158-'Mastercurve bestimmen'!$B$2</f>
        <v>23</v>
      </c>
      <c r="F158" s="11">
        <f t="shared" si="15"/>
        <v>6.9723707067015468</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7.3201939335928383</v>
      </c>
      <c r="E159" s="11">
        <f>A159-'Mastercurve bestimmen'!$B$2</f>
        <v>24</v>
      </c>
      <c r="F159" s="11">
        <f t="shared" si="15"/>
        <v>7.3201939335928383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7.6708922415294447</v>
      </c>
      <c r="E160" s="11">
        <f>A160-'Mastercurve bestimmen'!$B$2</f>
        <v>25</v>
      </c>
      <c r="F160" s="11">
        <f t="shared" si="15"/>
        <v>7.6708922415294447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8.0243638734925469</v>
      </c>
      <c r="E161" s="11">
        <f>A161-'Mastercurve bestimmen'!$B$2</f>
        <v>26</v>
      </c>
      <c r="F161" s="11">
        <f t="shared" si="15"/>
        <v>8.0243638734925469</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8.3805070724633168</v>
      </c>
      <c r="E162" s="11">
        <f>A162-'Mastercurve bestimmen'!$B$2</f>
        <v>27</v>
      </c>
      <c r="F162" s="11">
        <f t="shared" si="15"/>
        <v>8.3805070724633168</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8.739220081422939</v>
      </c>
      <c r="E163" s="11">
        <f>A163-'Mastercurve bestimmen'!$B$2</f>
        <v>28</v>
      </c>
      <c r="F163" s="11">
        <f t="shared" si="15"/>
        <v>8.739220081422939</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9.10040114335259</v>
      </c>
      <c r="E164" s="11">
        <f>A164-'Mastercurve bestimmen'!$B$2</f>
        <v>29</v>
      </c>
      <c r="F164" s="11">
        <f t="shared" si="15"/>
        <v>9.10040114335259</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9.4639485012334461</v>
      </c>
      <c r="E165" s="11">
        <f>A165-'Mastercurve bestimmen'!$B$2</f>
        <v>30</v>
      </c>
      <c r="F165" s="11">
        <f t="shared" si="15"/>
        <v>9.4639485012334461</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9.8297603980466839</v>
      </c>
      <c r="E166" s="11">
        <f>A166-'Mastercurve bestimmen'!$B$2</f>
        <v>31</v>
      </c>
      <c r="F166" s="11">
        <f t="shared" si="15"/>
        <v>9.8297603980466839</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10.197735076773483</v>
      </c>
      <c r="E167" s="11">
        <f>A167-'Mastercurve bestimmen'!$B$2</f>
        <v>32</v>
      </c>
      <c r="F167" s="11">
        <f t="shared" si="15"/>
        <v>10.197735076773483</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10.567770780395023</v>
      </c>
      <c r="E168" s="11">
        <f>A168-'Mastercurve bestimmen'!$B$2</f>
        <v>33</v>
      </c>
      <c r="F168" s="11">
        <f t="shared" si="15"/>
        <v>10.567770780395023</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10.939765751892478</v>
      </c>
      <c r="E169" s="11">
        <f>A169-'Mastercurve bestimmen'!$B$2</f>
        <v>34</v>
      </c>
      <c r="F169" s="11">
        <f t="shared" si="15"/>
        <v>10.939765751892478</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11.313618234247029</v>
      </c>
      <c r="E170" s="11">
        <f>A170-'Mastercurve bestimmen'!$B$2</f>
        <v>35</v>
      </c>
      <c r="F170" s="11">
        <f t="shared" si="15"/>
        <v>11.313618234247029</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11.689226470439852</v>
      </c>
      <c r="E171" s="11">
        <f>A171-'Mastercurve bestimmen'!$B$2</f>
        <v>36</v>
      </c>
      <c r="F171" s="11">
        <f t="shared" si="15"/>
        <v>11.689226470439852</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12.066488703452126</v>
      </c>
      <c r="E172" s="11">
        <f>A172-'Mastercurve bestimmen'!$B$2</f>
        <v>37</v>
      </c>
      <c r="F172" s="11">
        <f t="shared" si="15"/>
        <v>12.066488703452126</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12.445303176265027</v>
      </c>
      <c r="E173" s="11">
        <f>A173-'Mastercurve bestimmen'!$B$2</f>
        <v>38</v>
      </c>
      <c r="F173" s="11">
        <f t="shared" si="15"/>
        <v>12.445303176265027</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12.825568131859734</v>
      </c>
      <c r="E174" s="11">
        <f>A174-'Mastercurve bestimmen'!$B$2</f>
        <v>39</v>
      </c>
      <c r="F174" s="11">
        <f t="shared" si="15"/>
        <v>12.825568131859734</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13.207181813217426</v>
      </c>
      <c r="E175" s="11">
        <f>A175-'Mastercurve bestimmen'!$B$2</f>
        <v>40</v>
      </c>
      <c r="F175" s="11">
        <f t="shared" si="15"/>
        <v>13.207181813217426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13.59004246331928</v>
      </c>
      <c r="E176" s="11">
        <f>A176-'Mastercurve bestimmen'!$B$2</f>
        <v>41</v>
      </c>
      <c r="F176" s="11">
        <f t="shared" si="15"/>
        <v>13.59004246331928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13.974048325146475</v>
      </c>
      <c r="E177" s="11">
        <f>A177-'Mastercurve bestimmen'!$B$2</f>
        <v>42</v>
      </c>
      <c r="F177" s="11">
        <f t="shared" si="15"/>
        <v>13.974048325146475</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14.359097641680187</v>
      </c>
      <c r="E178" s="11">
        <f>A178-'Mastercurve bestimmen'!$B$2</f>
        <v>43</v>
      </c>
      <c r="F178" s="11">
        <f t="shared" si="15"/>
        <v>14.359097641680187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14.745088655901593</v>
      </c>
      <c r="E179" s="11">
        <f>A179-'Mastercurve bestimmen'!$B$2</f>
        <v>44</v>
      </c>
      <c r="F179" s="11">
        <f t="shared" si="15"/>
        <v>14.745088655901593</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15.131919610791874</v>
      </c>
      <c r="E180" s="11">
        <f>A180-'Mastercurve bestimmen'!$B$2</f>
        <v>45</v>
      </c>
      <c r="F180" s="11">
        <f t="shared" si="15"/>
        <v>15.131919610791874</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15.519502193675104</v>
      </c>
      <c r="E181" s="11">
        <f>A181-'Mastercurve bestimmen'!$B$2</f>
        <v>46</v>
      </c>
      <c r="F181" s="11">
        <f t="shared" si="15"/>
        <v>15.519502193675104</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15.907801869246956</v>
      </c>
      <c r="E182" s="11">
        <f>A182-'Mastercurve bestimmen'!$B$2</f>
        <v>47</v>
      </c>
      <c r="F182" s="11">
        <f t="shared" si="15"/>
        <v>15.907801869246956</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16.296797546545999</v>
      </c>
      <c r="E183" s="11">
        <f>A183-'Mastercurve bestimmen'!$B$2</f>
        <v>48</v>
      </c>
      <c r="F183" s="11">
        <f t="shared" si="15"/>
        <v>16.296797546545999</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16.686468134610799</v>
      </c>
      <c r="E184" s="11">
        <f>A184-'Mastercurve bestimmen'!$B$2</f>
        <v>49</v>
      </c>
      <c r="F184" s="11">
        <f t="shared" si="15"/>
        <v>16.686468134610799</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17.076792542479936</v>
      </c>
      <c r="E185" s="11">
        <f>A185-'Mastercurve bestimmen'!$B$2</f>
        <v>50</v>
      </c>
      <c r="F185" s="11">
        <f t="shared" si="15"/>
        <v>17.076792542479936</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17.467749679191972</v>
      </c>
      <c r="E186" s="11">
        <f>A186-'Mastercurve bestimmen'!$B$2</f>
        <v>51</v>
      </c>
      <c r="F186" s="11">
        <f t="shared" si="15"/>
        <v>17.467749679191972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17.85931845378548</v>
      </c>
      <c r="E187" s="11">
        <f>A187-'Mastercurve bestimmen'!$B$2</f>
        <v>52</v>
      </c>
      <c r="F187" s="11">
        <f t="shared" si="15"/>
        <v>17.85931845378548</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18.25147777529903</v>
      </c>
      <c r="E188" s="11">
        <f>A188-'Mastercurve bestimmen'!$B$2</f>
        <v>53</v>
      </c>
      <c r="F188" s="11">
        <f t="shared" si="15"/>
        <v>18.25147777529903</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18.644206552771188</v>
      </c>
      <c r="E189" s="11">
        <f>A189-'Mastercurve bestimmen'!$B$2</f>
        <v>54</v>
      </c>
      <c r="F189" s="11">
        <f t="shared" si="15"/>
        <v>18.644206552771188</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19.037483695240528</v>
      </c>
      <c r="E190" s="11">
        <f>A190-'Mastercurve bestimmen'!$B$2</f>
        <v>55</v>
      </c>
      <c r="F190" s="11">
        <f t="shared" si="15"/>
        <v>19.037483695240528</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19.431288111745616</v>
      </c>
      <c r="E191" s="11">
        <f>A191-'Mastercurve bestimmen'!$B$2</f>
        <v>56</v>
      </c>
      <c r="F191" s="11">
        <f t="shared" si="15"/>
        <v>19.431288111745616</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19.825598711325028</v>
      </c>
      <c r="E192" s="11">
        <f>A192-'Mastercurve bestimmen'!$B$2</f>
        <v>57</v>
      </c>
      <c r="F192" s="11">
        <f t="shared" si="15"/>
        <v>19.825598711325028</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20.22039440301733</v>
      </c>
      <c r="E193" s="11">
        <f>A193-'Mastercurve bestimmen'!$B$2</f>
        <v>58</v>
      </c>
      <c r="F193" s="11">
        <f t="shared" si="15"/>
        <v>20.22039440301733</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20.615654095861096</v>
      </c>
      <c r="E194" s="11">
        <f>A194-'Mastercurve bestimmen'!$B$2</f>
        <v>59</v>
      </c>
      <c r="F194" s="11">
        <f t="shared" si="15"/>
        <v>20.615654095861096</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21.01135669889489</v>
      </c>
      <c r="E195" s="11">
        <f>A195-'Mastercurve bestimmen'!$B$2</f>
        <v>60</v>
      </c>
      <c r="F195" s="11">
        <f t="shared" si="15"/>
        <v>21.01135669889489</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21.407481121157286</v>
      </c>
      <c r="E196" s="11">
        <f>A196-'Mastercurve bestimmen'!$B$2</f>
        <v>61</v>
      </c>
      <c r="F196" s="11">
        <f t="shared" si="15"/>
        <v>21.407481121157286</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21.804006271686852</v>
      </c>
      <c r="E197" s="11">
        <f>A197-'Mastercurve bestimmen'!$B$2</f>
        <v>62</v>
      </c>
      <c r="F197" s="11">
        <f t="shared" si="15"/>
        <v>21.804006271686852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22.200911059522156</v>
      </c>
      <c r="E198" s="11">
        <f>A198-'Mastercurve bestimmen'!$B$2</f>
        <v>63</v>
      </c>
      <c r="F198" s="11">
        <f t="shared" si="15"/>
        <v>22.200911059522156</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22.598174393701772</v>
      </c>
      <c r="E199" s="11">
        <f>A199-'Mastercurve bestimmen'!$B$2</f>
        <v>64</v>
      </c>
      <c r="F199" s="11">
        <f t="shared" si="15"/>
        <v>22.598174393701772</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22.995775183264271</v>
      </c>
      <c r="E200" s="11">
        <f>A200-'Mastercurve bestimmen'!$B$2</f>
        <v>65</v>
      </c>
      <c r="F200" s="11">
        <f t="shared" si="15"/>
        <v>22.995775183264271</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23.393692337248218</v>
      </c>
      <c r="E201" s="11">
        <f>A201-'Mastercurve bestimmen'!$B$2</f>
        <v>66</v>
      </c>
      <c r="F201" s="11">
        <f t="shared" si="15"/>
        <v>23.393692337248218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23.791904764692188</v>
      </c>
      <c r="E202" s="11">
        <f>A202-'Mastercurve bestimmen'!$B$2</f>
        <v>67</v>
      </c>
      <c r="F202" s="11">
        <f t="shared" si="15"/>
        <v>23.791904764692188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24.190391374634746</v>
      </c>
      <c r="E203" s="11">
        <f>A203-'Mastercurve bestimmen'!$B$2</f>
        <v>68</v>
      </c>
      <c r="F203" s="11">
        <f t="shared" si="15"/>
        <v>24.190391374634746</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24.589131076114466</v>
      </c>
      <c r="E204" s="11">
        <f>A204-'Mastercurve bestimmen'!$B$2</f>
        <v>69</v>
      </c>
      <c r="F204" s="11">
        <f t="shared" si="15"/>
        <v>24.589131076114466</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24.988102778169917</v>
      </c>
      <c r="E205" s="11">
        <f>A205-'Mastercurve bestimmen'!$B$2</f>
        <v>70</v>
      </c>
      <c r="F205" s="11">
        <f t="shared" si="15"/>
        <v>24.988102778169917</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25.387285389839668</v>
      </c>
      <c r="E206" s="11">
        <f>A206-'Mastercurve bestimmen'!$B$2</f>
        <v>71</v>
      </c>
      <c r="F206" s="11">
        <f t="shared" si="15"/>
        <v>25.387285389839668</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25.786657820162286</v>
      </c>
      <c r="E207" s="11">
        <f>A207-'Mastercurve bestimmen'!$B$2</f>
        <v>72</v>
      </c>
      <c r="F207" s="11">
        <f t="shared" si="15"/>
        <v>25.786657820162286</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26.186198978176346</v>
      </c>
      <c r="E208" s="11">
        <f>A208-'Mastercurve bestimmen'!$B$2</f>
        <v>73</v>
      </c>
      <c r="F208" s="11">
        <f t="shared" ref="F208:F215" si="21">B208</f>
        <v>26.186198978176346</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26.585887772920415</v>
      </c>
      <c r="E209" s="11">
        <f>A209-'Mastercurve bestimmen'!$B$2</f>
        <v>74</v>
      </c>
      <c r="F209" s="11">
        <f t="shared" si="21"/>
        <v>26.585887772920415</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26.985703113433068</v>
      </c>
      <c r="E210" s="11">
        <f>A210-'Mastercurve bestimmen'!$B$2</f>
        <v>75</v>
      </c>
      <c r="F210" s="11">
        <f t="shared" si="21"/>
        <v>26.985703113433068</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27.385623908752869</v>
      </c>
      <c r="E211" s="11">
        <f>A211-'Mastercurve bestimmen'!$B$2</f>
        <v>76</v>
      </c>
      <c r="F211" s="11">
        <f t="shared" si="21"/>
        <v>27.385623908752869</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27.785629067918393</v>
      </c>
      <c r="E212" s="11">
        <f>A212-'Mastercurve bestimmen'!$B$2</f>
        <v>77</v>
      </c>
      <c r="F212" s="11">
        <f t="shared" si="21"/>
        <v>27.785629067918393</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28.185697499968203</v>
      </c>
      <c r="E213" s="11">
        <f>A213-'Mastercurve bestimmen'!$B$2</f>
        <v>78</v>
      </c>
      <c r="F213" s="11">
        <f t="shared" si="21"/>
        <v>28.185697499968203</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28.585808113940878</v>
      </c>
      <c r="E214" s="11">
        <f>A214-'Mastercurve bestimmen'!$B$2</f>
        <v>79</v>
      </c>
      <c r="F214" s="11">
        <f t="shared" si="21"/>
        <v>28.585808113940878</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28.985939818874979</v>
      </c>
      <c r="E215" s="11">
        <f>A215-'Mastercurve bestimmen'!$B$2</f>
        <v>80</v>
      </c>
      <c r="F215" s="11">
        <f t="shared" si="21"/>
        <v>28.985939818874979</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0.24877802325401904</v>
      </c>
      <c r="J217" s="98">
        <v>2.0662761337535379E-3</v>
      </c>
      <c r="K217" s="98">
        <v>1.2684354093517295E-5</v>
      </c>
      <c r="L217" s="98">
        <v>-2.8830062911579725E-7</v>
      </c>
      <c r="M217" s="98">
        <v>-1.9595560962509799E-9</v>
      </c>
      <c r="N217" s="98">
        <v>1.5412645871905667E-11</v>
      </c>
      <c r="O217" s="98">
        <v>1.5018532787365457E-13</v>
      </c>
      <c r="P217" s="98">
        <v>3.277173414080583E-16</v>
      </c>
    </row>
    <row r="218" spans="1:16" x14ac:dyDescent="0.25">
      <c r="G218" s="11"/>
      <c r="H218" s="11">
        <v>0</v>
      </c>
      <c r="I218" s="11">
        <v>9.3900025993196685E-4</v>
      </c>
      <c r="J218" s="11">
        <v>1.7490330556369773E-5</v>
      </c>
      <c r="K218" s="3">
        <v>8.8867659094708306E-7</v>
      </c>
      <c r="L218" s="3">
        <v>8.0916646968219849E-9</v>
      </c>
      <c r="M218" s="3">
        <v>2.5407978662225249E-10</v>
      </c>
      <c r="N218" s="3">
        <v>1.3961951266185954E-12</v>
      </c>
      <c r="O218" s="11">
        <v>2.2451630746806296E-14</v>
      </c>
      <c r="P218" s="11">
        <v>1.3652806513957257E-16</v>
      </c>
    </row>
    <row r="219" spans="1:16" x14ac:dyDescent="0.25">
      <c r="G219" s="11"/>
      <c r="H219" s="11">
        <v>0.9999628678344521</v>
      </c>
      <c r="I219" s="11">
        <v>9.7144023556763853E-2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-26.740501067205791</v>
      </c>
      <c r="G222">
        <f>F15</f>
        <v>-26.816562794657003</v>
      </c>
    </row>
    <row r="223" spans="1:16" x14ac:dyDescent="0.25">
      <c r="E223" s="11">
        <f t="shared" ref="E223:E286" si="25">E16</f>
        <v>-119</v>
      </c>
      <c r="F223" s="11">
        <f t="shared" ref="F223:F286" si="26">$H$217*0+E223*$I$217+E223^2*$J$217+E223^3*$K$217+E223^4*$L$217+E223^5*$M$217+E223^6*$N$217+E223^7*$O$217+E223^8*$P$217</f>
        <v>-26.576672689701955</v>
      </c>
      <c r="G223" s="11">
        <f t="shared" ref="G223:G286" si="27">F16</f>
        <v>-26.616597367554924</v>
      </c>
    </row>
    <row r="224" spans="1:16" x14ac:dyDescent="0.25">
      <c r="E224" s="11">
        <f t="shared" si="25"/>
        <v>-118</v>
      </c>
      <c r="F224" s="11">
        <f t="shared" si="26"/>
        <v>-26.406404334239255</v>
      </c>
      <c r="G224" s="11">
        <f t="shared" si="27"/>
        <v>-26.416429111842792</v>
      </c>
    </row>
    <row r="225" spans="5:7" x14ac:dyDescent="0.25">
      <c r="E225" s="11">
        <f t="shared" si="25"/>
        <v>-117</v>
      </c>
      <c r="F225" s="11">
        <f t="shared" si="26"/>
        <v>-26.229882508975983</v>
      </c>
      <c r="G225" s="11">
        <f t="shared" si="27"/>
        <v>-26.215855198910571</v>
      </c>
    </row>
    <row r="226" spans="5:7" x14ac:dyDescent="0.25">
      <c r="E226" s="11">
        <f t="shared" si="25"/>
        <v>-116</v>
      </c>
      <c r="F226" s="11">
        <f t="shared" si="26"/>
        <v>-26.047296169098608</v>
      </c>
      <c r="G226" s="11">
        <f t="shared" si="27"/>
        <v>-26.014672800148215</v>
      </c>
    </row>
    <row r="227" spans="5:7" x14ac:dyDescent="0.25">
      <c r="E227" s="11">
        <f t="shared" si="25"/>
        <v>-115</v>
      </c>
      <c r="F227" s="11">
        <f t="shared" si="26"/>
        <v>-25.858836603416449</v>
      </c>
      <c r="G227" s="11">
        <f t="shared" si="27"/>
        <v>-25.812679086945682</v>
      </c>
    </row>
    <row r="228" spans="5:7" x14ac:dyDescent="0.25">
      <c r="E228" s="11">
        <f t="shared" si="25"/>
        <v>-114</v>
      </c>
      <c r="F228" s="11">
        <f t="shared" si="26"/>
        <v>-25.664697307977033</v>
      </c>
      <c r="G228" s="11">
        <f t="shared" si="27"/>
        <v>-25.609671230692914</v>
      </c>
    </row>
    <row r="229" spans="5:7" x14ac:dyDescent="0.25">
      <c r="E229" s="11">
        <f t="shared" si="25"/>
        <v>-113</v>
      </c>
      <c r="F229" s="11">
        <f t="shared" si="26"/>
        <v>-25.46507384748449</v>
      </c>
      <c r="G229" s="11">
        <f t="shared" si="27"/>
        <v>-25.40544640277988</v>
      </c>
    </row>
    <row r="230" spans="5:7" x14ac:dyDescent="0.25">
      <c r="E230" s="11">
        <f t="shared" si="25"/>
        <v>-112</v>
      </c>
      <c r="F230" s="11">
        <f t="shared" si="26"/>
        <v>-25.260163705290374</v>
      </c>
      <c r="G230" s="11">
        <f t="shared" si="27"/>
        <v>-25.199801774596526</v>
      </c>
    </row>
    <row r="231" spans="5:7" x14ac:dyDescent="0.25">
      <c r="E231" s="11">
        <f t="shared" si="25"/>
        <v>-111</v>
      </c>
      <c r="F231" s="11">
        <f t="shared" si="26"/>
        <v>-25.050166122712668</v>
      </c>
      <c r="G231" s="11">
        <f t="shared" si="27"/>
        <v>-24.99253451753281</v>
      </c>
    </row>
    <row r="232" spans="5:7" x14ac:dyDescent="0.25">
      <c r="E232" s="11">
        <f t="shared" si="25"/>
        <v>-110</v>
      </c>
      <c r="F232" s="11">
        <f t="shared" si="26"/>
        <v>-24.835281928426049</v>
      </c>
      <c r="G232" s="11">
        <f t="shared" si="27"/>
        <v>-24.783441802978682</v>
      </c>
    </row>
    <row r="233" spans="5:7" x14ac:dyDescent="0.25">
      <c r="E233" s="11">
        <f t="shared" si="25"/>
        <v>-109</v>
      </c>
      <c r="F233" s="11">
        <f t="shared" si="26"/>
        <v>-24.615713358652858</v>
      </c>
      <c r="G233" s="11">
        <f t="shared" si="27"/>
        <v>-24.5723208023241</v>
      </c>
    </row>
    <row r="234" spans="5:7" x14ac:dyDescent="0.25">
      <c r="E234" s="11">
        <f t="shared" si="25"/>
        <v>-108</v>
      </c>
      <c r="F234" s="11">
        <f t="shared" si="26"/>
        <v>-24.391663868871184</v>
      </c>
      <c r="G234" s="11">
        <f t="shared" si="27"/>
        <v>-24.358968686959024</v>
      </c>
    </row>
    <row r="235" spans="5:7" x14ac:dyDescent="0.25">
      <c r="E235" s="11">
        <f t="shared" si="25"/>
        <v>-107</v>
      </c>
      <c r="F235" s="11">
        <f t="shared" si="26"/>
        <v>-24.163337937743243</v>
      </c>
      <c r="G235" s="11">
        <f t="shared" si="27"/>
        <v>-24.143182628273394</v>
      </c>
    </row>
    <row r="236" spans="5:7" x14ac:dyDescent="0.25">
      <c r="E236" s="11">
        <f t="shared" si="25"/>
        <v>-106</v>
      </c>
      <c r="F236" s="11">
        <f t="shared" si="26"/>
        <v>-23.930940863953921</v>
      </c>
      <c r="G236" s="11">
        <f t="shared" si="27"/>
        <v>-23.924759797657174</v>
      </c>
    </row>
    <row r="237" spans="5:7" x14ac:dyDescent="0.25">
      <c r="E237" s="11">
        <f t="shared" si="25"/>
        <v>-105</v>
      </c>
      <c r="F237" s="11">
        <f t="shared" si="26"/>
        <v>-23.694678556636397</v>
      </c>
      <c r="G237" s="11">
        <f t="shared" si="27"/>
        <v>-23.703497366500322</v>
      </c>
    </row>
    <row r="238" spans="5:7" x14ac:dyDescent="0.25">
      <c r="E238" s="11">
        <f t="shared" si="25"/>
        <v>-104</v>
      </c>
      <c r="F238" s="11">
        <f t="shared" si="26"/>
        <v>-23.454757320048184</v>
      </c>
      <c r="G238" s="11">
        <f t="shared" si="27"/>
        <v>-23.479192506192788</v>
      </c>
    </row>
    <row r="239" spans="5:7" x14ac:dyDescent="0.25">
      <c r="E239" s="11">
        <f t="shared" si="25"/>
        <v>-103</v>
      </c>
      <c r="F239" s="11">
        <f t="shared" si="26"/>
        <v>-23.211383633147957</v>
      </c>
      <c r="G239" s="11">
        <f t="shared" si="27"/>
        <v>-23.251642388124527</v>
      </c>
    </row>
    <row r="240" spans="5:7" x14ac:dyDescent="0.25">
      <c r="E240" s="11">
        <f t="shared" si="25"/>
        <v>-102</v>
      </c>
      <c r="F240" s="11">
        <f t="shared" si="26"/>
        <v>-22.964763924710343</v>
      </c>
      <c r="G240" s="11">
        <f t="shared" si="27"/>
        <v>-23.020644183685494</v>
      </c>
    </row>
    <row r="241" spans="5:7" x14ac:dyDescent="0.25">
      <c r="E241" s="11">
        <f t="shared" si="25"/>
        <v>-101</v>
      </c>
      <c r="F241" s="11">
        <f t="shared" si="26"/>
        <v>-22.71510434460248</v>
      </c>
      <c r="G241" s="11">
        <f t="shared" si="27"/>
        <v>-22.785995064265641</v>
      </c>
    </row>
    <row r="242" spans="5:7" x14ac:dyDescent="0.25">
      <c r="E242" s="11">
        <f t="shared" si="25"/>
        <v>-100</v>
      </c>
      <c r="F242" s="11">
        <f t="shared" si="26"/>
        <v>-22.462610531832954</v>
      </c>
      <c r="G242" s="11">
        <f t="shared" si="27"/>
        <v>-22.547492201254929</v>
      </c>
    </row>
    <row r="243" spans="5:7" x14ac:dyDescent="0.25">
      <c r="E243" s="11">
        <f t="shared" si="25"/>
        <v>-99</v>
      </c>
      <c r="F243" s="11">
        <f t="shared" si="26"/>
        <v>-22.207487379970754</v>
      </c>
      <c r="G243" s="11">
        <f t="shared" si="27"/>
        <v>-22.304932766043308</v>
      </c>
    </row>
    <row r="244" spans="5:7" x14ac:dyDescent="0.25">
      <c r="E244" s="11">
        <f t="shared" si="25"/>
        <v>-98</v>
      </c>
      <c r="F244" s="11">
        <f t="shared" si="26"/>
        <v>-21.949938800518321</v>
      </c>
      <c r="G244" s="11">
        <f t="shared" si="27"/>
        <v>-22.058113930020728</v>
      </c>
    </row>
    <row r="245" spans="5:7" x14ac:dyDescent="0.25">
      <c r="E245" s="11">
        <f t="shared" si="25"/>
        <v>-97</v>
      </c>
      <c r="F245" s="11">
        <f t="shared" si="26"/>
        <v>-21.690167484809766</v>
      </c>
      <c r="G245" s="11">
        <f t="shared" si="27"/>
        <v>-21.806832864577149</v>
      </c>
    </row>
    <row r="246" spans="5:7" x14ac:dyDescent="0.25">
      <c r="E246" s="11">
        <f t="shared" si="25"/>
        <v>-96</v>
      </c>
      <c r="F246" s="11">
        <f t="shared" si="26"/>
        <v>-21.428374664992131</v>
      </c>
      <c r="G246" s="11">
        <f t="shared" si="27"/>
        <v>-21.550886741102531</v>
      </c>
    </row>
    <row r="247" spans="5:7" x14ac:dyDescent="0.25">
      <c r="E247" s="11">
        <f t="shared" si="25"/>
        <v>-95</v>
      </c>
      <c r="F247" s="11">
        <f t="shared" si="26"/>
        <v>-21.164759874634168</v>
      </c>
      <c r="G247" s="11">
        <f t="shared" si="27"/>
        <v>-21.290072730986818</v>
      </c>
    </row>
    <row r="248" spans="5:7" x14ac:dyDescent="0.25">
      <c r="E248" s="11">
        <f t="shared" si="25"/>
        <v>-94</v>
      </c>
      <c r="F248" s="11">
        <f t="shared" si="26"/>
        <v>-20.899520709494233</v>
      </c>
      <c r="G248" s="11">
        <f t="shared" si="27"/>
        <v>-21.024188005619969</v>
      </c>
    </row>
    <row r="249" spans="5:7" x14ac:dyDescent="0.25">
      <c r="E249" s="11">
        <f t="shared" si="25"/>
        <v>-93</v>
      </c>
      <c r="F249" s="11">
        <f t="shared" si="26"/>
        <v>-20.632852588965243</v>
      </c>
      <c r="G249" s="11">
        <f t="shared" si="27"/>
        <v>-20.753029736391941</v>
      </c>
    </row>
    <row r="250" spans="5:7" x14ac:dyDescent="0.25">
      <c r="E250" s="11">
        <f t="shared" si="25"/>
        <v>-92</v>
      </c>
      <c r="F250" s="11">
        <f t="shared" si="26"/>
        <v>-20.364948518701684</v>
      </c>
      <c r="G250" s="11">
        <f t="shared" si="27"/>
        <v>-20.476395094692684</v>
      </c>
    </row>
    <row r="251" spans="5:7" x14ac:dyDescent="0.25">
      <c r="E251" s="11">
        <f t="shared" si="25"/>
        <v>-91</v>
      </c>
      <c r="F251" s="11">
        <f t="shared" si="26"/>
        <v>-20.095998854920769</v>
      </c>
      <c r="G251" s="11">
        <f t="shared" si="27"/>
        <v>-20.194081251912156</v>
      </c>
    </row>
    <row r="252" spans="5:7" x14ac:dyDescent="0.25">
      <c r="E252" s="11">
        <f t="shared" si="25"/>
        <v>-90</v>
      </c>
      <c r="F252" s="11">
        <f t="shared" si="26"/>
        <v>-19.826191070855604</v>
      </c>
      <c r="G252" s="11">
        <f t="shared" si="27"/>
        <v>-19.905885379440313</v>
      </c>
    </row>
    <row r="253" spans="5:7" x14ac:dyDescent="0.25">
      <c r="E253" s="11">
        <f t="shared" si="25"/>
        <v>-89</v>
      </c>
      <c r="F253" s="11">
        <f t="shared" si="26"/>
        <v>-19.555709525826469</v>
      </c>
      <c r="G253" s="11">
        <f t="shared" si="27"/>
        <v>-19.611604648667104</v>
      </c>
    </row>
    <row r="254" spans="5:7" x14ac:dyDescent="0.25">
      <c r="E254" s="11">
        <f t="shared" si="25"/>
        <v>-88</v>
      </c>
      <c r="F254" s="11">
        <f t="shared" si="26"/>
        <v>-19.284735237381646</v>
      </c>
      <c r="G254" s="11">
        <f t="shared" si="27"/>
        <v>-19.311036230982488</v>
      </c>
    </row>
    <row r="255" spans="5:7" x14ac:dyDescent="0.25">
      <c r="E255" s="11">
        <f t="shared" si="25"/>
        <v>-87</v>
      </c>
      <c r="F255" s="11">
        <f t="shared" si="26"/>
        <v>-19.01344565694712</v>
      </c>
      <c r="G255" s="11">
        <f t="shared" si="27"/>
        <v>-19.003977297776416</v>
      </c>
    </row>
    <row r="256" spans="5:7" x14ac:dyDescent="0.25">
      <c r="E256" s="11">
        <f t="shared" si="25"/>
        <v>-86</v>
      </c>
      <c r="F256" s="11">
        <f t="shared" si="26"/>
        <v>-18.742014449410615</v>
      </c>
      <c r="G256" s="11">
        <f t="shared" si="27"/>
        <v>-18.690225020438845</v>
      </c>
    </row>
    <row r="257" spans="5:7" x14ac:dyDescent="0.25">
      <c r="E257" s="11">
        <f t="shared" si="25"/>
        <v>-85</v>
      </c>
      <c r="F257" s="11">
        <f t="shared" si="26"/>
        <v>-18.470611277052573</v>
      </c>
      <c r="G257" s="11">
        <f t="shared" si="27"/>
        <v>-18.369576570359733</v>
      </c>
    </row>
    <row r="258" spans="5:7" x14ac:dyDescent="0.25">
      <c r="E258" s="11">
        <f t="shared" si="25"/>
        <v>-84</v>
      </c>
      <c r="F258" s="11">
        <f t="shared" si="26"/>
        <v>-18.199401588223161</v>
      </c>
      <c r="G258" s="11">
        <f t="shared" si="27"/>
        <v>-18.041829118929027</v>
      </c>
    </row>
    <row r="259" spans="5:7" x14ac:dyDescent="0.25">
      <c r="E259" s="11">
        <f t="shared" si="25"/>
        <v>-83</v>
      </c>
      <c r="F259" s="11">
        <f t="shared" si="26"/>
        <v>-17.928546411151551</v>
      </c>
      <c r="G259" s="11">
        <f t="shared" si="27"/>
        <v>-17.706779837536686</v>
      </c>
    </row>
    <row r="260" spans="5:7" x14ac:dyDescent="0.25">
      <c r="E260" s="11">
        <f t="shared" si="25"/>
        <v>-82</v>
      </c>
      <c r="F260" s="11">
        <f t="shared" si="26"/>
        <v>-17.658202153260081</v>
      </c>
      <c r="G260" s="11">
        <f t="shared" si="27"/>
        <v>-17.364225897572663</v>
      </c>
    </row>
    <row r="261" spans="5:7" x14ac:dyDescent="0.25">
      <c r="E261" s="11">
        <f t="shared" si="25"/>
        <v>-81</v>
      </c>
      <c r="F261" s="11">
        <f t="shared" si="26"/>
        <v>-17.388520406343101</v>
      </c>
      <c r="G261" s="11">
        <f t="shared" si="27"/>
        <v>-17.013964470426917</v>
      </c>
    </row>
    <row r="262" spans="5:7" x14ac:dyDescent="0.25">
      <c r="E262" s="11">
        <f t="shared" si="25"/>
        <v>-80</v>
      </c>
      <c r="F262" s="11">
        <f t="shared" si="26"/>
        <v>-17.119647757956773</v>
      </c>
      <c r="G262" s="11">
        <f t="shared" si="27"/>
        <v>-16.655792727489398</v>
      </c>
    </row>
    <row r="263" spans="5:7" x14ac:dyDescent="0.25">
      <c r="E263" s="11">
        <f t="shared" si="25"/>
        <v>-79</v>
      </c>
      <c r="F263" s="11">
        <f t="shared" si="26"/>
        <v>-16.851725609353068</v>
      </c>
      <c r="G263" s="11">
        <f t="shared" si="27"/>
        <v>-16.481428919082905</v>
      </c>
    </row>
    <row r="264" spans="5:7" x14ac:dyDescent="0.25">
      <c r="E264" s="11">
        <f t="shared" si="25"/>
        <v>-78</v>
      </c>
      <c r="F264" s="11">
        <f t="shared" si="26"/>
        <v>-16.584890000277927</v>
      </c>
      <c r="G264" s="11">
        <f t="shared" si="27"/>
        <v>-16.299407923666291</v>
      </c>
    </row>
    <row r="265" spans="5:7" x14ac:dyDescent="0.25">
      <c r="E265" s="11">
        <f t="shared" si="25"/>
        <v>-77</v>
      </c>
      <c r="F265" s="11">
        <f t="shared" si="26"/>
        <v>-16.319271440940319</v>
      </c>
      <c r="G265" s="11">
        <f t="shared" si="27"/>
        <v>-16.110185698631255</v>
      </c>
    </row>
    <row r="266" spans="5:7" x14ac:dyDescent="0.25">
      <c r="E266" s="11">
        <f t="shared" si="25"/>
        <v>-76</v>
      </c>
      <c r="F266" s="11">
        <f t="shared" si="26"/>
        <v>-16.054994751445772</v>
      </c>
      <c r="G266" s="11">
        <f t="shared" si="27"/>
        <v>-15.914218201369502</v>
      </c>
    </row>
    <row r="267" spans="5:7" x14ac:dyDescent="0.25">
      <c r="E267" s="11">
        <f t="shared" si="25"/>
        <v>-75</v>
      </c>
      <c r="F267" s="11">
        <f t="shared" si="26"/>
        <v>-15.792178908974668</v>
      </c>
      <c r="G267" s="11">
        <f t="shared" si="27"/>
        <v>-15.711961389272727</v>
      </c>
    </row>
    <row r="268" spans="5:7" x14ac:dyDescent="0.25">
      <c r="E268" s="11">
        <f t="shared" si="25"/>
        <v>-74</v>
      </c>
      <c r="F268" s="11">
        <f t="shared" si="26"/>
        <v>-15.53093690297249</v>
      </c>
      <c r="G268" s="11">
        <f t="shared" si="27"/>
        <v>-15.503871219732629</v>
      </c>
    </row>
    <row r="269" spans="5:7" x14ac:dyDescent="0.25">
      <c r="E269" s="11">
        <f t="shared" si="25"/>
        <v>-73</v>
      </c>
      <c r="F269" s="11">
        <f t="shared" si="26"/>
        <v>-15.271375598605838</v>
      </c>
      <c r="G269" s="11">
        <f t="shared" si="27"/>
        <v>-15.290403650140908</v>
      </c>
    </row>
    <row r="270" spans="5:7" x14ac:dyDescent="0.25">
      <c r="E270" s="11">
        <f t="shared" si="25"/>
        <v>-72</v>
      </c>
      <c r="F270" s="11">
        <f t="shared" si="26"/>
        <v>-15.013595608724936</v>
      </c>
      <c r="G270" s="11">
        <f t="shared" si="27"/>
        <v>-15.072014637889261</v>
      </c>
    </row>
    <row r="271" spans="5:7" x14ac:dyDescent="0.25">
      <c r="E271" s="11">
        <f t="shared" si="25"/>
        <v>-71</v>
      </c>
      <c r="F271" s="11">
        <f t="shared" si="26"/>
        <v>-14.757691174560156</v>
      </c>
      <c r="G271" s="11">
        <f t="shared" si="27"/>
        <v>-14.849160140369392</v>
      </c>
    </row>
    <row r="272" spans="5:7" x14ac:dyDescent="0.25">
      <c r="E272" s="11">
        <f t="shared" si="25"/>
        <v>-70</v>
      </c>
      <c r="F272" s="11">
        <f t="shared" si="26"/>
        <v>-14.503750055366748</v>
      </c>
      <c r="G272" s="11">
        <f t="shared" si="27"/>
        <v>-14.622296114972993</v>
      </c>
    </row>
    <row r="273" spans="5:7" x14ac:dyDescent="0.25">
      <c r="E273" s="11">
        <f t="shared" si="25"/>
        <v>-69</v>
      </c>
      <c r="F273" s="11">
        <f t="shared" si="26"/>
        <v>-14.251853427218879</v>
      </c>
      <c r="G273" s="11">
        <f t="shared" si="27"/>
        <v>-14.391878519091767</v>
      </c>
    </row>
    <row r="274" spans="5:7" x14ac:dyDescent="0.25">
      <c r="E274" s="11">
        <f t="shared" si="25"/>
        <v>-68</v>
      </c>
      <c r="F274" s="11">
        <f t="shared" si="26"/>
        <v>-14.002075791140761</v>
      </c>
      <c r="G274" s="11">
        <f t="shared" si="27"/>
        <v>-14.158363310117416</v>
      </c>
    </row>
    <row r="275" spans="5:7" x14ac:dyDescent="0.25">
      <c r="E275" s="11">
        <f t="shared" si="25"/>
        <v>-67</v>
      </c>
      <c r="F275" s="11">
        <f t="shared" si="26"/>
        <v>-13.754484890749572</v>
      </c>
      <c r="G275" s="11">
        <f t="shared" si="27"/>
        <v>-13.922206445441631</v>
      </c>
    </row>
    <row r="276" spans="5:7" x14ac:dyDescent="0.25">
      <c r="E276" s="11">
        <f t="shared" si="25"/>
        <v>-66</v>
      </c>
      <c r="F276" s="11">
        <f t="shared" si="26"/>
        <v>-13.509141639571485</v>
      </c>
      <c r="G276" s="11">
        <f t="shared" si="27"/>
        <v>-13.683863882456116</v>
      </c>
    </row>
    <row r="277" spans="5:7" x14ac:dyDescent="0.25">
      <c r="E277" s="11">
        <f t="shared" si="25"/>
        <v>-65</v>
      </c>
      <c r="F277" s="11">
        <f t="shared" si="26"/>
        <v>-13.26610005817909</v>
      </c>
      <c r="G277" s="11">
        <f t="shared" si="27"/>
        <v>-13.44379157855257</v>
      </c>
    </row>
    <row r="278" spans="5:7" x14ac:dyDescent="0.25">
      <c r="E278" s="11">
        <f t="shared" si="25"/>
        <v>-64</v>
      </c>
      <c r="F278" s="11">
        <f t="shared" si="26"/>
        <v>-13.025407221285095</v>
      </c>
      <c r="G278" s="11">
        <f t="shared" si="27"/>
        <v>-13.202445491122692</v>
      </c>
    </row>
    <row r="279" spans="5:7" x14ac:dyDescent="0.25">
      <c r="E279" s="11">
        <f t="shared" si="25"/>
        <v>-63</v>
      </c>
      <c r="F279" s="11">
        <f t="shared" si="26"/>
        <v>-12.787103214914179</v>
      </c>
      <c r="G279" s="11">
        <f t="shared" si="27"/>
        <v>-12.960281577558181</v>
      </c>
    </row>
    <row r="280" spans="5:7" x14ac:dyDescent="0.25">
      <c r="E280" s="11">
        <f t="shared" si="25"/>
        <v>-62</v>
      </c>
      <c r="F280" s="11">
        <f t="shared" si="26"/>
        <v>-12.551221103761455</v>
      </c>
      <c r="G280" s="11">
        <f t="shared" si="27"/>
        <v>-12.717755795250733</v>
      </c>
    </row>
    <row r="281" spans="5:7" x14ac:dyDescent="0.25">
      <c r="E281" s="11">
        <f t="shared" si="25"/>
        <v>-61</v>
      </c>
      <c r="F281" s="11">
        <f t="shared" si="26"/>
        <v>-12.317786908832957</v>
      </c>
      <c r="G281" s="11">
        <f t="shared" si="27"/>
        <v>-12.475324101592051</v>
      </c>
    </row>
    <row r="282" spans="5:7" x14ac:dyDescent="0.25">
      <c r="E282" s="11">
        <f t="shared" si="25"/>
        <v>-60</v>
      </c>
      <c r="F282" s="11">
        <f t="shared" si="26"/>
        <v>-12.086819595450232</v>
      </c>
      <c r="G282" s="11">
        <f t="shared" si="27"/>
        <v>-12.233442453973833</v>
      </c>
    </row>
    <row r="283" spans="5:7" x14ac:dyDescent="0.25">
      <c r="E283" s="11">
        <f t="shared" si="25"/>
        <v>-59</v>
      </c>
      <c r="F283" s="11">
        <f t="shared" si="26"/>
        <v>-11.858331071687958</v>
      </c>
      <c r="G283" s="11">
        <f t="shared" si="27"/>
        <v>-11.992566809787775</v>
      </c>
    </row>
    <row r="284" spans="5:7" x14ac:dyDescent="0.25">
      <c r="E284" s="11">
        <f t="shared" si="25"/>
        <v>-58</v>
      </c>
      <c r="F284" s="11">
        <f t="shared" si="26"/>
        <v>-11.632326197300319</v>
      </c>
      <c r="G284" s="11">
        <f t="shared" si="27"/>
        <v>-11.753153126425579</v>
      </c>
    </row>
    <row r="285" spans="5:7" x14ac:dyDescent="0.25">
      <c r="E285" s="11">
        <f t="shared" si="25"/>
        <v>-57</v>
      </c>
      <c r="F285" s="11">
        <f t="shared" si="26"/>
        <v>-11.40880280317859</v>
      </c>
      <c r="G285" s="11">
        <f t="shared" si="27"/>
        <v>-11.515657361278942</v>
      </c>
    </row>
    <row r="286" spans="5:7" x14ac:dyDescent="0.25">
      <c r="E286" s="11">
        <f t="shared" si="25"/>
        <v>-56</v>
      </c>
      <c r="F286" s="11">
        <f t="shared" si="26"/>
        <v>-11.187751721369214</v>
      </c>
      <c r="G286" s="11">
        <f t="shared" si="27"/>
        <v>-11.280535471739567</v>
      </c>
    </row>
    <row r="287" spans="5:7" x14ac:dyDescent="0.25">
      <c r="E287" s="11">
        <f t="shared" ref="E287:E350" si="28">E80</f>
        <v>-55</v>
      </c>
      <c r="F287" s="11">
        <f t="shared" ref="F287:F350" si="29">$H$217*0+E287*$I$217+E287^2*$J$217+E287^3*$K$217+E287^4*$L$217+E287^5*$M$217+E287^6*$N$217+E287^7*$O$217+E287^8*$P$217</f>
        <v>-10.969156825668424</v>
      </c>
      <c r="G287" s="11">
        <f t="shared" ref="G287:G350" si="30">F80</f>
        <v>-11.048243415199147</v>
      </c>
    </row>
    <row r="288" spans="5:7" x14ac:dyDescent="0.25">
      <c r="E288" s="11">
        <f t="shared" si="28"/>
        <v>-54</v>
      </c>
      <c r="F288" s="11">
        <f t="shared" si="29"/>
        <v>-10.752995082796284</v>
      </c>
      <c r="G288" s="11">
        <f t="shared" si="30"/>
        <v>-10.819143721610326</v>
      </c>
    </row>
    <row r="289" spans="5:7" x14ac:dyDescent="0.25">
      <c r="E289" s="11">
        <f t="shared" si="28"/>
        <v>-53</v>
      </c>
      <c r="F289" s="11">
        <f t="shared" si="29"/>
        <v>-10.53923661413975</v>
      </c>
      <c r="G289" s="11">
        <f t="shared" si="30"/>
        <v>-10.593225211169488</v>
      </c>
    </row>
    <row r="290" spans="5:7" x14ac:dyDescent="0.25">
      <c r="E290" s="11">
        <f t="shared" si="28"/>
        <v>-52</v>
      </c>
      <c r="F290" s="11">
        <f t="shared" si="29"/>
        <v>-10.327844768041194</v>
      </c>
      <c r="G290" s="11">
        <f t="shared" si="30"/>
        <v>-10.370383276633969</v>
      </c>
    </row>
    <row r="291" spans="5:7" x14ac:dyDescent="0.25">
      <c r="E291" s="11">
        <f t="shared" si="28"/>
        <v>-51</v>
      </c>
      <c r="F291" s="11">
        <f t="shared" si="29"/>
        <v>-10.11877620259553</v>
      </c>
      <c r="G291" s="11">
        <f t="shared" si="30"/>
        <v>-10.150513310761101</v>
      </c>
    </row>
    <row r="292" spans="5:7" x14ac:dyDescent="0.25">
      <c r="E292" s="11">
        <f t="shared" si="28"/>
        <v>-50</v>
      </c>
      <c r="F292" s="11">
        <f t="shared" si="29"/>
        <v>-9.9119809789060866</v>
      </c>
      <c r="G292" s="11">
        <f t="shared" si="30"/>
        <v>-9.9335107063082067</v>
      </c>
    </row>
    <row r="293" spans="5:7" x14ac:dyDescent="0.25">
      <c r="E293" s="11">
        <f t="shared" si="28"/>
        <v>-49</v>
      </c>
      <c r="F293" s="11">
        <f t="shared" si="29"/>
        <v>-9.7074026647358025</v>
      </c>
      <c r="G293" s="11">
        <f t="shared" si="30"/>
        <v>-9.7192708560326189</v>
      </c>
    </row>
    <row r="294" spans="5:7" x14ac:dyDescent="0.25">
      <c r="E294" s="11">
        <f t="shared" si="28"/>
        <v>-48</v>
      </c>
      <c r="F294" s="11">
        <f t="shared" si="29"/>
        <v>-9.5049784484774733</v>
      </c>
      <c r="G294" s="11">
        <f t="shared" si="30"/>
        <v>-9.50768915269167</v>
      </c>
    </row>
    <row r="295" spans="5:7" x14ac:dyDescent="0.25">
      <c r="E295" s="11">
        <f t="shared" si="28"/>
        <v>-47</v>
      </c>
      <c r="F295" s="11">
        <f t="shared" si="29"/>
        <v>-9.3046392633533213</v>
      </c>
      <c r="G295" s="11">
        <f t="shared" si="30"/>
        <v>-9.2986609890426877</v>
      </c>
    </row>
    <row r="296" spans="5:7" x14ac:dyDescent="0.25">
      <c r="E296" s="11">
        <f t="shared" si="28"/>
        <v>-46</v>
      </c>
      <c r="F296" s="11">
        <f t="shared" si="29"/>
        <v>-9.106309921741035</v>
      </c>
      <c r="G296" s="11">
        <f t="shared" si="30"/>
        <v>-9.0920817578430029</v>
      </c>
    </row>
    <row r="297" spans="5:7" x14ac:dyDescent="0.25">
      <c r="E297" s="11">
        <f t="shared" si="28"/>
        <v>-45</v>
      </c>
      <c r="F297" s="11">
        <f t="shared" si="29"/>
        <v>-8.9099092595102185</v>
      </c>
      <c r="G297" s="11">
        <f t="shared" si="30"/>
        <v>-8.8878468518499449</v>
      </c>
    </row>
    <row r="298" spans="5:7" x14ac:dyDescent="0.25">
      <c r="E298" s="11">
        <f t="shared" si="28"/>
        <v>-44</v>
      </c>
      <c r="F298" s="11">
        <f t="shared" si="29"/>
        <v>-8.7153502902399573</v>
      </c>
      <c r="G298" s="11">
        <f t="shared" si="30"/>
        <v>-8.6858516638208449</v>
      </c>
    </row>
    <row r="299" spans="5:7" x14ac:dyDescent="0.25">
      <c r="E299" s="11">
        <f t="shared" si="28"/>
        <v>-43</v>
      </c>
      <c r="F299" s="11">
        <f t="shared" si="29"/>
        <v>-8.5225403691749673</v>
      </c>
      <c r="G299" s="11">
        <f t="shared" si="30"/>
        <v>-8.485991586513034</v>
      </c>
    </row>
    <row r="300" spans="5:7" x14ac:dyDescent="0.25">
      <c r="E300" s="11">
        <f t="shared" si="28"/>
        <v>-42</v>
      </c>
      <c r="F300" s="11">
        <f t="shared" si="29"/>
        <v>-8.3313813667646865</v>
      </c>
      <c r="G300" s="11">
        <f t="shared" si="30"/>
        <v>-8.2881620126838396</v>
      </c>
    </row>
    <row r="301" spans="5:7" x14ac:dyDescent="0.25">
      <c r="E301" s="11">
        <f t="shared" si="28"/>
        <v>-41</v>
      </c>
      <c r="F301" s="11">
        <f t="shared" si="29"/>
        <v>-8.1417698516162602</v>
      </c>
      <c r="G301" s="11">
        <f t="shared" si="30"/>
        <v>-8.0922583350905928</v>
      </c>
    </row>
    <row r="302" spans="5:7" x14ac:dyDescent="0.25">
      <c r="E302" s="11">
        <f t="shared" si="28"/>
        <v>-40</v>
      </c>
      <c r="F302" s="11">
        <f t="shared" si="29"/>
        <v>-7.9535972826793921</v>
      </c>
      <c r="G302" s="11">
        <f t="shared" si="30"/>
        <v>-7.8981759464906229</v>
      </c>
    </row>
    <row r="303" spans="5:7" x14ac:dyDescent="0.25">
      <c r="E303" s="11">
        <f t="shared" si="28"/>
        <v>-39</v>
      </c>
      <c r="F303" s="11">
        <f t="shared" si="29"/>
        <v>-7.7667502104676416</v>
      </c>
      <c r="G303" s="11">
        <f t="shared" si="30"/>
        <v>-7.7058102396412629</v>
      </c>
    </row>
    <row r="304" spans="5:7" x14ac:dyDescent="0.25">
      <c r="E304" s="11">
        <f t="shared" si="28"/>
        <v>-38</v>
      </c>
      <c r="F304" s="11">
        <f t="shared" si="29"/>
        <v>-7.5811104871076074</v>
      </c>
      <c r="G304" s="11">
        <f t="shared" si="30"/>
        <v>-7.5150566072998384</v>
      </c>
    </row>
    <row r="305" spans="5:7" x14ac:dyDescent="0.25">
      <c r="E305" s="11">
        <f t="shared" si="28"/>
        <v>-37</v>
      </c>
      <c r="F305" s="11">
        <f t="shared" si="29"/>
        <v>-7.3965554849941952</v>
      </c>
      <c r="G305" s="11">
        <f t="shared" si="30"/>
        <v>-7.325810442223684</v>
      </c>
    </row>
    <row r="306" spans="5:7" x14ac:dyDescent="0.25">
      <c r="E306" s="11">
        <f t="shared" si="28"/>
        <v>-36</v>
      </c>
      <c r="F306" s="11">
        <f t="shared" si="29"/>
        <v>-7.2129583238170412</v>
      </c>
      <c r="G306" s="11">
        <f t="shared" si="30"/>
        <v>-7.1379671371701257</v>
      </c>
    </row>
    <row r="307" spans="5:7" x14ac:dyDescent="0.25">
      <c r="E307" s="11">
        <f t="shared" si="28"/>
        <v>-35</v>
      </c>
      <c r="F307" s="11">
        <f t="shared" si="29"/>
        <v>-7.0301881057097599</v>
      </c>
      <c r="G307" s="11">
        <f t="shared" si="30"/>
        <v>-6.951422084896496</v>
      </c>
    </row>
    <row r="308" spans="5:7" x14ac:dyDescent="0.25">
      <c r="E308" s="11">
        <f t="shared" si="28"/>
        <v>-34</v>
      </c>
      <c r="F308" s="11">
        <f t="shared" si="29"/>
        <v>-6.8481101582607211</v>
      </c>
      <c r="G308" s="11">
        <f t="shared" si="30"/>
        <v>-6.7660706781601254</v>
      </c>
    </row>
    <row r="309" spans="5:7" x14ac:dyDescent="0.25">
      <c r="E309" s="11">
        <f t="shared" si="28"/>
        <v>-33</v>
      </c>
      <c r="F309" s="11">
        <f t="shared" si="29"/>
        <v>-6.6665862851106201</v>
      </c>
      <c r="G309" s="11">
        <f t="shared" si="30"/>
        <v>-6.5818083097183413</v>
      </c>
    </row>
    <row r="310" spans="5:7" x14ac:dyDescent="0.25">
      <c r="E310" s="11">
        <f t="shared" si="28"/>
        <v>-32</v>
      </c>
      <c r="F310" s="11">
        <f t="shared" si="29"/>
        <v>-6.4854750238490304</v>
      </c>
      <c r="G310" s="11">
        <f t="shared" si="30"/>
        <v>-6.3985303723284757</v>
      </c>
    </row>
    <row r="311" spans="5:7" x14ac:dyDescent="0.25">
      <c r="E311" s="11">
        <f t="shared" si="28"/>
        <v>-31</v>
      </c>
      <c r="F311" s="11">
        <f t="shared" si="29"/>
        <v>-6.3046319109088804</v>
      </c>
      <c r="G311" s="11">
        <f t="shared" si="30"/>
        <v>-6.2161322587478587</v>
      </c>
    </row>
    <row r="312" spans="5:7" x14ac:dyDescent="0.25">
      <c r="E312" s="11">
        <f t="shared" si="28"/>
        <v>-30</v>
      </c>
      <c r="F312" s="11">
        <f t="shared" si="29"/>
        <v>-6.1239097531445301</v>
      </c>
      <c r="G312" s="11">
        <f t="shared" si="30"/>
        <v>-6.0345093617338197</v>
      </c>
    </row>
    <row r="313" spans="5:7" x14ac:dyDescent="0.25">
      <c r="E313" s="11">
        <f t="shared" si="28"/>
        <v>-29</v>
      </c>
      <c r="F313" s="11">
        <f t="shared" si="29"/>
        <v>-5.943158905766027</v>
      </c>
      <c r="G313" s="11">
        <f t="shared" si="30"/>
        <v>-5.8535412427017954</v>
      </c>
    </row>
    <row r="314" spans="5:7" x14ac:dyDescent="0.25">
      <c r="E314" s="11">
        <f t="shared" si="28"/>
        <v>-28</v>
      </c>
      <c r="F314" s="11">
        <f t="shared" si="29"/>
        <v>-5.7622275562887486</v>
      </c>
      <c r="G314" s="11">
        <f t="shared" si="30"/>
        <v>-5.6730441376996472</v>
      </c>
    </row>
    <row r="315" spans="5:7" x14ac:dyDescent="0.25">
      <c r="E315" s="11">
        <f t="shared" si="28"/>
        <v>-27</v>
      </c>
      <c r="F315" s="11">
        <f t="shared" si="29"/>
        <v>-5.5809620141445846</v>
      </c>
      <c r="G315" s="11">
        <f t="shared" si="30"/>
        <v>-5.4928184514333438</v>
      </c>
    </row>
    <row r="316" spans="5:7" x14ac:dyDescent="0.25">
      <c r="E316" s="11">
        <f t="shared" si="28"/>
        <v>-26</v>
      </c>
      <c r="F316" s="11">
        <f t="shared" si="29"/>
        <v>-5.3992070055874857</v>
      </c>
      <c r="G316" s="11">
        <f t="shared" si="30"/>
        <v>-5.312664588608853</v>
      </c>
    </row>
    <row r="317" spans="5:7" x14ac:dyDescent="0.25">
      <c r="E317" s="11">
        <f t="shared" si="28"/>
        <v>-25</v>
      </c>
      <c r="F317" s="11">
        <f t="shared" si="29"/>
        <v>-5.2168059735130354</v>
      </c>
      <c r="G317" s="11">
        <f t="shared" si="30"/>
        <v>-5.1323829539321428</v>
      </c>
    </row>
    <row r="318" spans="5:7" x14ac:dyDescent="0.25">
      <c r="E318" s="11">
        <f t="shared" si="28"/>
        <v>-24</v>
      </c>
      <c r="F318" s="11">
        <f t="shared" si="29"/>
        <v>-5.0336013817984959</v>
      </c>
      <c r="G318" s="11">
        <f t="shared" si="30"/>
        <v>-4.9517739521091819</v>
      </c>
    </row>
    <row r="319" spans="5:7" x14ac:dyDescent="0.25">
      <c r="E319" s="11">
        <f t="shared" si="28"/>
        <v>-23</v>
      </c>
      <c r="F319" s="11">
        <f t="shared" si="29"/>
        <v>-4.849435023756544</v>
      </c>
      <c r="G319" s="11">
        <f t="shared" si="30"/>
        <v>-4.7706379878459382</v>
      </c>
    </row>
    <row r="320" spans="5:7" x14ac:dyDescent="0.25">
      <c r="E320" s="11">
        <f t="shared" si="28"/>
        <v>-22</v>
      </c>
      <c r="F320" s="11">
        <f t="shared" si="29"/>
        <v>-4.6641483342827126</v>
      </c>
      <c r="G320" s="11">
        <f t="shared" si="30"/>
        <v>-4.5887754658483795</v>
      </c>
    </row>
    <row r="321" spans="5:7" x14ac:dyDescent="0.25">
      <c r="E321" s="11">
        <f t="shared" si="28"/>
        <v>-21</v>
      </c>
      <c r="F321" s="11">
        <f t="shared" si="29"/>
        <v>-4.4775827052633339</v>
      </c>
      <c r="G321" s="11">
        <f t="shared" si="30"/>
        <v>-4.4059867908224737</v>
      </c>
    </row>
    <row r="322" spans="5:7" x14ac:dyDescent="0.25">
      <c r="E322" s="11">
        <f t="shared" si="28"/>
        <v>-20</v>
      </c>
      <c r="F322" s="11">
        <f t="shared" si="29"/>
        <v>-4.2895798037975643</v>
      </c>
      <c r="G322" s="11">
        <f t="shared" si="30"/>
        <v>-4.2220723674741905</v>
      </c>
    </row>
    <row r="323" spans="5:7" x14ac:dyDescent="0.25">
      <c r="E323" s="11">
        <f t="shared" si="28"/>
        <v>-19</v>
      </c>
      <c r="F323" s="11">
        <f t="shared" si="29"/>
        <v>-4.0999818927738856</v>
      </c>
      <c r="G323" s="11">
        <f t="shared" si="30"/>
        <v>-4.0368326005094968</v>
      </c>
    </row>
    <row r="324" spans="5:7" x14ac:dyDescent="0.25">
      <c r="E324" s="11">
        <f t="shared" si="28"/>
        <v>-18</v>
      </c>
      <c r="F324" s="11">
        <f t="shared" si="29"/>
        <v>-3.9086321533281949</v>
      </c>
      <c r="G324" s="11">
        <f t="shared" si="30"/>
        <v>-3.8500678946343605</v>
      </c>
    </row>
    <row r="325" spans="5:7" x14ac:dyDescent="0.25">
      <c r="E325" s="11">
        <f t="shared" si="28"/>
        <v>-17</v>
      </c>
      <c r="F325" s="11">
        <f t="shared" si="29"/>
        <v>-3.7153750086974822</v>
      </c>
      <c r="G325" s="11">
        <f t="shared" si="30"/>
        <v>-3.6615786545547504</v>
      </c>
    </row>
    <row r="326" spans="5:7" x14ac:dyDescent="0.25">
      <c r="E326" s="11">
        <f t="shared" si="28"/>
        <v>-16</v>
      </c>
      <c r="F326" s="11">
        <f t="shared" si="29"/>
        <v>-3.5200564489697803</v>
      </c>
      <c r="G326" s="11">
        <f t="shared" si="30"/>
        <v>-3.4711652849766348</v>
      </c>
    </row>
    <row r="327" spans="5:7" x14ac:dyDescent="0.25">
      <c r="E327" s="11">
        <f t="shared" si="28"/>
        <v>-15</v>
      </c>
      <c r="F327" s="11">
        <f t="shared" si="29"/>
        <v>-3.3225243562179254</v>
      </c>
      <c r="G327" s="11">
        <f t="shared" si="30"/>
        <v>-3.2786281906059815</v>
      </c>
    </row>
    <row r="328" spans="5:7" x14ac:dyDescent="0.25">
      <c r="E328" s="11">
        <f t="shared" si="28"/>
        <v>-14</v>
      </c>
      <c r="F328" s="11">
        <f t="shared" si="29"/>
        <v>-3.1226288294914339</v>
      </c>
      <c r="G328" s="11">
        <f t="shared" si="30"/>
        <v>-3.0837677761487585</v>
      </c>
    </row>
    <row r="329" spans="5:7" x14ac:dyDescent="0.25">
      <c r="E329" s="11">
        <f t="shared" si="28"/>
        <v>-13</v>
      </c>
      <c r="F329" s="11">
        <f t="shared" si="29"/>
        <v>-2.9202225091275755</v>
      </c>
      <c r="G329" s="11">
        <f t="shared" si="30"/>
        <v>-2.8863844463109336</v>
      </c>
    </row>
    <row r="330" spans="5:7" x14ac:dyDescent="0.25">
      <c r="E330" s="11">
        <f t="shared" si="28"/>
        <v>-12</v>
      </c>
      <c r="F330" s="11">
        <f t="shared" si="29"/>
        <v>-2.7151608998295225</v>
      </c>
      <c r="G330" s="11">
        <f t="shared" si="30"/>
        <v>-2.6862786057984764</v>
      </c>
    </row>
    <row r="331" spans="5:7" x14ac:dyDescent="0.25">
      <c r="E331" s="11">
        <f t="shared" si="28"/>
        <v>-11</v>
      </c>
      <c r="F331" s="11">
        <f t="shared" si="29"/>
        <v>-2.50730269194624</v>
      </c>
      <c r="G331" s="11">
        <f t="shared" si="30"/>
        <v>-2.4832506593173536</v>
      </c>
    </row>
    <row r="332" spans="5:7" x14ac:dyDescent="0.25">
      <c r="E332" s="11">
        <f t="shared" si="28"/>
        <v>-10</v>
      </c>
      <c r="F332" s="11">
        <f t="shared" si="29"/>
        <v>-2.2965100803755596</v>
      </c>
      <c r="G332" s="11">
        <f t="shared" si="30"/>
        <v>-2.2771010115735342</v>
      </c>
    </row>
    <row r="333" spans="5:7" x14ac:dyDescent="0.25">
      <c r="E333" s="11">
        <f t="shared" si="28"/>
        <v>-9</v>
      </c>
      <c r="F333" s="11">
        <f t="shared" si="29"/>
        <v>-2.0826490804986855</v>
      </c>
      <c r="G333" s="11">
        <f t="shared" si="30"/>
        <v>-2.0676300672729857</v>
      </c>
    </row>
    <row r="334" spans="5:7" x14ac:dyDescent="0.25">
      <c r="E334" s="11">
        <f t="shared" si="28"/>
        <v>-8</v>
      </c>
      <c r="F334" s="11">
        <f t="shared" si="29"/>
        <v>-1.86558984054114</v>
      </c>
      <c r="G334" s="11">
        <f t="shared" si="30"/>
        <v>-1.8546382311216769</v>
      </c>
    </row>
    <row r="335" spans="5:7" x14ac:dyDescent="0.25">
      <c r="E335" s="11">
        <f t="shared" si="28"/>
        <v>-7</v>
      </c>
      <c r="F335" s="11">
        <f t="shared" si="29"/>
        <v>-1.6452069497419597</v>
      </c>
      <c r="G335" s="11">
        <f t="shared" si="30"/>
        <v>-1.6379259078255752</v>
      </c>
    </row>
    <row r="336" spans="5:7" x14ac:dyDescent="0.25">
      <c r="E336" s="11">
        <f t="shared" si="28"/>
        <v>-6</v>
      </c>
      <c r="F336" s="11">
        <f t="shared" si="29"/>
        <v>-1.4213797416997509</v>
      </c>
      <c r="G336" s="11">
        <f t="shared" si="30"/>
        <v>-1.4172935020906494</v>
      </c>
    </row>
    <row r="337" spans="5:7" x14ac:dyDescent="0.25">
      <c r="E337" s="11">
        <f t="shared" si="28"/>
        <v>-5</v>
      </c>
      <c r="F337" s="11">
        <f t="shared" si="29"/>
        <v>-1.1939925922509655</v>
      </c>
      <c r="G337" s="11">
        <f t="shared" si="30"/>
        <v>-1.1925414186228673</v>
      </c>
    </row>
    <row r="338" spans="5:7" x14ac:dyDescent="0.25">
      <c r="E338" s="11">
        <f t="shared" si="28"/>
        <v>-4</v>
      </c>
      <c r="F338" s="11">
        <f t="shared" si="29"/>
        <v>-0.96293521122257741</v>
      </c>
      <c r="G338" s="11">
        <f t="shared" si="30"/>
        <v>-0.96347006212819741</v>
      </c>
    </row>
    <row r="339" spans="5:7" x14ac:dyDescent="0.25">
      <c r="E339" s="11">
        <f t="shared" si="28"/>
        <v>-3</v>
      </c>
      <c r="F339" s="11">
        <f t="shared" si="29"/>
        <v>-0.72810292738811344</v>
      </c>
      <c r="G339" s="11">
        <f t="shared" si="30"/>
        <v>-0.72987983731260753</v>
      </c>
    </row>
    <row r="340" spans="5:7" x14ac:dyDescent="0.25">
      <c r="E340" s="11">
        <f t="shared" si="28"/>
        <v>-2</v>
      </c>
      <c r="F340" s="11">
        <f t="shared" si="29"/>
        <v>-0.48939696594277338</v>
      </c>
      <c r="G340" s="11">
        <f t="shared" si="30"/>
        <v>-0.49157114888206593</v>
      </c>
    </row>
    <row r="341" spans="5:7" x14ac:dyDescent="0.25">
      <c r="E341" s="11">
        <f t="shared" si="28"/>
        <v>-1</v>
      </c>
      <c r="F341" s="11">
        <f t="shared" si="29"/>
        <v>-0.24672471780016925</v>
      </c>
      <c r="G341" s="11">
        <f t="shared" si="30"/>
        <v>-0.24834440154254067</v>
      </c>
    </row>
    <row r="342" spans="5:7" x14ac:dyDescent="0.25">
      <c r="E342" s="11">
        <f t="shared" si="28"/>
        <v>0</v>
      </c>
      <c r="F342" s="11">
        <f t="shared" si="29"/>
        <v>0</v>
      </c>
      <c r="G342" s="11">
        <f t="shared" si="30"/>
        <v>-1.1102230246251565E-16</v>
      </c>
    </row>
    <row r="343" spans="5:7" x14ac:dyDescent="0.25">
      <c r="E343" s="11">
        <f t="shared" si="28"/>
        <v>1</v>
      </c>
      <c r="F343" s="11">
        <f t="shared" si="29"/>
        <v>0.2508566934972441</v>
      </c>
      <c r="G343" s="11">
        <f t="shared" si="30"/>
        <v>0.25361142565411204</v>
      </c>
    </row>
    <row r="344" spans="5:7" x14ac:dyDescent="0.25">
      <c r="E344" s="11">
        <f t="shared" si="28"/>
        <v>2</v>
      </c>
      <c r="F344" s="11">
        <f t="shared" si="29"/>
        <v>0.50591795136565643</v>
      </c>
      <c r="G344" s="11">
        <f t="shared" si="30"/>
        <v>0.51243834378644959</v>
      </c>
    </row>
    <row r="345" spans="5:7" x14ac:dyDescent="0.25">
      <c r="E345" s="11">
        <f t="shared" si="28"/>
        <v>3</v>
      </c>
      <c r="F345" s="11">
        <f t="shared" si="29"/>
        <v>0.76524921556969838</v>
      </c>
      <c r="G345" s="11">
        <f t="shared" si="30"/>
        <v>0.77637899737819005</v>
      </c>
    </row>
    <row r="346" spans="5:7" x14ac:dyDescent="0.25">
      <c r="E346" s="11">
        <f t="shared" si="28"/>
        <v>4</v>
      </c>
      <c r="F346" s="11">
        <f t="shared" si="29"/>
        <v>1.028908563883933</v>
      </c>
      <c r="G346" s="11">
        <f t="shared" si="30"/>
        <v>1.0453316294105113</v>
      </c>
    </row>
    <row r="347" spans="5:7" x14ac:dyDescent="0.25">
      <c r="E347" s="11">
        <f t="shared" si="28"/>
        <v>5</v>
      </c>
      <c r="F347" s="11">
        <f t="shared" si="29"/>
        <v>1.2969465050534603</v>
      </c>
      <c r="G347" s="11">
        <f t="shared" si="30"/>
        <v>1.3191944828645912</v>
      </c>
    </row>
    <row r="348" spans="5:7" x14ac:dyDescent="0.25">
      <c r="E348" s="11">
        <f t="shared" si="28"/>
        <v>6</v>
      </c>
      <c r="F348" s="11">
        <f t="shared" si="29"/>
        <v>1.5694057873850276</v>
      </c>
      <c r="G348" s="11">
        <f t="shared" si="30"/>
        <v>1.597865800721608</v>
      </c>
    </row>
    <row r="349" spans="5:7" x14ac:dyDescent="0.25">
      <c r="E349" s="11">
        <f t="shared" si="28"/>
        <v>7</v>
      </c>
      <c r="F349" s="11">
        <f t="shared" si="29"/>
        <v>1.8463212215719911</v>
      </c>
      <c r="G349" s="11">
        <f t="shared" si="30"/>
        <v>1.8812438259627391</v>
      </c>
    </row>
    <row r="350" spans="5:7" x14ac:dyDescent="0.25">
      <c r="E350" s="11">
        <f t="shared" si="28"/>
        <v>8</v>
      </c>
      <c r="F350" s="11">
        <f t="shared" si="29"/>
        <v>2.1277195185695246</v>
      </c>
      <c r="G350" s="11">
        <f t="shared" si="30"/>
        <v>2.1692268015691627</v>
      </c>
    </row>
    <row r="351" spans="5:7" x14ac:dyDescent="0.25">
      <c r="E351" s="11">
        <f t="shared" ref="E351:E414" si="31">E144</f>
        <v>9</v>
      </c>
      <c r="F351" s="11">
        <f t="shared" ref="F351:F414" si="32">$H$217*0+E351*$I$217+E351^2*$J$217+E351^3*$K$217+E351^4*$L$217+E351^5*$M$217+E351^6*$N$217+E351^7*$O$217+E351^8*$P$217</f>
        <v>2.4136191433496843</v>
      </c>
      <c r="G351" s="11">
        <f t="shared" ref="G351:G414" si="33">F144</f>
        <v>2.4617129705220564</v>
      </c>
    </row>
    <row r="352" spans="5:7" x14ac:dyDescent="0.25">
      <c r="E352" s="11">
        <f t="shared" si="31"/>
        <v>10</v>
      </c>
      <c r="F352" s="11">
        <f t="shared" si="32"/>
        <v>2.7040301853791635</v>
      </c>
      <c r="G352" s="11">
        <f t="shared" si="33"/>
        <v>2.758600575802598</v>
      </c>
    </row>
    <row r="353" spans="5:7" x14ac:dyDescent="0.25">
      <c r="E353" s="11">
        <f t="shared" si="31"/>
        <v>11</v>
      </c>
      <c r="F353" s="11">
        <f t="shared" si="32"/>
        <v>2.9989542466757388</v>
      </c>
      <c r="G353" s="11">
        <f t="shared" si="33"/>
        <v>3.0597878603919662</v>
      </c>
    </row>
    <row r="354" spans="5:7" x14ac:dyDescent="0.25">
      <c r="E354" s="11">
        <f t="shared" si="31"/>
        <v>12</v>
      </c>
      <c r="F354" s="11">
        <f t="shared" si="32"/>
        <v>3.2983843483127102</v>
      </c>
      <c r="G354" s="11">
        <f t="shared" si="33"/>
        <v>3.3651730672713378</v>
      </c>
    </row>
    <row r="355" spans="5:7" x14ac:dyDescent="0.25">
      <c r="E355" s="11">
        <f t="shared" si="31"/>
        <v>13</v>
      </c>
      <c r="F355" s="11">
        <f t="shared" si="32"/>
        <v>3.6023048562537419</v>
      </c>
      <c r="G355" s="11">
        <f t="shared" si="33"/>
        <v>3.6746544394218912</v>
      </c>
    </row>
    <row r="356" spans="5:7" x14ac:dyDescent="0.25">
      <c r="E356" s="11">
        <f t="shared" si="31"/>
        <v>14</v>
      </c>
      <c r="F356" s="11">
        <f t="shared" si="32"/>
        <v>3.9106914274138229</v>
      </c>
      <c r="G356" s="11">
        <f t="shared" si="33"/>
        <v>3.9881302198248032</v>
      </c>
    </row>
    <row r="357" spans="5:7" x14ac:dyDescent="0.25">
      <c r="E357" s="11">
        <f t="shared" si="31"/>
        <v>15</v>
      </c>
      <c r="F357" s="11">
        <f t="shared" si="32"/>
        <v>4.2235109768552173</v>
      </c>
      <c r="G357" s="11">
        <f t="shared" si="33"/>
        <v>4.3054986514612539</v>
      </c>
    </row>
    <row r="358" spans="5:7" x14ac:dyDescent="0.25">
      <c r="E358" s="11">
        <f t="shared" si="31"/>
        <v>16</v>
      </c>
      <c r="F358" s="11">
        <f t="shared" si="32"/>
        <v>4.5407216670405015</v>
      </c>
      <c r="G358" s="11">
        <f t="shared" si="33"/>
        <v>4.6266579773124192</v>
      </c>
    </row>
    <row r="359" spans="5:7" x14ac:dyDescent="0.25">
      <c r="E359" s="11">
        <f t="shared" si="31"/>
        <v>17</v>
      </c>
      <c r="F359" s="11">
        <f t="shared" si="32"/>
        <v>4.8622729200780439</v>
      </c>
      <c r="G359" s="11">
        <f t="shared" si="33"/>
        <v>4.951506440359478</v>
      </c>
    </row>
    <row r="360" spans="5:7" x14ac:dyDescent="0.25">
      <c r="E360" s="11">
        <f t="shared" si="31"/>
        <v>18</v>
      </c>
      <c r="F360" s="11">
        <f t="shared" si="32"/>
        <v>5.1881054539083884</v>
      </c>
      <c r="G360" s="11">
        <f t="shared" si="33"/>
        <v>5.2799422835836083</v>
      </c>
    </row>
    <row r="361" spans="5:7" x14ac:dyDescent="0.25">
      <c r="E361" s="11">
        <f t="shared" si="31"/>
        <v>19</v>
      </c>
      <c r="F361" s="11">
        <f t="shared" si="32"/>
        <v>5.5181513433933658</v>
      </c>
      <c r="G361" s="11">
        <f t="shared" si="33"/>
        <v>5.6118637499659858</v>
      </c>
    </row>
    <row r="362" spans="5:7" x14ac:dyDescent="0.25">
      <c r="E362" s="11">
        <f t="shared" si="31"/>
        <v>20</v>
      </c>
      <c r="F362" s="11">
        <f t="shared" si="32"/>
        <v>5.8523341072828243</v>
      </c>
      <c r="G362" s="11">
        <f t="shared" si="33"/>
        <v>5.9471690824877914</v>
      </c>
    </row>
    <row r="363" spans="5:7" x14ac:dyDescent="0.25">
      <c r="E363" s="11">
        <f t="shared" si="31"/>
        <v>21</v>
      </c>
      <c r="F363" s="11">
        <f t="shared" si="32"/>
        <v>6.1905688220472026</v>
      </c>
      <c r="G363" s="11">
        <f t="shared" si="33"/>
        <v>6.2857565241302016</v>
      </c>
    </row>
    <row r="364" spans="5:7" x14ac:dyDescent="0.25">
      <c r="E364" s="11">
        <f t="shared" si="31"/>
        <v>22</v>
      </c>
      <c r="F364" s="11">
        <f t="shared" si="32"/>
        <v>6.532762263577288</v>
      </c>
      <c r="G364" s="11">
        <f t="shared" si="33"/>
        <v>6.6275243178743937</v>
      </c>
    </row>
    <row r="365" spans="5:7" x14ac:dyDescent="0.25">
      <c r="E365" s="11">
        <f t="shared" si="31"/>
        <v>23</v>
      </c>
      <c r="F365" s="11">
        <f t="shared" si="32"/>
        <v>6.8788130777657779</v>
      </c>
      <c r="G365" s="11">
        <f t="shared" si="33"/>
        <v>6.9723707067015468</v>
      </c>
    </row>
    <row r="366" spans="5:7" x14ac:dyDescent="0.25">
      <c r="E366" s="11">
        <f t="shared" si="31"/>
        <v>24</v>
      </c>
      <c r="F366" s="11">
        <f t="shared" si="32"/>
        <v>7.228611980998469</v>
      </c>
      <c r="G366" s="11">
        <f t="shared" si="33"/>
        <v>7.3201939335928383</v>
      </c>
    </row>
    <row r="367" spans="5:7" x14ac:dyDescent="0.25">
      <c r="E367" s="11">
        <f t="shared" si="31"/>
        <v>25</v>
      </c>
      <c r="F367" s="11">
        <f t="shared" si="32"/>
        <v>7.5820419915960757</v>
      </c>
      <c r="G367" s="11">
        <f t="shared" si="33"/>
        <v>7.6708922415294447</v>
      </c>
    </row>
    <row r="368" spans="5:7" x14ac:dyDescent="0.25">
      <c r="E368" s="11">
        <f t="shared" si="31"/>
        <v>26</v>
      </c>
      <c r="F368" s="11">
        <f t="shared" si="32"/>
        <v>7.9389786932609265</v>
      </c>
      <c r="G368" s="11">
        <f t="shared" si="33"/>
        <v>8.0243638734925469</v>
      </c>
    </row>
    <row r="369" spans="5:7" x14ac:dyDescent="0.25">
      <c r="E369" s="11">
        <f t="shared" si="31"/>
        <v>27</v>
      </c>
      <c r="F369" s="11">
        <f t="shared" si="32"/>
        <v>8.2992905315960002</v>
      </c>
      <c r="G369" s="11">
        <f t="shared" si="33"/>
        <v>8.3805070724633168</v>
      </c>
    </row>
    <row r="370" spans="5:7" x14ac:dyDescent="0.25">
      <c r="E370" s="11">
        <f t="shared" si="31"/>
        <v>28</v>
      </c>
      <c r="F370" s="11">
        <f t="shared" si="32"/>
        <v>8.6628391447769566</v>
      </c>
      <c r="G370" s="11">
        <f t="shared" si="33"/>
        <v>8.739220081422939</v>
      </c>
    </row>
    <row r="371" spans="5:7" x14ac:dyDescent="0.25">
      <c r="E371" s="11">
        <f t="shared" si="31"/>
        <v>29</v>
      </c>
      <c r="F371" s="11">
        <f t="shared" si="32"/>
        <v>9.0294797294710349</v>
      </c>
      <c r="G371" s="11">
        <f t="shared" si="33"/>
        <v>9.10040114335259</v>
      </c>
    </row>
    <row r="372" spans="5:7" x14ac:dyDescent="0.25">
      <c r="E372" s="11">
        <f t="shared" si="31"/>
        <v>30</v>
      </c>
      <c r="F372" s="11">
        <f t="shared" si="32"/>
        <v>9.3990614431099431</v>
      </c>
      <c r="G372" s="11">
        <f t="shared" si="33"/>
        <v>9.4639485012334461</v>
      </c>
    </row>
    <row r="373" spans="5:7" x14ac:dyDescent="0.25">
      <c r="E373" s="11">
        <f t="shared" si="31"/>
        <v>31</v>
      </c>
      <c r="F373" s="11">
        <f t="shared" si="32"/>
        <v>9.7714278436370137</v>
      </c>
      <c r="G373" s="11">
        <f t="shared" si="33"/>
        <v>9.8297603980466839</v>
      </c>
    </row>
    <row r="374" spans="5:7" x14ac:dyDescent="0.25">
      <c r="E374" s="11">
        <f t="shared" si="31"/>
        <v>32</v>
      </c>
      <c r="F374" s="11">
        <f t="shared" si="32"/>
        <v>10.146417367862163</v>
      </c>
      <c r="G374" s="11">
        <f t="shared" si="33"/>
        <v>10.197735076773483</v>
      </c>
    </row>
    <row r="375" spans="5:7" x14ac:dyDescent="0.25">
      <c r="E375" s="11">
        <f t="shared" si="31"/>
        <v>33</v>
      </c>
      <c r="F375" s="11">
        <f t="shared" si="32"/>
        <v>10.523863849571374</v>
      </c>
      <c r="G375" s="11">
        <f t="shared" si="33"/>
        <v>10.567770780395023</v>
      </c>
    </row>
    <row r="376" spans="5:7" x14ac:dyDescent="0.25">
      <c r="E376" s="11">
        <f t="shared" si="31"/>
        <v>34</v>
      </c>
      <c r="F376" s="11">
        <f t="shared" si="32"/>
        <v>10.903597078550684</v>
      </c>
      <c r="G376" s="11">
        <f t="shared" si="33"/>
        <v>10.939765751892478</v>
      </c>
    </row>
    <row r="377" spans="5:7" x14ac:dyDescent="0.25">
      <c r="E377" s="11">
        <f t="shared" si="31"/>
        <v>35</v>
      </c>
      <c r="F377" s="11">
        <f t="shared" si="32"/>
        <v>11.285443401697783</v>
      </c>
      <c r="G377" s="11">
        <f t="shared" si="33"/>
        <v>11.313618234247029</v>
      </c>
    </row>
    <row r="378" spans="5:7" x14ac:dyDescent="0.25">
      <c r="E378" s="11">
        <f t="shared" si="31"/>
        <v>36</v>
      </c>
      <c r="F378" s="11">
        <f t="shared" si="32"/>
        <v>11.669226367407651</v>
      </c>
      <c r="G378" s="11">
        <f t="shared" si="33"/>
        <v>11.689226470439852</v>
      </c>
    </row>
    <row r="379" spans="5:7" x14ac:dyDescent="0.25">
      <c r="E379" s="11">
        <f t="shared" si="31"/>
        <v>37</v>
      </c>
      <c r="F379" s="11">
        <f t="shared" si="32"/>
        <v>12.054767414431804</v>
      </c>
      <c r="G379" s="11">
        <f t="shared" si="33"/>
        <v>12.066488703452126</v>
      </c>
    </row>
    <row r="380" spans="5:7" x14ac:dyDescent="0.25">
      <c r="E380" s="11">
        <f t="shared" si="31"/>
        <v>38</v>
      </c>
      <c r="F380" s="11">
        <f t="shared" si="32"/>
        <v>12.441886606423932</v>
      </c>
      <c r="G380" s="11">
        <f t="shared" si="33"/>
        <v>12.445303176265027</v>
      </c>
    </row>
    <row r="381" spans="5:7" x14ac:dyDescent="0.25">
      <c r="E381" s="11">
        <f t="shared" si="31"/>
        <v>39</v>
      </c>
      <c r="F381" s="11">
        <f t="shared" si="32"/>
        <v>12.83040341339796</v>
      </c>
      <c r="G381" s="11">
        <f t="shared" si="33"/>
        <v>12.825568131859734</v>
      </c>
    </row>
    <row r="382" spans="5:7" x14ac:dyDescent="0.25">
      <c r="E382" s="11">
        <f t="shared" si="31"/>
        <v>40</v>
      </c>
      <c r="F382" s="11">
        <f t="shared" si="32"/>
        <v>13.220137541337783</v>
      </c>
      <c r="G382" s="11">
        <f t="shared" si="33"/>
        <v>13.207181813217426</v>
      </c>
    </row>
    <row r="383" spans="5:7" x14ac:dyDescent="0.25">
      <c r="E383" s="11">
        <f t="shared" si="31"/>
        <v>41</v>
      </c>
      <c r="F383" s="11">
        <f t="shared" si="32"/>
        <v>13.610909811211084</v>
      </c>
      <c r="G383" s="11">
        <f t="shared" si="33"/>
        <v>13.59004246331928</v>
      </c>
    </row>
    <row r="384" spans="5:7" x14ac:dyDescent="0.25">
      <c r="E384" s="11">
        <f t="shared" si="31"/>
        <v>42</v>
      </c>
      <c r="F384" s="11">
        <f t="shared" si="32"/>
        <v>14.002543088652876</v>
      </c>
      <c r="G384" s="11">
        <f t="shared" si="33"/>
        <v>13.974048325146475</v>
      </c>
    </row>
    <row r="385" spans="5:7" x14ac:dyDescent="0.25">
      <c r="E385" s="11">
        <f t="shared" si="31"/>
        <v>43</v>
      </c>
      <c r="F385" s="11">
        <f t="shared" si="32"/>
        <v>14.394863265597733</v>
      </c>
      <c r="G385" s="11">
        <f t="shared" si="33"/>
        <v>14.359097641680187</v>
      </c>
    </row>
    <row r="386" spans="5:7" x14ac:dyDescent="0.25">
      <c r="E386" s="11">
        <f t="shared" si="31"/>
        <v>44</v>
      </c>
      <c r="F386" s="11">
        <f t="shared" si="32"/>
        <v>14.787700295152632</v>
      </c>
      <c r="G386" s="11">
        <f t="shared" si="33"/>
        <v>14.745088655901593</v>
      </c>
    </row>
    <row r="387" spans="5:7" x14ac:dyDescent="0.25">
      <c r="E387" s="11">
        <f t="shared" si="31"/>
        <v>45</v>
      </c>
      <c r="F387" s="11">
        <f t="shared" si="32"/>
        <v>15.180889281015888</v>
      </c>
      <c r="G387" s="11">
        <f t="shared" si="33"/>
        <v>15.131919610791874</v>
      </c>
    </row>
    <row r="388" spans="5:7" x14ac:dyDescent="0.25">
      <c r="E388" s="11">
        <f t="shared" si="31"/>
        <v>46</v>
      </c>
      <c r="F388" s="11">
        <f t="shared" si="32"/>
        <v>15.57427162276055</v>
      </c>
      <c r="G388" s="11">
        <f t="shared" si="33"/>
        <v>15.519502193675104</v>
      </c>
    </row>
    <row r="389" spans="5:7" x14ac:dyDescent="0.25">
      <c r="E389" s="11">
        <f t="shared" si="31"/>
        <v>47</v>
      </c>
      <c r="F389" s="11">
        <f t="shared" si="32"/>
        <v>15.967696218314032</v>
      </c>
      <c r="G389" s="11">
        <f t="shared" si="33"/>
        <v>15.907801869246956</v>
      </c>
    </row>
    <row r="390" spans="5:7" x14ac:dyDescent="0.25">
      <c r="E390" s="11">
        <f t="shared" si="31"/>
        <v>48</v>
      </c>
      <c r="F390" s="11">
        <f t="shared" si="32"/>
        <v>16.361020724978932</v>
      </c>
      <c r="G390" s="11">
        <f t="shared" si="33"/>
        <v>16.296797546545999</v>
      </c>
    </row>
    <row r="391" spans="5:7" x14ac:dyDescent="0.25">
      <c r="E391" s="11">
        <f t="shared" si="31"/>
        <v>49</v>
      </c>
      <c r="F391" s="11">
        <f t="shared" si="32"/>
        <v>16.75411288035318</v>
      </c>
      <c r="G391" s="11">
        <f t="shared" si="33"/>
        <v>16.686468134610799</v>
      </c>
    </row>
    <row r="392" spans="5:7" x14ac:dyDescent="0.25">
      <c r="E392" s="11">
        <f t="shared" si="31"/>
        <v>50</v>
      </c>
      <c r="F392" s="11">
        <f t="shared" si="32"/>
        <v>17.146851884520867</v>
      </c>
      <c r="G392" s="11">
        <f t="shared" si="33"/>
        <v>17.076792542479936</v>
      </c>
    </row>
    <row r="393" spans="5:7" x14ac:dyDescent="0.25">
      <c r="E393" s="11">
        <f t="shared" si="31"/>
        <v>51</v>
      </c>
      <c r="F393" s="11">
        <f t="shared" si="32"/>
        <v>17.53912984489833</v>
      </c>
      <c r="G393" s="11">
        <f t="shared" si="33"/>
        <v>17.467749679191972</v>
      </c>
    </row>
    <row r="394" spans="5:7" x14ac:dyDescent="0.25">
      <c r="E394" s="11">
        <f t="shared" si="31"/>
        <v>52</v>
      </c>
      <c r="F394" s="11">
        <f t="shared" si="32"/>
        <v>17.930853285133331</v>
      </c>
      <c r="G394" s="11">
        <f t="shared" si="33"/>
        <v>17.85931845378548</v>
      </c>
    </row>
    <row r="395" spans="5:7" x14ac:dyDescent="0.25">
      <c r="E395" s="11">
        <f t="shared" si="31"/>
        <v>53</v>
      </c>
      <c r="F395" s="11">
        <f t="shared" si="32"/>
        <v>18.321944719468256</v>
      </c>
      <c r="G395" s="11">
        <f t="shared" si="33"/>
        <v>18.25147777529903</v>
      </c>
    </row>
    <row r="396" spans="5:7" x14ac:dyDescent="0.25">
      <c r="E396" s="11">
        <f t="shared" si="31"/>
        <v>54</v>
      </c>
      <c r="F396" s="11">
        <f t="shared" si="32"/>
        <v>18.712344293991631</v>
      </c>
      <c r="G396" s="11">
        <f t="shared" si="33"/>
        <v>18.644206552771188</v>
      </c>
    </row>
    <row r="397" spans="5:7" x14ac:dyDescent="0.25">
      <c r="E397" s="11">
        <f t="shared" si="31"/>
        <v>55</v>
      </c>
      <c r="F397" s="11">
        <f t="shared" si="32"/>
        <v>19.102011496215354</v>
      </c>
      <c r="G397" s="11">
        <f t="shared" si="33"/>
        <v>19.037483695240528</v>
      </c>
    </row>
    <row r="398" spans="5:7" x14ac:dyDescent="0.25">
      <c r="E398" s="11">
        <f t="shared" si="31"/>
        <v>56</v>
      </c>
      <c r="F398" s="11">
        <f t="shared" si="32"/>
        <v>19.490926934428256</v>
      </c>
      <c r="G398" s="11">
        <f t="shared" si="33"/>
        <v>19.431288111745616</v>
      </c>
    </row>
    <row r="399" spans="5:7" x14ac:dyDescent="0.25">
      <c r="E399" s="11">
        <f t="shared" si="31"/>
        <v>57</v>
      </c>
      <c r="F399" s="11">
        <f t="shared" si="32"/>
        <v>19.879094188289947</v>
      </c>
      <c r="G399" s="11">
        <f t="shared" si="33"/>
        <v>19.825598711325028</v>
      </c>
    </row>
    <row r="400" spans="5:7" x14ac:dyDescent="0.25">
      <c r="E400" s="11">
        <f t="shared" si="31"/>
        <v>58</v>
      </c>
      <c r="F400" s="11">
        <f t="shared" si="32"/>
        <v>20.266541732141871</v>
      </c>
      <c r="G400" s="11">
        <f t="shared" si="33"/>
        <v>20.22039440301733</v>
      </c>
    </row>
    <row r="401" spans="5:7" x14ac:dyDescent="0.25">
      <c r="E401" s="11">
        <f t="shared" si="31"/>
        <v>59</v>
      </c>
      <c r="F401" s="11">
        <f t="shared" si="32"/>
        <v>20.653324932526047</v>
      </c>
      <c r="G401" s="11">
        <f t="shared" si="33"/>
        <v>20.615654095861096</v>
      </c>
    </row>
    <row r="402" spans="5:7" x14ac:dyDescent="0.25">
      <c r="E402" s="11">
        <f t="shared" si="31"/>
        <v>60</v>
      </c>
      <c r="F402" s="11">
        <f t="shared" si="32"/>
        <v>21.039528121414794</v>
      </c>
      <c r="G402" s="11">
        <f t="shared" si="33"/>
        <v>21.01135669889489</v>
      </c>
    </row>
    <row r="403" spans="5:7" x14ac:dyDescent="0.25">
      <c r="E403" s="11">
        <f t="shared" si="31"/>
        <v>61</v>
      </c>
      <c r="F403" s="11">
        <f t="shared" si="32"/>
        <v>21.425266746668299</v>
      </c>
      <c r="G403" s="11">
        <f t="shared" si="33"/>
        <v>21.407481121157286</v>
      </c>
    </row>
    <row r="404" spans="5:7" x14ac:dyDescent="0.25">
      <c r="E404" s="11">
        <f t="shared" si="31"/>
        <v>62</v>
      </c>
      <c r="F404" s="11">
        <f t="shared" si="32"/>
        <v>21.810689601249933</v>
      </c>
      <c r="G404" s="11">
        <f t="shared" si="33"/>
        <v>21.804006271686852</v>
      </c>
    </row>
    <row r="405" spans="5:7" x14ac:dyDescent="0.25">
      <c r="E405" s="11">
        <f t="shared" si="31"/>
        <v>63</v>
      </c>
      <c r="F405" s="11">
        <f t="shared" si="32"/>
        <v>22.195981132742411</v>
      </c>
      <c r="G405" s="11">
        <f t="shared" si="33"/>
        <v>22.200911059522156</v>
      </c>
    </row>
    <row r="406" spans="5:7" x14ac:dyDescent="0.25">
      <c r="E406" s="11">
        <f t="shared" si="31"/>
        <v>64</v>
      </c>
      <c r="F406" s="11">
        <f t="shared" si="32"/>
        <v>22.581363834721117</v>
      </c>
      <c r="G406" s="11">
        <f t="shared" si="33"/>
        <v>22.598174393701772</v>
      </c>
    </row>
    <row r="407" spans="5:7" x14ac:dyDescent="0.25">
      <c r="E407" s="11">
        <f t="shared" si="31"/>
        <v>65</v>
      </c>
      <c r="F407" s="11">
        <f t="shared" si="32"/>
        <v>22.967100721554317</v>
      </c>
      <c r="G407" s="11">
        <f t="shared" si="33"/>
        <v>22.995775183264271</v>
      </c>
    </row>
    <row r="408" spans="5:7" x14ac:dyDescent="0.25">
      <c r="E408" s="11">
        <f t="shared" si="31"/>
        <v>66</v>
      </c>
      <c r="F408" s="11">
        <f t="shared" si="32"/>
        <v>23.353497888212875</v>
      </c>
      <c r="G408" s="11">
        <f t="shared" si="33"/>
        <v>23.393692337248218</v>
      </c>
    </row>
    <row r="409" spans="5:7" x14ac:dyDescent="0.25">
      <c r="E409" s="11">
        <f t="shared" si="31"/>
        <v>67</v>
      </c>
      <c r="F409" s="11">
        <f t="shared" si="32"/>
        <v>23.740907156685545</v>
      </c>
      <c r="G409" s="11">
        <f t="shared" si="33"/>
        <v>23.791904764692188</v>
      </c>
    </row>
    <row r="410" spans="5:7" x14ac:dyDescent="0.25">
      <c r="E410" s="11">
        <f t="shared" si="31"/>
        <v>68</v>
      </c>
      <c r="F410" s="11">
        <f t="shared" si="32"/>
        <v>24.129728810609059</v>
      </c>
      <c r="G410" s="11">
        <f t="shared" si="33"/>
        <v>24.190391374634746</v>
      </c>
    </row>
    <row r="411" spans="5:7" x14ac:dyDescent="0.25">
      <c r="E411" s="11">
        <f t="shared" si="31"/>
        <v>69</v>
      </c>
      <c r="F411" s="11">
        <f t="shared" si="32"/>
        <v>24.520414419735378</v>
      </c>
      <c r="G411" s="11">
        <f t="shared" si="33"/>
        <v>24.589131076114466</v>
      </c>
    </row>
    <row r="412" spans="5:7" x14ac:dyDescent="0.25">
      <c r="E412" s="11">
        <f t="shared" si="31"/>
        <v>70</v>
      </c>
      <c r="F412" s="11">
        <f t="shared" si="32"/>
        <v>24.913469755871798</v>
      </c>
      <c r="G412" s="11">
        <f t="shared" si="33"/>
        <v>24.988102778169917</v>
      </c>
    </row>
    <row r="413" spans="5:7" x14ac:dyDescent="0.25">
      <c r="E413" s="11">
        <f t="shared" si="31"/>
        <v>71</v>
      </c>
      <c r="F413" s="11">
        <f t="shared" si="32"/>
        <v>25.309457801942756</v>
      </c>
      <c r="G413" s="11">
        <f t="shared" si="33"/>
        <v>25.387285389839668</v>
      </c>
    </row>
    <row r="414" spans="5:7" x14ac:dyDescent="0.25">
      <c r="E414" s="11">
        <f t="shared" si="31"/>
        <v>72</v>
      </c>
      <c r="F414" s="11">
        <f t="shared" si="32"/>
        <v>25.709001855835346</v>
      </c>
      <c r="G414" s="11">
        <f t="shared" si="33"/>
        <v>25.786657820162286</v>
      </c>
    </row>
    <row r="415" spans="5:7" x14ac:dyDescent="0.25">
      <c r="E415" s="11">
        <f t="shared" ref="E415:E422" si="34">E208</f>
        <v>73</v>
      </c>
      <c r="F415" s="11">
        <f t="shared" ref="F415:F422" si="35">$H$217*0+E415*$I$217+E415^2*$J$217+E415^3*$K$217+E415^4*$L$217+E415^5*$M$217+E415^6*$N$217+E415^7*$O$217+E415^8*$P$217</f>
        <v>26.112788730703826</v>
      </c>
      <c r="G415" s="11">
        <f t="shared" ref="G415:G422" si="36">F208</f>
        <v>26.186198978176346</v>
      </c>
    </row>
    <row r="416" spans="5:7" x14ac:dyDescent="0.25">
      <c r="E416" s="11">
        <f t="shared" si="34"/>
        <v>74</v>
      </c>
      <c r="F416" s="11">
        <f t="shared" si="35"/>
        <v>26.521572053421778</v>
      </c>
      <c r="G416" s="11">
        <f t="shared" si="36"/>
        <v>26.585887772920415</v>
      </c>
    </row>
    <row r="417" spans="5:7" x14ac:dyDescent="0.25">
      <c r="E417" s="11">
        <f t="shared" si="34"/>
        <v>75</v>
      </c>
      <c r="F417" s="11">
        <f t="shared" si="35"/>
        <v>26.936175662883286</v>
      </c>
      <c r="G417" s="11">
        <f t="shared" si="36"/>
        <v>26.985703113433068</v>
      </c>
    </row>
    <row r="418" spans="5:7" x14ac:dyDescent="0.25">
      <c r="E418" s="11">
        <f t="shared" si="34"/>
        <v>76</v>
      </c>
      <c r="F418" s="11">
        <f t="shared" si="35"/>
        <v>27.357497109868394</v>
      </c>
      <c r="G418" s="11">
        <f t="shared" si="36"/>
        <v>27.385623908752869</v>
      </c>
    </row>
    <row r="419" spans="5:7" x14ac:dyDescent="0.25">
      <c r="E419" s="11">
        <f t="shared" si="34"/>
        <v>77</v>
      </c>
      <c r="F419" s="11">
        <f t="shared" si="35"/>
        <v>27.786511260200818</v>
      </c>
      <c r="G419" s="11">
        <f t="shared" si="36"/>
        <v>27.785629067918393</v>
      </c>
    </row>
    <row r="420" spans="5:7" x14ac:dyDescent="0.25">
      <c r="E420" s="11">
        <f t="shared" si="34"/>
        <v>78</v>
      </c>
      <c r="F420" s="11">
        <f t="shared" si="35"/>
        <v>28.224274002939175</v>
      </c>
      <c r="G420" s="11">
        <f t="shared" si="36"/>
        <v>28.185697499968203</v>
      </c>
    </row>
    <row r="421" spans="5:7" x14ac:dyDescent="0.25">
      <c r="E421" s="11">
        <f t="shared" si="34"/>
        <v>79</v>
      </c>
      <c r="F421" s="11">
        <f t="shared" si="35"/>
        <v>28.671926065356434</v>
      </c>
      <c r="G421" s="11">
        <f t="shared" si="36"/>
        <v>28.585808113940878</v>
      </c>
    </row>
    <row r="422" spans="5:7" x14ac:dyDescent="0.25">
      <c r="E422" s="11">
        <f t="shared" si="34"/>
        <v>80</v>
      </c>
      <c r="F422" s="11">
        <f t="shared" si="35"/>
        <v>29.130696936475374</v>
      </c>
      <c r="G422" s="11">
        <f t="shared" si="36"/>
        <v>28.985939818874979</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2022-01-22T07:55:23Z</dcterms:modified>
</cp:coreProperties>
</file>